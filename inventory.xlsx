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aw" sheetId="1" state="visible" r:id="rId1"/>
    <sheet name="Process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"/>
    <numFmt numFmtId="165" formatCode="_-* #,##0.00_-;\-* #,##0.00_-;_-* &quot;-&quot;??_-;_-@_-"/>
    <numFmt numFmtId="166" formatCode="_(* #,##0_);_(* \(#,##0\);_(* &quot;-&quot;??_);_(@_)"/>
    <numFmt numFmtId="167" formatCode="_(* #,##0.00_);_(* \(#,##0.00\);_(* &quot;-&quot;??.00_);_(@_)"/>
  </numFmts>
  <fonts count="27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 Narrow"/>
      <color theme="1"/>
      <sz val="11"/>
    </font>
    <font>
      <name val="Arial Narrow"/>
      <color rgb="FFFF0000"/>
      <sz val="11"/>
    </font>
    <font>
      <name val="Calibri"/>
      <color theme="1"/>
      <sz val="11"/>
    </font>
    <font>
      <name val="Calibri"/>
      <color theme="1"/>
      <sz val="12"/>
    </font>
    <font>
      <name val="Calibri"/>
      <b val="1"/>
      <color theme="1"/>
      <sz val="11"/>
    </font>
    <font>
      <name val="Calibri"/>
      <b val="1"/>
      <color theme="1"/>
      <sz val="12"/>
    </font>
    <font>
      <name val="Calibri"/>
      <color rgb="FF000000"/>
      <sz val="12"/>
    </font>
    <font>
      <name val="Arial"/>
      <color theme="1"/>
      <sz val="12"/>
    </font>
    <font>
      <name val="Arial Narrow"/>
      <color theme="1"/>
      <sz val="12"/>
    </font>
    <font>
      <name val="Arial Narrow"/>
      <b val="1"/>
      <i val="1"/>
      <color theme="1"/>
      <sz val="12"/>
    </font>
    <font>
      <name val="Arial Narrow"/>
      <color rgb="FFFF0000"/>
      <sz val="12"/>
    </font>
    <font>
      <name val="Arial Narrow"/>
      <b val="1"/>
      <color rgb="FFFF0000"/>
      <sz val="12"/>
    </font>
    <font>
      <name val="Arial Narrow"/>
      <b val="1"/>
      <color theme="1"/>
      <sz val="12"/>
    </font>
    <font>
      <name val="Calibri"/>
      <color rgb="FFD0CECE"/>
      <sz val="12"/>
    </font>
    <font>
      <name val="Arial"/>
      <color theme="1"/>
      <sz val="11"/>
    </font>
    <font>
      <name val="Arial Narrow"/>
      <color rgb="FF000000"/>
      <sz val="12"/>
    </font>
    <font>
      <name val="Arial Narrow"/>
      <color rgb="FF000000"/>
      <sz val="11"/>
    </font>
    <font>
      <name val="Calibri"/>
      <color rgb="FFFF0000"/>
      <sz val="12"/>
    </font>
    <font>
      <name val="Calibri"/>
      <b val="1"/>
      <color rgb="FF000000"/>
      <sz val="12"/>
    </font>
    <font>
      <name val="Calibri"/>
      <color rgb="FFC00000"/>
      <sz val="12"/>
    </font>
    <font>
      <name val="Calibri"/>
      <family val="2"/>
      <b val="1"/>
      <color theme="1"/>
      <sz val="12"/>
      <scheme val="minor"/>
    </font>
    <font>
      <name val="Arial Narrow"/>
      <family val="2"/>
      <b val="1"/>
      <color theme="1"/>
      <sz val="12"/>
    </font>
    <font>
      <name val="Calibri"/>
      <family val="2"/>
      <color theme="1"/>
      <sz val="11"/>
    </font>
    <font>
      <name val="Calibri"/>
      <family val="2"/>
      <color theme="1"/>
      <sz val="12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CE5CD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5"/>
  </cellStyleXfs>
  <cellXfs count="238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3" fillId="0" borderId="1" applyAlignment="1" pivotButton="0" quotePrefix="0" xfId="0">
      <alignment horizontal="center"/>
    </xf>
    <xf numFmtId="0" fontId="6" fillId="0" borderId="1" pivotButton="0" quotePrefix="0" xfId="0"/>
    <xf numFmtId="0" fontId="5" fillId="0" borderId="1" pivotButton="0" quotePrefix="0" xfId="0"/>
    <xf numFmtId="164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49" fontId="6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164" fontId="10" fillId="0" borderId="1" applyAlignment="1" pivotButton="0" quotePrefix="0" xfId="0">
      <alignment horizontal="right"/>
    </xf>
    <xf numFmtId="37" fontId="6" fillId="0" borderId="1" applyAlignment="1" pivotButton="0" quotePrefix="0" xfId="0">
      <alignment horizontal="center"/>
    </xf>
    <xf numFmtId="49" fontId="10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10" fillId="4" borderId="1" applyAlignment="1" pivotButton="0" quotePrefix="0" xfId="0">
      <alignment horizontal="center"/>
    </xf>
    <xf numFmtId="164" fontId="10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5" fillId="0" borderId="6" pivotButton="0" quotePrefix="0" xfId="0"/>
    <xf numFmtId="0" fontId="6" fillId="0" borderId="6" applyAlignment="1" pivotButton="0" quotePrefix="0" xfId="0">
      <alignment horizontal="center"/>
    </xf>
    <xf numFmtId="0" fontId="5" fillId="0" borderId="7" pivotButton="0" quotePrefix="0" xfId="0"/>
    <xf numFmtId="0" fontId="6" fillId="0" borderId="7" pivotButton="0" quotePrefix="0" xfId="0"/>
    <xf numFmtId="0" fontId="6" fillId="0" borderId="7" applyAlignment="1" pivotButton="0" quotePrefix="0" xfId="0">
      <alignment horizontal="center"/>
    </xf>
    <xf numFmtId="0" fontId="6" fillId="0" borderId="9" applyAlignment="1" pivotButton="0" quotePrefix="0" xfId="0">
      <alignment horizontal="center"/>
    </xf>
    <xf numFmtId="164" fontId="6" fillId="0" borderId="7" applyAlignment="1" pivotButton="0" quotePrefix="0" xfId="0">
      <alignment horizontal="right"/>
    </xf>
    <xf numFmtId="0" fontId="5" fillId="0" borderId="8" pivotButton="0" quotePrefix="0" xfId="0"/>
    <xf numFmtId="0" fontId="6" fillId="0" borderId="7" applyAlignment="1" pivotButton="0" quotePrefix="0" xfId="0">
      <alignment horizontal="left"/>
    </xf>
    <xf numFmtId="0" fontId="5" fillId="0" borderId="10" pivotButton="0" quotePrefix="0" xfId="0"/>
    <xf numFmtId="0" fontId="6" fillId="0" borderId="0" pivotButton="0" quotePrefix="0" xfId="0"/>
    <xf numFmtId="0" fontId="3" fillId="0" borderId="6" applyAlignment="1" pivotButton="0" quotePrefix="0" xfId="0">
      <alignment horizontal="center"/>
    </xf>
    <xf numFmtId="164" fontId="6" fillId="0" borderId="7" applyAlignment="1" pivotButton="0" quotePrefix="0" xfId="0">
      <alignment horizontal="center"/>
    </xf>
    <xf numFmtId="164" fontId="6" fillId="0" borderId="6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164" fontId="6" fillId="0" borderId="12" applyAlignment="1" pivotButton="0" quotePrefix="0" xfId="0">
      <alignment horizontal="right"/>
    </xf>
    <xf numFmtId="164" fontId="6" fillId="0" borderId="6" applyAlignment="1" pivotButton="0" quotePrefix="0" xfId="0">
      <alignment horizontal="right"/>
    </xf>
    <xf numFmtId="0" fontId="6" fillId="0" borderId="6" pivotButton="0" quotePrefix="0" xfId="0"/>
    <xf numFmtId="0" fontId="12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center"/>
    </xf>
    <xf numFmtId="165" fontId="11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center"/>
    </xf>
    <xf numFmtId="166" fontId="13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11" fillId="0" borderId="0" pivotButton="0" quotePrefix="0" xfId="0"/>
    <xf numFmtId="165" fontId="11" fillId="0" borderId="0" pivotButton="0" quotePrefix="0" xfId="0"/>
    <xf numFmtId="166" fontId="14" fillId="0" borderId="0" applyAlignment="1" pivotButton="0" quotePrefix="0" xfId="0">
      <alignment horizontal="center"/>
    </xf>
    <xf numFmtId="165" fontId="15" fillId="0" borderId="0" applyAlignment="1" pivotButton="0" quotePrefix="0" xfId="0">
      <alignment horizontal="left"/>
    </xf>
    <xf numFmtId="0" fontId="15" fillId="0" borderId="0" pivotButton="0" quotePrefix="0" xfId="0"/>
    <xf numFmtId="165" fontId="15" fillId="0" borderId="0" pivotButton="0" quotePrefix="0" xfId="0"/>
    <xf numFmtId="0" fontId="13" fillId="0" borderId="1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2" applyAlignment="1" pivotButton="0" quotePrefix="0" xfId="0">
      <alignment vertical="center" wrapText="1"/>
    </xf>
    <xf numFmtId="0" fontId="13" fillId="0" borderId="2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166" fontId="11" fillId="0" borderId="1" applyAlignment="1" pivotButton="0" quotePrefix="0" xfId="0">
      <alignment vertical="center" wrapText="1"/>
    </xf>
    <xf numFmtId="165" fontId="11" fillId="0" borderId="1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 wrapText="1"/>
    </xf>
    <xf numFmtId="0" fontId="13" fillId="0" borderId="3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3" fillId="0" borderId="4" applyAlignment="1" pivotButton="0" quotePrefix="0" xfId="0">
      <alignment vertical="center" wrapText="1"/>
    </xf>
    <xf numFmtId="0" fontId="13" fillId="0" borderId="4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/>
    </xf>
    <xf numFmtId="165" fontId="6" fillId="0" borderId="0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wrapText="1"/>
    </xf>
    <xf numFmtId="165" fontId="15" fillId="2" borderId="1" applyAlignment="1" pivotButton="0" quotePrefix="0" xfId="0">
      <alignment horizontal="center"/>
    </xf>
    <xf numFmtId="165" fontId="6" fillId="0" borderId="0" applyAlignment="1" pivotButton="0" quotePrefix="0" xfId="0">
      <alignment horizontal="center"/>
    </xf>
    <xf numFmtId="165" fontId="10" fillId="0" borderId="0" pivotButton="0" quotePrefix="0" xfId="0"/>
    <xf numFmtId="0" fontId="15" fillId="0" borderId="1" applyAlignment="1" pivotButton="0" quotePrefix="0" xfId="0">
      <alignment horizontal="center" vertical="center" wrapText="1"/>
    </xf>
    <xf numFmtId="165" fontId="15" fillId="2" borderId="1" applyAlignment="1" pivotButton="0" quotePrefix="0" xfId="0">
      <alignment horizontal="center" vertical="center"/>
    </xf>
    <xf numFmtId="37" fontId="10" fillId="0" borderId="1" applyAlignment="1" pivotButton="0" quotePrefix="0" xfId="0">
      <alignment horizontal="center"/>
    </xf>
    <xf numFmtId="165" fontId="6" fillId="0" borderId="0" pivotButton="0" quotePrefix="0" xfId="0"/>
    <xf numFmtId="164" fontId="10" fillId="4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7" fillId="0" borderId="1" applyAlignment="1" pivotButton="0" quotePrefix="0" xfId="0">
      <alignment horizontal="center"/>
    </xf>
    <xf numFmtId="0" fontId="17" fillId="4" borderId="1" applyAlignment="1" pivotButton="0" quotePrefix="0" xfId="0">
      <alignment horizontal="center"/>
    </xf>
    <xf numFmtId="0" fontId="17" fillId="0" borderId="7" applyAlignment="1" pivotButton="0" quotePrefix="0" xfId="0">
      <alignment horizontal="center"/>
    </xf>
    <xf numFmtId="0" fontId="17" fillId="0" borderId="4" applyAlignment="1" pivotButton="0" quotePrefix="0" xfId="0">
      <alignment horizontal="center"/>
    </xf>
    <xf numFmtId="0" fontId="17" fillId="0" borderId="2" applyAlignment="1" pivotButton="0" quotePrefix="0" xfId="0">
      <alignment horizontal="center"/>
    </xf>
    <xf numFmtId="164" fontId="9" fillId="0" borderId="1" pivotButton="0" quotePrefix="0" xfId="0"/>
    <xf numFmtId="0" fontId="9" fillId="0" borderId="6" applyAlignment="1" pivotButton="0" quotePrefix="0" xfId="0">
      <alignment horizontal="center"/>
    </xf>
    <xf numFmtId="0" fontId="18" fillId="0" borderId="7" pivotButton="0" quotePrefix="0" xfId="0"/>
    <xf numFmtId="0" fontId="9" fillId="0" borderId="1" applyAlignment="1" pivotButton="0" quotePrefix="0" xfId="0">
      <alignment horizontal="left"/>
    </xf>
    <xf numFmtId="164" fontId="6" fillId="0" borderId="1" pivotButton="0" quotePrefix="0" xfId="0"/>
    <xf numFmtId="0" fontId="18" fillId="0" borderId="1" pivotButton="0" quotePrefix="0" xfId="0"/>
    <xf numFmtId="164" fontId="9" fillId="0" borderId="0" pivotButton="0" quotePrefix="0" xfId="0"/>
    <xf numFmtId="0" fontId="9" fillId="0" borderId="7" applyAlignment="1" pivotButton="0" quotePrefix="0" xfId="0">
      <alignment horizontal="center"/>
    </xf>
    <xf numFmtId="0" fontId="6" fillId="0" borderId="2" applyAlignment="1" pivotButton="0" quotePrefix="0" xfId="0">
      <alignment horizontal="left"/>
    </xf>
    <xf numFmtId="0" fontId="9" fillId="0" borderId="7" applyAlignment="1" pivotButton="0" quotePrefix="0" xfId="0">
      <alignment horizontal="left"/>
    </xf>
    <xf numFmtId="164" fontId="9" fillId="0" borderId="7" pivotButton="0" quotePrefix="0" xfId="0"/>
    <xf numFmtId="0" fontId="18" fillId="0" borderId="10" pivotButton="0" quotePrefix="0" xfId="0"/>
    <xf numFmtId="0" fontId="18" fillId="0" borderId="6" pivotButton="0" quotePrefix="0" xfId="0"/>
    <xf numFmtId="0" fontId="19" fillId="0" borderId="6" applyAlignment="1" pivotButton="0" quotePrefix="0" xfId="0">
      <alignment horizontal="center" vertical="center"/>
    </xf>
    <xf numFmtId="164" fontId="9" fillId="0" borderId="6" pivotButton="0" quotePrefix="0" xfId="0"/>
    <xf numFmtId="164" fontId="9" fillId="0" borderId="1" applyAlignment="1" pivotButton="0" quotePrefix="0" xfId="0">
      <alignment horizontal="center"/>
    </xf>
    <xf numFmtId="0" fontId="19" fillId="0" borderId="7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/>
    </xf>
    <xf numFmtId="0" fontId="18" fillId="5" borderId="1" pivotButton="0" quotePrefix="0" xfId="0"/>
    <xf numFmtId="0" fontId="9" fillId="0" borderId="6" applyAlignment="1" pivotButton="0" quotePrefix="0" xfId="0">
      <alignment horizontal="left"/>
    </xf>
    <xf numFmtId="37" fontId="9" fillId="0" borderId="1" applyAlignment="1" pivotButton="0" quotePrefix="0" xfId="0">
      <alignment horizontal="center"/>
    </xf>
    <xf numFmtId="0" fontId="11" fillId="0" borderId="1" pivotButton="0" quotePrefix="0" xfId="0"/>
    <xf numFmtId="0" fontId="8" fillId="0" borderId="0" applyAlignment="1" pivotButton="0" quotePrefix="0" xfId="0">
      <alignment horizontal="left"/>
    </xf>
    <xf numFmtId="0" fontId="20" fillId="0" borderId="1" applyAlignment="1" pivotButton="0" quotePrefix="0" xfId="0">
      <alignment horizontal="left" vertical="center" wrapText="1"/>
    </xf>
    <xf numFmtId="0" fontId="21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0" fontId="19" fillId="0" borderId="1" applyAlignment="1" pivotButton="0" quotePrefix="0" xfId="0">
      <alignment horizontal="center" vertical="center"/>
    </xf>
    <xf numFmtId="167" fontId="15" fillId="2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left"/>
    </xf>
    <xf numFmtId="165" fontId="5" fillId="0" borderId="0" applyAlignment="1" pivotButton="0" quotePrefix="0" xfId="0">
      <alignment horizontal="left"/>
    </xf>
    <xf numFmtId="167" fontId="15" fillId="2" borderId="1" applyAlignment="1" pivotButton="0" quotePrefix="0" xfId="0">
      <alignment horizontal="center" wrapText="1"/>
    </xf>
    <xf numFmtId="0" fontId="22" fillId="0" borderId="1" applyAlignment="1" pivotButton="0" quotePrefix="0" xfId="0">
      <alignment horizontal="left" wrapText="1"/>
    </xf>
    <xf numFmtId="0" fontId="21" fillId="5" borderId="1" applyAlignment="1" pivotButton="0" quotePrefix="0" xfId="0">
      <alignment horizontal="left"/>
    </xf>
    <xf numFmtId="2" fontId="9" fillId="0" borderId="1" pivotButton="0" quotePrefix="0" xfId="0"/>
    <xf numFmtId="0" fontId="8" fillId="5" borderId="1" applyAlignment="1" pivotButton="0" quotePrefix="0" xfId="0">
      <alignment horizontal="left"/>
    </xf>
    <xf numFmtId="0" fontId="21" fillId="4" borderId="1" applyAlignment="1" pivotButton="0" quotePrefix="0" xfId="0">
      <alignment horizontal="left"/>
    </xf>
    <xf numFmtId="0" fontId="8" fillId="0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/>
    </xf>
    <xf numFmtId="0" fontId="6" fillId="4" borderId="1" applyAlignment="1" pivotButton="0" quotePrefix="0" xfId="0">
      <alignment horizontal="left"/>
    </xf>
    <xf numFmtId="0" fontId="6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 vertical="top" wrapText="1"/>
    </xf>
    <xf numFmtId="0" fontId="6" fillId="0" borderId="4" applyAlignment="1" pivotButton="0" quotePrefix="0" xfId="0">
      <alignment horizontal="center"/>
    </xf>
    <xf numFmtId="0" fontId="8" fillId="5" borderId="1" applyAlignment="1" pivotButton="0" quotePrefix="0" xfId="0">
      <alignment horizontal="left" vertical="center"/>
    </xf>
    <xf numFmtId="0" fontId="8" fillId="0" borderId="1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9" fillId="0" borderId="13" applyAlignment="1" pivotButton="0" quotePrefix="0" xfId="0">
      <alignment horizontal="center"/>
    </xf>
    <xf numFmtId="0" fontId="9" fillId="0" borderId="15" applyAlignment="1" pivotButton="0" quotePrefix="0" xfId="0">
      <alignment horizontal="center"/>
    </xf>
    <xf numFmtId="0" fontId="9" fillId="0" borderId="4" applyAlignment="1" pivotButton="0" quotePrefix="0" xfId="0">
      <alignment horizontal="center"/>
    </xf>
    <xf numFmtId="0" fontId="9" fillId="0" borderId="16" applyAlignment="1" pivotButton="0" quotePrefix="0" xfId="0">
      <alignment horizontal="center"/>
    </xf>
    <xf numFmtId="0" fontId="6" fillId="4" borderId="6" applyAlignment="1" pivotButton="0" quotePrefix="0" xfId="0">
      <alignment horizontal="center"/>
    </xf>
    <xf numFmtId="164" fontId="6" fillId="0" borderId="2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  <xf numFmtId="0" fontId="21" fillId="0" borderId="2" applyAlignment="1" pivotButton="0" quotePrefix="0" xfId="0">
      <alignment horizontal="left"/>
    </xf>
    <xf numFmtId="0" fontId="8" fillId="0" borderId="7" applyAlignment="1" pivotButton="0" quotePrefix="0" xfId="0">
      <alignment horizontal="left"/>
    </xf>
    <xf numFmtId="164" fontId="10" fillId="0" borderId="2" applyAlignment="1" pivotButton="0" quotePrefix="0" xfId="0">
      <alignment horizontal="center"/>
    </xf>
    <xf numFmtId="0" fontId="10" fillId="0" borderId="7" applyAlignment="1" pivotButton="0" quotePrefix="0" xfId="0">
      <alignment horizontal="center"/>
    </xf>
    <xf numFmtId="0" fontId="10" fillId="0" borderId="8" applyAlignment="1" pivotButton="0" quotePrefix="0" xfId="0">
      <alignment horizontal="center"/>
    </xf>
    <xf numFmtId="0" fontId="21" fillId="0" borderId="7" applyAlignment="1" pivotButton="0" quotePrefix="0" xfId="0">
      <alignment horizontal="left"/>
    </xf>
    <xf numFmtId="164" fontId="10" fillId="0" borderId="7" applyAlignment="1" pivotButton="0" quotePrefix="0" xfId="0">
      <alignment horizontal="right"/>
    </xf>
    <xf numFmtId="0" fontId="21" fillId="5" borderId="7" applyAlignment="1" pivotButton="0" quotePrefix="0" xfId="0">
      <alignment horizontal="left"/>
    </xf>
    <xf numFmtId="164" fontId="10" fillId="4" borderId="7" applyAlignment="1" pivotButton="0" quotePrefix="0" xfId="0">
      <alignment horizontal="center"/>
    </xf>
    <xf numFmtId="0" fontId="21" fillId="0" borderId="8" applyAlignment="1" pivotButton="0" quotePrefix="0" xfId="0">
      <alignment horizontal="left"/>
    </xf>
    <xf numFmtId="0" fontId="6" fillId="0" borderId="8" applyAlignment="1" pivotButton="0" quotePrefix="0" xfId="0">
      <alignment horizontal="left"/>
    </xf>
    <xf numFmtId="164" fontId="6" fillId="0" borderId="8" applyAlignment="1" pivotButton="0" quotePrefix="0" xfId="0">
      <alignment horizontal="center"/>
    </xf>
    <xf numFmtId="0" fontId="17" fillId="0" borderId="8" applyAlignment="1" pivotButton="0" quotePrefix="0" xfId="0">
      <alignment horizontal="center"/>
    </xf>
    <xf numFmtId="0" fontId="6" fillId="0" borderId="7" applyAlignment="1" pivotButton="0" quotePrefix="0" xfId="0">
      <alignment horizontal="center" wrapText="1"/>
    </xf>
    <xf numFmtId="0" fontId="18" fillId="5" borderId="7" pivotButton="0" quotePrefix="0" xfId="0"/>
    <xf numFmtId="0" fontId="6" fillId="0" borderId="4" applyAlignment="1" pivotButton="0" quotePrefix="0" xfId="0">
      <alignment horizontal="left"/>
    </xf>
    <xf numFmtId="0" fontId="6" fillId="0" borderId="10" pivotButton="0" quotePrefix="0" xfId="0"/>
    <xf numFmtId="0" fontId="21" fillId="0" borderId="11" applyAlignment="1" pivotButton="0" quotePrefix="0" xfId="0">
      <alignment horizontal="left"/>
    </xf>
    <xf numFmtId="0" fontId="8" fillId="0" borderId="11" applyAlignment="1" pivotButton="0" quotePrefix="0" xfId="0">
      <alignment horizontal="left"/>
    </xf>
    <xf numFmtId="0" fontId="6" fillId="4" borderId="7" applyAlignment="1" pivotButton="0" quotePrefix="0" xfId="0">
      <alignment horizontal="center"/>
    </xf>
    <xf numFmtId="0" fontId="11" fillId="0" borderId="7" applyAlignment="1" pivotButton="0" quotePrefix="0" xfId="0">
      <alignment horizontal="center"/>
    </xf>
    <xf numFmtId="164" fontId="10" fillId="0" borderId="7" applyAlignment="1" pivotButton="0" quotePrefix="0" xfId="0">
      <alignment horizontal="center"/>
    </xf>
    <xf numFmtId="0" fontId="6" fillId="4" borderId="10" applyAlignment="1" pivotButton="0" quotePrefix="0" xfId="0">
      <alignment horizontal="center"/>
    </xf>
    <xf numFmtId="164" fontId="6" fillId="0" borderId="12" applyAlignment="1" pivotButton="0" quotePrefix="0" xfId="0">
      <alignment horizontal="center"/>
    </xf>
    <xf numFmtId="0" fontId="21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left"/>
    </xf>
    <xf numFmtId="0" fontId="8" fillId="0" borderId="2" applyAlignment="1" pivotButton="0" quotePrefix="0" xfId="0">
      <alignment horizontal="left"/>
    </xf>
    <xf numFmtId="0" fontId="10" fillId="0" borderId="9" applyAlignment="1" pivotButton="0" quotePrefix="0" xfId="0">
      <alignment horizontal="center"/>
    </xf>
    <xf numFmtId="0" fontId="8" fillId="0" borderId="6" applyAlignment="1" pivotButton="0" quotePrefix="0" xfId="0">
      <alignment horizontal="left"/>
    </xf>
    <xf numFmtId="0" fontId="6" fillId="0" borderId="6" applyAlignment="1" pivotButton="0" quotePrefix="0" xfId="0">
      <alignment horizontal="left"/>
    </xf>
    <xf numFmtId="0" fontId="10" fillId="0" borderId="6" applyAlignment="1" pivotButton="0" quotePrefix="0" xfId="0">
      <alignment horizontal="center"/>
    </xf>
    <xf numFmtId="0" fontId="11" fillId="0" borderId="6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 wrapText="1"/>
    </xf>
    <xf numFmtId="0" fontId="17" fillId="0" borderId="6" applyAlignment="1" pivotButton="0" quotePrefix="0" xfId="0">
      <alignment horizontal="center"/>
    </xf>
    <xf numFmtId="0" fontId="17" fillId="4" borderId="6" applyAlignment="1" pivotButton="0" quotePrefix="0" xfId="0">
      <alignment horizontal="center"/>
    </xf>
    <xf numFmtId="0" fontId="22" fillId="0" borderId="7" applyAlignment="1" pivotButton="0" quotePrefix="0" xfId="0">
      <alignment horizontal="left" wrapText="1"/>
    </xf>
    <xf numFmtId="164" fontId="6" fillId="4" borderId="7" applyAlignment="1" pivotButton="0" quotePrefix="0" xfId="0">
      <alignment horizontal="center"/>
    </xf>
    <xf numFmtId="0" fontId="6" fillId="0" borderId="6" applyAlignment="1" pivotButton="0" quotePrefix="0" xfId="0">
      <alignment horizontal="center" wrapText="1"/>
    </xf>
    <xf numFmtId="0" fontId="6" fillId="0" borderId="6" applyAlignment="1" pivotButton="0" quotePrefix="0" xfId="0">
      <alignment horizontal="center" vertical="top" wrapText="1"/>
    </xf>
    <xf numFmtId="0" fontId="23" fillId="0" borderId="17" applyAlignment="1" pivotButton="0" quotePrefix="0" xfId="0">
      <alignment horizontal="center" wrapText="1"/>
    </xf>
    <xf numFmtId="0" fontId="23" fillId="0" borderId="18" applyAlignment="1" pivotButton="0" quotePrefix="0" xfId="0">
      <alignment horizontal="center" wrapText="1"/>
    </xf>
    <xf numFmtId="0" fontId="23" fillId="0" borderId="19" applyAlignment="1" pivotButton="0" quotePrefix="0" xfId="0">
      <alignment horizontal="center" wrapText="1"/>
    </xf>
    <xf numFmtId="0" fontId="23" fillId="0" borderId="20" applyAlignment="1" pivotButton="0" quotePrefix="0" xfId="0">
      <alignment horizontal="center" wrapText="1"/>
    </xf>
    <xf numFmtId="0" fontId="2" fillId="0" borderId="20" applyAlignment="1" pivotButton="0" quotePrefix="0" xfId="0">
      <alignment wrapText="1"/>
    </xf>
    <xf numFmtId="0" fontId="2" fillId="0" borderId="21" applyAlignment="1" pivotButton="0" quotePrefix="0" xfId="0">
      <alignment wrapText="1"/>
    </xf>
    <xf numFmtId="2" fontId="0" fillId="0" borderId="0" pivotButton="0" quotePrefix="0" xfId="0"/>
    <xf numFmtId="1" fontId="9" fillId="0" borderId="1" applyAlignment="1" pivotButton="0" quotePrefix="0" xfId="0">
      <alignment horizontal="center"/>
    </xf>
    <xf numFmtId="1" fontId="10" fillId="0" borderId="1" applyAlignment="1" pivotButton="0" quotePrefix="0" xfId="0">
      <alignment horizontal="center"/>
    </xf>
    <xf numFmtId="1" fontId="17" fillId="4" borderId="1" applyAlignment="1" pivotButton="0" quotePrefix="0" xfId="0">
      <alignment horizontal="center"/>
    </xf>
    <xf numFmtId="1" fontId="17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1" fontId="10" fillId="4" borderId="1" applyAlignment="1" pivotButton="0" quotePrefix="0" xfId="0">
      <alignment horizontal="center"/>
    </xf>
    <xf numFmtId="1" fontId="10" fillId="0" borderId="4" applyAlignment="1" pivotButton="0" quotePrefix="0" xfId="0">
      <alignment horizontal="center"/>
    </xf>
    <xf numFmtId="1" fontId="9" fillId="0" borderId="5" applyAlignment="1" pivotButton="0" quotePrefix="0" xfId="0">
      <alignment horizontal="center"/>
    </xf>
    <xf numFmtId="1" fontId="9" fillId="0" borderId="4" applyAlignment="1" pivotButton="0" quotePrefix="0" xfId="0">
      <alignment horizontal="center"/>
    </xf>
    <xf numFmtId="1" fontId="10" fillId="0" borderId="2" applyAlignment="1" pivotButton="0" quotePrefix="0" xfId="0">
      <alignment horizontal="center"/>
    </xf>
    <xf numFmtId="1" fontId="9" fillId="0" borderId="7" applyAlignment="1" pivotButton="0" quotePrefix="0" xfId="0">
      <alignment horizontal="center"/>
    </xf>
    <xf numFmtId="1" fontId="10" fillId="0" borderId="7" applyAlignment="1" pivotButton="0" quotePrefix="0" xfId="0">
      <alignment horizontal="center"/>
    </xf>
    <xf numFmtId="1" fontId="17" fillId="0" borderId="7" applyAlignment="1" pivotButton="0" quotePrefix="0" xfId="0">
      <alignment horizontal="center"/>
    </xf>
    <xf numFmtId="1" fontId="17" fillId="0" borderId="8" applyAlignment="1" pivotButton="0" quotePrefix="0" xfId="0">
      <alignment horizontal="center"/>
    </xf>
    <xf numFmtId="1" fontId="10" fillId="4" borderId="7" applyAlignment="1" pivotButton="0" quotePrefix="0" xfId="0">
      <alignment horizontal="center"/>
    </xf>
    <xf numFmtId="1" fontId="17" fillId="4" borderId="7" applyAlignment="1" pivotButton="0" quotePrefix="0" xfId="0">
      <alignment horizontal="center"/>
    </xf>
    <xf numFmtId="1" fontId="6" fillId="0" borderId="7" applyAlignment="1" pivotButton="0" quotePrefix="0" xfId="0">
      <alignment horizontal="center"/>
    </xf>
    <xf numFmtId="2" fontId="11" fillId="3" borderId="1" applyAlignment="1" pivotButton="0" quotePrefix="0" xfId="0">
      <alignment horizontal="center" vertical="center" wrapText="1"/>
    </xf>
    <xf numFmtId="2" fontId="11" fillId="3" borderId="1" applyAlignment="1" pivotButton="0" quotePrefix="0" xfId="0">
      <alignment horizontal="center" wrapText="1"/>
    </xf>
    <xf numFmtId="2" fontId="11" fillId="0" borderId="0" applyAlignment="1" pivotButton="0" quotePrefix="0" xfId="0">
      <alignment horizontal="left"/>
    </xf>
    <xf numFmtId="2" fontId="11" fillId="0" borderId="0" pivotButton="0" quotePrefix="0" xfId="0"/>
    <xf numFmtId="2" fontId="15" fillId="0" borderId="0" pivotButton="0" quotePrefix="0" xfId="0"/>
    <xf numFmtId="2" fontId="15" fillId="0" borderId="1" applyAlignment="1" pivotButton="0" quotePrefix="0" xfId="0">
      <alignment wrapText="1"/>
    </xf>
    <xf numFmtId="2" fontId="24" fillId="0" borderId="1" applyAlignment="1" pivotButton="0" quotePrefix="0" xfId="0">
      <alignment wrapText="1"/>
    </xf>
    <xf numFmtId="0" fontId="26" fillId="0" borderId="17" applyAlignment="1" pivotButton="0" quotePrefix="0" xfId="0">
      <alignment wrapText="1"/>
    </xf>
    <xf numFmtId="0" fontId="26" fillId="0" borderId="18" applyAlignment="1" pivotButton="0" quotePrefix="0" xfId="0">
      <alignment wrapText="1"/>
    </xf>
    <xf numFmtId="0" fontId="26" fillId="6" borderId="18" applyAlignment="1" pivotButton="0" quotePrefix="0" xfId="0">
      <alignment wrapText="1"/>
    </xf>
    <xf numFmtId="0" fontId="1" fillId="0" borderId="18" applyAlignment="1" pivotButton="0" quotePrefix="0" xfId="0">
      <alignment wrapText="1"/>
    </xf>
    <xf numFmtId="0" fontId="26" fillId="7" borderId="18" applyAlignment="1" pivotButton="0" quotePrefix="0" xfId="0">
      <alignment wrapText="1"/>
    </xf>
    <xf numFmtId="0" fontId="26" fillId="0" borderId="22" applyAlignment="1" pivotButton="0" quotePrefix="0" xfId="0">
      <alignment wrapText="1"/>
    </xf>
    <xf numFmtId="0" fontId="25" fillId="0" borderId="0" pivotButton="0" quotePrefix="0" xfId="0"/>
    <xf numFmtId="165" fontId="11" fillId="0" borderId="0" applyAlignment="1" pivotButton="0" quotePrefix="0" xfId="0">
      <alignment horizontal="left"/>
    </xf>
    <xf numFmtId="166" fontId="13" fillId="0" borderId="0" applyAlignment="1" pivotButton="0" quotePrefix="0" xfId="0">
      <alignment horizontal="center"/>
    </xf>
    <xf numFmtId="165" fontId="11" fillId="0" borderId="0" pivotButton="0" quotePrefix="0" xfId="0"/>
    <xf numFmtId="166" fontId="14" fillId="0" borderId="0" applyAlignment="1" pivotButton="0" quotePrefix="0" xfId="0">
      <alignment horizontal="center"/>
    </xf>
    <xf numFmtId="165" fontId="15" fillId="0" borderId="0" applyAlignment="1" pivotButton="0" quotePrefix="0" xfId="0">
      <alignment horizontal="left"/>
    </xf>
    <xf numFmtId="165" fontId="15" fillId="0" borderId="0" pivotButton="0" quotePrefix="0" xfId="0"/>
    <xf numFmtId="165" fontId="13" fillId="0" borderId="1" applyAlignment="1" pivotButton="0" quotePrefix="0" xfId="0">
      <alignment vertical="center" wrapText="1"/>
    </xf>
    <xf numFmtId="166" fontId="11" fillId="0" borderId="1" applyAlignment="1" pivotButton="0" quotePrefix="0" xfId="0">
      <alignment vertical="center" wrapText="1"/>
    </xf>
    <xf numFmtId="165" fontId="11" fillId="0" borderId="1" applyAlignment="1" pivotButton="0" quotePrefix="0" xfId="0">
      <alignment vertical="center"/>
    </xf>
    <xf numFmtId="167" fontId="15" fillId="2" borderId="1" applyAlignment="1" pivotButton="0" quotePrefix="0" xfId="0">
      <alignment horizontal="center" vertical="center" wrapText="1"/>
    </xf>
    <xf numFmtId="165" fontId="15" fillId="2" borderId="1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left"/>
    </xf>
    <xf numFmtId="167" fontId="15" fillId="2" borderId="1" applyAlignment="1" pivotButton="0" quotePrefix="0" xfId="0">
      <alignment horizontal="center" wrapText="1"/>
    </xf>
    <xf numFmtId="165" fontId="15" fillId="2" borderId="1" applyAlignment="1" pivotButton="0" quotePrefix="0" xfId="0">
      <alignment horizontal="center"/>
    </xf>
    <xf numFmtId="165" fontId="6" fillId="0" borderId="0" applyAlignment="1" pivotButton="0" quotePrefix="0" xfId="0">
      <alignment horizontal="center"/>
    </xf>
    <xf numFmtId="165" fontId="10" fillId="0" borderId="0" pivotButton="0" quotePrefix="0" xfId="0"/>
    <xf numFmtId="165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tc={b9ccf495-d29a-4601-a9cc-ceca6906acea}</author>
  </authors>
  <commentList>
    <comment ref="B90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Calabas named C
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00"/>
  <sheetViews>
    <sheetView tabSelected="1" workbookViewId="0">
      <pane xSplit="2" ySplit="8" topLeftCell="C2299" activePane="bottomRight" state="frozen"/>
      <selection pane="topRight" activeCell="C1" sqref="C1"/>
      <selection pane="bottomLeft" activeCell="A9" sqref="A9"/>
      <selection pane="bottomRight" activeCell="B2304" sqref="B2304"/>
    </sheetView>
  </sheetViews>
  <sheetFormatPr baseColWidth="8" defaultColWidth="14.44140625" defaultRowHeight="15" customHeight="1"/>
  <cols>
    <col width="8.88671875" customWidth="1" min="1" max="1"/>
    <col width="39.88671875" customWidth="1" min="2" max="3"/>
    <col width="29.33203125" customWidth="1" min="4" max="4"/>
    <col width="13.6640625" customWidth="1" min="5" max="5"/>
    <col width="29.5546875" customWidth="1" min="6" max="7"/>
    <col width="21.6640625" customWidth="1" min="8" max="8"/>
    <col width="6.33203125" bestFit="1" customWidth="1" min="9" max="9"/>
    <col width="45.44140625" customWidth="1" min="10" max="10"/>
    <col width="11.77734375" bestFit="1" customWidth="1" min="11" max="11"/>
    <col width="10.6640625" customWidth="1" min="12" max="12"/>
    <col width="12.88671875" customWidth="1" style="188" min="13" max="13"/>
    <col width="12.88671875" customWidth="1" min="14" max="15"/>
    <col width="21.44140625" bestFit="1" customWidth="1" min="16" max="16"/>
    <col width="12.88671875" customWidth="1" min="17" max="17"/>
    <col width="22.88671875" bestFit="1" customWidth="1" min="18" max="18"/>
    <col width="14.33203125" customWidth="1" min="19" max="19"/>
    <col width="13.6640625" customWidth="1" min="20" max="20"/>
    <col width="15.6640625" customWidth="1" style="188" min="21" max="21"/>
    <col outlineLevel="1" width="11.33203125" customWidth="1" min="22" max="22"/>
    <col width="10.44140625" customWidth="1" min="23" max="23"/>
    <col width="12.6640625" customWidth="1" min="24" max="24"/>
  </cols>
  <sheetData>
    <row r="1" hidden="1" ht="18" customHeight="1">
      <c r="A1" s="43" t="inlineStr">
        <is>
          <t>For Retail / Manufacturing Industry</t>
        </is>
      </c>
      <c r="B1" s="44" t="n"/>
      <c r="C1" s="44" t="n"/>
      <c r="D1" s="44" t="n"/>
      <c r="E1" s="44" t="n"/>
      <c r="F1" s="44" t="n"/>
      <c r="G1" s="44" t="n"/>
      <c r="H1" s="45" t="n"/>
      <c r="I1" s="45" t="n"/>
      <c r="J1" s="49" t="n"/>
      <c r="K1" s="45" t="n"/>
      <c r="L1" s="220" t="n"/>
      <c r="M1" s="45" t="n"/>
      <c r="N1" s="47" t="n"/>
      <c r="O1" s="47" t="n"/>
      <c r="P1" s="47" t="n"/>
      <c r="Q1" s="47" t="n"/>
      <c r="R1" s="45" t="n"/>
      <c r="S1" s="221" t="n"/>
      <c r="T1" s="220" t="n"/>
      <c r="U1" s="208" t="n"/>
      <c r="V1" s="49" t="n"/>
      <c r="W1" s="49" t="n"/>
      <c r="X1" s="49" t="n"/>
    </row>
    <row r="2" hidden="1" ht="22.5" customHeight="1">
      <c r="A2" s="45" t="n"/>
      <c r="B2" s="50" t="n"/>
      <c r="C2" s="50" t="n"/>
      <c r="D2" s="50" t="n"/>
      <c r="E2" s="50" t="n"/>
      <c r="F2" s="50" t="n"/>
      <c r="G2" s="50" t="n"/>
      <c r="H2" s="45" t="n"/>
      <c r="I2" s="45" t="n"/>
      <c r="J2" s="49" t="n"/>
      <c r="K2" s="45" t="n"/>
      <c r="L2" s="222" t="n"/>
      <c r="M2" s="45" t="n"/>
      <c r="N2" s="47" t="n"/>
      <c r="O2" s="47" t="n"/>
      <c r="P2" s="47" t="n"/>
      <c r="Q2" s="47" t="n"/>
      <c r="R2" s="45" t="n"/>
      <c r="S2" s="223" t="inlineStr">
        <is>
          <t>ANNEX A</t>
        </is>
      </c>
      <c r="T2" s="224" t="n"/>
      <c r="U2" s="209" t="n"/>
      <c r="V2" s="34" t="n"/>
      <c r="W2" s="34" t="n"/>
      <c r="X2" s="34" t="n"/>
    </row>
    <row r="3" ht="15.6" customHeight="1">
      <c r="A3" s="54" t="inlineStr">
        <is>
          <t>LETTERED L FOOD SERVICES, INC.</t>
        </is>
      </c>
      <c r="B3" s="54" t="n"/>
      <c r="C3" s="54" t="n"/>
      <c r="D3" s="54" t="n"/>
      <c r="E3" s="54" t="n"/>
      <c r="F3" s="54" t="n"/>
      <c r="G3" s="54" t="n"/>
      <c r="H3" s="54" t="n"/>
      <c r="I3" s="54" t="n"/>
      <c r="J3" s="112" t="n"/>
      <c r="K3" s="54" t="n"/>
      <c r="L3" s="54" t="n"/>
      <c r="M3" s="54" t="n"/>
      <c r="N3" s="54" t="n"/>
      <c r="O3" s="54" t="n"/>
      <c r="P3" s="54" t="n"/>
      <c r="Q3" s="54" t="n"/>
      <c r="R3" s="54" t="n"/>
      <c r="S3" s="54" t="n"/>
      <c r="T3" s="225" t="n"/>
      <c r="U3" s="210" t="n"/>
      <c r="V3" s="34" t="inlineStr">
        <is>
          <t>Inventory</t>
        </is>
      </c>
      <c r="W3" s="34" t="n"/>
      <c r="X3" s="34" t="n"/>
    </row>
    <row r="4" ht="15.6" customHeight="1">
      <c r="A4" s="54" t="inlineStr">
        <is>
          <t>MERCHANDISE/ RAW MATERIALS / GOODS IN PROCESS / FINISHED GOODS INVENTORY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  <c r="J4" s="112" t="n"/>
      <c r="K4" s="54" t="n"/>
      <c r="L4" s="54" t="n"/>
      <c r="M4" s="54" t="n"/>
      <c r="N4" s="54" t="n"/>
      <c r="O4" s="54" t="n"/>
      <c r="P4" s="54" t="n"/>
      <c r="Q4" s="54" t="n"/>
      <c r="R4" s="54" t="n"/>
      <c r="S4" s="54" t="n"/>
      <c r="T4" s="225" t="n"/>
      <c r="U4" s="210" t="n"/>
      <c r="V4" s="34" t="n"/>
      <c r="W4" s="34" t="n"/>
      <c r="X4" s="34" t="n"/>
    </row>
    <row r="5" ht="15.6" customHeight="1">
      <c r="A5" s="50" t="inlineStr">
        <is>
          <t>As of December 31, 2025</t>
        </is>
      </c>
      <c r="B5" s="50" t="n"/>
      <c r="C5" s="50" t="n"/>
      <c r="D5" s="50" t="n"/>
      <c r="E5" s="50" t="n"/>
      <c r="F5" s="50" t="n"/>
      <c r="G5" s="50" t="n"/>
      <c r="H5" s="50" t="n"/>
      <c r="I5" s="50" t="n"/>
      <c r="J5" s="49" t="n">
        <v>9</v>
      </c>
      <c r="K5" s="50" t="n"/>
      <c r="L5" s="50" t="n"/>
      <c r="M5" s="50" t="n">
        <v>12</v>
      </c>
      <c r="N5" s="50" t="n"/>
      <c r="O5" s="50" t="n">
        <v>14</v>
      </c>
      <c r="P5" s="50" t="n">
        <v>15</v>
      </c>
      <c r="Q5" s="50" t="n">
        <v>16</v>
      </c>
      <c r="R5" s="50" t="n">
        <v>17</v>
      </c>
      <c r="S5" s="50" t="n">
        <v>18</v>
      </c>
      <c r="T5" s="50" t="n">
        <v>19</v>
      </c>
      <c r="U5" s="209" t="n">
        <v>20</v>
      </c>
      <c r="V5" s="34" t="inlineStr">
        <is>
          <t>?</t>
        </is>
      </c>
      <c r="W5" s="34" t="n"/>
      <c r="X5" s="34" t="n"/>
    </row>
    <row r="6" ht="78" customHeight="1">
      <c r="A6" s="56" t="inlineStr">
        <is>
          <t>PRODUCT / INVENTORY CODE</t>
        </is>
      </c>
      <c r="B6" s="56" t="inlineStr">
        <is>
          <t>ITEM DESCRIPTION</t>
        </is>
      </c>
      <c r="C6" s="56" t="n"/>
      <c r="D6" s="56" t="n"/>
      <c r="E6" s="56" t="n"/>
      <c r="F6" s="56" t="n"/>
      <c r="G6" s="56" t="n"/>
      <c r="H6" s="56" t="inlineStr">
        <is>
          <t>LOCATION (Note 1)</t>
        </is>
      </c>
      <c r="I6" s="56" t="n"/>
      <c r="J6" s="113" t="n"/>
      <c r="K6" s="56" t="inlineStr">
        <is>
          <t>INVENTORY VALUATION METHOD</t>
        </is>
      </c>
      <c r="L6" s="226" t="inlineStr">
        <is>
          <t>UNIT PRICE</t>
        </is>
      </c>
      <c r="M6" s="56" t="inlineStr">
        <is>
          <t>QUANTITY IN STOCKS</t>
        </is>
      </c>
      <c r="N6" s="58" t="inlineStr">
        <is>
          <t>weight / volume</t>
        </is>
      </c>
      <c r="O6" s="58" t="n"/>
      <c r="P6" s="58" t="inlineStr">
        <is>
          <t>Unit of Measure</t>
        </is>
      </c>
      <c r="Q6" s="59" t="n"/>
      <c r="R6" s="60" t="inlineStr">
        <is>
          <t>UNIT OF MEASUREMENT</t>
        </is>
      </c>
      <c r="S6" s="227" t="inlineStr">
        <is>
          <t>TOTAL WEIGHT / VOLUME</t>
        </is>
      </c>
      <c r="T6" s="228" t="inlineStr">
        <is>
          <t>TOTAL WEIGHT / VOLUME</t>
        </is>
      </c>
      <c r="U6" s="211" t="inlineStr">
        <is>
          <t>TOTAL COST</t>
        </is>
      </c>
      <c r="V6" s="63" t="n"/>
      <c r="W6" s="64" t="n"/>
      <c r="X6" s="64" t="n"/>
    </row>
    <row r="7" ht="12.75" customHeight="1" thickBot="1">
      <c r="A7" s="56" t="n"/>
      <c r="B7" s="56" t="n"/>
      <c r="C7" s="56" t="n"/>
      <c r="D7" s="56" t="n"/>
      <c r="E7" s="56" t="n"/>
      <c r="F7" s="56" t="n"/>
      <c r="G7" s="56" t="n"/>
      <c r="H7" s="56" t="inlineStr">
        <is>
          <t>ADDRESS</t>
        </is>
      </c>
      <c r="I7" s="56" t="inlineStr">
        <is>
          <t>CODE</t>
        </is>
      </c>
      <c r="J7" s="113" t="inlineStr">
        <is>
          <t>REMARKS</t>
        </is>
      </c>
      <c r="K7" s="56" t="n"/>
      <c r="L7" s="226" t="n"/>
      <c r="M7" s="56" t="n"/>
      <c r="N7" s="65" t="n"/>
      <c r="O7" s="65" t="n"/>
      <c r="P7" s="65" t="n"/>
      <c r="Q7" s="66" t="n"/>
      <c r="R7" s="60" t="n"/>
      <c r="S7" s="227" t="n"/>
      <c r="T7" s="228" t="n"/>
      <c r="U7" s="211">
        <f>SUM(U9:U565)</f>
        <v/>
      </c>
      <c r="V7" s="64" t="n"/>
      <c r="W7" s="64" t="n"/>
      <c r="X7" s="64" t="n"/>
    </row>
    <row r="8" ht="31.8" customHeight="1" thickBot="1">
      <c r="A8" s="182" t="n"/>
      <c r="B8" s="56" t="inlineStr">
        <is>
          <t>item</t>
        </is>
      </c>
      <c r="C8" s="56" t="inlineStr">
        <is>
          <t>correction</t>
        </is>
      </c>
      <c r="D8" s="56" t="inlineStr">
        <is>
          <t>brand</t>
        </is>
      </c>
      <c r="E8" s="56" t="inlineStr">
        <is>
          <t>uom</t>
        </is>
      </c>
      <c r="F8" s="56" t="inlineStr">
        <is>
          <t>weight/vol</t>
        </is>
      </c>
      <c r="G8" s="56" t="n"/>
      <c r="H8" s="56" t="inlineStr">
        <is>
          <t>outlet</t>
        </is>
      </c>
      <c r="I8" s="56" t="n"/>
      <c r="J8" s="113" t="inlineStr">
        <is>
          <t>remarks</t>
        </is>
      </c>
      <c r="K8" s="68" t="inlineStr">
        <is>
          <t>(Note 2)</t>
        </is>
      </c>
      <c r="L8" s="226" t="inlineStr">
        <is>
          <t>UNIT PRICE</t>
        </is>
      </c>
      <c r="M8" s="56" t="inlineStr">
        <is>
          <t>quantity</t>
        </is>
      </c>
      <c r="N8" s="69" t="inlineStr">
        <is>
          <t>weight/volume</t>
        </is>
      </c>
      <c r="O8" s="65" t="inlineStr">
        <is>
          <t>corrected UOM</t>
        </is>
      </c>
      <c r="P8" s="58" t="inlineStr">
        <is>
          <t>Unit of Measure</t>
        </is>
      </c>
      <c r="Q8" s="70" t="n"/>
      <c r="R8" s="67" t="inlineStr">
        <is>
          <t>e.g., kilos, grams, liters, etc.)</t>
        </is>
      </c>
      <c r="S8" s="227" t="n"/>
      <c r="T8" s="228" t="n"/>
      <c r="U8" s="212" t="inlineStr">
        <is>
          <t>price total</t>
        </is>
      </c>
      <c r="V8" s="71" t="inlineStr">
        <is>
          <t>Checking</t>
        </is>
      </c>
      <c r="W8" s="71" t="n"/>
      <c r="X8" s="71" t="n"/>
    </row>
    <row r="9" ht="15" customHeight="1" thickBot="1">
      <c r="A9" s="183">
        <f t="array" ref="A9:A4000">IF(B9:B4000&lt;&gt;"",MATCH(B9:B4000,_xlfn.UNIQUE(B9:B4000),0),"")</f>
        <v/>
      </c>
      <c r="B9" s="114" t="inlineStr">
        <is>
          <t>555 Fried Sardines Hot &amp; Spicy</t>
        </is>
      </c>
      <c r="C9" s="114" t="n"/>
      <c r="D9" s="115" t="n">
        <v>555</v>
      </c>
      <c r="E9" s="114" t="inlineStr">
        <is>
          <t>grams</t>
        </is>
      </c>
      <c r="F9" s="114" t="n">
        <v>155</v>
      </c>
      <c r="G9" s="114" t="n"/>
      <c r="H9" s="11" t="inlineStr">
        <is>
          <t>CIP</t>
        </is>
      </c>
      <c r="I9" s="95" t="n"/>
      <c r="J9" s="93" t="inlineStr">
        <is>
          <t>555/can/155grams</t>
        </is>
      </c>
      <c r="K9" s="116" t="n"/>
      <c r="L9" s="90" t="n">
        <v>32.3</v>
      </c>
      <c r="M9" s="189" t="n">
        <v>117</v>
      </c>
      <c r="N9" s="13" t="n">
        <v>1</v>
      </c>
      <c r="O9" s="13">
        <f>E9</f>
        <v/>
      </c>
      <c r="P9" s="105" t="inlineStr">
        <is>
          <t>pieces</t>
        </is>
      </c>
      <c r="Q9" s="20" t="n"/>
      <c r="R9" s="5" t="n"/>
      <c r="S9" s="229">
        <f>M9*N9</f>
        <v/>
      </c>
      <c r="T9" s="230">
        <f>CONCATENATE(S9,Q9,P9)</f>
        <v/>
      </c>
      <c r="U9" s="206">
        <f>L9*M9</f>
        <v/>
      </c>
      <c r="V9" s="219" t="inlineStr">
        <is>
          <t>gemson</t>
        </is>
      </c>
      <c r="W9" s="118">
        <f t="array" ref="W9:W17">_xludf.UNIQUE(P9:P667)</f>
        <v/>
      </c>
      <c r="X9" s="4" t="n"/>
    </row>
    <row r="10" ht="15" customHeight="1" thickBot="1">
      <c r="A10" s="183" t="n">
        <v>2</v>
      </c>
      <c r="B10" s="115" t="inlineStr">
        <is>
          <t>Aji Panda Seasoning</t>
        </is>
      </c>
      <c r="C10" s="115" t="n"/>
      <c r="D10" s="115" t="inlineStr">
        <is>
          <t>Ajinomoto</t>
        </is>
      </c>
      <c r="E10" s="115" t="inlineStr">
        <is>
          <t>grams</t>
        </is>
      </c>
      <c r="F10" s="115" t="n">
        <v>500</v>
      </c>
      <c r="G10" s="115" t="n"/>
      <c r="H10" s="11" t="inlineStr">
        <is>
          <t>CIP</t>
        </is>
      </c>
      <c r="I10" s="95" t="n"/>
      <c r="J10" s="93" t="inlineStr">
        <is>
          <t>Ajinomoto/pack/500grams</t>
        </is>
      </c>
      <c r="K10" s="116" t="n"/>
      <c r="L10" s="90" t="n">
        <v>160</v>
      </c>
      <c r="M10" s="189" t="n">
        <v>3.6</v>
      </c>
      <c r="N10" s="13" t="n">
        <v>1</v>
      </c>
      <c r="O10" s="13">
        <f>E10</f>
        <v/>
      </c>
      <c r="P10" s="13" t="inlineStr">
        <is>
          <t>grams</t>
        </is>
      </c>
      <c r="Q10" s="20" t="n"/>
      <c r="R10" s="5" t="n"/>
      <c r="S10" s="229">
        <f>M10*N10</f>
        <v/>
      </c>
      <c r="T10" s="230">
        <f>CONCATENATE(S10,Q10,P10)</f>
        <v/>
      </c>
      <c r="U10" s="206">
        <f>L10*M10</f>
        <v/>
      </c>
      <c r="V10" s="4" t="n"/>
      <c r="W10" s="3">
        <f/>
        <v/>
      </c>
      <c r="X10" s="4" t="n"/>
    </row>
    <row r="11" ht="15" customHeight="1" thickBot="1">
      <c r="A11" s="183" t="n">
        <v>3</v>
      </c>
      <c r="B11" s="115" t="inlineStr">
        <is>
          <t>Alamang</t>
        </is>
      </c>
      <c r="C11" s="115" t="n"/>
      <c r="D11" s="115">
        <f>IFERROR(__xludf.DUMMYFUNCTION("IF(J11="""",""n/a"",IFERROR(SPLIT(J11,""/"")))"),"n/a")</f>
        <v/>
      </c>
      <c r="E11" s="115" t="n"/>
      <c r="F11" s="115" t="n"/>
      <c r="G11" s="115" t="n"/>
      <c r="H11" s="11" t="inlineStr">
        <is>
          <t>Annex</t>
        </is>
      </c>
      <c r="I11" s="6" t="n"/>
      <c r="J11" s="19" t="n"/>
      <c r="K11" s="6" t="n"/>
      <c r="L11" s="22" t="n">
        <v>0.055</v>
      </c>
      <c r="M11" s="190" t="n">
        <v>2000</v>
      </c>
      <c r="N11" s="17" t="n">
        <v>1000</v>
      </c>
      <c r="O11" s="13">
        <f>E11</f>
        <v/>
      </c>
      <c r="P11" s="9" t="inlineStr">
        <is>
          <t>grams</t>
        </is>
      </c>
      <c r="Q11" s="13" t="n"/>
      <c r="R11" s="78">
        <f>CONCATENATE(N11,P11)</f>
        <v/>
      </c>
      <c r="S11" s="229">
        <f>M11*N11</f>
        <v/>
      </c>
      <c r="T11" s="230">
        <f>CONCATENATE(S11,Q11,P11)</f>
        <v/>
      </c>
      <c r="U11" s="206">
        <f>L11*M11</f>
        <v/>
      </c>
      <c r="V11" s="34" t="n"/>
      <c r="W11" s="3">
        <f/>
        <v/>
      </c>
      <c r="X11" s="34" t="n"/>
    </row>
    <row r="12" ht="15" customHeight="1" thickBot="1">
      <c r="A12" s="183" t="n">
        <v>3</v>
      </c>
      <c r="B12" s="115" t="inlineStr">
        <is>
          <t>Alamang</t>
        </is>
      </c>
      <c r="C12" s="115" t="n"/>
      <c r="D12" s="115">
        <f>IFERROR(__xludf.DUMMYFUNCTION("IF(J12="""",""n/a"",IFERROR(SPLIT(J12,""/"")))"),"n/a")</f>
        <v/>
      </c>
      <c r="E12" s="115" t="n"/>
      <c r="F12" s="115" t="n"/>
      <c r="G12" s="115" t="n"/>
      <c r="H12" s="11" t="inlineStr">
        <is>
          <t>CIP</t>
        </is>
      </c>
      <c r="I12" s="95" t="n"/>
      <c r="J12" s="93" t="n"/>
      <c r="K12" s="116" t="n"/>
      <c r="L12" s="90" t="n">
        <v>45</v>
      </c>
      <c r="M12" s="189" t="n">
        <v>12</v>
      </c>
      <c r="N12" s="13" t="n">
        <v>1</v>
      </c>
      <c r="O12" s="13">
        <f>E12</f>
        <v/>
      </c>
      <c r="P12" s="13" t="inlineStr">
        <is>
          <t>grams</t>
        </is>
      </c>
      <c r="Q12" s="20" t="n"/>
      <c r="R12" s="5" t="n"/>
      <c r="S12" s="229">
        <f>M12*N12</f>
        <v/>
      </c>
      <c r="T12" s="230">
        <f>CONCATENATE(S12,Q12,P12)</f>
        <v/>
      </c>
      <c r="U12" s="206">
        <f>L12*M12</f>
        <v/>
      </c>
      <c r="V12" s="4" t="n"/>
      <c r="W12" s="3">
        <f/>
        <v/>
      </c>
      <c r="X12" s="4" t="n"/>
    </row>
    <row r="13" ht="15" customHeight="1" thickBot="1">
      <c r="A13" s="183" t="n">
        <v>4</v>
      </c>
      <c r="B13" s="115" t="inlineStr">
        <is>
          <t>Alaska Powder</t>
        </is>
      </c>
      <c r="C13" s="115" t="n"/>
      <c r="D13" s="115" t="inlineStr">
        <is>
          <t>Alaska</t>
        </is>
      </c>
      <c r="E13" s="115" t="inlineStr">
        <is>
          <t>grams</t>
        </is>
      </c>
      <c r="F13" s="115" t="n">
        <v>33</v>
      </c>
      <c r="G13" s="115" t="n"/>
      <c r="H13" s="11" t="inlineStr">
        <is>
          <t>Annex</t>
        </is>
      </c>
      <c r="I13" s="6" t="n"/>
      <c r="J13" s="19" t="inlineStr">
        <is>
          <t>Alaska/pack (sachetx33grams)</t>
        </is>
      </c>
      <c r="K13" s="6" t="n"/>
      <c r="L13" s="14" t="n">
        <v>8.279999999999999</v>
      </c>
      <c r="M13" s="190" t="n">
        <v>180</v>
      </c>
      <c r="N13" s="17" t="n">
        <v>1</v>
      </c>
      <c r="O13" s="13">
        <f>E13</f>
        <v/>
      </c>
      <c r="P13" s="9" t="inlineStr">
        <is>
          <t>pieces</t>
        </is>
      </c>
      <c r="Q13" s="13" t="n"/>
      <c r="R13" s="78">
        <f>CONCATENATE(N13,P13)</f>
        <v/>
      </c>
      <c r="S13" s="229">
        <f>M13*N13</f>
        <v/>
      </c>
      <c r="T13" s="230">
        <f>CONCATENATE(S13,Q13,P13)</f>
        <v/>
      </c>
      <c r="U13" s="206">
        <f>L13*M13</f>
        <v/>
      </c>
      <c r="V13" s="231" t="n"/>
      <c r="W13" s="232">
        <f/>
        <v/>
      </c>
      <c r="X13" s="71" t="n"/>
    </row>
    <row r="14" ht="15" customHeight="1" thickBot="1">
      <c r="A14" s="183" t="n">
        <v>4</v>
      </c>
      <c r="B14" s="114" t="inlineStr">
        <is>
          <t>Alaska Powder</t>
        </is>
      </c>
      <c r="C14" s="114" t="n"/>
      <c r="D14" s="115" t="inlineStr">
        <is>
          <t>Alaska</t>
        </is>
      </c>
      <c r="E14" s="114" t="inlineStr">
        <is>
          <t>grams</t>
        </is>
      </c>
      <c r="F14" s="114" t="n">
        <v>33</v>
      </c>
      <c r="G14" s="114" t="n"/>
      <c r="H14" s="11" t="inlineStr">
        <is>
          <t>CIP</t>
        </is>
      </c>
      <c r="I14" s="95" t="n"/>
      <c r="J14" s="93" t="inlineStr">
        <is>
          <t>Alaska/pack (sachetx33grams)</t>
        </is>
      </c>
      <c r="K14" s="5" t="n"/>
      <c r="L14" s="90" t="n">
        <v>8.279999999999999</v>
      </c>
      <c r="M14" s="189" t="n">
        <v>141</v>
      </c>
      <c r="N14" s="13" t="n">
        <v>1</v>
      </c>
      <c r="O14" s="13">
        <f>E14</f>
        <v/>
      </c>
      <c r="P14" s="13" t="inlineStr">
        <is>
          <t>pieces</t>
        </is>
      </c>
      <c r="Q14" s="20" t="n"/>
      <c r="R14" s="5" t="n"/>
      <c r="S14" s="229">
        <f>M14*N14</f>
        <v/>
      </c>
      <c r="T14" s="230">
        <f>CONCATENATE(S14,Q14,P14)</f>
        <v/>
      </c>
      <c r="U14" s="206">
        <f>L14*M14</f>
        <v/>
      </c>
      <c r="V14" s="4" t="n"/>
      <c r="W14" s="3">
        <f/>
        <v/>
      </c>
      <c r="X14" s="4" t="n"/>
    </row>
    <row r="15" ht="15" customHeight="1" thickBot="1">
      <c r="A15" s="183" t="n">
        <v>4</v>
      </c>
      <c r="B15" s="114" t="inlineStr">
        <is>
          <t>Alaska Powder</t>
        </is>
      </c>
      <c r="C15" s="114" t="n"/>
      <c r="D15" s="115">
        <f>IFERROR(__xludf.DUMMYFUNCTION("IF(J15="""",""n/a"",IFERROR(SPLIT(J15,""/"")))"),"n/a")</f>
        <v/>
      </c>
      <c r="E15" s="114" t="n"/>
      <c r="F15" s="114" t="n"/>
      <c r="G15" s="114" t="n"/>
      <c r="H15" s="84" t="inlineStr">
        <is>
          <t>F1</t>
        </is>
      </c>
      <c r="I15" s="7" t="n"/>
      <c r="J15" s="19" t="n"/>
      <c r="K15" s="7" t="n"/>
      <c r="L15" s="12" t="n">
        <v>9.199999999999999</v>
      </c>
      <c r="M15" s="191" t="n">
        <v>157</v>
      </c>
      <c r="N15" s="85" t="n">
        <v>1</v>
      </c>
      <c r="O15" s="13">
        <f>E15</f>
        <v/>
      </c>
      <c r="P15" s="23" t="inlineStr">
        <is>
          <t>pieces</t>
        </is>
      </c>
      <c r="Q15" s="20" t="n"/>
      <c r="R15" s="5" t="n"/>
      <c r="S15" s="229">
        <f>M15*N15</f>
        <v/>
      </c>
      <c r="T15" s="230">
        <f>CONCATENATE(S15,Q15,P15)</f>
        <v/>
      </c>
      <c r="U15" s="206">
        <f>L15*M15</f>
        <v/>
      </c>
      <c r="V15" s="4" t="n"/>
      <c r="W15" s="3">
        <f/>
        <v/>
      </c>
      <c r="X15" s="4" t="n"/>
    </row>
    <row r="16" ht="15" customHeight="1" thickBot="1">
      <c r="A16" s="183" t="n">
        <v>5</v>
      </c>
      <c r="B16" s="115" t="inlineStr">
        <is>
          <t>All Purpose Cream</t>
        </is>
      </c>
      <c r="C16" s="115" t="inlineStr">
        <is>
          <t>All Purpose Ceam</t>
        </is>
      </c>
      <c r="D16" s="115" t="inlineStr">
        <is>
          <t>Jersey</t>
        </is>
      </c>
      <c r="E16" s="115" t="inlineStr">
        <is>
          <t>grams</t>
        </is>
      </c>
      <c r="F16" s="115" t="n">
        <v>250</v>
      </c>
      <c r="G16" s="115" t="n"/>
      <c r="H16" s="11" t="inlineStr">
        <is>
          <t>Annex</t>
        </is>
      </c>
      <c r="I16" s="6" t="n"/>
      <c r="J16" s="19" t="inlineStr">
        <is>
          <t>Jersey/can/250grams</t>
        </is>
      </c>
      <c r="K16" s="6" t="n"/>
      <c r="L16" s="8" t="n">
        <v>0.2384</v>
      </c>
      <c r="M16" s="190" t="n">
        <v>11500</v>
      </c>
      <c r="N16" s="22" t="n">
        <v>250</v>
      </c>
      <c r="O16" s="13">
        <f>E16</f>
        <v/>
      </c>
      <c r="P16" s="12" t="inlineStr">
        <is>
          <t>grams</t>
        </is>
      </c>
      <c r="Q16" s="9" t="n"/>
      <c r="R16" s="74">
        <f>CONCATENATE(N16,P16)</f>
        <v/>
      </c>
      <c r="S16" s="233">
        <f>M16*N16</f>
        <v/>
      </c>
      <c r="T16" s="234">
        <f>CONCATENATE(S16,Q16,P16)</f>
        <v/>
      </c>
      <c r="U16" s="207">
        <f>L16*M16</f>
        <v/>
      </c>
      <c r="V16" s="235" t="n"/>
      <c r="W16" s="232">
        <f/>
        <v/>
      </c>
      <c r="X16" s="71" t="n"/>
    </row>
    <row r="17" ht="15" customHeight="1" thickBot="1">
      <c r="A17" s="183" t="n">
        <v>5</v>
      </c>
      <c r="B17" s="115" t="inlineStr">
        <is>
          <t>All Purpose Cream</t>
        </is>
      </c>
      <c r="C17" s="115" t="n"/>
      <c r="D17" s="115" t="inlineStr">
        <is>
          <t>Alaska</t>
        </is>
      </c>
      <c r="E17" s="115" t="inlineStr">
        <is>
          <t>ml</t>
        </is>
      </c>
      <c r="F17" s="115" t="n">
        <v>250</v>
      </c>
      <c r="G17" s="115" t="n"/>
      <c r="H17" s="11" t="inlineStr">
        <is>
          <t>CIP</t>
        </is>
      </c>
      <c r="I17" s="6" t="n"/>
      <c r="J17" s="19" t="inlineStr">
        <is>
          <t>Alaska</t>
        </is>
      </c>
      <c r="K17" s="5" t="n"/>
      <c r="L17" s="90" t="n">
        <v>61.32</v>
      </c>
      <c r="M17" s="189" t="n">
        <v>30</v>
      </c>
      <c r="N17" s="13" t="n">
        <v>250</v>
      </c>
      <c r="O17" s="13">
        <f>E17</f>
        <v/>
      </c>
      <c r="P17" s="13" t="inlineStr">
        <is>
          <t>ml</t>
        </is>
      </c>
      <c r="Q17" s="20" t="n"/>
      <c r="R17" s="5" t="n"/>
      <c r="S17" s="229">
        <f>M17*N17</f>
        <v/>
      </c>
      <c r="T17" s="230">
        <f>CONCATENATE(S17,Q17,P17)</f>
        <v/>
      </c>
      <c r="U17" s="206">
        <f>L17*M17</f>
        <v/>
      </c>
      <c r="V17" s="4" t="n"/>
      <c r="W17" s="3">
        <f/>
        <v/>
      </c>
      <c r="X17" s="4" t="n"/>
    </row>
    <row r="18" ht="15" customHeight="1" thickBot="1">
      <c r="A18" s="183" t="n">
        <v>5</v>
      </c>
      <c r="B18" s="114" t="inlineStr">
        <is>
          <t>All Purpose Cream</t>
        </is>
      </c>
      <c r="C18" s="114" t="n"/>
      <c r="D18" s="115" t="inlineStr">
        <is>
          <t>Angel</t>
        </is>
      </c>
      <c r="E18" s="114" t="inlineStr">
        <is>
          <t>ml</t>
        </is>
      </c>
      <c r="F18" s="114" t="n">
        <v>250</v>
      </c>
      <c r="G18" s="114" t="n"/>
      <c r="H18" s="11" t="inlineStr">
        <is>
          <t>CIP</t>
        </is>
      </c>
      <c r="I18" s="95" t="n"/>
      <c r="J18" s="93" t="inlineStr">
        <is>
          <t>Angel</t>
        </is>
      </c>
      <c r="K18" s="5" t="n"/>
      <c r="L18" s="90" t="n">
        <v>46.58</v>
      </c>
      <c r="M18" s="189" t="n">
        <v>22</v>
      </c>
      <c r="N18" s="13" t="n">
        <v>250</v>
      </c>
      <c r="O18" s="13">
        <f>E18</f>
        <v/>
      </c>
      <c r="P18" s="13" t="inlineStr">
        <is>
          <t>ml</t>
        </is>
      </c>
      <c r="Q18" s="20" t="n"/>
      <c r="R18" s="5" t="n"/>
      <c r="S18" s="229">
        <f>M18*N18</f>
        <v/>
      </c>
      <c r="T18" s="230">
        <f>CONCATENATE(S18,Q18,P18)</f>
        <v/>
      </c>
      <c r="U18" s="206">
        <f>L18*M18</f>
        <v/>
      </c>
      <c r="V18" s="4" t="n"/>
      <c r="W18" s="3" t="n"/>
      <c r="X18" s="4" t="n"/>
    </row>
    <row r="19" ht="15" customHeight="1" thickBot="1">
      <c r="A19" s="183" t="n">
        <v>5</v>
      </c>
      <c r="B19" s="114" t="inlineStr">
        <is>
          <t>All Purpose Cream</t>
        </is>
      </c>
      <c r="C19" s="114" t="inlineStr">
        <is>
          <t>All Purpose Creama</t>
        </is>
      </c>
      <c r="D19" s="115" t="inlineStr">
        <is>
          <t>Alaska</t>
        </is>
      </c>
      <c r="E19" s="114" t="inlineStr">
        <is>
          <t>ml</t>
        </is>
      </c>
      <c r="F19" s="114" t="n">
        <v>250</v>
      </c>
      <c r="G19" s="114" t="n"/>
      <c r="H19" s="84" t="inlineStr">
        <is>
          <t>F1</t>
        </is>
      </c>
      <c r="I19" s="7" t="n"/>
      <c r="J19" s="19" t="inlineStr">
        <is>
          <t>Alaska/tetrapack(48x250ml)</t>
        </is>
      </c>
      <c r="K19" s="7" t="n"/>
      <c r="L19" s="12" t="n">
        <v>0.24528</v>
      </c>
      <c r="M19" s="192" t="n">
        <v>6500</v>
      </c>
      <c r="N19" s="85" t="n">
        <v>250</v>
      </c>
      <c r="O19" s="13">
        <f>E19</f>
        <v/>
      </c>
      <c r="P19" s="9" t="inlineStr">
        <is>
          <t>ml</t>
        </is>
      </c>
      <c r="Q19" s="20" t="n"/>
      <c r="R19" s="5" t="n"/>
      <c r="S19" s="229">
        <f>M19*N19</f>
        <v/>
      </c>
      <c r="T19" s="230">
        <f>CONCATENATE(S19,Q19,P19)</f>
        <v/>
      </c>
      <c r="U19" s="206">
        <f>L19*M19</f>
        <v/>
      </c>
      <c r="V19" s="4" t="n"/>
      <c r="W19" s="3" t="n"/>
      <c r="X19" s="4" t="n"/>
    </row>
    <row r="20" ht="15" customHeight="1" thickBot="1">
      <c r="A20" s="183" t="n">
        <v>6</v>
      </c>
      <c r="B20" s="114" t="inlineStr">
        <is>
          <t>All Purpose Dressing</t>
        </is>
      </c>
      <c r="C20" s="114" t="n"/>
      <c r="D20" s="115" t="inlineStr">
        <is>
          <t>Best Foods</t>
        </is>
      </c>
      <c r="E20" s="114" t="inlineStr">
        <is>
          <t>ml</t>
        </is>
      </c>
      <c r="F20" s="114" t="n">
        <v>3500</v>
      </c>
      <c r="G20" s="114" t="n"/>
      <c r="H20" s="11" t="inlineStr">
        <is>
          <t>CIP</t>
        </is>
      </c>
      <c r="I20" s="95" t="n"/>
      <c r="J20" s="19" t="inlineStr">
        <is>
          <t>Best Foods/gallon/3500ml</t>
        </is>
      </c>
      <c r="K20" s="116" t="n"/>
      <c r="L20" s="90" t="n">
        <v>412.28</v>
      </c>
      <c r="M20" s="189" t="n">
        <v>8</v>
      </c>
      <c r="N20" s="13" t="n">
        <v>1</v>
      </c>
      <c r="O20" s="13">
        <f>E20</f>
        <v/>
      </c>
      <c r="P20" s="13" t="inlineStr">
        <is>
          <t>gal</t>
        </is>
      </c>
      <c r="Q20" s="20" t="n"/>
      <c r="R20" s="5" t="n"/>
      <c r="S20" s="229">
        <f>M20*N20</f>
        <v/>
      </c>
      <c r="T20" s="230">
        <f>CONCATENATE(S20,Q20,P20)</f>
        <v/>
      </c>
      <c r="U20" s="206">
        <f>L20*M20</f>
        <v/>
      </c>
      <c r="V20" s="4" t="n"/>
      <c r="W20" s="3" t="n"/>
      <c r="X20" s="4" t="n"/>
    </row>
    <row r="21" ht="15" customHeight="1" thickBot="1">
      <c r="A21" s="183" t="n">
        <v>6</v>
      </c>
      <c r="B21" s="115" t="inlineStr">
        <is>
          <t>All Purpose Dressing</t>
        </is>
      </c>
      <c r="C21" s="115" t="n"/>
      <c r="D21" s="115">
        <f>IFERROR(__xludf.DUMMYFUNCTION("IF(J21="""",""n/a"",IFERROR(SPLIT(J21,""/"")))"),"n/a")</f>
        <v/>
      </c>
      <c r="E21" s="115" t="n"/>
      <c r="F21" s="115" t="n"/>
      <c r="G21" s="115" t="n"/>
      <c r="H21" s="84" t="inlineStr">
        <is>
          <t>F1</t>
        </is>
      </c>
      <c r="I21" s="7" t="n"/>
      <c r="J21" s="19" t="n"/>
      <c r="K21" s="7" t="n"/>
      <c r="L21" s="12" t="n">
        <v>420.6</v>
      </c>
      <c r="M21" s="192" t="n">
        <v>3</v>
      </c>
      <c r="N21" s="85" t="n">
        <v>1</v>
      </c>
      <c r="O21" s="13">
        <f>E21</f>
        <v/>
      </c>
      <c r="P21" s="9" t="inlineStr">
        <is>
          <t>gal</t>
        </is>
      </c>
      <c r="Q21" s="20" t="n"/>
      <c r="R21" s="5" t="n"/>
      <c r="S21" s="229">
        <f>M21*N21</f>
        <v/>
      </c>
      <c r="T21" s="230">
        <f>CONCATENATE(S21,Q21,P21)</f>
        <v/>
      </c>
      <c r="U21" s="206">
        <f>L21*M21</f>
        <v/>
      </c>
      <c r="V21" s="4" t="n"/>
      <c r="W21" s="3" t="n"/>
      <c r="X21" s="4" t="n"/>
    </row>
    <row r="22" ht="15" customHeight="1" thickBot="1">
      <c r="A22" s="183" t="n">
        <v>7</v>
      </c>
      <c r="B22" s="115" t="inlineStr">
        <is>
          <t>All Purpose Flour</t>
        </is>
      </c>
      <c r="C22" s="115" t="n"/>
      <c r="D22" s="115" t="inlineStr">
        <is>
          <t>White Pigeon</t>
        </is>
      </c>
      <c r="E22" s="115" t="inlineStr">
        <is>
          <t>grams</t>
        </is>
      </c>
      <c r="F22" s="115" t="n">
        <v>1000</v>
      </c>
      <c r="G22" s="115" t="n"/>
      <c r="H22" s="11" t="inlineStr">
        <is>
          <t>Annex</t>
        </is>
      </c>
      <c r="I22" s="6" t="n"/>
      <c r="J22" s="19" t="inlineStr">
        <is>
          <t>White Pigeon/pack/1000grams</t>
        </is>
      </c>
      <c r="K22" s="6" t="n"/>
      <c r="L22" s="8" t="n">
        <v>0.08</v>
      </c>
      <c r="M22" s="190" t="n">
        <v>5000</v>
      </c>
      <c r="N22" s="17" t="n">
        <v>1000</v>
      </c>
      <c r="O22" s="13">
        <f>E22</f>
        <v/>
      </c>
      <c r="P22" s="9" t="inlineStr">
        <is>
          <t>grams</t>
        </is>
      </c>
      <c r="Q22" s="9" t="n"/>
      <c r="R22" s="74">
        <f>CONCATENATE(N22,P22)</f>
        <v/>
      </c>
      <c r="S22" s="233">
        <f>M22*N22</f>
        <v/>
      </c>
      <c r="T22" s="234">
        <f>CONCATENATE(S22,Q22,P22)</f>
        <v/>
      </c>
      <c r="U22" s="207">
        <f>L22*M22</f>
        <v/>
      </c>
      <c r="V22" s="235" t="n"/>
      <c r="W22" s="232" t="n"/>
      <c r="X22" s="71" t="n"/>
    </row>
    <row r="23" ht="15" customHeight="1" thickBot="1">
      <c r="A23" s="183" t="n">
        <v>7</v>
      </c>
      <c r="B23" s="115" t="inlineStr">
        <is>
          <t>All Purpose Flour</t>
        </is>
      </c>
      <c r="C23" s="115" t="n"/>
      <c r="D23" s="115">
        <f>IFERROR(__xludf.DUMMYFUNCTION("IF(J23="""",""n/a"",IFERROR(SPLIT(J23,""/"")))"),"White Pigeon")</f>
        <v/>
      </c>
      <c r="E23" s="115" t="inlineStr">
        <is>
          <t>grams</t>
        </is>
      </c>
      <c r="F23" s="115" t="n">
        <v>1000</v>
      </c>
      <c r="G23" s="115" t="n"/>
      <c r="H23" s="11" t="inlineStr">
        <is>
          <t>CIP</t>
        </is>
      </c>
      <c r="I23" s="95" t="n"/>
      <c r="J23" s="19" t="inlineStr">
        <is>
          <t>White Pigeon</t>
        </is>
      </c>
      <c r="K23" s="5" t="n"/>
      <c r="L23" s="94" t="n">
        <v>59.6</v>
      </c>
      <c r="M23" s="193" t="n">
        <v>22</v>
      </c>
      <c r="N23" s="9" t="n">
        <v>1000</v>
      </c>
      <c r="O23" s="13">
        <f>E23</f>
        <v/>
      </c>
      <c r="P23" s="13" t="inlineStr">
        <is>
          <t>grams</t>
        </is>
      </c>
      <c r="Q23" s="20" t="n"/>
      <c r="R23" s="5" t="n"/>
      <c r="S23" s="229">
        <f>M23*N23</f>
        <v/>
      </c>
      <c r="T23" s="230">
        <f>CONCATENATE(S23,Q23,P23)</f>
        <v/>
      </c>
      <c r="U23" s="206">
        <f>L23*M23</f>
        <v/>
      </c>
      <c r="V23" s="4" t="n"/>
      <c r="W23" s="3" t="n"/>
      <c r="X23" s="4" t="n"/>
    </row>
    <row r="24" ht="15" customHeight="1" thickBot="1">
      <c r="A24" s="183" t="n">
        <v>7</v>
      </c>
      <c r="B24" s="115" t="inlineStr">
        <is>
          <t>All Purpose Flour</t>
        </is>
      </c>
      <c r="C24" s="115" t="n"/>
      <c r="D24" s="115">
        <f>IFERROR(__xludf.DUMMYFUNCTION("IF(J24="""",""n/a"",IFERROR(SPLIT(J24,""/"")))"),"Maya")</f>
        <v/>
      </c>
      <c r="E24" s="115" t="inlineStr">
        <is>
          <t>grams</t>
        </is>
      </c>
      <c r="F24" s="115" t="n">
        <v>400</v>
      </c>
      <c r="G24" s="115" t="n"/>
      <c r="H24" s="11" t="inlineStr">
        <is>
          <t>CIP</t>
        </is>
      </c>
      <c r="I24" s="95" t="n"/>
      <c r="J24" s="19" t="inlineStr">
        <is>
          <t>Maya</t>
        </is>
      </c>
      <c r="K24" s="5" t="n"/>
      <c r="L24" s="94" t="n">
        <v>45.54</v>
      </c>
      <c r="M24" s="193" t="n">
        <v>2</v>
      </c>
      <c r="N24" s="9" t="n">
        <v>400</v>
      </c>
      <c r="O24" s="13">
        <f>E24</f>
        <v/>
      </c>
      <c r="P24" s="13" t="inlineStr">
        <is>
          <t>grams</t>
        </is>
      </c>
      <c r="Q24" s="20" t="n"/>
      <c r="R24" s="5" t="n"/>
      <c r="S24" s="229">
        <f>M24*N24</f>
        <v/>
      </c>
      <c r="T24" s="230">
        <f>CONCATENATE(S24,Q24,P24)</f>
        <v/>
      </c>
      <c r="U24" s="206">
        <f>L24*M24</f>
        <v/>
      </c>
      <c r="V24" s="4" t="n"/>
      <c r="W24" s="3" t="n"/>
      <c r="X24" s="4" t="n"/>
    </row>
    <row r="25" ht="15" customHeight="1" thickBot="1">
      <c r="A25" s="183" t="n">
        <v>7</v>
      </c>
      <c r="B25" s="115" t="inlineStr">
        <is>
          <t>All Purpose Flour</t>
        </is>
      </c>
      <c r="C25" s="115" t="n"/>
      <c r="D25" s="115" t="inlineStr">
        <is>
          <t>Maya</t>
        </is>
      </c>
      <c r="E25" s="115" t="inlineStr">
        <is>
          <t>grams</t>
        </is>
      </c>
      <c r="F25" s="115" t="n">
        <v>500</v>
      </c>
      <c r="G25" s="115" t="n"/>
      <c r="H25" s="84" t="inlineStr">
        <is>
          <t>F1</t>
        </is>
      </c>
      <c r="I25" s="7" t="n"/>
      <c r="J25" s="19" t="inlineStr">
        <is>
          <t>Maya Complete/box/500grams</t>
        </is>
      </c>
      <c r="K25" s="7" t="n"/>
      <c r="L25" s="12" t="n">
        <v>0.174</v>
      </c>
      <c r="M25" s="191" t="n">
        <v>4500</v>
      </c>
      <c r="N25" s="85" t="n">
        <v>500</v>
      </c>
      <c r="O25" s="13">
        <f>E25</f>
        <v/>
      </c>
      <c r="P25" s="9" t="inlineStr">
        <is>
          <t>grams</t>
        </is>
      </c>
      <c r="Q25" s="20" t="n"/>
      <c r="R25" s="5" t="n"/>
      <c r="S25" s="229">
        <f>M25*N25</f>
        <v/>
      </c>
      <c r="T25" s="230">
        <f>CONCATENATE(S25,Q25,P25)</f>
        <v/>
      </c>
      <c r="U25" s="206">
        <f>L25*M25</f>
        <v/>
      </c>
      <c r="V25" s="4" t="n"/>
      <c r="W25" s="3" t="n"/>
      <c r="X25" s="4" t="n"/>
    </row>
    <row r="26" ht="15" customHeight="1" thickBot="1">
      <c r="A26" s="183" t="n">
        <v>7</v>
      </c>
      <c r="B26" s="115" t="inlineStr">
        <is>
          <t>All Purpose Flour</t>
        </is>
      </c>
      <c r="C26" s="115" t="n"/>
      <c r="D26" s="115">
        <f>IFERROR(__xludf.DUMMYFUNCTION("IF(J26="""",""n/a"",IFERROR(SPLIT(J26,""/"")))"),"No Brand")</f>
        <v/>
      </c>
      <c r="E26" s="115">
        <f>IFERROR(__xludf.DUMMYFUNCTION("""COMPUTED_VALUE"""),"pack")</f>
        <v/>
      </c>
      <c r="F26" s="115">
        <f>IFERROR(__xludf.DUMMYFUNCTION("""COMPUTED_VALUE"""),"1000grams")</f>
        <v/>
      </c>
      <c r="G26" s="115" t="n"/>
      <c r="H26" s="84" t="inlineStr">
        <is>
          <t>F1</t>
        </is>
      </c>
      <c r="I26" s="7" t="n"/>
      <c r="J26" s="19" t="inlineStr">
        <is>
          <t>No Brand/pack/1000grams</t>
        </is>
      </c>
      <c r="K26" s="7" t="n"/>
      <c r="L26" s="12" t="n">
        <v>0.048</v>
      </c>
      <c r="M26" s="192" t="n">
        <v>750</v>
      </c>
      <c r="N26" s="85" t="n">
        <v>1000</v>
      </c>
      <c r="O26" s="13">
        <f>E26</f>
        <v/>
      </c>
      <c r="P26" s="9" t="inlineStr">
        <is>
          <t>grams</t>
        </is>
      </c>
      <c r="Q26" s="20" t="n"/>
      <c r="R26" s="5" t="n"/>
      <c r="S26" s="229">
        <f>M26*N26</f>
        <v/>
      </c>
      <c r="T26" s="230">
        <f>CONCATENATE(S26,Q26,P26)</f>
        <v/>
      </c>
      <c r="U26" s="206">
        <f>L26*M26</f>
        <v/>
      </c>
      <c r="V26" s="4" t="n"/>
      <c r="W26" s="3" t="n"/>
      <c r="X26" s="4" t="n"/>
    </row>
    <row r="27" ht="15" customHeight="1" thickBot="1">
      <c r="A27" s="183" t="n">
        <v>8</v>
      </c>
      <c r="B27" s="115" t="inlineStr">
        <is>
          <t>All Purpose Flour - 3rd class</t>
        </is>
      </c>
      <c r="C27" s="115" t="n"/>
      <c r="D27" s="115">
        <f>IFERROR(__xludf.DUMMYFUNCTION("IF(J27="""",""n/a"",IFERROR(SPLIT(J27,""/"")))"),"Penguin")</f>
        <v/>
      </c>
      <c r="E27" s="115" t="n"/>
      <c r="F27" s="115" t="n"/>
      <c r="G27" s="115" t="n"/>
      <c r="H27" s="11" t="inlineStr">
        <is>
          <t>CIP</t>
        </is>
      </c>
      <c r="I27" s="95" t="n"/>
      <c r="J27" s="19" t="inlineStr">
        <is>
          <t>Penguin</t>
        </is>
      </c>
      <c r="K27" s="5" t="n"/>
      <c r="L27" s="94" t="n">
        <v>48</v>
      </c>
      <c r="M27" s="193" t="n">
        <v>26</v>
      </c>
      <c r="N27" s="9" t="n">
        <v>1000</v>
      </c>
      <c r="O27" s="13">
        <f>E27</f>
        <v/>
      </c>
      <c r="P27" s="13" t="inlineStr">
        <is>
          <t>grams</t>
        </is>
      </c>
      <c r="Q27" s="20" t="n"/>
      <c r="R27" s="5" t="n"/>
      <c r="S27" s="229">
        <f>M27*N27</f>
        <v/>
      </c>
      <c r="T27" s="230">
        <f>CONCATENATE(S27,Q27,P27)</f>
        <v/>
      </c>
      <c r="U27" s="206">
        <f>L27*M27</f>
        <v/>
      </c>
      <c r="V27" s="4" t="n"/>
      <c r="W27" s="3" t="n"/>
      <c r="X27" s="4" t="n"/>
    </row>
    <row r="28" ht="15" customHeight="1" thickBot="1">
      <c r="A28" s="183" t="n">
        <v>9</v>
      </c>
      <c r="B28" s="115" t="inlineStr">
        <is>
          <t>Atusete</t>
        </is>
      </c>
      <c r="C28" s="115" t="n"/>
      <c r="D28" s="115" t="inlineStr">
        <is>
          <t>n/a</t>
        </is>
      </c>
      <c r="E28" s="115" t="inlineStr">
        <is>
          <t>grams</t>
        </is>
      </c>
      <c r="F28" s="115" t="n">
        <v>1000</v>
      </c>
      <c r="G28" s="115" t="n"/>
      <c r="H28" s="11" t="inlineStr">
        <is>
          <t>CIP</t>
        </is>
      </c>
      <c r="I28" s="95" t="n"/>
      <c r="J28" s="93" t="inlineStr">
        <is>
          <t>pack/1000grams</t>
        </is>
      </c>
      <c r="K28" s="116" t="n"/>
      <c r="L28" s="90" t="n">
        <v>650</v>
      </c>
      <c r="M28" s="189" t="n">
        <v>0.25</v>
      </c>
      <c r="N28" s="13" t="n">
        <v>1</v>
      </c>
      <c r="O28" s="13">
        <f>E28</f>
        <v/>
      </c>
      <c r="P28" s="13" t="inlineStr">
        <is>
          <t>grams</t>
        </is>
      </c>
      <c r="Q28" s="20" t="n"/>
      <c r="R28" s="5" t="n"/>
      <c r="S28" s="229">
        <f>M28*N28</f>
        <v/>
      </c>
      <c r="T28" s="230">
        <f>CONCATENATE(S28,Q28,P28)</f>
        <v/>
      </c>
      <c r="U28" s="206">
        <f>L28*M28</f>
        <v/>
      </c>
      <c r="V28" s="4" t="n"/>
      <c r="W28" s="4" t="n"/>
      <c r="X28" s="4" t="n"/>
    </row>
    <row r="29" ht="15" customHeight="1" thickBot="1">
      <c r="A29" s="183" t="n">
        <v>10</v>
      </c>
      <c r="B29" s="115" t="inlineStr">
        <is>
          <t>Bagoong Isda Balayan</t>
        </is>
      </c>
      <c r="C29" s="115" t="n"/>
      <c r="D29" s="115">
        <f>IFERROR(__xludf.DUMMYFUNCTION("IF(J29="""",""n/a"",IFERROR(SPLIT(J29,""/"")))"),"La Marina")</f>
        <v/>
      </c>
      <c r="E29" s="115">
        <f>IFERROR(__xludf.DUMMYFUNCTION("""COMPUTED_VALUE"""),"bottle")</f>
        <v/>
      </c>
      <c r="F29" s="115">
        <f>IFERROR(__xludf.DUMMYFUNCTION("""COMPUTED_VALUE"""),"340grams")</f>
        <v/>
      </c>
      <c r="G29" s="115" t="n"/>
      <c r="H29" s="11" t="inlineStr">
        <is>
          <t>Annex</t>
        </is>
      </c>
      <c r="I29" s="6" t="n"/>
      <c r="J29" s="19" t="inlineStr">
        <is>
          <t>La Marina/bottle/340grams</t>
        </is>
      </c>
      <c r="K29" s="6" t="n"/>
      <c r="L29" s="8" t="n">
        <v>0.08823529411764706</v>
      </c>
      <c r="M29" s="190" t="n">
        <v>1020</v>
      </c>
      <c r="N29" s="17" t="n">
        <v>340</v>
      </c>
      <c r="O29" s="13">
        <f>E29</f>
        <v/>
      </c>
      <c r="P29" s="9" t="inlineStr">
        <is>
          <t>grams</t>
        </is>
      </c>
      <c r="Q29" s="13" t="n"/>
      <c r="R29" s="78">
        <f>CONCATENATE(N29,P29)</f>
        <v/>
      </c>
      <c r="S29" s="229">
        <f>M29*N29</f>
        <v/>
      </c>
      <c r="T29" s="230">
        <f>CONCATENATE(S29,Q29,P29)</f>
        <v/>
      </c>
      <c r="U29" s="206">
        <f>L29*M29</f>
        <v/>
      </c>
      <c r="V29" s="231" t="n"/>
      <c r="W29" s="236" t="n"/>
      <c r="X29" s="71" t="n"/>
    </row>
    <row r="30" ht="15" customHeight="1" thickBot="1">
      <c r="A30" s="183" t="n">
        <v>11</v>
      </c>
      <c r="B30" s="114" t="inlineStr">
        <is>
          <t>Bagoong Isda Jp Boneless</t>
        </is>
      </c>
      <c r="C30" s="114" t="n"/>
      <c r="D30" s="115">
        <f>IFERROR(__xludf.DUMMYFUNCTION("IF(J30="""",""n/a"",IFERROR(SPLIT(J30,""/"")))"),"n/a")</f>
        <v/>
      </c>
      <c r="E30" s="114" t="n"/>
      <c r="F30" s="114" t="n"/>
      <c r="G30" s="114" t="n"/>
      <c r="H30" s="84" t="inlineStr">
        <is>
          <t>F1</t>
        </is>
      </c>
      <c r="I30" s="7" t="n"/>
      <c r="J30" s="19" t="n"/>
      <c r="K30" s="7" t="n"/>
      <c r="L30" s="12" t="n">
        <v>0.1724137931034483</v>
      </c>
      <c r="M30" s="191" t="n">
        <v>1450</v>
      </c>
      <c r="N30" s="85" t="n">
        <v>290</v>
      </c>
      <c r="O30" s="13">
        <f>E30</f>
        <v/>
      </c>
      <c r="P30" s="9" t="inlineStr">
        <is>
          <t>ml</t>
        </is>
      </c>
      <c r="Q30" s="20" t="n"/>
      <c r="R30" s="5" t="n"/>
      <c r="S30" s="229">
        <f>M30*N30</f>
        <v/>
      </c>
      <c r="T30" s="230">
        <f>CONCATENATE(S30,Q30,P30)</f>
        <v/>
      </c>
      <c r="U30" s="206">
        <f>L30*M30</f>
        <v/>
      </c>
      <c r="V30" s="4" t="n"/>
      <c r="W30" s="4" t="n"/>
      <c r="X30" s="4" t="n"/>
    </row>
    <row r="31" ht="15" customHeight="1" thickBot="1">
      <c r="A31" s="183" t="n">
        <v>12</v>
      </c>
      <c r="B31" s="115" t="inlineStr">
        <is>
          <t>Baking Powder</t>
        </is>
      </c>
      <c r="C31" s="115" t="n"/>
      <c r="D31" s="115">
        <f>IFERROR(__xludf.DUMMYFUNCTION("IF(J31="""",""n/a"",IFERROR(SPLIT(J31,""/"")))"),"Calumet")</f>
        <v/>
      </c>
      <c r="E31" s="115" t="inlineStr">
        <is>
          <t>grams</t>
        </is>
      </c>
      <c r="F31" s="115" t="n">
        <v>1000</v>
      </c>
      <c r="G31" s="115" t="n"/>
      <c r="H31" s="11" t="inlineStr">
        <is>
          <t>CIP</t>
        </is>
      </c>
      <c r="I31" s="95" t="n"/>
      <c r="J31" s="19" t="inlineStr">
        <is>
          <t>Calumet</t>
        </is>
      </c>
      <c r="K31" s="5" t="n"/>
      <c r="L31" s="94" t="n">
        <v>208</v>
      </c>
      <c r="M31" s="193" t="n">
        <v>2</v>
      </c>
      <c r="N31" s="9" t="n">
        <v>1000</v>
      </c>
      <c r="O31" s="13">
        <f>E31</f>
        <v/>
      </c>
      <c r="P31" s="13" t="inlineStr">
        <is>
          <t>grams</t>
        </is>
      </c>
      <c r="Q31" s="20" t="n"/>
      <c r="R31" s="5" t="n"/>
      <c r="S31" s="229">
        <f>M31*N31</f>
        <v/>
      </c>
      <c r="T31" s="230">
        <f>CONCATENATE(S31,Q31,P31)</f>
        <v/>
      </c>
      <c r="U31" s="206">
        <f>L31*M31</f>
        <v/>
      </c>
      <c r="V31" s="4" t="n"/>
      <c r="W31" s="4" t="n"/>
      <c r="X31" s="4" t="n"/>
    </row>
    <row r="32" ht="15" customHeight="1" thickBot="1">
      <c r="A32" s="183" t="n">
        <v>13</v>
      </c>
      <c r="B32" s="115" t="inlineStr">
        <is>
          <t>Baking Soda</t>
        </is>
      </c>
      <c r="C32" s="115" t="n"/>
      <c r="D32" s="115">
        <f>IFERROR(__xludf.DUMMYFUNCTION("IF(J32="""",""n/a"",IFERROR(SPLIT(J32,""/"")))"),"Queen")</f>
        <v/>
      </c>
      <c r="E32" s="115" t="inlineStr">
        <is>
          <t>grams</t>
        </is>
      </c>
      <c r="F32" s="115" t="n">
        <v>250</v>
      </c>
      <c r="G32" s="115" t="n"/>
      <c r="H32" s="11" t="inlineStr">
        <is>
          <t>CIP</t>
        </is>
      </c>
      <c r="I32" s="95" t="n"/>
      <c r="J32" s="19" t="inlineStr">
        <is>
          <t>Queen</t>
        </is>
      </c>
      <c r="K32" s="5" t="n"/>
      <c r="L32" s="94" t="n">
        <v>32.1</v>
      </c>
      <c r="M32" s="193" t="n">
        <v>2</v>
      </c>
      <c r="N32" s="9" t="n">
        <v>250</v>
      </c>
      <c r="O32" s="13">
        <f>E32</f>
        <v/>
      </c>
      <c r="P32" s="13" t="inlineStr">
        <is>
          <t>grams</t>
        </is>
      </c>
      <c r="Q32" s="20" t="n"/>
      <c r="R32" s="5" t="n"/>
      <c r="S32" s="229">
        <f>M32*N32</f>
        <v/>
      </c>
      <c r="T32" s="230">
        <f>CONCATENATE(S32,Q32,P32)</f>
        <v/>
      </c>
      <c r="U32" s="206">
        <f>L32*M32</f>
        <v/>
      </c>
      <c r="V32" s="4" t="n"/>
      <c r="W32" s="4" t="n"/>
      <c r="X32" s="4" t="n"/>
    </row>
    <row r="33" ht="15" customHeight="1" thickBot="1">
      <c r="A33" s="183" t="n">
        <v>14</v>
      </c>
      <c r="B33" s="114" t="inlineStr">
        <is>
          <t>Balsamic Vinegar</t>
        </is>
      </c>
      <c r="C33" s="114" t="n"/>
      <c r="D33" s="115">
        <f>IFERROR(__xludf.DUMMYFUNCTION("IF(J33="""",""n/a"",IFERROR(SPLIT(J33,""/"")))"),"Filippo Berio")</f>
        <v/>
      </c>
      <c r="E33" s="114">
        <f>IFERROR(__xludf.DUMMYFUNCTION("""COMPUTED_VALUE"""),"bottle")</f>
        <v/>
      </c>
      <c r="F33" s="114">
        <f>IFERROR(__xludf.DUMMYFUNCTION("""COMPUTED_VALUE"""),"330ml")</f>
        <v/>
      </c>
      <c r="G33" s="114" t="n"/>
      <c r="H33" s="11" t="inlineStr">
        <is>
          <t>CIP</t>
        </is>
      </c>
      <c r="I33" s="95" t="n"/>
      <c r="J33" s="93" t="inlineStr">
        <is>
          <t>Filippo Berio/bottle/330ml</t>
        </is>
      </c>
      <c r="K33" s="116" t="n"/>
      <c r="L33" s="90" t="n">
        <v>255</v>
      </c>
      <c r="M33" s="189" t="n">
        <v>1</v>
      </c>
      <c r="N33" s="13" t="n">
        <v>1</v>
      </c>
      <c r="O33" s="13">
        <f>E33</f>
        <v/>
      </c>
      <c r="P33" s="13" t="inlineStr">
        <is>
          <t>ml</t>
        </is>
      </c>
      <c r="Q33" s="20" t="n"/>
      <c r="R33" s="5" t="n"/>
      <c r="S33" s="229">
        <f>M33*N33</f>
        <v/>
      </c>
      <c r="T33" s="230">
        <f>CONCATENATE(S33,Q33,P33)</f>
        <v/>
      </c>
      <c r="U33" s="206">
        <f>L33*M33</f>
        <v/>
      </c>
      <c r="V33" s="4" t="n"/>
      <c r="W33" s="4" t="n"/>
      <c r="X33" s="4" t="n"/>
    </row>
    <row r="34" ht="15" customHeight="1" thickBot="1">
      <c r="A34" s="183" t="n">
        <v>15</v>
      </c>
      <c r="B34" s="115" t="inlineStr">
        <is>
          <t>Bangus</t>
        </is>
      </c>
      <c r="C34" s="115" t="n"/>
      <c r="D34" s="115">
        <f>IFERROR(__xludf.DUMMYFUNCTION("IF(J34="""",""n/a"",IFERROR(SPLIT(J34,""/"")))"),"Indicate ave weight")</f>
        <v/>
      </c>
      <c r="E34" s="115">
        <f>IFERROR(__xludf.DUMMYFUNCTION("""COMPUTED_VALUE"""),"piece")</f>
        <v/>
      </c>
      <c r="F34" s="115" t="n"/>
      <c r="G34" s="115" t="n"/>
      <c r="H34" s="11" t="inlineStr">
        <is>
          <t>Annex</t>
        </is>
      </c>
      <c r="I34" s="6" t="n"/>
      <c r="J34" s="121" t="inlineStr">
        <is>
          <t>Indicate ave weight/piece</t>
        </is>
      </c>
      <c r="K34" s="6" t="n"/>
      <c r="L34" s="22" t="n">
        <v>0.268</v>
      </c>
      <c r="M34" s="190" t="n">
        <v>10000</v>
      </c>
      <c r="N34" s="17" t="n">
        <v>1000</v>
      </c>
      <c r="O34" s="13">
        <f>E34</f>
        <v/>
      </c>
      <c r="P34" s="9" t="inlineStr">
        <is>
          <t>grams</t>
        </is>
      </c>
      <c r="Q34" s="13" t="n"/>
      <c r="R34" s="78">
        <f>CONCATENATE(N34,P34)</f>
        <v/>
      </c>
      <c r="S34" s="229">
        <f>M34*N34</f>
        <v/>
      </c>
      <c r="T34" s="230">
        <f>CONCATENATE(S34,Q34,P34)</f>
        <v/>
      </c>
      <c r="U34" s="206">
        <f>L34*M34</f>
        <v/>
      </c>
      <c r="V34" s="231" t="n"/>
      <c r="W34" s="34" t="n"/>
      <c r="X34" s="34" t="n"/>
    </row>
    <row r="35" ht="15" customHeight="1" thickBot="1">
      <c r="A35" s="183" t="n">
        <v>16</v>
      </c>
      <c r="B35" s="115" t="inlineStr">
        <is>
          <t>Barbecue Sticks</t>
        </is>
      </c>
      <c r="C35" s="115" t="n"/>
      <c r="D35" s="115">
        <f>IFERROR(__xludf.DUMMYFUNCTION("IF(J35="""",""n/a"",IFERROR(SPLIT(J35,""/"")))"),"pack")</f>
        <v/>
      </c>
      <c r="E35" s="115">
        <f>IFERROR(__xludf.DUMMYFUNCTION("""COMPUTED_VALUE"""),"100pcs")</f>
        <v/>
      </c>
      <c r="F35" s="115" t="n"/>
      <c r="G35" s="115" t="n"/>
      <c r="H35" s="11" t="inlineStr">
        <is>
          <t>CIP</t>
        </is>
      </c>
      <c r="I35" s="95" t="n"/>
      <c r="J35" s="93" t="inlineStr">
        <is>
          <t>pack/100pcs</t>
        </is>
      </c>
      <c r="K35" s="116" t="n"/>
      <c r="L35" s="90" t="n">
        <v>18.94</v>
      </c>
      <c r="M35" s="189" t="n">
        <v>30</v>
      </c>
      <c r="N35" s="13" t="n">
        <v>1</v>
      </c>
      <c r="O35" s="13">
        <f>E35</f>
        <v/>
      </c>
      <c r="P35" s="13" t="inlineStr">
        <is>
          <t>packs</t>
        </is>
      </c>
      <c r="Q35" s="20" t="n"/>
      <c r="R35" s="5" t="n"/>
      <c r="S35" s="229">
        <f>M35*N35</f>
        <v/>
      </c>
      <c r="T35" s="230">
        <f>CONCATENATE(S35,Q35,P35)</f>
        <v/>
      </c>
      <c r="U35" s="206">
        <f>L35*M35</f>
        <v/>
      </c>
      <c r="V35" s="4" t="n"/>
      <c r="W35" s="4" t="n"/>
      <c r="X35" s="4" t="n"/>
    </row>
    <row r="36" ht="15" customHeight="1" thickBot="1">
      <c r="A36" s="183" t="n">
        <v>17</v>
      </c>
      <c r="B36" s="114" t="inlineStr">
        <is>
          <t>Bear Brand</t>
        </is>
      </c>
      <c r="C36" s="114" t="n"/>
      <c r="D36" s="115">
        <f>IFERROR(__xludf.DUMMYFUNCTION("IF(J36="""",""n/a"",IFERROR(SPLIT(J36,""/"")))"),"Nestle")</f>
        <v/>
      </c>
      <c r="E36" s="114">
        <f>IFERROR(__xludf.DUMMYFUNCTION("""COMPUTED_VALUE"""),"pcsx33grams)")</f>
        <v/>
      </c>
      <c r="F36" s="114" t="n"/>
      <c r="G36" s="114" t="n"/>
      <c r="H36" s="11" t="inlineStr">
        <is>
          <t>CIP</t>
        </is>
      </c>
      <c r="I36" s="95" t="n"/>
      <c r="J36" s="93" t="inlineStr">
        <is>
          <t>Nestle/pcsx33grams)</t>
        </is>
      </c>
      <c r="K36" s="5" t="n"/>
      <c r="L36" s="90" t="n">
        <v>10.82</v>
      </c>
      <c r="M36" s="189" t="n">
        <v>132</v>
      </c>
      <c r="N36" s="13" t="n">
        <v>1</v>
      </c>
      <c r="O36" s="13">
        <f>E36</f>
        <v/>
      </c>
      <c r="P36" s="13" t="inlineStr">
        <is>
          <t>pieces</t>
        </is>
      </c>
      <c r="Q36" s="20" t="n"/>
      <c r="R36" s="5" t="n"/>
      <c r="S36" s="229">
        <f>M36*N36</f>
        <v/>
      </c>
      <c r="T36" s="230">
        <f>CONCATENATE(S36,Q36,P36)</f>
        <v/>
      </c>
      <c r="U36" s="206">
        <f>L36*M36</f>
        <v/>
      </c>
      <c r="V36" s="4" t="n"/>
      <c r="W36" s="4" t="n"/>
      <c r="X36" s="4" t="n"/>
    </row>
    <row r="37" ht="15" customHeight="1" thickBot="1">
      <c r="A37" s="183" t="n">
        <v>18</v>
      </c>
      <c r="B37" s="115" t="inlineStr">
        <is>
          <t>Bear Brand adult</t>
        </is>
      </c>
      <c r="C37" s="115" t="n"/>
      <c r="D37" s="115">
        <f>IFERROR(__xludf.DUMMYFUNCTION("IF(J37="""",""n/a"",IFERROR(SPLIT(J37,""/"")))"),"Nestle")</f>
        <v/>
      </c>
      <c r="E37" s="115">
        <f>IFERROR(__xludf.DUMMYFUNCTION("""COMPUTED_VALUE"""),"pcsx33grams)")</f>
        <v/>
      </c>
      <c r="F37" s="115" t="n"/>
      <c r="G37" s="115" t="n"/>
      <c r="H37" s="11" t="inlineStr">
        <is>
          <t>Annex</t>
        </is>
      </c>
      <c r="I37" s="6" t="n"/>
      <c r="J37" s="19" t="inlineStr">
        <is>
          <t>Nestle/pcsx33grams)</t>
        </is>
      </c>
      <c r="K37" s="6" t="n"/>
      <c r="L37" s="8" t="n">
        <v>16.9</v>
      </c>
      <c r="M37" s="190" t="n">
        <v>26</v>
      </c>
      <c r="N37" s="17" t="n">
        <v>1</v>
      </c>
      <c r="O37" s="13">
        <f>E37</f>
        <v/>
      </c>
      <c r="P37" s="9" t="inlineStr">
        <is>
          <t>pieces</t>
        </is>
      </c>
      <c r="Q37" s="13" t="n"/>
      <c r="R37" s="78">
        <f>CONCATENATE(N37,P37)</f>
        <v/>
      </c>
      <c r="S37" s="229">
        <f>M37*N37</f>
        <v/>
      </c>
      <c r="T37" s="230">
        <f>CONCATENATE(S37,Q37,P37)</f>
        <v/>
      </c>
      <c r="U37" s="206">
        <f>L37*M37</f>
        <v/>
      </c>
      <c r="V37" s="231" t="n"/>
      <c r="W37" s="236" t="n"/>
      <c r="X37" s="71" t="n"/>
    </row>
    <row r="38" ht="15" customHeight="1" thickBot="1">
      <c r="A38" s="183" t="n">
        <v>18</v>
      </c>
      <c r="B38" s="114" t="inlineStr">
        <is>
          <t>Bear Brand Adult</t>
        </is>
      </c>
      <c r="C38" s="114" t="n"/>
      <c r="D38" s="115">
        <f>IFERROR(__xludf.DUMMYFUNCTION("IF(J38="""",""n/a"",IFERROR(SPLIT(J38,""/"")))"),"n/a")</f>
        <v/>
      </c>
      <c r="E38" s="114" t="n"/>
      <c r="F38" s="114" t="n"/>
      <c r="G38" s="114" t="n"/>
      <c r="H38" s="84" t="inlineStr">
        <is>
          <t>F1</t>
        </is>
      </c>
      <c r="I38" s="7" t="n"/>
      <c r="J38" s="19" t="n"/>
      <c r="K38" s="7" t="n"/>
      <c r="L38" s="12" t="n">
        <v>18.85</v>
      </c>
      <c r="M38" s="191" t="n">
        <v>16</v>
      </c>
      <c r="N38" s="86" t="n">
        <v>1</v>
      </c>
      <c r="O38" s="13">
        <f>E38</f>
        <v/>
      </c>
      <c r="P38" s="23" t="inlineStr">
        <is>
          <t>pieces</t>
        </is>
      </c>
      <c r="Q38" s="20" t="n"/>
      <c r="R38" s="5" t="n"/>
      <c r="S38" s="229">
        <f>M38*N38</f>
        <v/>
      </c>
      <c r="T38" s="230">
        <f>CONCATENATE(S38,Q38,P38)</f>
        <v/>
      </c>
      <c r="U38" s="206">
        <f>L38*M38</f>
        <v/>
      </c>
      <c r="V38" s="4" t="n"/>
      <c r="W38" s="4" t="n"/>
      <c r="X38" s="4" t="n"/>
    </row>
    <row r="39" ht="15" customHeight="1" thickBot="1">
      <c r="A39" s="183" t="n">
        <v>19</v>
      </c>
      <c r="B39" s="114" t="inlineStr">
        <is>
          <t>Bear Brand Sterilized</t>
        </is>
      </c>
      <c r="C39" s="114" t="n"/>
      <c r="D39" s="115">
        <f>IFERROR(__xludf.DUMMYFUNCTION("IF(J39="""",""n/a"",IFERROR(SPLIT(J39,""/"")))"),"Nestle")</f>
        <v/>
      </c>
      <c r="E39" s="114">
        <f>IFERROR(__xludf.DUMMYFUNCTION("""COMPUTED_VALUE"""),"Tetrapack")</f>
        <v/>
      </c>
      <c r="F39" s="114">
        <f>IFERROR(__xludf.DUMMYFUNCTION("""COMPUTED_VALUE"""),"250ml")</f>
        <v/>
      </c>
      <c r="G39" s="114" t="n"/>
      <c r="H39" s="11" t="inlineStr">
        <is>
          <t>CIP</t>
        </is>
      </c>
      <c r="I39" s="95" t="n"/>
      <c r="J39" s="19" t="inlineStr">
        <is>
          <t>Nestle/Tetrapack/250ml</t>
        </is>
      </c>
      <c r="K39" s="5" t="n"/>
      <c r="L39" s="90" t="n">
        <v>23.75</v>
      </c>
      <c r="M39" s="189" t="n">
        <v>20</v>
      </c>
      <c r="N39" s="13" t="n">
        <v>1</v>
      </c>
      <c r="O39" s="13">
        <f>E39</f>
        <v/>
      </c>
      <c r="P39" s="13" t="inlineStr">
        <is>
          <t>pieces</t>
        </is>
      </c>
      <c r="Q39" s="20" t="n"/>
      <c r="R39" s="5" t="n"/>
      <c r="S39" s="229">
        <f>M39*N39</f>
        <v/>
      </c>
      <c r="T39" s="230">
        <f>CONCATENATE(S39,Q39,P39)</f>
        <v/>
      </c>
      <c r="U39" s="206">
        <f>L39*M39</f>
        <v/>
      </c>
      <c r="V39" s="4" t="n"/>
      <c r="W39" s="4" t="n"/>
      <c r="X39" s="4" t="n"/>
    </row>
    <row r="40" ht="15" customHeight="1" thickBot="1">
      <c r="A40" s="183" t="n">
        <v>20</v>
      </c>
      <c r="B40" s="115" t="inlineStr">
        <is>
          <t>Bear Brand Swak</t>
        </is>
      </c>
      <c r="C40" s="115" t="n"/>
      <c r="D40" s="115">
        <f>IFERROR(__xludf.DUMMYFUNCTION("IF(J40="""",""n/a"",IFERROR(SPLIT(J40,""/"")))"),"Nestle")</f>
        <v/>
      </c>
      <c r="E40" s="115">
        <f>IFERROR(__xludf.DUMMYFUNCTION("""COMPUTED_VALUE"""),"pack (pcsx33grams)")</f>
        <v/>
      </c>
      <c r="F40" s="115" t="n"/>
      <c r="G40" s="115" t="n"/>
      <c r="H40" s="11" t="inlineStr">
        <is>
          <t>Annex</t>
        </is>
      </c>
      <c r="I40" s="6" t="n"/>
      <c r="J40" s="19" t="inlineStr">
        <is>
          <t>Nestle/pack (pcsx33grams)</t>
        </is>
      </c>
      <c r="K40" s="6" t="n"/>
      <c r="L40" s="14" t="n">
        <v>10.82</v>
      </c>
      <c r="M40" s="190" t="n">
        <v>374</v>
      </c>
      <c r="N40" s="17" t="n">
        <v>1</v>
      </c>
      <c r="O40" s="13">
        <f>E40</f>
        <v/>
      </c>
      <c r="P40" s="9" t="inlineStr">
        <is>
          <t>pieces</t>
        </is>
      </c>
      <c r="Q40" s="13" t="n"/>
      <c r="R40" s="78">
        <f>CONCATENATE(N40,P40)</f>
        <v/>
      </c>
      <c r="S40" s="229">
        <f>M40*N40</f>
        <v/>
      </c>
      <c r="T40" s="230">
        <f>CONCATENATE(S40,Q40,P40)</f>
        <v/>
      </c>
      <c r="U40" s="206">
        <f>L40*M40</f>
        <v/>
      </c>
      <c r="V40" s="231" t="n"/>
      <c r="W40" s="236" t="n"/>
      <c r="X40" s="71" t="n"/>
    </row>
    <row r="41" ht="15" customHeight="1" thickBot="1">
      <c r="A41" s="183" t="n">
        <v>20</v>
      </c>
      <c r="B41" s="114" t="inlineStr">
        <is>
          <t>Bear Brand Swak</t>
        </is>
      </c>
      <c r="C41" s="114" t="n"/>
      <c r="D41" s="115">
        <f>IFERROR(__xludf.DUMMYFUNCTION("IF(J41="""",""n/a"",IFERROR(SPLIT(J41,""/"")))"),"n/a")</f>
        <v/>
      </c>
      <c r="E41" s="114" t="n"/>
      <c r="F41" s="114" t="n"/>
      <c r="G41" s="114" t="n"/>
      <c r="H41" s="84" t="inlineStr">
        <is>
          <t>F1</t>
        </is>
      </c>
      <c r="I41" s="7" t="n"/>
      <c r="J41" s="19" t="n"/>
      <c r="K41" s="7" t="n"/>
      <c r="L41" s="12" t="n">
        <v>11</v>
      </c>
      <c r="M41" s="191" t="n">
        <v>256</v>
      </c>
      <c r="N41" s="86" t="n">
        <v>1</v>
      </c>
      <c r="O41" s="13">
        <f>E41</f>
        <v/>
      </c>
      <c r="P41" s="23" t="inlineStr">
        <is>
          <t>pieces</t>
        </is>
      </c>
      <c r="Q41" s="20" t="n"/>
      <c r="R41" s="5" t="n"/>
      <c r="S41" s="229">
        <f>M41*N41</f>
        <v/>
      </c>
      <c r="T41" s="230">
        <f>CONCATENATE(S41,Q41,P41)</f>
        <v/>
      </c>
      <c r="U41" s="206">
        <f>L41*M41</f>
        <v/>
      </c>
      <c r="V41" s="4" t="n"/>
      <c r="W41" s="4" t="n"/>
      <c r="X41" s="4" t="n"/>
    </row>
    <row r="42" ht="15" customHeight="1" thickBot="1">
      <c r="A42" s="183" t="n">
        <v>21</v>
      </c>
      <c r="B42" s="114" t="inlineStr">
        <is>
          <t>Beef Laman (frozen)</t>
        </is>
      </c>
      <c r="C42" s="114" t="n"/>
      <c r="D42" s="115">
        <f>IFERROR(__xludf.DUMMYFUNCTION("IF(J42="""",""n/a"",IFERROR(SPLIT(J42,""/"")))"),"seara")</f>
        <v/>
      </c>
      <c r="E42" s="114" t="n"/>
      <c r="F42" s="114" t="n"/>
      <c r="G42" s="114" t="n"/>
      <c r="H42" s="11" t="inlineStr">
        <is>
          <t>CIP</t>
        </is>
      </c>
      <c r="I42" s="95" t="n"/>
      <c r="J42" s="19" t="inlineStr">
        <is>
          <t>seara</t>
        </is>
      </c>
      <c r="K42" s="5" t="n"/>
      <c r="L42" s="90" t="n">
        <v>330</v>
      </c>
      <c r="M42" s="189" t="n">
        <v>30</v>
      </c>
      <c r="N42" s="13" t="n">
        <v>1</v>
      </c>
      <c r="O42" s="13">
        <f>E42</f>
        <v/>
      </c>
      <c r="P42" s="13" t="inlineStr">
        <is>
          <t>kilos</t>
        </is>
      </c>
      <c r="Q42" s="20" t="n"/>
      <c r="R42" s="5" t="n"/>
      <c r="S42" s="229">
        <f>M42*N42</f>
        <v/>
      </c>
      <c r="T42" s="230">
        <f>CONCATENATE(S42,Q42,P42)</f>
        <v/>
      </c>
      <c r="U42" s="206">
        <f>L42*M42</f>
        <v/>
      </c>
      <c r="V42" s="4" t="n"/>
      <c r="W42" s="4" t="n"/>
      <c r="X42" s="4" t="n"/>
    </row>
    <row r="43" ht="15" customHeight="1" thickBot="1">
      <c r="A43" s="183" t="n">
        <v>21</v>
      </c>
      <c r="B43" s="115" t="inlineStr">
        <is>
          <t>Beef Laman (frozen)</t>
        </is>
      </c>
      <c r="C43" s="115" t="n"/>
      <c r="D43" s="115">
        <f>IFERROR(__xludf.DUMMYFUNCTION("IF(J43="""",""n/a"",IFERROR(SPLIT(J43,""/"")))"),"n/a")</f>
        <v/>
      </c>
      <c r="E43" s="115" t="n"/>
      <c r="F43" s="115" t="n"/>
      <c r="G43" s="115" t="n"/>
      <c r="H43" s="84" t="inlineStr">
        <is>
          <t>F1</t>
        </is>
      </c>
      <c r="I43" s="7" t="n"/>
      <c r="J43" s="19" t="n"/>
      <c r="K43" s="7" t="n"/>
      <c r="L43" s="12" t="n">
        <v>317</v>
      </c>
      <c r="M43" s="192" t="n">
        <v>39</v>
      </c>
      <c r="N43" s="85" t="n">
        <v>1</v>
      </c>
      <c r="O43" s="13">
        <f>E43</f>
        <v/>
      </c>
      <c r="P43" s="9" t="inlineStr">
        <is>
          <t>kilos</t>
        </is>
      </c>
      <c r="Q43" s="20" t="n"/>
      <c r="R43" s="5" t="n"/>
      <c r="S43" s="229">
        <f>M43*N43</f>
        <v/>
      </c>
      <c r="T43" s="230">
        <f>CONCATENATE(S43,Q43,P43)</f>
        <v/>
      </c>
      <c r="U43" s="206">
        <f>L43*M43</f>
        <v/>
      </c>
      <c r="V43" s="4" t="n"/>
      <c r="W43" s="4" t="n"/>
      <c r="X43" s="4" t="n"/>
    </row>
    <row r="44" ht="15" customHeight="1" thickBot="1">
      <c r="A44" s="183" t="n">
        <v>22</v>
      </c>
      <c r="B44" s="114" t="inlineStr">
        <is>
          <t>Beef Loaf</t>
        </is>
      </c>
      <c r="C44" s="114" t="n"/>
      <c r="D44" s="115">
        <f>IFERROR(__xludf.DUMMYFUNCTION("IF(J44="""",""n/a"",IFERROR(SPLIT(J44,""/"")))"),"Argentina")</f>
        <v/>
      </c>
      <c r="E44" s="114">
        <f>IFERROR(__xludf.DUMMYFUNCTION("""COMPUTED_VALUE"""),"can")</f>
        <v/>
      </c>
      <c r="F44" s="114">
        <f>IFERROR(__xludf.DUMMYFUNCTION("""COMPUTED_VALUE"""),"250grams")</f>
        <v/>
      </c>
      <c r="G44" s="114" t="n"/>
      <c r="H44" s="11" t="inlineStr">
        <is>
          <t>CIP</t>
        </is>
      </c>
      <c r="I44" s="95" t="n"/>
      <c r="J44" s="93" t="inlineStr">
        <is>
          <t>Argentina/can/250grams</t>
        </is>
      </c>
      <c r="K44" s="116" t="n"/>
      <c r="L44" s="90" t="n">
        <v>29.86</v>
      </c>
      <c r="M44" s="189" t="n">
        <v>97.92</v>
      </c>
      <c r="N44" s="13" t="n">
        <v>1</v>
      </c>
      <c r="O44" s="13">
        <f>E44</f>
        <v/>
      </c>
      <c r="P44" s="13" t="inlineStr">
        <is>
          <t>grams</t>
        </is>
      </c>
      <c r="Q44" s="20" t="n"/>
      <c r="R44" s="5" t="n"/>
      <c r="S44" s="229">
        <f>M44*N44</f>
        <v/>
      </c>
      <c r="T44" s="230">
        <f>CONCATENATE(S44,Q44,P44)</f>
        <v/>
      </c>
      <c r="U44" s="206">
        <f>L44*M44</f>
        <v/>
      </c>
      <c r="V44" s="4" t="n"/>
      <c r="W44" s="4" t="n"/>
      <c r="X44" s="4" t="n"/>
    </row>
    <row r="45" ht="15" customHeight="1" thickBot="1">
      <c r="A45" s="183" t="n">
        <v>23</v>
      </c>
      <c r="B45" s="114" t="inlineStr">
        <is>
          <t>Beng-Beng Choco Caramel</t>
        </is>
      </c>
      <c r="C45" s="114" t="n"/>
      <c r="D45" s="115">
        <f>IFERROR(__xludf.DUMMYFUNCTION("IF(J45="""",""n/a"",IFERROR(SPLIT(J45,""/"")))"),"n/a")</f>
        <v/>
      </c>
      <c r="E45" s="114" t="n"/>
      <c r="F45" s="114" t="n"/>
      <c r="G45" s="114" t="n"/>
      <c r="H45" s="84" t="inlineStr">
        <is>
          <t>F1</t>
        </is>
      </c>
      <c r="I45" s="7" t="n"/>
      <c r="J45" s="19" t="n"/>
      <c r="K45" s="7" t="n"/>
      <c r="L45" s="12" t="n">
        <v>8.48</v>
      </c>
      <c r="M45" s="191" t="n">
        <v>8</v>
      </c>
      <c r="N45" s="86" t="n">
        <v>10</v>
      </c>
      <c r="O45" s="13">
        <f>E45</f>
        <v/>
      </c>
      <c r="P45" s="23" t="inlineStr">
        <is>
          <t>pieces</t>
        </is>
      </c>
      <c r="Q45" s="20" t="n"/>
      <c r="R45" s="5" t="n"/>
      <c r="S45" s="229">
        <f>M45*N45</f>
        <v/>
      </c>
      <c r="T45" s="230">
        <f>CONCATENATE(S45,Q45,P45)</f>
        <v/>
      </c>
      <c r="U45" s="206">
        <f>L45*M45</f>
        <v/>
      </c>
      <c r="V45" s="4" t="n"/>
      <c r="W45" s="4" t="n"/>
      <c r="X45" s="4" t="n"/>
    </row>
    <row r="46" ht="15" customHeight="1" thickBot="1">
      <c r="A46" s="183" t="n">
        <v>24</v>
      </c>
      <c r="B46" s="114" t="inlineStr">
        <is>
          <t>Besuto</t>
        </is>
      </c>
      <c r="C46" s="114" t="n"/>
      <c r="D46" s="115">
        <f>IFERROR(__xludf.DUMMYFUNCTION("IF(J46="""",""n/a"",IFERROR(SPLIT(J46,""/"")))"),"n/a")</f>
        <v/>
      </c>
      <c r="E46" s="114" t="n"/>
      <c r="F46" s="114" t="n"/>
      <c r="G46" s="114" t="n"/>
      <c r="H46" s="84" t="inlineStr">
        <is>
          <t>F1</t>
        </is>
      </c>
      <c r="I46" s="7" t="n"/>
      <c r="J46" s="19" t="n"/>
      <c r="K46" s="7" t="n"/>
      <c r="L46" s="12" t="n">
        <v>0.308</v>
      </c>
      <c r="M46" s="192" t="n">
        <v>1500</v>
      </c>
      <c r="N46" s="85" t="n">
        <v>500</v>
      </c>
      <c r="O46" s="13">
        <f>E46</f>
        <v/>
      </c>
      <c r="P46" s="9" t="inlineStr">
        <is>
          <t>pieces</t>
        </is>
      </c>
      <c r="Q46" s="20" t="n"/>
      <c r="R46" s="5" t="n"/>
      <c r="S46" s="229">
        <f>M46*N46</f>
        <v/>
      </c>
      <c r="T46" s="230">
        <f>CONCATENATE(S46,Q46,P46)</f>
        <v/>
      </c>
      <c r="U46" s="206">
        <f>L46*M46</f>
        <v/>
      </c>
      <c r="V46" s="4" t="n"/>
      <c r="W46" s="4" t="n"/>
      <c r="X46" s="4" t="n"/>
    </row>
    <row r="47" ht="15" customHeight="1" thickBot="1">
      <c r="A47" s="183" t="n">
        <v>25</v>
      </c>
      <c r="B47" s="115" t="inlineStr">
        <is>
          <t>Bihon</t>
        </is>
      </c>
      <c r="C47" s="115" t="n"/>
      <c r="D47" s="115">
        <f>IFERROR(__xludf.DUMMYFUNCTION("IF(J47="""",""n/a"",IFERROR(SPLIT(J47,""/"")))"),"Super Q")</f>
        <v/>
      </c>
      <c r="E47" s="115">
        <f>IFERROR(__xludf.DUMMYFUNCTION("""COMPUTED_VALUE"""),"pack")</f>
        <v/>
      </c>
      <c r="F47" s="115">
        <f>IFERROR(__xludf.DUMMYFUNCTION("""COMPUTED_VALUE"""),"1000grams")</f>
        <v/>
      </c>
      <c r="G47" s="115" t="n"/>
      <c r="H47" s="11" t="inlineStr">
        <is>
          <t>Annex</t>
        </is>
      </c>
      <c r="I47" s="6" t="n"/>
      <c r="J47" s="19" t="inlineStr">
        <is>
          <t>Super Q/pack/1000grams</t>
        </is>
      </c>
      <c r="K47" s="6" t="n"/>
      <c r="L47" s="22" t="n">
        <v>0.1</v>
      </c>
      <c r="M47" s="190" t="n">
        <v>7000</v>
      </c>
      <c r="N47" s="17" t="n">
        <v>1000</v>
      </c>
      <c r="O47" s="13">
        <f>E47</f>
        <v/>
      </c>
      <c r="P47" s="9" t="inlineStr">
        <is>
          <t>grams</t>
        </is>
      </c>
      <c r="Q47" s="13" t="n"/>
      <c r="R47" s="78">
        <f>CONCATENATE(N47,P47)</f>
        <v/>
      </c>
      <c r="S47" s="229">
        <f>M47*N47</f>
        <v/>
      </c>
      <c r="T47" s="230">
        <f>CONCATENATE(S47,Q47,P47)</f>
        <v/>
      </c>
      <c r="U47" s="206">
        <f>L47*M47</f>
        <v/>
      </c>
      <c r="V47" s="34" t="n"/>
      <c r="W47" s="34" t="n"/>
      <c r="X47" s="34" t="n"/>
    </row>
    <row r="48" ht="15" customHeight="1" thickBot="1">
      <c r="A48" s="183" t="n">
        <v>25</v>
      </c>
      <c r="B48" s="115" t="inlineStr">
        <is>
          <t>Bihon</t>
        </is>
      </c>
      <c r="C48" s="115" t="n"/>
      <c r="D48" s="115">
        <f>IFERROR(__xludf.DUMMYFUNCTION("IF(J48="""",""n/a"",IFERROR(SPLIT(J48,""/"")))"),"Super Q")</f>
        <v/>
      </c>
      <c r="E48" s="115">
        <f>IFERROR(__xludf.DUMMYFUNCTION("""COMPUTED_VALUE"""),"pack")</f>
        <v/>
      </c>
      <c r="F48" s="115">
        <f>IFERROR(__xludf.DUMMYFUNCTION("""COMPUTED_VALUE"""),"500grams")</f>
        <v/>
      </c>
      <c r="G48" s="115" t="n"/>
      <c r="H48" s="11" t="inlineStr">
        <is>
          <t>CIP</t>
        </is>
      </c>
      <c r="I48" s="95" t="n"/>
      <c r="J48" s="93" t="inlineStr">
        <is>
          <t>Super Q/pack/500grams</t>
        </is>
      </c>
      <c r="K48" s="116" t="n"/>
      <c r="L48" s="90" t="n">
        <v>38.7</v>
      </c>
      <c r="M48" s="189" t="n">
        <v>9</v>
      </c>
      <c r="N48" s="13" t="n">
        <v>1</v>
      </c>
      <c r="O48" s="13">
        <f>E48</f>
        <v/>
      </c>
      <c r="P48" s="13" t="inlineStr">
        <is>
          <t>grams</t>
        </is>
      </c>
      <c r="Q48" s="20" t="n"/>
      <c r="R48" s="5" t="n"/>
      <c r="S48" s="229">
        <f>M48*N48</f>
        <v/>
      </c>
      <c r="T48" s="230">
        <f>CONCATENATE(S48,Q48,P48)</f>
        <v/>
      </c>
      <c r="U48" s="206">
        <f>L48*M48</f>
        <v/>
      </c>
      <c r="V48" s="4" t="n"/>
      <c r="W48" s="4" t="n"/>
      <c r="X48" s="4" t="n"/>
    </row>
    <row r="49" ht="15" customHeight="1" thickBot="1">
      <c r="A49" s="183" t="n">
        <v>25</v>
      </c>
      <c r="B49" s="114" t="inlineStr">
        <is>
          <t>Bihon</t>
        </is>
      </c>
      <c r="C49" s="114" t="n"/>
      <c r="D49" s="115">
        <f>IFERROR(__xludf.DUMMYFUNCTION("IF(J49="""",""n/a"",IFERROR(SPLIT(J49,""/"")))"),"n/a")</f>
        <v/>
      </c>
      <c r="E49" s="114" t="n"/>
      <c r="F49" s="114" t="n"/>
      <c r="G49" s="114" t="n"/>
      <c r="H49" s="84" t="inlineStr">
        <is>
          <t>F1</t>
        </is>
      </c>
      <c r="I49" s="7" t="n"/>
      <c r="J49" s="19" t="n"/>
      <c r="K49" s="7" t="n"/>
      <c r="L49" s="12" t="n">
        <v>0.0838</v>
      </c>
      <c r="M49" s="192" t="n">
        <v>1000</v>
      </c>
      <c r="N49" s="85" t="n">
        <v>500</v>
      </c>
      <c r="O49" s="13">
        <f>E49</f>
        <v/>
      </c>
      <c r="P49" s="9" t="inlineStr">
        <is>
          <t>grams</t>
        </is>
      </c>
      <c r="Q49" s="20" t="n"/>
      <c r="R49" s="5" t="n"/>
      <c r="S49" s="229">
        <f>M49*N49</f>
        <v/>
      </c>
      <c r="T49" s="230">
        <f>CONCATENATE(S49,Q49,P49)</f>
        <v/>
      </c>
      <c r="U49" s="206">
        <f>L49*M49</f>
        <v/>
      </c>
      <c r="V49" s="4" t="n"/>
      <c r="W49" s="4" t="n"/>
      <c r="X49" s="4" t="n"/>
    </row>
    <row r="50" ht="15" customHeight="1" thickBot="1">
      <c r="A50" s="183" t="n">
        <v>26</v>
      </c>
      <c r="B50" s="115" t="inlineStr">
        <is>
          <t>Bingo Choco Orange</t>
        </is>
      </c>
      <c r="C50" s="115" t="n"/>
      <c r="D50" s="115">
        <f>IFERROR(__xludf.DUMMYFUNCTION("IF(J50="""",""n/a"",IFERROR(SPLIT(J50,""/"")))"),"Monde(10pcsx28grams)")</f>
        <v/>
      </c>
      <c r="E50" s="115" t="n"/>
      <c r="F50" s="115" t="n"/>
      <c r="G50" s="115" t="n"/>
      <c r="H50" s="11" t="inlineStr">
        <is>
          <t>Annex</t>
        </is>
      </c>
      <c r="I50" s="6" t="n"/>
      <c r="J50" s="19" t="inlineStr">
        <is>
          <t>Monde(10pcsx28grams)</t>
        </is>
      </c>
      <c r="K50" s="6" t="n"/>
      <c r="L50" s="8" t="n">
        <v>5.82</v>
      </c>
      <c r="M50" s="190" t="n">
        <v>50</v>
      </c>
      <c r="N50" s="17" t="n">
        <v>1</v>
      </c>
      <c r="O50" s="13">
        <f>E50</f>
        <v/>
      </c>
      <c r="P50" s="9" t="inlineStr">
        <is>
          <t>pieces</t>
        </is>
      </c>
      <c r="Q50" s="13" t="n"/>
      <c r="R50" s="78">
        <f>CONCATENATE(N50,P50)</f>
        <v/>
      </c>
      <c r="S50" s="229">
        <f>M50*N50</f>
        <v/>
      </c>
      <c r="T50" s="230">
        <f>CONCATENATE(S50,Q50,P50)</f>
        <v/>
      </c>
      <c r="U50" s="206">
        <f>L50*M50</f>
        <v/>
      </c>
      <c r="V50" s="34" t="n"/>
      <c r="W50" s="34" t="n"/>
      <c r="X50" s="34" t="n"/>
    </row>
    <row r="51" ht="15" customHeight="1" thickBot="1">
      <c r="A51" s="183" t="n">
        <v>27</v>
      </c>
      <c r="B51" s="115" t="inlineStr">
        <is>
          <t>Bingo Double Choco</t>
        </is>
      </c>
      <c r="C51" s="115" t="n"/>
      <c r="D51" s="115">
        <f>IFERROR(__xludf.DUMMYFUNCTION("IF(J51="""",""n/a"",IFERROR(SPLIT(J51,""/"")))"),"Mondepack (10pcsx28grams)")</f>
        <v/>
      </c>
      <c r="E51" s="115" t="n"/>
      <c r="F51" s="115" t="n"/>
      <c r="G51" s="115" t="n"/>
      <c r="H51" s="11" t="inlineStr">
        <is>
          <t>Annex</t>
        </is>
      </c>
      <c r="I51" s="6" t="n"/>
      <c r="J51" s="19" t="inlineStr">
        <is>
          <t>Mondepack (10pcsx28grams)</t>
        </is>
      </c>
      <c r="K51" s="6" t="n"/>
      <c r="L51" s="8" t="n">
        <v>5.85</v>
      </c>
      <c r="M51" s="190" t="n">
        <v>366</v>
      </c>
      <c r="N51" s="17" t="n">
        <v>1</v>
      </c>
      <c r="O51" s="13">
        <f>E51</f>
        <v/>
      </c>
      <c r="P51" s="9" t="inlineStr">
        <is>
          <t>pieces</t>
        </is>
      </c>
      <c r="Q51" s="13" t="n"/>
      <c r="R51" s="78">
        <f>CONCATENATE(N51,P51)</f>
        <v/>
      </c>
      <c r="S51" s="229">
        <f>M51*N51</f>
        <v/>
      </c>
      <c r="T51" s="230">
        <f>CONCATENATE(S51,Q51,P51)</f>
        <v/>
      </c>
      <c r="U51" s="206">
        <f>L51*M51</f>
        <v/>
      </c>
      <c r="V51" s="34" t="n"/>
      <c r="W51" s="34" t="n"/>
      <c r="X51" s="34" t="n"/>
    </row>
    <row r="52" ht="15" customHeight="1" thickBot="1">
      <c r="A52" s="183" t="n">
        <v>28</v>
      </c>
      <c r="B52" s="115" t="inlineStr">
        <is>
          <t>Bingo Orange</t>
        </is>
      </c>
      <c r="C52" s="115" t="n"/>
      <c r="D52" s="115">
        <f>IFERROR(__xludf.DUMMYFUNCTION("IF(J52="""",""n/a"",IFERROR(SPLIT(J52,""/"")))"),"Monde(10pcsx28grams)")</f>
        <v/>
      </c>
      <c r="E52" s="115" t="n"/>
      <c r="F52" s="115" t="n"/>
      <c r="G52" s="115" t="n"/>
      <c r="H52" s="11" t="inlineStr">
        <is>
          <t>CIP</t>
        </is>
      </c>
      <c r="I52" s="95" t="n"/>
      <c r="J52" s="93" t="inlineStr">
        <is>
          <t>Monde(10pcsx28grams)</t>
        </is>
      </c>
      <c r="K52" s="116" t="n"/>
      <c r="L52" s="90" t="n">
        <v>5.7</v>
      </c>
      <c r="M52" s="189" t="n">
        <v>370</v>
      </c>
      <c r="N52" s="13" t="n">
        <v>1</v>
      </c>
      <c r="O52" s="13">
        <f>E52</f>
        <v/>
      </c>
      <c r="P52" s="13" t="inlineStr">
        <is>
          <t>pieces</t>
        </is>
      </c>
      <c r="Q52" s="20" t="n"/>
      <c r="R52" s="5" t="n"/>
      <c r="S52" s="229">
        <f>M52*N52</f>
        <v/>
      </c>
      <c r="T52" s="230">
        <f>CONCATENATE(S52,Q52,P52)</f>
        <v/>
      </c>
      <c r="U52" s="206">
        <f>L52*M52</f>
        <v/>
      </c>
      <c r="V52" s="4" t="n"/>
      <c r="W52" s="4" t="n"/>
      <c r="X52" s="4" t="n"/>
    </row>
    <row r="53" ht="15" customHeight="1" thickBot="1">
      <c r="A53" s="183" t="n">
        <v>28</v>
      </c>
      <c r="B53" s="114" t="inlineStr">
        <is>
          <t>Bingo Orange</t>
        </is>
      </c>
      <c r="C53" s="114" t="n"/>
      <c r="D53" s="115">
        <f>IFERROR(__xludf.DUMMYFUNCTION("IF(J53="""",""n/a"",IFERROR(SPLIT(J53,""/"")))"),"n/a")</f>
        <v/>
      </c>
      <c r="E53" s="114" t="n"/>
      <c r="F53" s="114" t="n"/>
      <c r="G53" s="114" t="n"/>
      <c r="H53" s="84" t="inlineStr">
        <is>
          <t>F1</t>
        </is>
      </c>
      <c r="I53" s="7" t="n"/>
      <c r="J53" s="19" t="n"/>
      <c r="K53" s="7" t="n"/>
      <c r="L53" s="12" t="n">
        <v>6.17</v>
      </c>
      <c r="M53" s="191" t="n">
        <v>120</v>
      </c>
      <c r="N53" s="86" t="n">
        <v>10</v>
      </c>
      <c r="O53" s="13">
        <f>E53</f>
        <v/>
      </c>
      <c r="P53" s="23" t="inlineStr">
        <is>
          <t>pieces</t>
        </is>
      </c>
      <c r="Q53" s="20" t="n"/>
      <c r="R53" s="5" t="n"/>
      <c r="S53" s="229">
        <f>M53*N53</f>
        <v/>
      </c>
      <c r="T53" s="230">
        <f>CONCATENATE(S53,Q53,P53)</f>
        <v/>
      </c>
      <c r="U53" s="206">
        <f>L53*M53</f>
        <v/>
      </c>
      <c r="V53" s="4" t="n"/>
      <c r="W53" s="4" t="n"/>
      <c r="X53" s="4" t="n"/>
    </row>
    <row r="54" ht="15" customHeight="1" thickBot="1">
      <c r="A54" s="183" t="n">
        <v>29</v>
      </c>
      <c r="B54" s="115" t="inlineStr">
        <is>
          <t>Bingo Vanilla Biscuits</t>
        </is>
      </c>
      <c r="C54" s="115" t="n"/>
      <c r="D54" s="115">
        <f>IFERROR(__xludf.DUMMYFUNCTION("IF(J54="""",""n/a"",IFERROR(SPLIT(J54,""/"")))"),"Monde (10pcsx28grams)")</f>
        <v/>
      </c>
      <c r="E54" s="115" t="n"/>
      <c r="F54" s="115" t="n"/>
      <c r="G54" s="115" t="n"/>
      <c r="H54" s="11" t="inlineStr">
        <is>
          <t>Annex</t>
        </is>
      </c>
      <c r="I54" s="6" t="n"/>
      <c r="J54" s="19" t="inlineStr">
        <is>
          <t>Monde (10pcsx28grams)</t>
        </is>
      </c>
      <c r="K54" s="6" t="n"/>
      <c r="L54" s="8" t="n">
        <v>5.82</v>
      </c>
      <c r="M54" s="190" t="n">
        <v>5</v>
      </c>
      <c r="N54" s="17" t="n">
        <v>1</v>
      </c>
      <c r="O54" s="13">
        <f>E54</f>
        <v/>
      </c>
      <c r="P54" s="9" t="inlineStr">
        <is>
          <t>pieces</t>
        </is>
      </c>
      <c r="Q54" s="13" t="n"/>
      <c r="R54" s="78">
        <f>CONCATENATE(N54,P54)</f>
        <v/>
      </c>
      <c r="S54" s="229">
        <f>M54*N54</f>
        <v/>
      </c>
      <c r="T54" s="230">
        <f>CONCATENATE(S54,Q54,P54)</f>
        <v/>
      </c>
      <c r="U54" s="206">
        <f>L54*M54</f>
        <v/>
      </c>
      <c r="V54" s="34" t="n"/>
      <c r="W54" s="34" t="n"/>
      <c r="X54" s="34" t="n"/>
    </row>
    <row r="55" ht="15" customHeight="1" thickBot="1">
      <c r="A55" s="183" t="n">
        <v>29</v>
      </c>
      <c r="B55" s="115" t="inlineStr">
        <is>
          <t>Bingo Vanilla Biscuits</t>
        </is>
      </c>
      <c r="C55" s="115" t="n"/>
      <c r="D55" s="115">
        <f>IFERROR(__xludf.DUMMYFUNCTION("IF(J55="""",""n/a"",IFERROR(SPLIT(J55,""/"")))"),"Monde (10pcsx28grams)")</f>
        <v/>
      </c>
      <c r="E55" s="115" t="n"/>
      <c r="F55" s="115" t="n"/>
      <c r="G55" s="115" t="n"/>
      <c r="H55" s="11" t="inlineStr">
        <is>
          <t>CIP</t>
        </is>
      </c>
      <c r="I55" s="95" t="n"/>
      <c r="J55" s="93" t="inlineStr">
        <is>
          <t>Monde (10pcsx28grams)</t>
        </is>
      </c>
      <c r="K55" s="116" t="n"/>
      <c r="L55" s="90" t="n">
        <v>5.7</v>
      </c>
      <c r="M55" s="189" t="n">
        <v>375</v>
      </c>
      <c r="N55" s="13" t="n">
        <v>1</v>
      </c>
      <c r="O55" s="13">
        <f>E55</f>
        <v/>
      </c>
      <c r="P55" s="13" t="inlineStr">
        <is>
          <t>pieces</t>
        </is>
      </c>
      <c r="Q55" s="20" t="n"/>
      <c r="R55" s="5" t="n"/>
      <c r="S55" s="229">
        <f>M55*N55</f>
        <v/>
      </c>
      <c r="T55" s="230">
        <f>CONCATENATE(S55,Q55,P55)</f>
        <v/>
      </c>
      <c r="U55" s="206">
        <f>L55*M55</f>
        <v/>
      </c>
      <c r="V55" s="4" t="n"/>
      <c r="W55" s="4" t="n"/>
      <c r="X55" s="4" t="n"/>
    </row>
    <row r="56" ht="15" customHeight="1" thickBot="1">
      <c r="A56" s="183" t="n">
        <v>30</v>
      </c>
      <c r="B56" s="115" t="inlineStr">
        <is>
          <t>Birch Tree</t>
        </is>
      </c>
      <c r="C56" s="115" t="n"/>
      <c r="D56" s="115">
        <f>IFERROR(__xludf.DUMMYFUNCTION("IF(J56="""",""n/a"",IFERROR(SPLIT(J56,""/"")))"),"Birch Tree")</f>
        <v/>
      </c>
      <c r="E56" s="115">
        <f>IFERROR(__xludf.DUMMYFUNCTION("""COMPUTED_VALUE"""),"pack (pcsx33grams)")</f>
        <v/>
      </c>
      <c r="F56" s="115" t="n"/>
      <c r="G56" s="115" t="n"/>
      <c r="H56" s="11" t="inlineStr">
        <is>
          <t>Annex</t>
        </is>
      </c>
      <c r="I56" s="6" t="n"/>
      <c r="J56" s="19" t="inlineStr">
        <is>
          <t>Birch Tree/pack (pcsx33grams)</t>
        </is>
      </c>
      <c r="K56" s="6" t="n"/>
      <c r="L56" s="14" t="n">
        <v>8.57</v>
      </c>
      <c r="M56" s="190" t="n">
        <v>238</v>
      </c>
      <c r="N56" s="17" t="n">
        <v>1</v>
      </c>
      <c r="O56" s="13">
        <f>E56</f>
        <v/>
      </c>
      <c r="P56" s="9" t="inlineStr">
        <is>
          <t>pieces</t>
        </is>
      </c>
      <c r="Q56" s="13" t="n"/>
      <c r="R56" s="78">
        <f>CONCATENATE(N56,P56)</f>
        <v/>
      </c>
      <c r="S56" s="229">
        <f>M56*N56</f>
        <v/>
      </c>
      <c r="T56" s="230">
        <f>CONCATENATE(S56,Q56,P56)</f>
        <v/>
      </c>
      <c r="U56" s="206">
        <f>L56*M56</f>
        <v/>
      </c>
      <c r="V56" s="231" t="n"/>
      <c r="W56" s="236" t="n"/>
      <c r="X56" s="71" t="n"/>
    </row>
    <row r="57" ht="15" customHeight="1" thickBot="1">
      <c r="A57" s="183" t="n">
        <v>30</v>
      </c>
      <c r="B57" s="115" t="inlineStr">
        <is>
          <t>Birch Tree</t>
        </is>
      </c>
      <c r="C57" s="115" t="n"/>
      <c r="D57" s="115">
        <f>IFERROR(__xludf.DUMMYFUNCTION("IF(J57="""",""n/a"",IFERROR(SPLIT(J57,""/"")))"),"Birch Tree")</f>
        <v/>
      </c>
      <c r="E57" s="115">
        <f>IFERROR(__xludf.DUMMYFUNCTION("""COMPUTED_VALUE"""),"pack (pcsx33grams)")</f>
        <v/>
      </c>
      <c r="F57" s="115" t="n"/>
      <c r="G57" s="115" t="n"/>
      <c r="H57" s="11" t="inlineStr">
        <is>
          <t>CIP</t>
        </is>
      </c>
      <c r="I57" s="95" t="n"/>
      <c r="J57" s="19" t="inlineStr">
        <is>
          <t>Birch Tree/pack (pcsx33grams)</t>
        </is>
      </c>
      <c r="K57" s="5" t="n"/>
      <c r="L57" s="90" t="n">
        <v>8.92</v>
      </c>
      <c r="M57" s="189" t="n">
        <v>231</v>
      </c>
      <c r="N57" s="13" t="n">
        <v>1</v>
      </c>
      <c r="O57" s="13">
        <f>E57</f>
        <v/>
      </c>
      <c r="P57" s="13" t="inlineStr">
        <is>
          <t>pieces</t>
        </is>
      </c>
      <c r="Q57" s="20" t="n"/>
      <c r="R57" s="5" t="n"/>
      <c r="S57" s="229">
        <f>M57*N57</f>
        <v/>
      </c>
      <c r="T57" s="230">
        <f>CONCATENATE(S57,Q57,P57)</f>
        <v/>
      </c>
      <c r="U57" s="206">
        <f>L57*M57</f>
        <v/>
      </c>
      <c r="V57" s="4" t="n"/>
      <c r="W57" s="4" t="n"/>
      <c r="X57" s="4" t="n"/>
    </row>
    <row r="58" ht="15" customHeight="1" thickBot="1">
      <c r="A58" s="183" t="n">
        <v>30</v>
      </c>
      <c r="B58" s="114" t="inlineStr">
        <is>
          <t>Birch Tree</t>
        </is>
      </c>
      <c r="C58" s="114" t="n"/>
      <c r="D58" s="115">
        <f>IFERROR(__xludf.DUMMYFUNCTION("IF(J58="""",""n/a"",IFERROR(SPLIT(J58,""/"")))"),"n/a")</f>
        <v/>
      </c>
      <c r="E58" s="114" t="n"/>
      <c r="F58" s="114" t="n"/>
      <c r="G58" s="114" t="n"/>
      <c r="H58" s="84" t="inlineStr">
        <is>
          <t>F1</t>
        </is>
      </c>
      <c r="I58" s="7" t="n"/>
      <c r="J58" s="19" t="n"/>
      <c r="K58" s="7" t="n"/>
      <c r="L58" s="12" t="n">
        <v>8.75</v>
      </c>
      <c r="M58" s="191" t="n">
        <v>206</v>
      </c>
      <c r="N58" s="86" t="n">
        <v>1</v>
      </c>
      <c r="O58" s="13">
        <f>E58</f>
        <v/>
      </c>
      <c r="P58" s="23" t="inlineStr">
        <is>
          <t>pieces</t>
        </is>
      </c>
      <c r="Q58" s="20" t="n"/>
      <c r="R58" s="5" t="n"/>
      <c r="S58" s="229">
        <f>M58*N58</f>
        <v/>
      </c>
      <c r="T58" s="230">
        <f>CONCATENATE(S58,Q58,P58)</f>
        <v/>
      </c>
      <c r="U58" s="206">
        <f>L58*M58</f>
        <v/>
      </c>
      <c r="V58" s="4" t="n"/>
      <c r="W58" s="4" t="n"/>
      <c r="X58" s="4" t="n"/>
    </row>
    <row r="59" ht="15" customHeight="1" thickBot="1">
      <c r="A59" s="183" t="n">
        <v>31</v>
      </c>
      <c r="B59" s="114" t="inlineStr">
        <is>
          <t>Black Beans</t>
        </is>
      </c>
      <c r="C59" s="114" t="n"/>
      <c r="D59" s="115">
        <f>IFERROR(__xludf.DUMMYFUNCTION("IF(J59="""",""n/a"",IFERROR(SPLIT(J59,""/"")))"),"Temple")</f>
        <v/>
      </c>
      <c r="E59" s="114">
        <f>IFERROR(__xludf.DUMMYFUNCTION("""COMPUTED_VALUE"""),"can")</f>
        <v/>
      </c>
      <c r="F59" s="114">
        <f>IFERROR(__xludf.DUMMYFUNCTION("""COMPUTED_VALUE"""),"180grams")</f>
        <v/>
      </c>
      <c r="G59" s="114" t="n"/>
      <c r="H59" s="11" t="inlineStr">
        <is>
          <t>CIP</t>
        </is>
      </c>
      <c r="I59" s="95" t="n"/>
      <c r="J59" s="93" t="inlineStr">
        <is>
          <t>Temple/can/180grams</t>
        </is>
      </c>
      <c r="K59" s="116" t="n"/>
      <c r="L59" s="90" t="n">
        <v>31.1</v>
      </c>
      <c r="M59" s="189" t="n">
        <v>1</v>
      </c>
      <c r="N59" s="13" t="n">
        <v>1</v>
      </c>
      <c r="O59" s="13">
        <f>E59</f>
        <v/>
      </c>
      <c r="P59" s="13" t="inlineStr">
        <is>
          <t>grams</t>
        </is>
      </c>
      <c r="Q59" s="20" t="n"/>
      <c r="R59" s="5" t="n"/>
      <c r="S59" s="229">
        <f>M59*N59</f>
        <v/>
      </c>
      <c r="T59" s="230">
        <f>CONCATENATE(S59,Q59,P59)</f>
        <v/>
      </c>
      <c r="U59" s="206">
        <f>L59*M59</f>
        <v/>
      </c>
      <c r="V59" s="4" t="n"/>
      <c r="W59" s="4" t="n"/>
      <c r="X59" s="4" t="n"/>
    </row>
    <row r="60" ht="15" customHeight="1" thickBot="1">
      <c r="A60" s="183" t="n">
        <v>31</v>
      </c>
      <c r="B60" s="114" t="inlineStr">
        <is>
          <t>Black Beans</t>
        </is>
      </c>
      <c r="C60" s="114" t="n"/>
      <c r="D60" s="115">
        <f>IFERROR(__xludf.DUMMYFUNCTION("IF(J60="""",""n/a"",IFERROR(SPLIT(J60,""/"")))"),"n/a")</f>
        <v/>
      </c>
      <c r="E60" s="114" t="n"/>
      <c r="F60" s="114" t="n"/>
      <c r="G60" s="114" t="n"/>
      <c r="H60" s="84" t="inlineStr">
        <is>
          <t>F1</t>
        </is>
      </c>
      <c r="I60" s="7" t="n"/>
      <c r="J60" s="19" t="n"/>
      <c r="K60" s="7" t="n"/>
      <c r="L60" s="12" t="n">
        <v>0.1722222222222222</v>
      </c>
      <c r="M60" s="191" t="n">
        <v>5220</v>
      </c>
      <c r="N60" s="85" t="n">
        <v>180</v>
      </c>
      <c r="O60" s="13">
        <f>E60</f>
        <v/>
      </c>
      <c r="P60" s="12" t="inlineStr">
        <is>
          <t>grams</t>
        </is>
      </c>
      <c r="Q60" s="20" t="n"/>
      <c r="R60" s="5" t="n"/>
      <c r="S60" s="229">
        <f>M60*N60</f>
        <v/>
      </c>
      <c r="T60" s="230">
        <f>CONCATENATE(S60,Q60,P60)</f>
        <v/>
      </c>
      <c r="U60" s="206">
        <f>L60*M60</f>
        <v/>
      </c>
      <c r="V60" s="4" t="n"/>
      <c r="W60" s="4" t="n"/>
      <c r="X60" s="4" t="n"/>
    </row>
    <row r="61" ht="15" customHeight="1" thickBot="1">
      <c r="A61" s="183" t="n">
        <v>32</v>
      </c>
      <c r="B61" s="115" t="inlineStr">
        <is>
          <t>Black Coffee</t>
        </is>
      </c>
      <c r="C61" s="115" t="n"/>
      <c r="D61" s="115">
        <f>IFERROR(__xludf.DUMMYFUNCTION("IF(J61="""",""n/a"",IFERROR(SPLIT(J61,""/"")))"),"Kopiko")</f>
        <v/>
      </c>
      <c r="E61" s="115">
        <f>IFERROR(__xludf.DUMMYFUNCTION("""COMPUTED_VALUE"""),"pack (pcsx30grams)")</f>
        <v/>
      </c>
      <c r="F61" s="115" t="n"/>
      <c r="G61" s="115" t="n"/>
      <c r="H61" s="11" t="inlineStr">
        <is>
          <t>Annex</t>
        </is>
      </c>
      <c r="I61" s="6" t="n"/>
      <c r="J61" s="19" t="inlineStr">
        <is>
          <t>Kopiko/pack (pcsx30grams)</t>
        </is>
      </c>
      <c r="K61" s="6" t="n"/>
      <c r="L61" s="14" t="n">
        <v>7.37</v>
      </c>
      <c r="M61" s="190" t="n">
        <v>239</v>
      </c>
      <c r="N61" s="17" t="n">
        <v>1</v>
      </c>
      <c r="O61" s="13">
        <f>E61</f>
        <v/>
      </c>
      <c r="P61" s="9" t="inlineStr">
        <is>
          <t>pieces</t>
        </is>
      </c>
      <c r="Q61" s="13" t="n"/>
      <c r="R61" s="78">
        <f>CONCATENATE(N61,P61)</f>
        <v/>
      </c>
      <c r="S61" s="229">
        <f>M61*N61</f>
        <v/>
      </c>
      <c r="T61" s="230">
        <f>CONCATENATE(S61,Q61,P61)</f>
        <v/>
      </c>
      <c r="U61" s="206">
        <f>L61*M61</f>
        <v/>
      </c>
      <c r="V61" s="231" t="n"/>
      <c r="W61" s="231" t="n"/>
      <c r="X61" s="71" t="n"/>
    </row>
    <row r="62" ht="15" customHeight="1" thickBot="1">
      <c r="A62" s="183" t="n">
        <v>33</v>
      </c>
      <c r="B62" s="115" t="inlineStr">
        <is>
          <t>Black Olives</t>
        </is>
      </c>
      <c r="C62" s="115" t="n"/>
      <c r="D62" s="115">
        <f>IFERROR(__xludf.DUMMYFUNCTION("IF(J62="""",""n/a"",IFERROR(SPLIT(J62,""/"")))"),"Dona Elena")</f>
        <v/>
      </c>
      <c r="E62" s="115">
        <f>IFERROR(__xludf.DUMMYFUNCTION("""COMPUTED_VALUE"""),"bottle")</f>
        <v/>
      </c>
      <c r="F62" s="115">
        <f>IFERROR(__xludf.DUMMYFUNCTION("""COMPUTED_VALUE"""),"330grams")</f>
        <v/>
      </c>
      <c r="G62" s="115" t="n"/>
      <c r="H62" s="11" t="inlineStr">
        <is>
          <t>Annex</t>
        </is>
      </c>
      <c r="I62" s="6" t="n"/>
      <c r="J62" s="19" t="inlineStr">
        <is>
          <t>Dona Elena/bottle/330grams</t>
        </is>
      </c>
      <c r="K62" s="6" t="n"/>
      <c r="L62" s="14" t="n">
        <v>0.4984848484848485</v>
      </c>
      <c r="M62" s="190" t="n">
        <v>330</v>
      </c>
      <c r="N62" s="17" t="n">
        <v>330</v>
      </c>
      <c r="O62" s="13">
        <f>E62</f>
        <v/>
      </c>
      <c r="P62" s="9" t="inlineStr">
        <is>
          <t>grams</t>
        </is>
      </c>
      <c r="Q62" s="13" t="n"/>
      <c r="R62" s="78">
        <f>CONCATENATE(N62,P62)</f>
        <v/>
      </c>
      <c r="S62" s="229">
        <f>M62*N62</f>
        <v/>
      </c>
      <c r="T62" s="230">
        <f>CONCATENATE(S62,Q62,P62)</f>
        <v/>
      </c>
      <c r="U62" s="206">
        <f>L62*M62</f>
        <v/>
      </c>
      <c r="V62" s="231" t="n"/>
      <c r="W62" s="236" t="n"/>
      <c r="X62" s="71" t="n"/>
    </row>
    <row r="63" ht="15" customHeight="1" thickBot="1">
      <c r="A63" s="183" t="n">
        <v>34</v>
      </c>
      <c r="B63" s="115" t="inlineStr">
        <is>
          <t>Black Peppercon - Ground</t>
        </is>
      </c>
      <c r="C63" s="115" t="n"/>
      <c r="D63" s="115">
        <f>IFERROR(__xludf.DUMMYFUNCTION("IF(J63="""",""n/a"",IFERROR(SPLIT(J63,""/"")))"),"Edward")</f>
        <v/>
      </c>
      <c r="E63" s="115">
        <f>IFERROR(__xludf.DUMMYFUNCTION("""COMPUTED_VALUE"""),"pack")</f>
        <v/>
      </c>
      <c r="F63" s="115">
        <f>IFERROR(__xludf.DUMMYFUNCTION("""COMPUTED_VALUE"""),"1000grams")</f>
        <v/>
      </c>
      <c r="G63" s="115" t="n"/>
      <c r="H63" s="11" t="inlineStr">
        <is>
          <t>CIP</t>
        </is>
      </c>
      <c r="I63" s="95" t="n"/>
      <c r="J63" s="19" t="inlineStr">
        <is>
          <t>Edward/pack/1000grams</t>
        </is>
      </c>
      <c r="K63" s="116" t="n"/>
      <c r="L63" s="90" t="n">
        <v>590</v>
      </c>
      <c r="M63" s="189" t="n">
        <v>0.5</v>
      </c>
      <c r="N63" s="13" t="n">
        <v>1</v>
      </c>
      <c r="O63" s="13">
        <f>E63</f>
        <v/>
      </c>
      <c r="P63" s="13" t="inlineStr">
        <is>
          <t>grams</t>
        </is>
      </c>
      <c r="Q63" s="20" t="n"/>
      <c r="R63" s="5" t="n"/>
      <c r="S63" s="229">
        <f>M63*N63</f>
        <v/>
      </c>
      <c r="T63" s="230">
        <f>CONCATENATE(S63,Q63,P63)</f>
        <v/>
      </c>
      <c r="U63" s="206">
        <f>L63*M63</f>
        <v/>
      </c>
      <c r="V63" s="4" t="n"/>
      <c r="W63" s="4" t="n"/>
      <c r="X63" s="4" t="n"/>
    </row>
    <row r="64" ht="15" customHeight="1" thickBot="1">
      <c r="A64" s="183" t="n">
        <v>35</v>
      </c>
      <c r="B64" s="115" t="inlineStr">
        <is>
          <t>Blanca Coffee</t>
        </is>
      </c>
      <c r="C64" s="115" t="n"/>
      <c r="D64" s="115">
        <f>IFERROR(__xludf.DUMMYFUNCTION("IF(J64="""",""n/a"",IFERROR(SPLIT(J64,""/"")))"),"Kopiko")</f>
        <v/>
      </c>
      <c r="E64" s="115">
        <f>IFERROR(__xludf.DUMMYFUNCTION("""COMPUTED_VALUE"""),"pack (pcsx30grams)")</f>
        <v/>
      </c>
      <c r="F64" s="115" t="n"/>
      <c r="G64" s="115" t="n"/>
      <c r="H64" s="11" t="inlineStr">
        <is>
          <t>Annex</t>
        </is>
      </c>
      <c r="I64" s="6" t="n"/>
      <c r="J64" s="19" t="inlineStr">
        <is>
          <t>Kopiko/pack (pcsx30grams)</t>
        </is>
      </c>
      <c r="K64" s="6" t="n"/>
      <c r="L64" s="14" t="n">
        <v>8.199999999999999</v>
      </c>
      <c r="M64" s="190" t="n">
        <v>180</v>
      </c>
      <c r="N64" s="17" t="n">
        <v>1</v>
      </c>
      <c r="O64" s="13">
        <f>E64</f>
        <v/>
      </c>
      <c r="P64" s="9" t="inlineStr">
        <is>
          <t>pieces</t>
        </is>
      </c>
      <c r="Q64" s="13" t="n"/>
      <c r="R64" s="78">
        <f>CONCATENATE(N64,P64)</f>
        <v/>
      </c>
      <c r="S64" s="229">
        <f>M64*N64</f>
        <v/>
      </c>
      <c r="T64" s="230">
        <f>CONCATENATE(S64,Q64,P64)</f>
        <v/>
      </c>
      <c r="U64" s="206">
        <f>L64*M64</f>
        <v/>
      </c>
      <c r="V64" s="231" t="n"/>
      <c r="W64" s="236" t="n"/>
      <c r="X64" s="71" t="n"/>
    </row>
    <row r="65" ht="15" customHeight="1" thickBot="1">
      <c r="A65" s="183" t="n">
        <v>36</v>
      </c>
      <c r="B65" s="115" t="inlineStr">
        <is>
          <t>Bleach</t>
        </is>
      </c>
      <c r="C65" s="115" t="n"/>
      <c r="D65" s="115">
        <f>IFERROR(__xludf.DUMMYFUNCTION("IF(J65="""",""n/a"",IFERROR(SPLIT(J65,""/"")))"),"Quinriv")</f>
        <v/>
      </c>
      <c r="E65" s="115" t="n"/>
      <c r="F65" s="115" t="n"/>
      <c r="G65" s="115" t="n"/>
      <c r="H65" s="11" t="inlineStr">
        <is>
          <t>Annex</t>
        </is>
      </c>
      <c r="I65" s="6" t="n"/>
      <c r="J65" s="19" t="inlineStr">
        <is>
          <t>Quinriv</t>
        </is>
      </c>
      <c r="K65" s="6" t="n"/>
      <c r="L65" s="8" t="n">
        <v>127</v>
      </c>
      <c r="M65" s="190" t="n">
        <v>1</v>
      </c>
      <c r="N65" s="17" t="n">
        <v>1</v>
      </c>
      <c r="O65" s="13">
        <f>E65</f>
        <v/>
      </c>
      <c r="P65" s="9" t="inlineStr">
        <is>
          <t>gal</t>
        </is>
      </c>
      <c r="Q65" s="13" t="n"/>
      <c r="R65" s="78">
        <f>CONCATENATE(N65,P65)</f>
        <v/>
      </c>
      <c r="S65" s="229">
        <f>M65*N65</f>
        <v/>
      </c>
      <c r="T65" s="230">
        <f>CONCATENATE(S65,Q65,P65)</f>
        <v/>
      </c>
      <c r="U65" s="206">
        <f>L65*M65</f>
        <v/>
      </c>
      <c r="V65" s="231" t="n"/>
      <c r="W65" s="236" t="n"/>
      <c r="X65" s="71" t="n"/>
    </row>
    <row r="66" ht="15" customHeight="1" thickBot="1">
      <c r="A66" s="183" t="n">
        <v>37</v>
      </c>
      <c r="B66" s="115" t="inlineStr">
        <is>
          <t>Blend 45</t>
        </is>
      </c>
      <c r="C66" s="115" t="n"/>
      <c r="D66" s="115">
        <f>IFERROR(__xludf.DUMMYFUNCTION("IF(J66="""",""n/a"",IFERROR(SPLIT(J66,""/"")))"),"URC")</f>
        <v/>
      </c>
      <c r="E66" s="115">
        <f>IFERROR(__xludf.DUMMYFUNCTION("""COMPUTED_VALUE"""),"pack (pcsx18grams)")</f>
        <v/>
      </c>
      <c r="F66" s="115" t="n"/>
      <c r="G66" s="115" t="n"/>
      <c r="H66" s="11" t="inlineStr">
        <is>
          <t>Annex</t>
        </is>
      </c>
      <c r="I66" s="6" t="n"/>
      <c r="J66" s="19" t="inlineStr">
        <is>
          <t>URC/pack (pcsx18grams)</t>
        </is>
      </c>
      <c r="K66" s="6" t="n"/>
      <c r="L66" s="8" t="n">
        <v>4.1</v>
      </c>
      <c r="M66" s="190" t="n">
        <v>100</v>
      </c>
      <c r="N66" s="17" t="n">
        <v>1</v>
      </c>
      <c r="O66" s="13">
        <f>E66</f>
        <v/>
      </c>
      <c r="P66" s="9" t="inlineStr">
        <is>
          <t>pieces</t>
        </is>
      </c>
      <c r="Q66" s="13" t="n"/>
      <c r="R66" s="78">
        <f>CONCATENATE(N66,P66)</f>
        <v/>
      </c>
      <c r="S66" s="229">
        <f>M66*N66</f>
        <v/>
      </c>
      <c r="T66" s="230">
        <f>CONCATENATE(S66,Q66,P66)</f>
        <v/>
      </c>
      <c r="U66" s="206">
        <f>L66*M66</f>
        <v/>
      </c>
      <c r="V66" s="231" t="n"/>
      <c r="W66" s="236" t="n"/>
      <c r="X66" s="71" t="n"/>
    </row>
    <row r="67" ht="15" customHeight="1" thickBot="1">
      <c r="A67" s="183" t="n">
        <v>37</v>
      </c>
      <c r="B67" s="114" t="inlineStr">
        <is>
          <t>Blend 45</t>
        </is>
      </c>
      <c r="C67" s="114" t="n"/>
      <c r="D67" s="115">
        <f>IFERROR(__xludf.DUMMYFUNCTION("IF(J67="""",""n/a"",IFERROR(SPLIT(J67,""/"")))"),"n/a")</f>
        <v/>
      </c>
      <c r="E67" s="114" t="n"/>
      <c r="F67" s="114" t="n"/>
      <c r="G67" s="114" t="n"/>
      <c r="H67" s="84" t="inlineStr">
        <is>
          <t>F1</t>
        </is>
      </c>
      <c r="I67" s="7" t="n"/>
      <c r="J67" s="19" t="n"/>
      <c r="K67" s="7" t="n"/>
      <c r="L67" s="12" t="n">
        <v>4.297</v>
      </c>
      <c r="M67" s="191" t="n">
        <v>196</v>
      </c>
      <c r="N67" s="86" t="n">
        <v>1</v>
      </c>
      <c r="O67" s="13">
        <f>E67</f>
        <v/>
      </c>
      <c r="P67" s="23" t="inlineStr">
        <is>
          <t>pieces</t>
        </is>
      </c>
      <c r="Q67" s="20" t="n"/>
      <c r="R67" s="5" t="n"/>
      <c r="S67" s="229">
        <f>M67*N67</f>
        <v/>
      </c>
      <c r="T67" s="230">
        <f>CONCATENATE(S67,Q67,P67)</f>
        <v/>
      </c>
      <c r="U67" s="206">
        <f>L67*M67</f>
        <v/>
      </c>
      <c r="V67" s="4" t="n"/>
      <c r="W67" s="4" t="n"/>
      <c r="X67" s="4" t="n"/>
    </row>
    <row r="68" ht="15" customHeight="1" thickBot="1">
      <c r="A68" s="183" t="n">
        <v>38</v>
      </c>
      <c r="B68" s="115" t="inlineStr">
        <is>
          <t>Bread Crumbs</t>
        </is>
      </c>
      <c r="C68" s="115" t="n"/>
      <c r="D68" s="115">
        <f>IFERROR(__xludf.DUMMYFUNCTION("IF(J68="""",""n/a"",IFERROR(SPLIT(J68,""/"")))"),"Goodlife")</f>
        <v/>
      </c>
      <c r="E68" s="115">
        <f>IFERROR(__xludf.DUMMYFUNCTION("""COMPUTED_VALUE"""),"pack")</f>
        <v/>
      </c>
      <c r="F68" s="115">
        <f>IFERROR(__xludf.DUMMYFUNCTION("""COMPUTED_VALUE"""),"1000grams")</f>
        <v/>
      </c>
      <c r="G68" s="115" t="n"/>
      <c r="H68" s="11" t="inlineStr">
        <is>
          <t>CIP</t>
        </is>
      </c>
      <c r="I68" s="95" t="n"/>
      <c r="J68" s="19" t="inlineStr">
        <is>
          <t>Goodlife/pack/1000grams</t>
        </is>
      </c>
      <c r="K68" s="5" t="n"/>
      <c r="L68" s="94" t="n">
        <v>143.2</v>
      </c>
      <c r="M68" s="193" t="n">
        <v>9</v>
      </c>
      <c r="N68" s="9" t="n">
        <v>1000</v>
      </c>
      <c r="O68" s="13">
        <f>E68</f>
        <v/>
      </c>
      <c r="P68" s="13" t="inlineStr">
        <is>
          <t>grams</t>
        </is>
      </c>
      <c r="Q68" s="20" t="n"/>
      <c r="R68" s="5" t="n"/>
      <c r="S68" s="229">
        <f>M68*N68</f>
        <v/>
      </c>
      <c r="T68" s="230">
        <f>CONCATENATE(S68,Q68,P68)</f>
        <v/>
      </c>
      <c r="U68" s="206">
        <f>L68*M68</f>
        <v/>
      </c>
      <c r="V68" s="4" t="n"/>
      <c r="W68" s="4" t="n"/>
      <c r="X68" s="4" t="n"/>
    </row>
    <row r="69" ht="15" customHeight="1" thickBot="1">
      <c r="A69" s="183" t="n">
        <v>38</v>
      </c>
      <c r="B69" s="115" t="inlineStr">
        <is>
          <t>Bread Crumbs</t>
        </is>
      </c>
      <c r="C69" s="115" t="n"/>
      <c r="D69" s="115">
        <f>IFERROR(__xludf.DUMMYFUNCTION("IF(J69="""",""n/a"",IFERROR(SPLIT(J69,""/"")))"),"Krispers")</f>
        <v/>
      </c>
      <c r="E69" s="115">
        <f>IFERROR(__xludf.DUMMYFUNCTION("""COMPUTED_VALUE"""),"pack")</f>
        <v/>
      </c>
      <c r="F69" s="115">
        <f>IFERROR(__xludf.DUMMYFUNCTION("""COMPUTED_VALUE"""),"1000grams")</f>
        <v/>
      </c>
      <c r="G69" s="115" t="n"/>
      <c r="H69" s="84" t="inlineStr">
        <is>
          <t>F1</t>
        </is>
      </c>
      <c r="I69" s="7" t="n"/>
      <c r="J69" s="19" t="inlineStr">
        <is>
          <t>Krispers/pack/1000grams</t>
        </is>
      </c>
      <c r="K69" s="7" t="n"/>
      <c r="L69" s="12" t="n">
        <v>0.165</v>
      </c>
      <c r="M69" s="192">
        <f>12400+1000</f>
        <v/>
      </c>
      <c r="N69" s="85" t="n">
        <v>1000</v>
      </c>
      <c r="O69" s="13">
        <f>E69</f>
        <v/>
      </c>
      <c r="P69" s="9" t="inlineStr">
        <is>
          <t>grams</t>
        </is>
      </c>
      <c r="Q69" s="20" t="n"/>
      <c r="R69" s="5" t="n"/>
      <c r="S69" s="229">
        <f>M69*N69</f>
        <v/>
      </c>
      <c r="T69" s="230">
        <f>CONCATENATE(S69,Q69,P69)</f>
        <v/>
      </c>
      <c r="U69" s="206">
        <f>L69*M69</f>
        <v/>
      </c>
      <c r="V69" s="4" t="n"/>
      <c r="W69" s="4" t="n"/>
      <c r="X69" s="4" t="n"/>
    </row>
    <row r="70" ht="15" customHeight="1" thickBot="1">
      <c r="A70" s="183" t="n">
        <v>39</v>
      </c>
      <c r="B70" s="114" t="inlineStr">
        <is>
          <t>Bread Stick</t>
        </is>
      </c>
      <c r="C70" s="114" t="n"/>
      <c r="D70" s="115">
        <f>IFERROR(__xludf.DUMMYFUNCTION("IF(J70="""",""n/a"",IFERROR(SPLIT(J70,""/"")))"),"n/a")</f>
        <v/>
      </c>
      <c r="E70" s="114" t="n"/>
      <c r="F70" s="114" t="n"/>
      <c r="G70" s="114" t="n"/>
      <c r="H70" s="84" t="inlineStr">
        <is>
          <t>F1</t>
        </is>
      </c>
      <c r="I70" s="7" t="n"/>
      <c r="J70" s="19" t="n"/>
      <c r="K70" s="7" t="n"/>
      <c r="L70" s="12" t="n">
        <v>49</v>
      </c>
      <c r="M70" s="192" t="n">
        <v>2</v>
      </c>
      <c r="N70" s="85" t="n">
        <v>1</v>
      </c>
      <c r="O70" s="13">
        <f>E70</f>
        <v/>
      </c>
      <c r="P70" s="9" t="inlineStr">
        <is>
          <t>grams</t>
        </is>
      </c>
      <c r="Q70" s="20" t="n"/>
      <c r="R70" s="5" t="n"/>
      <c r="S70" s="229">
        <f>M70*N70</f>
        <v/>
      </c>
      <c r="T70" s="230">
        <f>CONCATENATE(S70,Q70,P70)</f>
        <v/>
      </c>
      <c r="U70" s="206">
        <f>L70*M70</f>
        <v/>
      </c>
      <c r="V70" s="4" t="n"/>
      <c r="W70" s="4" t="n"/>
      <c r="X70" s="4" t="n"/>
    </row>
    <row r="71" ht="15" customHeight="1" thickBot="1">
      <c r="A71" s="183" t="n">
        <v>40</v>
      </c>
      <c r="B71" s="115" t="inlineStr">
        <is>
          <t>Brewed Coffee</t>
        </is>
      </c>
      <c r="C71" s="115" t="n"/>
      <c r="D71" s="115">
        <f>IFERROR(__xludf.DUMMYFUNCTION("IF(J71="""",""n/a"",IFERROR(SPLIT(J71,""/"")))"),"Tropical Brewed")</f>
        <v/>
      </c>
      <c r="E71" s="115">
        <f>IFERROR(__xludf.DUMMYFUNCTION("""COMPUTED_VALUE"""),"pack")</f>
        <v/>
      </c>
      <c r="F71" s="115">
        <f>IFERROR(__xludf.DUMMYFUNCTION("""COMPUTED_VALUE"""),1000)</f>
        <v/>
      </c>
      <c r="G71" s="115" t="n"/>
      <c r="H71" s="11" t="inlineStr">
        <is>
          <t>Annex</t>
        </is>
      </c>
      <c r="I71" s="6" t="n"/>
      <c r="J71" s="19" t="inlineStr">
        <is>
          <t>Tropical Brewed/pack/1000</t>
        </is>
      </c>
      <c r="K71" s="6" t="n"/>
      <c r="L71" s="8" t="n">
        <v>0.7</v>
      </c>
      <c r="M71" s="190" t="n">
        <v>2000</v>
      </c>
      <c r="N71" s="17" t="n">
        <v>1000</v>
      </c>
      <c r="O71" s="13">
        <f>E71</f>
        <v/>
      </c>
      <c r="P71" s="9" t="inlineStr">
        <is>
          <t>grams</t>
        </is>
      </c>
      <c r="Q71" s="13" t="n"/>
      <c r="R71" s="78">
        <f>CONCATENATE(N71,P71)</f>
        <v/>
      </c>
      <c r="S71" s="229">
        <f>M71*N71</f>
        <v/>
      </c>
      <c r="T71" s="230">
        <f>CONCATENATE(S71,Q71,P71)</f>
        <v/>
      </c>
      <c r="U71" s="206">
        <f>L71*M71</f>
        <v/>
      </c>
      <c r="V71" s="231" t="n"/>
      <c r="W71" s="236" t="n"/>
      <c r="X71" s="71" t="n"/>
    </row>
    <row r="72" ht="15" customHeight="1" thickBot="1">
      <c r="A72" s="183" t="n">
        <v>40</v>
      </c>
      <c r="B72" s="114" t="inlineStr">
        <is>
          <t>Brewed Coffee</t>
        </is>
      </c>
      <c r="C72" s="114" t="n"/>
      <c r="D72" s="115">
        <f>IFERROR(__xludf.DUMMYFUNCTION("IF(J72="""",""n/a"",IFERROR(SPLIT(J72,""/"")))"),"Tropical Brewed")</f>
        <v/>
      </c>
      <c r="E72" s="114">
        <f>IFERROR(__xludf.DUMMYFUNCTION("""COMPUTED_VALUE"""),"pack")</f>
        <v/>
      </c>
      <c r="F72" s="114">
        <f>IFERROR(__xludf.DUMMYFUNCTION("""COMPUTED_VALUE"""),"500grams")</f>
        <v/>
      </c>
      <c r="G72" s="114" t="n"/>
      <c r="H72" s="11" t="inlineStr">
        <is>
          <t>CIP</t>
        </is>
      </c>
      <c r="I72" s="95" t="n"/>
      <c r="J72" s="93" t="inlineStr">
        <is>
          <t>Tropical Brewed/pack/500grams</t>
        </is>
      </c>
      <c r="K72" s="5" t="n"/>
      <c r="L72" s="90" t="n">
        <v>350</v>
      </c>
      <c r="M72" s="189" t="n">
        <v>3</v>
      </c>
      <c r="N72" s="13" t="n">
        <v>0.5</v>
      </c>
      <c r="O72" s="13">
        <f>E72</f>
        <v/>
      </c>
      <c r="P72" s="13" t="inlineStr">
        <is>
          <t>grams</t>
        </is>
      </c>
      <c r="Q72" s="20" t="n"/>
      <c r="R72" s="5" t="n"/>
      <c r="S72" s="229">
        <f>M72*N72</f>
        <v/>
      </c>
      <c r="T72" s="230">
        <f>CONCATENATE(S72,Q72,P72)</f>
        <v/>
      </c>
      <c r="U72" s="206">
        <f>L72*M72</f>
        <v/>
      </c>
      <c r="V72" s="4" t="n"/>
      <c r="W72" s="4" t="n"/>
      <c r="X72" s="4" t="n"/>
    </row>
    <row r="73" ht="15" customHeight="1" thickBot="1">
      <c r="A73" s="183" t="n">
        <v>40</v>
      </c>
      <c r="B73" s="114" t="inlineStr">
        <is>
          <t>Brewed Coffee</t>
        </is>
      </c>
      <c r="C73" s="114" t="n"/>
      <c r="D73" s="115">
        <f>IFERROR(__xludf.DUMMYFUNCTION("IF(J73="""",""n/a"",IFERROR(SPLIT(J73,""/"")))"),"n/a")</f>
        <v/>
      </c>
      <c r="E73" s="114" t="n"/>
      <c r="F73" s="114" t="n"/>
      <c r="G73" s="114" t="n"/>
      <c r="H73" s="84" t="inlineStr">
        <is>
          <t>F1</t>
        </is>
      </c>
      <c r="I73" s="7" t="n"/>
      <c r="J73" s="19" t="n"/>
      <c r="K73" s="7" t="n"/>
      <c r="L73" s="12" t="n">
        <v>0.6</v>
      </c>
      <c r="M73" s="191" t="n">
        <v>2000</v>
      </c>
      <c r="N73" s="85" t="n">
        <v>1000</v>
      </c>
      <c r="O73" s="13">
        <f>E73</f>
        <v/>
      </c>
      <c r="P73" s="23" t="inlineStr">
        <is>
          <t>grams</t>
        </is>
      </c>
      <c r="Q73" s="20" t="n"/>
      <c r="R73" s="5" t="n"/>
      <c r="S73" s="229">
        <f>M73*N73</f>
        <v/>
      </c>
      <c r="T73" s="230">
        <f>CONCATENATE(S73,Q73,P73)</f>
        <v/>
      </c>
      <c r="U73" s="206">
        <f>L73*M73</f>
        <v/>
      </c>
      <c r="V73" s="4" t="n"/>
      <c r="W73" s="4" t="n"/>
      <c r="X73" s="4" t="n"/>
    </row>
    <row r="74" ht="15" customHeight="1" thickBot="1">
      <c r="A74" s="183" t="n">
        <v>41</v>
      </c>
      <c r="B74" s="115" t="inlineStr">
        <is>
          <t>Broth Cubes - Beef</t>
        </is>
      </c>
      <c r="C74" s="115" t="n"/>
      <c r="D74" s="115">
        <f>IFERROR(__xludf.DUMMYFUNCTION("IF(J74="""",""n/a"",IFERROR(SPLIT(J74,""/"")))"),"Knorr")</f>
        <v/>
      </c>
      <c r="E74" s="115">
        <f>IFERROR(__xludf.DUMMYFUNCTION("""COMPUTED_VALUE"""),"box")</f>
        <v/>
      </c>
      <c r="F74" s="115">
        <f>IFERROR(__xludf.DUMMYFUNCTION("""COMPUTED_VALUE"""),"grams")</f>
        <v/>
      </c>
      <c r="G74" s="115">
        <f>IFERROR(__xludf.DUMMYFUNCTION("""COMPUTED_VALUE"""),"12pcs")</f>
        <v/>
      </c>
      <c r="H74" s="11" t="inlineStr">
        <is>
          <t>Annex</t>
        </is>
      </c>
      <c r="I74" s="6" t="n"/>
      <c r="J74" s="19" t="inlineStr">
        <is>
          <t>Knorr/box/grams/12pcs</t>
        </is>
      </c>
      <c r="K74" s="18" t="n"/>
      <c r="L74" s="12" t="n">
        <v>0.5666666666666667</v>
      </c>
      <c r="M74" s="190" t="n">
        <v>240</v>
      </c>
      <c r="N74" s="17" t="n">
        <v>120</v>
      </c>
      <c r="O74" s="13">
        <f>E74</f>
        <v/>
      </c>
      <c r="P74" s="9" t="inlineStr">
        <is>
          <t>grams</t>
        </is>
      </c>
      <c r="Q74" s="13" t="n"/>
      <c r="R74" s="78">
        <f>CONCATENATE(N74,P74)</f>
        <v/>
      </c>
      <c r="S74" s="229">
        <f>M74*N74</f>
        <v/>
      </c>
      <c r="T74" s="230">
        <f>CONCATENATE(S74,Q74,P74)</f>
        <v/>
      </c>
      <c r="U74" s="206">
        <f>L74*M74</f>
        <v/>
      </c>
      <c r="V74" s="231" t="n"/>
      <c r="W74" s="236" t="n"/>
      <c r="X74" s="71" t="n"/>
    </row>
    <row r="75" ht="15" customHeight="1" thickBot="1">
      <c r="A75" s="183" t="n">
        <v>41</v>
      </c>
      <c r="B75" s="115" t="inlineStr">
        <is>
          <t>Broth Cubes - Beef</t>
        </is>
      </c>
      <c r="C75" s="115" t="n"/>
      <c r="D75" s="115">
        <f>IFERROR(__xludf.DUMMYFUNCTION("IF(J75="""",""n/a"",IFERROR(SPLIT(J75,""/"")))"),"Mc Cormick")</f>
        <v/>
      </c>
      <c r="E75" s="115">
        <f>IFERROR(__xludf.DUMMYFUNCTION("""COMPUTED_VALUE"""),"bottle")</f>
        <v/>
      </c>
      <c r="F75" s="115">
        <f>IFERROR(__xludf.DUMMYFUNCTION("""COMPUTED_VALUE"""),"30ml")</f>
        <v/>
      </c>
      <c r="G75" s="115" t="n"/>
      <c r="H75" s="11" t="inlineStr">
        <is>
          <t>Annex</t>
        </is>
      </c>
      <c r="I75" s="6" t="n"/>
      <c r="J75" s="19" t="inlineStr">
        <is>
          <t>Mc Cormick/bottle/30ml</t>
        </is>
      </c>
      <c r="K75" s="6" t="n"/>
      <c r="L75" s="8" t="n">
        <v>2.166666666666667</v>
      </c>
      <c r="M75" s="190" t="n">
        <v>30</v>
      </c>
      <c r="N75" s="22" t="n">
        <v>30</v>
      </c>
      <c r="O75" s="13">
        <f>E75</f>
        <v/>
      </c>
      <c r="P75" s="12" t="inlineStr">
        <is>
          <t>ml</t>
        </is>
      </c>
      <c r="Q75" s="13" t="n"/>
      <c r="R75" s="78">
        <f>CONCATENATE(N75,P75)</f>
        <v/>
      </c>
      <c r="S75" s="229">
        <f>M75*N75</f>
        <v/>
      </c>
      <c r="T75" s="230">
        <f>CONCATENATE(S75,Q75,P75)</f>
        <v/>
      </c>
      <c r="U75" s="206">
        <f>L75*M75</f>
        <v/>
      </c>
      <c r="V75" s="231" t="n"/>
      <c r="W75" s="231" t="n"/>
      <c r="X75" s="71" t="n"/>
    </row>
    <row r="76" ht="15" customHeight="1" thickBot="1">
      <c r="A76" s="183" t="n">
        <v>41</v>
      </c>
      <c r="B76" s="115" t="inlineStr">
        <is>
          <t>Broth Cubes - Beef</t>
        </is>
      </c>
      <c r="C76" s="115" t="n"/>
      <c r="D76" s="115">
        <f>IFERROR(__xludf.DUMMYFUNCTION("IF(J76="""",""n/a"",IFERROR(SPLIT(J76,""/"")))"),"Knorr")</f>
        <v/>
      </c>
      <c r="E76" s="115">
        <f>IFERROR(__xludf.DUMMYFUNCTION("""COMPUTED_VALUE"""),"box")</f>
        <v/>
      </c>
      <c r="F76" s="115">
        <f>IFERROR(__xludf.DUMMYFUNCTION("""COMPUTED_VALUE"""),"60grams")</f>
        <v/>
      </c>
      <c r="G76" s="115" t="n"/>
      <c r="H76" s="11" t="inlineStr">
        <is>
          <t>CIP</t>
        </is>
      </c>
      <c r="I76" s="95" t="n"/>
      <c r="J76" s="19" t="inlineStr">
        <is>
          <t>Knorr/box/60grams</t>
        </is>
      </c>
      <c r="K76" s="116" t="n"/>
      <c r="L76" s="90" t="n">
        <v>35.2</v>
      </c>
      <c r="M76" s="189" t="n">
        <v>2</v>
      </c>
      <c r="N76" s="13" t="n">
        <v>1</v>
      </c>
      <c r="O76" s="13">
        <f>E76</f>
        <v/>
      </c>
      <c r="P76" s="13" t="inlineStr">
        <is>
          <t>grams</t>
        </is>
      </c>
      <c r="Q76" s="20" t="n"/>
      <c r="R76" s="5" t="n"/>
      <c r="S76" s="229">
        <f>M76*N76</f>
        <v/>
      </c>
      <c r="T76" s="230">
        <f>CONCATENATE(S76,Q76,P76)</f>
        <v/>
      </c>
      <c r="U76" s="206">
        <f>L76*M76</f>
        <v/>
      </c>
      <c r="V76" s="4" t="n"/>
      <c r="W76" s="4" t="n"/>
      <c r="X76" s="4" t="n"/>
    </row>
    <row r="77" ht="15" customHeight="1" thickBot="1">
      <c r="A77" s="183" t="n">
        <v>42</v>
      </c>
      <c r="B77" s="115" t="inlineStr">
        <is>
          <t>Broth Cubes - Chicken</t>
        </is>
      </c>
      <c r="C77" s="115" t="n"/>
      <c r="D77" s="115">
        <f>IFERROR(__xludf.DUMMYFUNCTION("IF(J77="""",""n/a"",IFERROR(SPLIT(J77,""/"")))"),"Knorr")</f>
        <v/>
      </c>
      <c r="E77" s="115">
        <f>IFERROR(__xludf.DUMMYFUNCTION("""COMPUTED_VALUE"""),"box")</f>
        <v/>
      </c>
      <c r="F77" s="115">
        <f>IFERROR(__xludf.DUMMYFUNCTION("""COMPUTED_VALUE"""),"grams")</f>
        <v/>
      </c>
      <c r="G77" s="115" t="n"/>
      <c r="H77" s="11" t="inlineStr">
        <is>
          <t>Annex</t>
        </is>
      </c>
      <c r="I77" s="6" t="n"/>
      <c r="J77" s="19" t="inlineStr">
        <is>
          <t>Knorr/box/grams</t>
        </is>
      </c>
      <c r="K77" s="18" t="n"/>
      <c r="L77" s="12" t="n">
        <v>0.5683333333333334</v>
      </c>
      <c r="M77" s="190" t="n">
        <v>240</v>
      </c>
      <c r="N77" s="17" t="n">
        <v>120</v>
      </c>
      <c r="O77" s="13">
        <f>E77</f>
        <v/>
      </c>
      <c r="P77" s="9" t="inlineStr">
        <is>
          <t>grams</t>
        </is>
      </c>
      <c r="Q77" s="13" t="n"/>
      <c r="R77" s="78">
        <f>CONCATENATE(N77,P77)</f>
        <v/>
      </c>
      <c r="S77" s="229">
        <f>M77*N77</f>
        <v/>
      </c>
      <c r="T77" s="230">
        <f>CONCATENATE(S77,Q77,P77)</f>
        <v/>
      </c>
      <c r="U77" s="206">
        <f>L77*M77</f>
        <v/>
      </c>
      <c r="V77" s="231" t="n"/>
      <c r="W77" s="236" t="n"/>
      <c r="X77" s="71" t="n"/>
    </row>
    <row r="78" ht="15" customHeight="1" thickBot="1">
      <c r="A78" s="183" t="n">
        <v>42</v>
      </c>
      <c r="B78" s="115" t="inlineStr">
        <is>
          <t>Broth Cubes - Chicken</t>
        </is>
      </c>
      <c r="C78" s="115" t="n"/>
      <c r="D78" s="115">
        <f>IFERROR(__xludf.DUMMYFUNCTION("IF(J78="""",""n/a"",IFERROR(SPLIT(J78,""/"")))"),"Knorr")</f>
        <v/>
      </c>
      <c r="E78" s="115">
        <f>IFERROR(__xludf.DUMMYFUNCTION("""COMPUTED_VALUE"""),"box")</f>
        <v/>
      </c>
      <c r="F78" s="115">
        <f>IFERROR(__xludf.DUMMYFUNCTION("""COMPUTED_VALUE"""),"60grams")</f>
        <v/>
      </c>
      <c r="G78" s="115" t="n"/>
      <c r="H78" s="11" t="inlineStr">
        <is>
          <t>CIP</t>
        </is>
      </c>
      <c r="I78" s="95" t="n"/>
      <c r="J78" s="19" t="inlineStr">
        <is>
          <t>Knorr/box/60grams</t>
        </is>
      </c>
      <c r="K78" s="116" t="n"/>
      <c r="L78" s="90" t="n">
        <v>35.2</v>
      </c>
      <c r="M78" s="189" t="n">
        <v>3</v>
      </c>
      <c r="N78" s="13" t="n">
        <v>1</v>
      </c>
      <c r="O78" s="13">
        <f>E78</f>
        <v/>
      </c>
      <c r="P78" s="13" t="inlineStr">
        <is>
          <t>grams</t>
        </is>
      </c>
      <c r="Q78" s="20" t="n"/>
      <c r="R78" s="5" t="n"/>
      <c r="S78" s="229">
        <f>M78*N78</f>
        <v/>
      </c>
      <c r="T78" s="230">
        <f>CONCATENATE(S78,Q78,P78)</f>
        <v/>
      </c>
      <c r="U78" s="206">
        <f>L78*M78</f>
        <v/>
      </c>
      <c r="V78" s="4" t="n"/>
      <c r="W78" s="4" t="n"/>
      <c r="X78" s="4" t="n"/>
    </row>
    <row r="79" ht="15" customHeight="1" thickBot="1">
      <c r="A79" s="183" t="n">
        <v>43</v>
      </c>
      <c r="B79" s="115" t="inlineStr">
        <is>
          <t>Broth Cubes - Pork</t>
        </is>
      </c>
      <c r="C79" s="115" t="n"/>
      <c r="D79" s="115">
        <f>IFERROR(__xludf.DUMMYFUNCTION("IF(J79="""",""n/a"",IFERROR(SPLIT(J79,""/"")))"),"Knorr")</f>
        <v/>
      </c>
      <c r="E79" s="115">
        <f>IFERROR(__xludf.DUMMYFUNCTION("""COMPUTED_VALUE"""),"box")</f>
        <v/>
      </c>
      <c r="F79" s="115">
        <f>IFERROR(__xludf.DUMMYFUNCTION("""COMPUTED_VALUE"""),"grams")</f>
        <v/>
      </c>
      <c r="G79" s="115" t="n"/>
      <c r="H79" s="11" t="inlineStr">
        <is>
          <t>Annex</t>
        </is>
      </c>
      <c r="I79" s="6" t="n"/>
      <c r="J79" s="19" t="inlineStr">
        <is>
          <t>Knorr/box/grams</t>
        </is>
      </c>
      <c r="K79" s="18" t="n"/>
      <c r="L79" s="12" t="n">
        <v>0.5683333333333334</v>
      </c>
      <c r="M79" s="190" t="n">
        <v>120</v>
      </c>
      <c r="N79" s="17" t="n">
        <v>120</v>
      </c>
      <c r="O79" s="13">
        <f>E79</f>
        <v/>
      </c>
      <c r="P79" s="9" t="inlineStr">
        <is>
          <t>grams</t>
        </is>
      </c>
      <c r="Q79" s="13" t="n"/>
      <c r="R79" s="78">
        <f>CONCATENATE(N79,P79)</f>
        <v/>
      </c>
      <c r="S79" s="229">
        <f>M79*N79</f>
        <v/>
      </c>
      <c r="T79" s="230">
        <f>CONCATENATE(S79,Q79,P79)</f>
        <v/>
      </c>
      <c r="U79" s="206">
        <f>L79*M79</f>
        <v/>
      </c>
      <c r="V79" s="231" t="n"/>
      <c r="W79" s="236" t="n"/>
      <c r="X79" s="71" t="n"/>
    </row>
    <row r="80" ht="15" customHeight="1" thickBot="1">
      <c r="A80" s="183" t="n">
        <v>44</v>
      </c>
      <c r="B80" s="115" t="inlineStr">
        <is>
          <t>Brown Supot #10</t>
        </is>
      </c>
      <c r="C80" s="115" t="n"/>
      <c r="D80" s="115">
        <f>IFERROR(__xludf.DUMMYFUNCTION("IF(J80="""",""n/a"",IFERROR(SPLIT(J80,""/"")))"),"n/a")</f>
        <v/>
      </c>
      <c r="E80" s="115" t="n"/>
      <c r="F80" s="115" t="n"/>
      <c r="G80" s="115" t="n"/>
      <c r="H80" s="11" t="inlineStr">
        <is>
          <t>CIP</t>
        </is>
      </c>
      <c r="I80" s="95" t="n"/>
      <c r="J80" s="93" t="n"/>
      <c r="K80" s="116" t="n"/>
      <c r="L80" s="90" t="n">
        <v>47</v>
      </c>
      <c r="M80" s="189" t="n">
        <v>4</v>
      </c>
      <c r="N80" s="13" t="n">
        <v>1</v>
      </c>
      <c r="O80" s="13">
        <f>E80</f>
        <v/>
      </c>
      <c r="P80" s="13" t="inlineStr">
        <is>
          <t>packs</t>
        </is>
      </c>
      <c r="Q80" s="20" t="n"/>
      <c r="R80" s="5" t="n"/>
      <c r="S80" s="229">
        <f>M80*N80</f>
        <v/>
      </c>
      <c r="T80" s="230">
        <f>CONCATENATE(S80,Q80,P80)</f>
        <v/>
      </c>
      <c r="U80" s="206">
        <f>L80*M80</f>
        <v/>
      </c>
      <c r="V80" s="4" t="n"/>
      <c r="W80" s="4" t="n"/>
      <c r="X80" s="4" t="n"/>
    </row>
    <row r="81" ht="15" customHeight="1" thickBot="1">
      <c r="A81" s="183" t="n">
        <v>45</v>
      </c>
      <c r="B81" s="115" t="inlineStr">
        <is>
          <t>Brown Supot #16</t>
        </is>
      </c>
      <c r="C81" s="115" t="n"/>
      <c r="D81" s="115">
        <f>IFERROR(__xludf.DUMMYFUNCTION("IF(J81="""",""n/a"",IFERROR(SPLIT(J81,""/"")))"),"n/a")</f>
        <v/>
      </c>
      <c r="E81" s="115" t="n"/>
      <c r="F81" s="115" t="n"/>
      <c r="G81" s="115" t="n"/>
      <c r="H81" s="11" t="inlineStr">
        <is>
          <t>CIP</t>
        </is>
      </c>
      <c r="I81" s="95" t="n"/>
      <c r="J81" s="93" t="n"/>
      <c r="K81" s="116" t="n"/>
      <c r="L81" s="90" t="n">
        <v>45</v>
      </c>
      <c r="M81" s="189" t="n">
        <v>3</v>
      </c>
      <c r="N81" s="13" t="n">
        <v>1</v>
      </c>
      <c r="O81" s="13">
        <f>E81</f>
        <v/>
      </c>
      <c r="P81" s="13" t="inlineStr">
        <is>
          <t>packs</t>
        </is>
      </c>
      <c r="Q81" s="20" t="n"/>
      <c r="R81" s="5" t="n"/>
      <c r="S81" s="229">
        <f>M81*N81</f>
        <v/>
      </c>
      <c r="T81" s="230">
        <f>CONCATENATE(S81,Q81,P81)</f>
        <v/>
      </c>
      <c r="U81" s="206">
        <f>L81*M81</f>
        <v/>
      </c>
      <c r="V81" s="4" t="n"/>
      <c r="W81" s="4" t="n"/>
      <c r="X81" s="4" t="n"/>
    </row>
    <row r="82" ht="15" customHeight="1" thickBot="1">
      <c r="A82" s="183" t="n">
        <v>46</v>
      </c>
      <c r="B82" s="115" t="inlineStr">
        <is>
          <t>Butter Coconut</t>
        </is>
      </c>
      <c r="C82" s="115" t="n"/>
      <c r="D82" s="115">
        <f>IFERROR(__xludf.DUMMYFUNCTION("IF(J82="""",""n/a"",IFERROR(SPLIT(J82,""/"")))"),"Nissin")</f>
        <v/>
      </c>
      <c r="E82" s="115">
        <f>IFERROR(__xludf.DUMMYFUNCTION("""COMPUTED_VALUE"""),"pack (10pcsx28grams)")</f>
        <v/>
      </c>
      <c r="F82" s="115" t="n"/>
      <c r="G82" s="115" t="n"/>
      <c r="H82" s="11" t="inlineStr">
        <is>
          <t>CIP</t>
        </is>
      </c>
      <c r="I82" s="95" t="n"/>
      <c r="J82" s="93" t="inlineStr">
        <is>
          <t>Nissin/pack (10pcsx28grams)</t>
        </is>
      </c>
      <c r="K82" s="116" t="n"/>
      <c r="L82" s="90" t="n">
        <v>21.26</v>
      </c>
      <c r="M82" s="189" t="n">
        <v>60</v>
      </c>
      <c r="N82" s="13" t="n">
        <v>1</v>
      </c>
      <c r="O82" s="13">
        <f>E82</f>
        <v/>
      </c>
      <c r="P82" s="13" t="inlineStr">
        <is>
          <t>pieces</t>
        </is>
      </c>
      <c r="Q82" s="20" t="n"/>
      <c r="R82" s="5" t="n"/>
      <c r="S82" s="229">
        <f>M82*N82</f>
        <v/>
      </c>
      <c r="T82" s="230">
        <f>CONCATENATE(S82,Q82,P82)</f>
        <v/>
      </c>
      <c r="U82" s="206">
        <f>L82*M82</f>
        <v/>
      </c>
      <c r="V82" s="4" t="n"/>
      <c r="W82" s="4" t="n"/>
      <c r="X82" s="4" t="n"/>
    </row>
    <row r="83" ht="15" customHeight="1" thickBot="1">
      <c r="A83" s="183" t="n">
        <v>47</v>
      </c>
      <c r="B83" s="122" t="inlineStr">
        <is>
          <t>Button Mushroom Whole</t>
        </is>
      </c>
      <c r="C83" s="122" t="n"/>
      <c r="D83" s="115">
        <f>IFERROR(__xludf.DUMMYFUNCTION("IF(J83="""",""n/a"",IFERROR(SPLIT(J83,""/"")))"),"Jolly")</f>
        <v/>
      </c>
      <c r="E83" s="122">
        <f>IFERROR(__xludf.DUMMYFUNCTION("""COMPUTED_VALUE"""),"can")</f>
        <v/>
      </c>
      <c r="F83" s="122">
        <f>IFERROR(__xludf.DUMMYFUNCTION("""COMPUTED_VALUE"""),"400grams.200grams drained weight")</f>
        <v/>
      </c>
      <c r="G83" s="122" t="n"/>
      <c r="H83" s="11" t="inlineStr">
        <is>
          <t>CIP</t>
        </is>
      </c>
      <c r="I83" s="95" t="n"/>
      <c r="J83" s="93" t="inlineStr">
        <is>
          <t>Jolly/can/400grams.200grams drained weight</t>
        </is>
      </c>
      <c r="K83" s="116" t="n"/>
      <c r="L83" s="90" t="n">
        <v>57.61</v>
      </c>
      <c r="M83" s="189" t="n">
        <v>23.205</v>
      </c>
      <c r="N83" s="13" t="n"/>
      <c r="O83" s="13">
        <f>E83</f>
        <v/>
      </c>
      <c r="P83" s="13" t="inlineStr">
        <is>
          <t>drained weight grams</t>
        </is>
      </c>
      <c r="Q83" s="20" t="n"/>
      <c r="R83" s="5" t="n"/>
      <c r="S83" s="229">
        <f>M83*N83</f>
        <v/>
      </c>
      <c r="T83" s="230">
        <f>CONCATENATE(S83,Q83,P83)</f>
        <v/>
      </c>
      <c r="U83" s="206">
        <f>L83*M83</f>
        <v/>
      </c>
      <c r="V83" s="4" t="n"/>
      <c r="W83" s="4" t="n"/>
      <c r="X83" s="4" t="n"/>
    </row>
    <row r="84" ht="15" customHeight="1" thickBot="1">
      <c r="A84" s="183" t="n">
        <v>48</v>
      </c>
      <c r="B84" s="115" t="inlineStr">
        <is>
          <t>C2 Solo Apple</t>
        </is>
      </c>
      <c r="C84" s="115" t="n"/>
      <c r="D84" s="115">
        <f>IFERROR(__xludf.DUMMYFUNCTION("IF(J84="""",""n/a"",IFERROR(SPLIT(J84,""/"")))"),"Pepsi")</f>
        <v/>
      </c>
      <c r="E84" s="115">
        <f>IFERROR(__xludf.DUMMYFUNCTION("""COMPUTED_VALUE"""),"box (24x230ml)")</f>
        <v/>
      </c>
      <c r="F84" s="115" t="n"/>
      <c r="G84" s="115" t="n"/>
      <c r="H84" s="11" t="inlineStr">
        <is>
          <t>CIP</t>
        </is>
      </c>
      <c r="I84" s="6" t="n"/>
      <c r="J84" s="19" t="inlineStr">
        <is>
          <t>Pepsi/box (24x230ml)</t>
        </is>
      </c>
      <c r="K84" s="5" t="n"/>
      <c r="L84" s="90" t="n">
        <v>12.49</v>
      </c>
      <c r="M84" s="189" t="n">
        <v>317</v>
      </c>
      <c r="N84" s="13" t="n">
        <v>24</v>
      </c>
      <c r="O84" s="13">
        <f>E84</f>
        <v/>
      </c>
      <c r="P84" s="13" t="inlineStr">
        <is>
          <t>pieces</t>
        </is>
      </c>
      <c r="Q84" s="20" t="n"/>
      <c r="R84" s="5" t="n"/>
      <c r="S84" s="229">
        <f>M84*N84</f>
        <v/>
      </c>
      <c r="T84" s="230">
        <f>CONCATENATE(S84,Q84,P84)</f>
        <v/>
      </c>
      <c r="U84" s="206">
        <f>L84*M84</f>
        <v/>
      </c>
      <c r="V84" s="4" t="n"/>
      <c r="W84" s="4" t="n"/>
      <c r="X84" s="4" t="n"/>
    </row>
    <row r="85" ht="15" customHeight="1" thickBot="1">
      <c r="A85" s="183" t="n">
        <v>49</v>
      </c>
      <c r="B85" s="115" t="inlineStr">
        <is>
          <t>Cabbage</t>
        </is>
      </c>
      <c r="C85" s="115" t="n"/>
      <c r="D85" s="115">
        <f>IFERROR(__xludf.DUMMYFUNCTION("IF(J85="""",""n/a"",IFERROR(SPLIT(J85,""/"")))"),"Fresh")</f>
        <v/>
      </c>
      <c r="E85" s="115" t="n"/>
      <c r="F85" s="115" t="n"/>
      <c r="G85" s="115" t="n"/>
      <c r="H85" s="11" t="inlineStr">
        <is>
          <t>Annex</t>
        </is>
      </c>
      <c r="I85" s="6" t="n"/>
      <c r="J85" s="19" t="inlineStr">
        <is>
          <t>Fresh</t>
        </is>
      </c>
      <c r="K85" s="18" t="n"/>
      <c r="L85" s="83" t="n">
        <v>0.062</v>
      </c>
      <c r="M85" s="190" t="n">
        <v>5000</v>
      </c>
      <c r="N85" s="17" t="n">
        <v>1000</v>
      </c>
      <c r="O85" s="13">
        <f>E85</f>
        <v/>
      </c>
      <c r="P85" s="9" t="inlineStr">
        <is>
          <t>grams</t>
        </is>
      </c>
      <c r="Q85" s="13" t="n"/>
      <c r="R85" s="78">
        <f>CONCATENATE(N85,P85)</f>
        <v/>
      </c>
      <c r="S85" s="229">
        <f>M85*N85</f>
        <v/>
      </c>
      <c r="T85" s="230">
        <f>CONCATENATE(S85,Q85,P85)</f>
        <v/>
      </c>
      <c r="U85" s="206">
        <f>L85*M85</f>
        <v/>
      </c>
      <c r="V85" s="34" t="n"/>
      <c r="W85" s="34" t="n"/>
      <c r="X85" s="34" t="n"/>
    </row>
    <row r="86" ht="15" customHeight="1" thickBot="1">
      <c r="A86" s="183" t="n">
        <v>49</v>
      </c>
      <c r="B86" s="115" t="inlineStr">
        <is>
          <t>Cabbage</t>
        </is>
      </c>
      <c r="C86" s="115" t="n"/>
      <c r="D86" s="115">
        <f>IFERROR(__xludf.DUMMYFUNCTION("IF(J86="""",""n/a"",IFERROR(SPLIT(J86,""/"")))"),"Fresh")</f>
        <v/>
      </c>
      <c r="E86" s="115" t="n"/>
      <c r="F86" s="115" t="n"/>
      <c r="G86" s="115" t="n"/>
      <c r="H86" s="11" t="inlineStr">
        <is>
          <t>CIP</t>
        </is>
      </c>
      <c r="I86" s="95" t="n"/>
      <c r="J86" s="93" t="inlineStr">
        <is>
          <t>Fresh</t>
        </is>
      </c>
      <c r="K86" s="116" t="n"/>
      <c r="L86" s="90" t="n">
        <v>110</v>
      </c>
      <c r="M86" s="189" t="n">
        <v>2</v>
      </c>
      <c r="N86" s="13" t="n">
        <v>1</v>
      </c>
      <c r="O86" s="13">
        <f>E86</f>
        <v/>
      </c>
      <c r="P86" s="13" t="inlineStr">
        <is>
          <t>grams</t>
        </is>
      </c>
      <c r="Q86" s="20" t="n"/>
      <c r="R86" s="5" t="n"/>
      <c r="S86" s="229">
        <f>M86*N86</f>
        <v/>
      </c>
      <c r="T86" s="230">
        <f>CONCATENATE(S86,Q86,P86)</f>
        <v/>
      </c>
      <c r="U86" s="206">
        <f>L86*M86</f>
        <v/>
      </c>
      <c r="V86" s="4" t="n"/>
      <c r="W86" s="4" t="n"/>
      <c r="X86" s="4" t="n"/>
    </row>
    <row r="87" ht="15" customHeight="1" thickBot="1">
      <c r="A87" s="183" t="n">
        <v>50</v>
      </c>
      <c r="B87" s="115" t="inlineStr">
        <is>
          <t>Cake bar chocolate</t>
        </is>
      </c>
      <c r="C87" s="115" t="n"/>
      <c r="D87" s="115">
        <f>IFERROR(__xludf.DUMMYFUNCTION("IF(J87="""",""n/a"",IFERROR(SPLIT(J87,""/"")))"),"Alaska")</f>
        <v/>
      </c>
      <c r="E87" s="115">
        <f>IFERROR(__xludf.DUMMYFUNCTION("""COMPUTED_VALUE"""),"box (48x80ml)")</f>
        <v/>
      </c>
      <c r="F87" s="115" t="n"/>
      <c r="G87" s="115" t="n"/>
      <c r="H87" s="11" t="inlineStr">
        <is>
          <t>Annex</t>
        </is>
      </c>
      <c r="I87" s="6" t="n"/>
      <c r="J87" s="19" t="inlineStr">
        <is>
          <t>Alaska/box (48x80ml)</t>
        </is>
      </c>
      <c r="K87" s="6" t="n"/>
      <c r="L87" s="8" t="n">
        <v>7.68</v>
      </c>
      <c r="M87" s="190" t="n">
        <v>6</v>
      </c>
      <c r="N87" s="17" t="n">
        <v>1</v>
      </c>
      <c r="O87" s="13">
        <f>E87</f>
        <v/>
      </c>
      <c r="P87" s="9" t="inlineStr">
        <is>
          <t>pieces</t>
        </is>
      </c>
      <c r="Q87" s="13" t="n"/>
      <c r="R87" s="78">
        <f>CONCATENATE(N87,P87)</f>
        <v/>
      </c>
      <c r="S87" s="229">
        <f>M87*N87</f>
        <v/>
      </c>
      <c r="T87" s="230">
        <f>CONCATENATE(S87,Q87,P87)</f>
        <v/>
      </c>
      <c r="U87" s="206">
        <f>L87*M87</f>
        <v/>
      </c>
      <c r="V87" s="231" t="n"/>
      <c r="W87" s="236" t="n"/>
      <c r="X87" s="71" t="n"/>
    </row>
    <row r="88" ht="15" customHeight="1" thickBot="1">
      <c r="A88" s="183" t="n">
        <v>50</v>
      </c>
      <c r="B88" s="115" t="inlineStr">
        <is>
          <t>Cake bar chocolate</t>
        </is>
      </c>
      <c r="C88" s="115" t="n"/>
      <c r="D88" s="115">
        <f>IFERROR(__xludf.DUMMYFUNCTION("IF(J88="""",""n/a"",IFERROR(SPLIT(J88,""/"")))"),"Fudgee bar")</f>
        <v/>
      </c>
      <c r="E88" s="115">
        <f>IFERROR(__xludf.DUMMYFUNCTION("""COMPUTED_VALUE"""),"pack (10pcsx40grams)")</f>
        <v/>
      </c>
      <c r="F88" s="115" t="n"/>
      <c r="G88" s="115" t="n"/>
      <c r="H88" s="11" t="inlineStr">
        <is>
          <t>Annex</t>
        </is>
      </c>
      <c r="I88" s="6" t="n"/>
      <c r="J88" s="19" t="inlineStr">
        <is>
          <t>Fudgee bar/pack (10pcsx40grams)</t>
        </is>
      </c>
      <c r="K88" s="6" t="n"/>
      <c r="L88" s="8" t="n">
        <v>7.67</v>
      </c>
      <c r="M88" s="190" t="n">
        <v>14</v>
      </c>
      <c r="N88" s="17" t="n">
        <v>1</v>
      </c>
      <c r="O88" s="13">
        <f>E88</f>
        <v/>
      </c>
      <c r="P88" s="9" t="inlineStr">
        <is>
          <t>pieces</t>
        </is>
      </c>
      <c r="Q88" s="13" t="n"/>
      <c r="R88" s="78">
        <f>CONCATENATE(N88,P88)</f>
        <v/>
      </c>
      <c r="S88" s="229">
        <f>M88*N88</f>
        <v/>
      </c>
      <c r="T88" s="230">
        <f>CONCATENATE(S88,Q88,P88)</f>
        <v/>
      </c>
      <c r="U88" s="206">
        <f>L88*M88</f>
        <v/>
      </c>
      <c r="V88" s="34" t="n"/>
      <c r="W88" s="34" t="n"/>
      <c r="X88" s="34" t="n"/>
    </row>
    <row r="89" ht="15" customHeight="1" thickBot="1">
      <c r="A89" s="183" t="n">
        <v>51</v>
      </c>
      <c r="B89" s="115" t="inlineStr">
        <is>
          <t>Cake Flour</t>
        </is>
      </c>
      <c r="C89" s="115" t="n"/>
      <c r="D89" s="115">
        <f>IFERROR(__xludf.DUMMYFUNCTION("IF(J89="""",""n/a"",IFERROR(SPLIT(J89,""/"")))"),"pack")</f>
        <v/>
      </c>
      <c r="E89" s="115">
        <f>IFERROR(__xludf.DUMMYFUNCTION("""COMPUTED_VALUE"""),"1000grams")</f>
        <v/>
      </c>
      <c r="F89" s="115" t="n"/>
      <c r="G89" s="115" t="n"/>
      <c r="H89" s="11" t="inlineStr">
        <is>
          <t>CIP</t>
        </is>
      </c>
      <c r="I89" s="95" t="n"/>
      <c r="J89" s="19" t="inlineStr">
        <is>
          <t>pack/1000grams</t>
        </is>
      </c>
      <c r="K89" s="5" t="n"/>
      <c r="L89" s="94" t="n">
        <v>75</v>
      </c>
      <c r="M89" s="193" t="n">
        <v>2</v>
      </c>
      <c r="N89" s="9" t="n">
        <v>1000</v>
      </c>
      <c r="O89" s="13">
        <f>E89</f>
        <v/>
      </c>
      <c r="P89" s="13" t="inlineStr">
        <is>
          <t>grams</t>
        </is>
      </c>
      <c r="Q89" s="20" t="n"/>
      <c r="R89" s="5" t="n"/>
      <c r="S89" s="229">
        <f>M89*N89</f>
        <v/>
      </c>
      <c r="T89" s="230">
        <f>CONCATENATE(S89,Q89,P89)</f>
        <v/>
      </c>
      <c r="U89" s="206">
        <f>L89*M89</f>
        <v/>
      </c>
      <c r="V89" s="4" t="n"/>
      <c r="W89" s="4" t="n"/>
      <c r="X89" s="4" t="n"/>
    </row>
    <row r="90" ht="15" customHeight="1" thickBot="1">
      <c r="A90" s="183" t="n">
        <v>52</v>
      </c>
      <c r="B90" s="115" t="inlineStr">
        <is>
          <t>Calabasa</t>
        </is>
      </c>
      <c r="C90" s="115" t="n"/>
      <c r="D90" s="115">
        <f>IFERROR(__xludf.DUMMYFUNCTION("IF(J90="""",""n/a"",IFERROR(SPLIT(J90,""/"")))"),"Fresh")</f>
        <v/>
      </c>
      <c r="E90" s="115" t="n"/>
      <c r="F90" s="115" t="n"/>
      <c r="G90" s="115" t="n"/>
      <c r="H90" s="11" t="inlineStr">
        <is>
          <t>Annex</t>
        </is>
      </c>
      <c r="I90" s="6" t="n"/>
      <c r="J90" s="19" t="inlineStr">
        <is>
          <t>Fresh</t>
        </is>
      </c>
      <c r="K90" s="18" t="n"/>
      <c r="L90" s="82" t="n">
        <v>145</v>
      </c>
      <c r="M90" s="190" t="n">
        <v>4</v>
      </c>
      <c r="N90" s="17" t="n">
        <v>1</v>
      </c>
      <c r="O90" s="13">
        <f>E90</f>
        <v/>
      </c>
      <c r="P90" s="9" t="inlineStr">
        <is>
          <t>grams</t>
        </is>
      </c>
      <c r="Q90" s="13" t="n"/>
      <c r="R90" s="78">
        <f>CONCATENATE(N90,P90)</f>
        <v/>
      </c>
      <c r="S90" s="229">
        <f>M90*N90</f>
        <v/>
      </c>
      <c r="T90" s="230">
        <f>CONCATENATE(S90,Q90,P90)</f>
        <v/>
      </c>
      <c r="U90" s="206">
        <f>L90*M90</f>
        <v/>
      </c>
      <c r="V90" s="34" t="n"/>
      <c r="W90" s="34" t="n"/>
      <c r="X90" s="34" t="n"/>
    </row>
    <row r="91" ht="15" customHeight="1" thickBot="1">
      <c r="A91" s="183" t="n">
        <v>53</v>
      </c>
      <c r="B91" s="114" t="inlineStr">
        <is>
          <t>Calbee</t>
        </is>
      </c>
      <c r="C91" s="114" t="n"/>
      <c r="D91" s="115">
        <f>IFERROR(__xludf.DUMMYFUNCTION("IF(J91="""",""n/a"",IFERROR(SPLIT(J91,""/"")))"),"n/a")</f>
        <v/>
      </c>
      <c r="E91" s="114" t="n"/>
      <c r="F91" s="114" t="n"/>
      <c r="G91" s="114" t="n"/>
      <c r="H91" s="84" t="inlineStr">
        <is>
          <t>F1</t>
        </is>
      </c>
      <c r="I91" s="7" t="n"/>
      <c r="J91" s="19" t="n"/>
      <c r="K91" s="7" t="n"/>
      <c r="L91" s="12" t="n">
        <v>124.35</v>
      </c>
      <c r="M91" s="192" t="n">
        <v>1</v>
      </c>
      <c r="N91" s="85" t="n">
        <v>1</v>
      </c>
      <c r="O91" s="13">
        <f>E91</f>
        <v/>
      </c>
      <c r="P91" s="9" t="inlineStr">
        <is>
          <t>pieces</t>
        </is>
      </c>
      <c r="Q91" s="20" t="n"/>
      <c r="R91" s="5" t="n"/>
      <c r="S91" s="229">
        <f>M91*N91</f>
        <v/>
      </c>
      <c r="T91" s="230">
        <f>CONCATENATE(S91,Q91,P91)</f>
        <v/>
      </c>
      <c r="U91" s="206">
        <f>L91*M91</f>
        <v/>
      </c>
      <c r="V91" s="4" t="n"/>
      <c r="W91" s="4" t="n"/>
      <c r="X91" s="4" t="n"/>
    </row>
    <row r="92" ht="15" customHeight="1" thickBot="1">
      <c r="A92" s="183" t="n">
        <v>54</v>
      </c>
      <c r="B92" s="115" t="inlineStr">
        <is>
          <t>Canola Oil</t>
        </is>
      </c>
      <c r="C92" s="115" t="n"/>
      <c r="D92" s="115">
        <f>IFERROR(__xludf.DUMMYFUNCTION("IF(J92="""",""n/a"",IFERROR(SPLIT(J92,""/"")))"),"n/a")</f>
        <v/>
      </c>
      <c r="E92" s="115" t="n"/>
      <c r="F92" s="115" t="n"/>
      <c r="G92" s="115" t="n"/>
      <c r="H92" s="84" t="inlineStr">
        <is>
          <t>F1</t>
        </is>
      </c>
      <c r="I92" s="7" t="n"/>
      <c r="J92" s="19" t="n"/>
      <c r="K92" s="7" t="n"/>
      <c r="L92" s="12" t="n">
        <v>0.14415</v>
      </c>
      <c r="M92" s="191" t="n">
        <v>1200</v>
      </c>
      <c r="N92" s="85" t="n">
        <v>2000</v>
      </c>
      <c r="O92" s="13">
        <f>E92</f>
        <v/>
      </c>
      <c r="P92" s="9" t="inlineStr">
        <is>
          <t>ml</t>
        </is>
      </c>
      <c r="Q92" s="20" t="n"/>
      <c r="R92" s="5" t="n"/>
      <c r="S92" s="229">
        <f>M92*N92</f>
        <v/>
      </c>
      <c r="T92" s="230">
        <f>CONCATENATE(S92,Q92,P92)</f>
        <v/>
      </c>
      <c r="U92" s="206">
        <f>L92*M92</f>
        <v/>
      </c>
      <c r="V92" s="4" t="n"/>
      <c r="W92" s="4" t="n"/>
      <c r="X92" s="4" t="n"/>
    </row>
    <row r="93" ht="15" customHeight="1" thickBot="1">
      <c r="A93" s="183" t="n">
        <v>55</v>
      </c>
      <c r="B93" s="115" t="inlineStr">
        <is>
          <t>Canton</t>
        </is>
      </c>
      <c r="C93" s="115" t="n"/>
      <c r="D93" s="115">
        <f>IFERROR(__xludf.DUMMYFUNCTION("IF(J93="""",""n/a"",IFERROR(SPLIT(J93,""/"")))"),"Excellent")</f>
        <v/>
      </c>
      <c r="E93" s="115">
        <f>IFERROR(__xludf.DUMMYFUNCTION("""COMPUTED_VALUE"""),"pack")</f>
        <v/>
      </c>
      <c r="F93" s="115">
        <f>IFERROR(__xludf.DUMMYFUNCTION("""COMPUTED_VALUE"""),"400grams")</f>
        <v/>
      </c>
      <c r="G93" s="115" t="n"/>
      <c r="H93" s="11" t="inlineStr">
        <is>
          <t>Annex</t>
        </is>
      </c>
      <c r="I93" s="6" t="n"/>
      <c r="J93" s="19" t="inlineStr">
        <is>
          <t>Excellent/pack/400grams</t>
        </is>
      </c>
      <c r="K93" s="6" t="n"/>
      <c r="L93" s="22" t="n">
        <v>0.265</v>
      </c>
      <c r="M93" s="190" t="n">
        <v>3000</v>
      </c>
      <c r="N93" s="17" t="n">
        <v>500</v>
      </c>
      <c r="O93" s="13">
        <f>E93</f>
        <v/>
      </c>
      <c r="P93" s="9" t="inlineStr">
        <is>
          <t>grams</t>
        </is>
      </c>
      <c r="Q93" s="13" t="n"/>
      <c r="R93" s="78">
        <f>CONCATENATE(N93,P93)</f>
        <v/>
      </c>
      <c r="S93" s="229">
        <f>M93*N93</f>
        <v/>
      </c>
      <c r="T93" s="230">
        <f>CONCATENATE(S93,Q93,P93)</f>
        <v/>
      </c>
      <c r="U93" s="206">
        <f>L93*M93</f>
        <v/>
      </c>
      <c r="V93" s="34" t="n"/>
      <c r="W93" s="34" t="n"/>
      <c r="X93" s="34" t="n"/>
    </row>
    <row r="94" ht="15" customHeight="1" thickBot="1">
      <c r="A94" s="183" t="n">
        <v>55</v>
      </c>
      <c r="B94" s="115" t="inlineStr">
        <is>
          <t>Canton</t>
        </is>
      </c>
      <c r="C94" s="115" t="n"/>
      <c r="D94" s="115">
        <f>IFERROR(__xludf.DUMMYFUNCTION("IF(J94="""",""n/a"",IFERROR(SPLIT(J94,""/"")))"),"Excellent")</f>
        <v/>
      </c>
      <c r="E94" s="115">
        <f>IFERROR(__xludf.DUMMYFUNCTION("""COMPUTED_VALUE"""),"pack")</f>
        <v/>
      </c>
      <c r="F94" s="115">
        <f>IFERROR(__xludf.DUMMYFUNCTION("""COMPUTED_VALUE"""),"400grams")</f>
        <v/>
      </c>
      <c r="G94" s="115" t="n"/>
      <c r="H94" s="11" t="inlineStr">
        <is>
          <t>CIP</t>
        </is>
      </c>
      <c r="I94" s="95" t="n"/>
      <c r="J94" s="93" t="inlineStr">
        <is>
          <t>Excellent/pack/400grams</t>
        </is>
      </c>
      <c r="K94" s="116" t="n"/>
      <c r="L94" s="90" t="n">
        <v>129.89</v>
      </c>
      <c r="M94" s="189" t="n">
        <v>22</v>
      </c>
      <c r="N94" s="13" t="n">
        <v>1</v>
      </c>
      <c r="O94" s="13">
        <f>E94</f>
        <v/>
      </c>
      <c r="P94" s="13" t="inlineStr">
        <is>
          <t>grams</t>
        </is>
      </c>
      <c r="Q94" s="20" t="n"/>
      <c r="R94" s="5" t="n"/>
      <c r="S94" s="229">
        <f>M94*N94</f>
        <v/>
      </c>
      <c r="T94" s="230">
        <f>CONCATENATE(S94,Q94,P94)</f>
        <v/>
      </c>
      <c r="U94" s="206">
        <f>L94*M94</f>
        <v/>
      </c>
      <c r="V94" s="4" t="n"/>
      <c r="W94" s="4" t="n"/>
      <c r="X94" s="4" t="n"/>
    </row>
    <row r="95" ht="15" customHeight="1" thickBot="1">
      <c r="A95" s="183" t="n">
        <v>55</v>
      </c>
      <c r="B95" s="114" t="inlineStr">
        <is>
          <t>Canton</t>
        </is>
      </c>
      <c r="C95" s="114" t="n"/>
      <c r="D95" s="115">
        <f>IFERROR(__xludf.DUMMYFUNCTION("IF(J95="""",""n/a"",IFERROR(SPLIT(J95,""/"")))"),"n/a")</f>
        <v/>
      </c>
      <c r="E95" s="114" t="n"/>
      <c r="F95" s="114" t="n"/>
      <c r="G95" s="114" t="n"/>
      <c r="H95" s="84" t="inlineStr">
        <is>
          <t>F1</t>
        </is>
      </c>
      <c r="I95" s="7" t="n"/>
      <c r="J95" s="19" t="n"/>
      <c r="K95" s="7" t="n"/>
      <c r="L95" s="12" t="n">
        <v>0.18146</v>
      </c>
      <c r="M95" s="192" t="n">
        <v>10000</v>
      </c>
      <c r="N95" s="85" t="n">
        <v>500</v>
      </c>
      <c r="O95" s="13">
        <f>E95</f>
        <v/>
      </c>
      <c r="P95" s="9" t="inlineStr">
        <is>
          <t>grams</t>
        </is>
      </c>
      <c r="Q95" s="20" t="n"/>
      <c r="R95" s="5" t="n"/>
      <c r="S95" s="229">
        <f>M95*N95</f>
        <v/>
      </c>
      <c r="T95" s="230">
        <f>CONCATENATE(S95,Q95,P95)</f>
        <v/>
      </c>
      <c r="U95" s="206">
        <f>L95*M95</f>
        <v/>
      </c>
      <c r="V95" s="4" t="n"/>
      <c r="W95" s="4" t="n"/>
      <c r="X95" s="4" t="n"/>
    </row>
    <row r="96" ht="15" customHeight="1" thickBot="1">
      <c r="A96" s="183" t="n">
        <v>56</v>
      </c>
      <c r="B96" s="115" t="inlineStr">
        <is>
          <t>Caramel Popcorn</t>
        </is>
      </c>
      <c r="C96" s="115" t="n"/>
      <c r="D96" s="115">
        <f>IFERROR(__xludf.DUMMYFUNCTION("IF(J96="""",""n/a"",IFERROR(SPLIT(J96,""/"")))"),"Oishi")</f>
        <v/>
      </c>
      <c r="E96" s="115">
        <f>IFERROR(__xludf.DUMMYFUNCTION("""COMPUTED_VALUE"""),"box (pcsx60grams)")</f>
        <v/>
      </c>
      <c r="F96" s="115" t="n"/>
      <c r="G96" s="115" t="n"/>
      <c r="H96" s="11" t="inlineStr">
        <is>
          <t>Annex</t>
        </is>
      </c>
      <c r="I96" s="6" t="n"/>
      <c r="J96" s="19" t="inlineStr">
        <is>
          <t>Oishi/box (pcsx60grams)</t>
        </is>
      </c>
      <c r="K96" s="6" t="n"/>
      <c r="L96" s="8" t="n">
        <v>15.19</v>
      </c>
      <c r="M96" s="190" t="n">
        <v>12</v>
      </c>
      <c r="N96" s="17" t="n">
        <v>1</v>
      </c>
      <c r="O96" s="13">
        <f>E96</f>
        <v/>
      </c>
      <c r="P96" s="9" t="inlineStr">
        <is>
          <t>pieces</t>
        </is>
      </c>
      <c r="Q96" s="13" t="n"/>
      <c r="R96" s="78">
        <f>CONCATENATE(N96,P96)</f>
        <v/>
      </c>
      <c r="S96" s="229">
        <f>M96*N96</f>
        <v/>
      </c>
      <c r="T96" s="230">
        <f>CONCATENATE(S96,Q96,P96)</f>
        <v/>
      </c>
      <c r="U96" s="206">
        <f>L96*M96</f>
        <v/>
      </c>
      <c r="V96" s="34" t="n"/>
      <c r="W96" s="34" t="n"/>
      <c r="X96" s="34" t="n"/>
    </row>
    <row r="97" ht="15" customHeight="1" thickBot="1">
      <c r="A97" s="183" t="n">
        <v>57</v>
      </c>
      <c r="B97" s="114" t="inlineStr">
        <is>
          <t>Carne Norte Classic</t>
        </is>
      </c>
      <c r="C97" s="114" t="n"/>
      <c r="D97" s="115">
        <f>IFERROR(__xludf.DUMMYFUNCTION("IF(J97="""",""n/a"",IFERROR(SPLIT(J97,""/"")))"),"n/a")</f>
        <v/>
      </c>
      <c r="E97" s="114" t="n"/>
      <c r="F97" s="114" t="n"/>
      <c r="G97" s="114" t="n"/>
      <c r="H97" s="84" t="inlineStr">
        <is>
          <t>F1</t>
        </is>
      </c>
      <c r="I97" s="7" t="n"/>
      <c r="J97" s="19" t="n"/>
      <c r="K97" s="7" t="n"/>
      <c r="L97" s="12" t="n">
        <v>0.1765384615384615</v>
      </c>
      <c r="M97" s="191" t="n">
        <v>1040</v>
      </c>
      <c r="N97" s="85" t="n">
        <v>260</v>
      </c>
      <c r="O97" s="13">
        <f>E97</f>
        <v/>
      </c>
      <c r="P97" s="12" t="inlineStr">
        <is>
          <t>grams</t>
        </is>
      </c>
      <c r="Q97" s="20" t="n"/>
      <c r="R97" s="5" t="n"/>
      <c r="S97" s="229">
        <f>M97*N97</f>
        <v/>
      </c>
      <c r="T97" s="230">
        <f>CONCATENATE(S97,Q97,P97)</f>
        <v/>
      </c>
      <c r="U97" s="206">
        <f>L97*M97</f>
        <v/>
      </c>
      <c r="V97" s="4" t="n"/>
      <c r="W97" s="4" t="n"/>
      <c r="X97" s="4" t="n"/>
    </row>
    <row r="98" ht="15" customHeight="1" thickBot="1">
      <c r="A98" s="183" t="n">
        <v>58</v>
      </c>
      <c r="B98" s="115" t="inlineStr">
        <is>
          <t>Carrots</t>
        </is>
      </c>
      <c r="C98" s="115" t="n"/>
      <c r="D98" s="115">
        <f>IFERROR(__xludf.DUMMYFUNCTION("IF(J98="""",""n/a"",IFERROR(SPLIT(J98,""/"")))"),"Fresh")</f>
        <v/>
      </c>
      <c r="E98" s="115" t="n"/>
      <c r="F98" s="115" t="n"/>
      <c r="G98" s="115" t="n"/>
      <c r="H98" s="11" t="inlineStr">
        <is>
          <t>CIP</t>
        </is>
      </c>
      <c r="I98" s="95" t="n"/>
      <c r="J98" s="93" t="inlineStr">
        <is>
          <t>Fresh</t>
        </is>
      </c>
      <c r="K98" s="116" t="n"/>
      <c r="L98" s="90" t="n">
        <v>120</v>
      </c>
      <c r="M98" s="189" t="n">
        <v>3</v>
      </c>
      <c r="N98" s="13" t="n">
        <v>1</v>
      </c>
      <c r="O98" s="13">
        <f>E98</f>
        <v/>
      </c>
      <c r="P98" s="13" t="inlineStr">
        <is>
          <t>grams</t>
        </is>
      </c>
      <c r="Q98" s="20" t="n"/>
      <c r="R98" s="5" t="n"/>
      <c r="S98" s="229">
        <f>M98*N98</f>
        <v/>
      </c>
      <c r="T98" s="230">
        <f>CONCATENATE(S98,Q98,P98)</f>
        <v/>
      </c>
      <c r="U98" s="206">
        <f>L98*M98</f>
        <v/>
      </c>
      <c r="V98" s="4" t="n"/>
      <c r="W98" s="4" t="n"/>
      <c r="X98" s="4" t="n"/>
    </row>
    <row r="99" ht="15" customHeight="1" thickBot="1">
      <c r="A99" s="183" t="n">
        <v>59</v>
      </c>
      <c r="B99" s="115" t="inlineStr">
        <is>
          <t>Cassava Starch</t>
        </is>
      </c>
      <c r="C99" s="115" t="n"/>
      <c r="D99" s="115">
        <f>IFERROR(__xludf.DUMMYFUNCTION("IF(J99="""",""n/a"",IFERROR(SPLIT(J99,""/"")))"),"pack")</f>
        <v/>
      </c>
      <c r="E99" s="115">
        <f>IFERROR(__xludf.DUMMYFUNCTION("""COMPUTED_VALUE"""),"1000grams")</f>
        <v/>
      </c>
      <c r="F99" s="115" t="n"/>
      <c r="G99" s="115" t="n"/>
      <c r="H99" s="11" t="inlineStr">
        <is>
          <t>Annex</t>
        </is>
      </c>
      <c r="I99" s="6" t="n"/>
      <c r="J99" s="19" t="inlineStr">
        <is>
          <t>pack/1000grams</t>
        </is>
      </c>
      <c r="K99" s="6" t="n"/>
      <c r="L99" s="8" t="n">
        <v>0.105</v>
      </c>
      <c r="M99" s="190" t="n">
        <v>1000</v>
      </c>
      <c r="N99" s="17" t="n">
        <v>1000</v>
      </c>
      <c r="O99" s="13">
        <f>E99</f>
        <v/>
      </c>
      <c r="P99" s="9" t="inlineStr">
        <is>
          <t>grams</t>
        </is>
      </c>
      <c r="Q99" s="9" t="n"/>
      <c r="R99" s="74">
        <f>CONCATENATE(N99,P99)</f>
        <v/>
      </c>
      <c r="S99" s="233">
        <f>M99*N99</f>
        <v/>
      </c>
      <c r="T99" s="234">
        <f>CONCATENATE(S99,Q99,P99)</f>
        <v/>
      </c>
      <c r="U99" s="207">
        <f>L99*M99</f>
        <v/>
      </c>
      <c r="V99" s="235" t="n"/>
      <c r="W99" s="236" t="n"/>
      <c r="X99" s="71" t="n"/>
    </row>
    <row r="100" ht="15" customHeight="1" thickBot="1">
      <c r="A100" s="183" t="n">
        <v>59</v>
      </c>
      <c r="B100" s="115" t="inlineStr">
        <is>
          <t>Cassava Starch</t>
        </is>
      </c>
      <c r="C100" s="115" t="n"/>
      <c r="D100" s="115">
        <f>IFERROR(__xludf.DUMMYFUNCTION("IF(J100="""",""n/a"",IFERROR(SPLIT(J100,""/"")))"),"pack")</f>
        <v/>
      </c>
      <c r="E100" s="115">
        <f>IFERROR(__xludf.DUMMYFUNCTION("""COMPUTED_VALUE"""),"1000grams")</f>
        <v/>
      </c>
      <c r="F100" s="115" t="n"/>
      <c r="G100" s="115" t="n"/>
      <c r="H100" s="11" t="inlineStr">
        <is>
          <t>CIP</t>
        </is>
      </c>
      <c r="I100" s="95" t="n"/>
      <c r="J100" s="19" t="inlineStr">
        <is>
          <t>pack/1000grams</t>
        </is>
      </c>
      <c r="K100" s="5" t="n"/>
      <c r="L100" s="94" t="n">
        <v>70</v>
      </c>
      <c r="M100" s="193" t="n">
        <v>10</v>
      </c>
      <c r="N100" s="9" t="n">
        <v>1000</v>
      </c>
      <c r="O100" s="13">
        <f>E100</f>
        <v/>
      </c>
      <c r="P100" s="13" t="inlineStr">
        <is>
          <t>grams</t>
        </is>
      </c>
      <c r="Q100" s="20" t="n"/>
      <c r="R100" s="5" t="n"/>
      <c r="S100" s="229">
        <f>M100*N100</f>
        <v/>
      </c>
      <c r="T100" s="230">
        <f>CONCATENATE(S100,Q100,P100)</f>
        <v/>
      </c>
      <c r="U100" s="206">
        <f>L100*M100</f>
        <v/>
      </c>
      <c r="V100" s="4" t="n"/>
      <c r="W100" s="4" t="n"/>
      <c r="X100" s="4" t="n"/>
    </row>
    <row r="101" ht="15" customHeight="1" thickBot="1">
      <c r="A101" s="183" t="n">
        <v>60</v>
      </c>
      <c r="B101" s="115" t="inlineStr">
        <is>
          <t>Catsup</t>
        </is>
      </c>
      <c r="C101" s="115" t="n"/>
      <c r="D101" s="115">
        <f>IFERROR(__xludf.DUMMYFUNCTION("IF(J101="""",""n/a"",IFERROR(SPLIT(J101,""/"")))"),"Ticman")</f>
        <v/>
      </c>
      <c r="E101" s="115">
        <f>IFERROR(__xludf.DUMMYFUNCTION("""COMPUTED_VALUE"""),"gallon")</f>
        <v/>
      </c>
      <c r="F101" s="115">
        <f>IFERROR(__xludf.DUMMYFUNCTION("""COMPUTED_VALUE"""),"3500ml")</f>
        <v/>
      </c>
      <c r="G101" s="115" t="n"/>
      <c r="H101" s="11" t="inlineStr">
        <is>
          <t>Annex</t>
        </is>
      </c>
      <c r="I101" s="6" t="n"/>
      <c r="J101" s="19" t="inlineStr">
        <is>
          <t>Ticman/gallon/3500ml</t>
        </is>
      </c>
      <c r="K101" s="18" t="n"/>
      <c r="L101" s="12" t="n">
        <v>88</v>
      </c>
      <c r="M101" s="190" t="n">
        <v>16</v>
      </c>
      <c r="N101" s="17" t="n">
        <v>1</v>
      </c>
      <c r="O101" s="13">
        <f>E101</f>
        <v/>
      </c>
      <c r="P101" s="9" t="inlineStr">
        <is>
          <t>gal</t>
        </is>
      </c>
      <c r="Q101" s="13" t="n"/>
      <c r="R101" s="78">
        <f>CONCATENATE(N101,P101)</f>
        <v/>
      </c>
      <c r="S101" s="229">
        <f>M101*N101</f>
        <v/>
      </c>
      <c r="T101" s="230">
        <f>CONCATENATE(S101,Q101,P101)</f>
        <v/>
      </c>
      <c r="U101" s="206">
        <f>L101*M101</f>
        <v/>
      </c>
      <c r="V101" s="231" t="n"/>
      <c r="W101" s="236" t="n"/>
      <c r="X101" s="71" t="n"/>
    </row>
    <row r="102" ht="15" customHeight="1" thickBot="1">
      <c r="A102" s="183" t="n">
        <v>60</v>
      </c>
      <c r="B102" s="114" t="inlineStr">
        <is>
          <t>Catsup</t>
        </is>
      </c>
      <c r="C102" s="114" t="n"/>
      <c r="D102" s="115">
        <f>IFERROR(__xludf.DUMMYFUNCTION("IF(J102="""",""n/a"",IFERROR(SPLIT(J102,""/"")))"),"Ticman")</f>
        <v/>
      </c>
      <c r="E102" s="114">
        <f>IFERROR(__xludf.DUMMYFUNCTION("""COMPUTED_VALUE"""),"gallon")</f>
        <v/>
      </c>
      <c r="F102" s="114">
        <f>IFERROR(__xludf.DUMMYFUNCTION("""COMPUTED_VALUE"""),"3500ml")</f>
        <v/>
      </c>
      <c r="G102" s="114" t="n"/>
      <c r="H102" s="11" t="inlineStr">
        <is>
          <t>CIP</t>
        </is>
      </c>
      <c r="I102" s="95" t="n"/>
      <c r="J102" s="93" t="inlineStr">
        <is>
          <t>Ticman/gallon/3500ml</t>
        </is>
      </c>
      <c r="K102" s="116" t="n"/>
      <c r="L102" s="123" t="n">
        <v>88</v>
      </c>
      <c r="M102" s="189" t="n">
        <v>25</v>
      </c>
      <c r="N102" s="13" t="n">
        <v>1</v>
      </c>
      <c r="O102" s="13">
        <f>E102</f>
        <v/>
      </c>
      <c r="P102" s="13" t="inlineStr">
        <is>
          <t>gal</t>
        </is>
      </c>
      <c r="Q102" s="20" t="n"/>
      <c r="R102" s="5" t="n"/>
      <c r="S102" s="229">
        <f>M102*N102</f>
        <v/>
      </c>
      <c r="T102" s="230">
        <f>CONCATENATE(S102,Q102,P102)</f>
        <v/>
      </c>
      <c r="U102" s="206">
        <f>L102*M102</f>
        <v/>
      </c>
      <c r="V102" s="4" t="n"/>
      <c r="W102" s="4" t="n"/>
      <c r="X102" s="4" t="n"/>
    </row>
    <row r="103" ht="15" customHeight="1" thickBot="1">
      <c r="A103" s="183" t="n">
        <v>61</v>
      </c>
      <c r="B103" s="115" t="inlineStr">
        <is>
          <t>Cayenne Powder</t>
        </is>
      </c>
      <c r="C103" s="115" t="n"/>
      <c r="D103" s="115">
        <f>IFERROR(__xludf.DUMMYFUNCTION("IF(J103="""",""n/a"",IFERROR(SPLIT(J103,""/"")))"),"n/a")</f>
        <v/>
      </c>
      <c r="E103" s="115" t="n"/>
      <c r="F103" s="115" t="n"/>
      <c r="G103" s="115" t="n"/>
      <c r="H103" s="84" t="inlineStr">
        <is>
          <t>F1</t>
        </is>
      </c>
      <c r="I103" s="7" t="n"/>
      <c r="J103" s="19" t="n"/>
      <c r="K103" s="7" t="n"/>
      <c r="L103" s="12" t="n">
        <v>1.133333333333333</v>
      </c>
      <c r="M103" s="191" t="n">
        <v>30</v>
      </c>
      <c r="N103" s="85" t="n">
        <v>30</v>
      </c>
      <c r="O103" s="13">
        <f>E103</f>
        <v/>
      </c>
      <c r="P103" s="9" t="inlineStr">
        <is>
          <t>grams</t>
        </is>
      </c>
      <c r="Q103" s="20" t="n"/>
      <c r="R103" s="5" t="n"/>
      <c r="S103" s="229">
        <f>M103*N103</f>
        <v/>
      </c>
      <c r="T103" s="230">
        <f>CONCATENATE(S103,Q103,P103)</f>
        <v/>
      </c>
      <c r="U103" s="206">
        <f>L103*M103</f>
        <v/>
      </c>
      <c r="V103" s="4" t="n"/>
      <c r="W103" s="4" t="n"/>
      <c r="X103" s="4" t="n"/>
    </row>
    <row r="104" ht="15" customHeight="1" thickBot="1">
      <c r="A104" s="183" t="n">
        <v>62</v>
      </c>
      <c r="B104" s="114" t="inlineStr">
        <is>
          <t>Century Flakes in Oil</t>
        </is>
      </c>
      <c r="C104" s="114" t="n"/>
      <c r="D104" s="115">
        <f>IFERROR(__xludf.DUMMYFUNCTION("IF(J104="""",""n/a"",IFERROR(SPLIT(J104,""/"")))"),"n/a")</f>
        <v/>
      </c>
      <c r="E104" s="114" t="n"/>
      <c r="F104" s="114" t="n"/>
      <c r="G104" s="114" t="n"/>
      <c r="H104" s="84" t="inlineStr">
        <is>
          <t>F1</t>
        </is>
      </c>
      <c r="I104" s="7" t="n"/>
      <c r="J104" s="19" t="n"/>
      <c r="K104" s="7" t="n"/>
      <c r="L104" s="12" t="n">
        <v>0.2302380952380952</v>
      </c>
      <c r="M104" s="191" t="n">
        <v>2520</v>
      </c>
      <c r="N104" s="85" t="n">
        <v>420</v>
      </c>
      <c r="O104" s="13">
        <f>E104</f>
        <v/>
      </c>
      <c r="P104" s="12" t="inlineStr">
        <is>
          <t>grams</t>
        </is>
      </c>
      <c r="Q104" s="20" t="n"/>
      <c r="R104" s="5" t="n"/>
      <c r="S104" s="229">
        <f>M104*N104</f>
        <v/>
      </c>
      <c r="T104" s="230">
        <f>CONCATENATE(S104,Q104,P104)</f>
        <v/>
      </c>
      <c r="U104" s="206">
        <f>L104*M104</f>
        <v/>
      </c>
      <c r="V104" s="4" t="n"/>
      <c r="W104" s="4" t="n"/>
      <c r="X104" s="4" t="n"/>
    </row>
    <row r="105" ht="15" customHeight="1" thickBot="1">
      <c r="A105" s="183" t="n">
        <v>63</v>
      </c>
      <c r="B105" s="115" t="inlineStr">
        <is>
          <t>Champion</t>
        </is>
      </c>
      <c r="C105" s="115" t="n"/>
      <c r="D105" s="115">
        <f>IFERROR(__xludf.DUMMYFUNCTION("IF(J105="""",""n/a"",IFERROR(SPLIT(J105,""/"")))"),"Energen")</f>
        <v/>
      </c>
      <c r="E105" s="115">
        <f>IFERROR(__xludf.DUMMYFUNCTION("""COMPUTED_VALUE"""),"pack (pcsx30grams)")</f>
        <v/>
      </c>
      <c r="F105" s="115" t="n"/>
      <c r="G105" s="115" t="n"/>
      <c r="H105" s="11" t="inlineStr">
        <is>
          <t>Annex</t>
        </is>
      </c>
      <c r="I105" s="6" t="n"/>
      <c r="J105" s="19" t="inlineStr">
        <is>
          <t>Energen/pack (pcsx30grams)</t>
        </is>
      </c>
      <c r="K105" s="6" t="n"/>
      <c r="L105" s="14" t="n">
        <v>8.4</v>
      </c>
      <c r="M105" s="190" t="n">
        <v>234</v>
      </c>
      <c r="N105" s="17" t="n">
        <v>1</v>
      </c>
      <c r="O105" s="13">
        <f>E105</f>
        <v/>
      </c>
      <c r="P105" s="9" t="inlineStr">
        <is>
          <t>pieces</t>
        </is>
      </c>
      <c r="Q105" s="13" t="n"/>
      <c r="R105" s="78">
        <f>CONCATENATE(N105,P105)</f>
        <v/>
      </c>
      <c r="S105" s="229">
        <f>M105*N105</f>
        <v/>
      </c>
      <c r="T105" s="230">
        <f>CONCATENATE(S105,Q105,P105)</f>
        <v/>
      </c>
      <c r="U105" s="206">
        <f>L105*M105</f>
        <v/>
      </c>
      <c r="V105" s="231" t="n"/>
      <c r="W105" s="236" t="n"/>
      <c r="X105" s="71" t="n"/>
    </row>
    <row r="106" ht="15" customHeight="1" thickBot="1">
      <c r="A106" s="183" t="n">
        <v>63</v>
      </c>
      <c r="B106" s="114" t="inlineStr">
        <is>
          <t>Champion</t>
        </is>
      </c>
      <c r="C106" s="114" t="n"/>
      <c r="D106" s="115">
        <f>IFERROR(__xludf.DUMMYFUNCTION("IF(J106="""",""n/a"",IFERROR(SPLIT(J106,""/"")))"),"Energen")</f>
        <v/>
      </c>
      <c r="E106" s="114">
        <f>IFERROR(__xludf.DUMMYFUNCTION("""COMPUTED_VALUE"""),"pack (pcsx30grams)")</f>
        <v/>
      </c>
      <c r="F106" s="114" t="n"/>
      <c r="G106" s="114" t="n"/>
      <c r="H106" s="11" t="inlineStr">
        <is>
          <t>CIP</t>
        </is>
      </c>
      <c r="I106" s="95" t="n"/>
      <c r="J106" s="93" t="inlineStr">
        <is>
          <t>Energen/pack (pcsx30grams)</t>
        </is>
      </c>
      <c r="K106" s="5" t="n"/>
      <c r="L106" s="90" t="n">
        <v>8.970000000000001</v>
      </c>
      <c r="M106" s="189" t="n">
        <v>788</v>
      </c>
      <c r="N106" s="13" t="n">
        <v>1</v>
      </c>
      <c r="O106" s="13">
        <f>E106</f>
        <v/>
      </c>
      <c r="P106" s="13" t="inlineStr">
        <is>
          <t>pieces</t>
        </is>
      </c>
      <c r="Q106" s="20" t="n"/>
      <c r="R106" s="5" t="n"/>
      <c r="S106" s="229">
        <f>M106*N106</f>
        <v/>
      </c>
      <c r="T106" s="230">
        <f>CONCATENATE(S106,Q106,P106)</f>
        <v/>
      </c>
      <c r="U106" s="206">
        <f>L106*M106</f>
        <v/>
      </c>
      <c r="V106" s="4" t="n"/>
      <c r="W106" s="4" t="n"/>
      <c r="X106" s="4" t="n"/>
    </row>
    <row r="107" ht="15" customHeight="1" thickBot="1">
      <c r="A107" s="183" t="n">
        <v>64</v>
      </c>
      <c r="B107" s="124" t="inlineStr">
        <is>
          <t>Charmie liner</t>
        </is>
      </c>
      <c r="C107" s="124" t="n"/>
      <c r="D107" s="115">
        <f>IFERROR(__xludf.DUMMYFUNCTION("IF(J107="""",""n/a"",IFERROR(SPLIT(J107,""/"")))"),"n/a")</f>
        <v/>
      </c>
      <c r="E107" s="124" t="n"/>
      <c r="F107" s="124" t="n"/>
      <c r="G107" s="124" t="n"/>
      <c r="H107" s="84" t="inlineStr">
        <is>
          <t>F1</t>
        </is>
      </c>
      <c r="I107" s="7" t="n"/>
      <c r="J107" s="19" t="n"/>
      <c r="K107" s="7" t="n"/>
      <c r="L107" s="12" t="n">
        <v>26</v>
      </c>
      <c r="M107" s="191" t="n">
        <v>24</v>
      </c>
      <c r="N107" s="86" t="n">
        <v>1</v>
      </c>
      <c r="O107" s="13">
        <f>E107</f>
        <v/>
      </c>
      <c r="P107" s="23" t="inlineStr">
        <is>
          <t>pieces</t>
        </is>
      </c>
      <c r="Q107" s="20" t="n"/>
      <c r="R107" s="5" t="n"/>
      <c r="S107" s="229">
        <f>M107*N107</f>
        <v/>
      </c>
      <c r="T107" s="230">
        <f>CONCATENATE(S107,Q107,P107)</f>
        <v/>
      </c>
      <c r="U107" s="206">
        <f>L107*M107</f>
        <v/>
      </c>
      <c r="V107" s="4" t="n"/>
      <c r="W107" s="4" t="n"/>
      <c r="X107" s="4" t="n"/>
    </row>
    <row r="108" ht="15" customHeight="1" thickBot="1">
      <c r="A108" s="183" t="n">
        <v>65</v>
      </c>
      <c r="B108" s="115" t="inlineStr">
        <is>
          <t>Cheese</t>
        </is>
      </c>
      <c r="C108" s="115" t="n"/>
      <c r="D108" s="115">
        <f>IFERROR(__xludf.DUMMYFUNCTION("IF(J108="""",""n/a"",IFERROR(SPLIT(J108,""/"")))"),"Daily Quezo")</f>
        <v/>
      </c>
      <c r="E108" s="115">
        <f>IFERROR(__xludf.DUMMYFUNCTION("""COMPUTED_VALUE"""),"box")</f>
        <v/>
      </c>
      <c r="F108" s="115">
        <f>IFERROR(__xludf.DUMMYFUNCTION("""COMPUTED_VALUE"""),"160grams")</f>
        <v/>
      </c>
      <c r="G108" s="115" t="n"/>
      <c r="H108" s="11" t="inlineStr">
        <is>
          <t>Annex</t>
        </is>
      </c>
      <c r="I108" s="6" t="n"/>
      <c r="J108" s="19" t="inlineStr">
        <is>
          <t>Daily Quezo/box/160grams</t>
        </is>
      </c>
      <c r="K108" s="6" t="n"/>
      <c r="L108" s="8" t="n">
        <v>0.223875</v>
      </c>
      <c r="M108" s="190" t="n">
        <v>7520</v>
      </c>
      <c r="N108" s="17" t="n">
        <v>160</v>
      </c>
      <c r="O108" s="13">
        <f>E108</f>
        <v/>
      </c>
      <c r="P108" s="9" t="inlineStr">
        <is>
          <t>grams</t>
        </is>
      </c>
      <c r="Q108" s="9" t="n"/>
      <c r="R108" s="74">
        <f>CONCATENATE(N108,P108)</f>
        <v/>
      </c>
      <c r="S108" s="233">
        <f>M108*N108</f>
        <v/>
      </c>
      <c r="T108" s="234">
        <f>CONCATENATE(S108,Q108,P108)</f>
        <v/>
      </c>
      <c r="U108" s="207">
        <f>L108*M108</f>
        <v/>
      </c>
      <c r="V108" s="235" t="n"/>
      <c r="W108" s="236" t="n"/>
      <c r="X108" s="71" t="n"/>
    </row>
    <row r="109" ht="15" customHeight="1" thickBot="1">
      <c r="A109" s="183" t="n">
        <v>65</v>
      </c>
      <c r="B109" s="114" t="inlineStr">
        <is>
          <t>Cheese</t>
        </is>
      </c>
      <c r="C109" s="114" t="n"/>
      <c r="D109" s="115">
        <f>IFERROR(__xludf.DUMMYFUNCTION("IF(J109="""",""n/a"",IFERROR(SPLIT(J109,""/"")))"),"Daily Quezo")</f>
        <v/>
      </c>
      <c r="E109" s="114">
        <f>IFERROR(__xludf.DUMMYFUNCTION("""COMPUTED_VALUE"""),"box")</f>
        <v/>
      </c>
      <c r="F109" s="114">
        <f>IFERROR(__xludf.DUMMYFUNCTION("""COMPUTED_VALUE"""),"160grams")</f>
        <v/>
      </c>
      <c r="G109" s="114" t="n"/>
      <c r="H109" s="11" t="inlineStr">
        <is>
          <t>CIP</t>
        </is>
      </c>
      <c r="I109" s="95" t="n"/>
      <c r="J109" s="93" t="inlineStr">
        <is>
          <t>Daily Quezo/box/160grams</t>
        </is>
      </c>
      <c r="K109" s="5" t="n"/>
      <c r="L109" s="90" t="n">
        <v>34.42</v>
      </c>
      <c r="M109" s="189" t="n">
        <v>32</v>
      </c>
      <c r="N109" s="13" t="n">
        <v>160</v>
      </c>
      <c r="O109" s="13">
        <f>E109</f>
        <v/>
      </c>
      <c r="P109" s="13" t="inlineStr">
        <is>
          <t>grams</t>
        </is>
      </c>
      <c r="Q109" s="20" t="n"/>
      <c r="R109" s="5" t="n"/>
      <c r="S109" s="229">
        <f>M109*N109</f>
        <v/>
      </c>
      <c r="T109" s="230">
        <f>CONCATENATE(S109,Q109,P109)</f>
        <v/>
      </c>
      <c r="U109" s="206">
        <f>L109*M109</f>
        <v/>
      </c>
      <c r="V109" s="4" t="n"/>
      <c r="W109" s="4" t="n"/>
      <c r="X109" s="4" t="n"/>
    </row>
    <row r="110" ht="15" customHeight="1" thickBot="1">
      <c r="A110" s="183" t="n">
        <v>65</v>
      </c>
      <c r="B110" s="114" t="inlineStr">
        <is>
          <t>Cheese</t>
        </is>
      </c>
      <c r="C110" s="114" t="n"/>
      <c r="D110" s="115">
        <f>IFERROR(__xludf.DUMMYFUNCTION("IF(J110="""",""n/a"",IFERROR(SPLIT(J110,""/"")))"),"Bigtime")</f>
        <v/>
      </c>
      <c r="E110" s="114">
        <f>IFERROR(__xludf.DUMMYFUNCTION("""COMPUTED_VALUE"""),"pack")</f>
        <v/>
      </c>
      <c r="F110" s="114">
        <f>IFERROR(__xludf.DUMMYFUNCTION("""COMPUTED_VALUE"""),"160grams")</f>
        <v/>
      </c>
      <c r="G110" s="114" t="n"/>
      <c r="H110" s="11" t="inlineStr">
        <is>
          <t>CIP</t>
        </is>
      </c>
      <c r="I110" s="95" t="n"/>
      <c r="J110" s="19" t="inlineStr">
        <is>
          <t>Bigtime/pack/160grams</t>
        </is>
      </c>
      <c r="K110" s="5" t="n"/>
      <c r="L110" s="94" t="n">
        <v>35.82</v>
      </c>
      <c r="M110" s="189" t="n">
        <v>24</v>
      </c>
      <c r="N110" s="13" t="n">
        <v>160</v>
      </c>
      <c r="O110" s="13">
        <f>E110</f>
        <v/>
      </c>
      <c r="P110" s="13" t="inlineStr">
        <is>
          <t>grams</t>
        </is>
      </c>
      <c r="Q110" s="20" t="n"/>
      <c r="R110" s="5" t="n"/>
      <c r="S110" s="229">
        <f>M110*N110</f>
        <v/>
      </c>
      <c r="T110" s="230">
        <f>CONCATENATE(S110,Q110,P110)</f>
        <v/>
      </c>
      <c r="U110" s="206">
        <f>L110*M110</f>
        <v/>
      </c>
      <c r="V110" s="4" t="n"/>
      <c r="W110" s="4" t="n"/>
      <c r="X110" s="4" t="n"/>
    </row>
    <row r="111" ht="15" customHeight="1" thickBot="1">
      <c r="A111" s="183" t="n">
        <v>65</v>
      </c>
      <c r="B111" s="114" t="inlineStr">
        <is>
          <t>Cheese</t>
        </is>
      </c>
      <c r="C111" s="114" t="n"/>
      <c r="D111" s="115">
        <f>IFERROR(__xludf.DUMMYFUNCTION("IF(J111="""",""n/a"",IFERROR(SPLIT(J111,""/"")))"),"Daily Quezo")</f>
        <v/>
      </c>
      <c r="E111" s="114">
        <f>IFERROR(__xludf.DUMMYFUNCTION("""COMPUTED_VALUE"""),"box")</f>
        <v/>
      </c>
      <c r="F111" s="114">
        <f>IFERROR(__xludf.DUMMYFUNCTION("""COMPUTED_VALUE"""),"160grams")</f>
        <v/>
      </c>
      <c r="G111" s="114" t="n"/>
      <c r="H111" s="84" t="inlineStr">
        <is>
          <t>F1</t>
        </is>
      </c>
      <c r="I111" s="7" t="n"/>
      <c r="J111" s="19" t="inlineStr">
        <is>
          <t>Daily Quezo/box/160grams</t>
        </is>
      </c>
      <c r="K111" s="7" t="n"/>
      <c r="L111" s="12" t="n">
        <v>0.221875</v>
      </c>
      <c r="M111" s="191" t="n">
        <v>5280</v>
      </c>
      <c r="N111" s="85" t="n">
        <v>160</v>
      </c>
      <c r="O111" s="13">
        <f>E111</f>
        <v/>
      </c>
      <c r="P111" s="9" t="inlineStr">
        <is>
          <t>grams</t>
        </is>
      </c>
      <c r="Q111" s="20" t="n"/>
      <c r="R111" s="5" t="n"/>
      <c r="S111" s="229">
        <f>M111*N111</f>
        <v/>
      </c>
      <c r="T111" s="230">
        <f>CONCATENATE(S111,Q111,P111)</f>
        <v/>
      </c>
      <c r="U111" s="206">
        <f>L111*M111</f>
        <v/>
      </c>
      <c r="V111" s="4" t="n"/>
      <c r="W111" s="4" t="n"/>
      <c r="X111" s="4" t="n"/>
    </row>
    <row r="112" ht="15" customHeight="1" thickBot="1">
      <c r="A112" s="183" t="n">
        <v>66</v>
      </c>
      <c r="B112" s="114" t="inlineStr">
        <is>
          <t>Cheese Ball</t>
        </is>
      </c>
      <c r="C112" s="114" t="n"/>
      <c r="D112" s="115">
        <f>IFERROR(__xludf.DUMMYFUNCTION("IF(J112="""",""n/a"",IFERROR(SPLIT(J112,""/"")))"),"n/a")</f>
        <v/>
      </c>
      <c r="E112" s="114" t="n"/>
      <c r="F112" s="114" t="n"/>
      <c r="G112" s="114" t="n"/>
      <c r="H112" s="84" t="inlineStr">
        <is>
          <t>F1</t>
        </is>
      </c>
      <c r="I112" s="7" t="n"/>
      <c r="J112" s="19" t="n"/>
      <c r="K112" s="7" t="n"/>
      <c r="L112" s="12" t="n">
        <v>15.724</v>
      </c>
      <c r="M112" s="191" t="n">
        <v>25</v>
      </c>
      <c r="N112" s="85" t="n">
        <v>25</v>
      </c>
      <c r="O112" s="13">
        <f>E112</f>
        <v/>
      </c>
      <c r="P112" s="9" t="inlineStr">
        <is>
          <t>pieces</t>
        </is>
      </c>
      <c r="Q112" s="20" t="n"/>
      <c r="R112" s="5" t="n"/>
      <c r="S112" s="229">
        <f>M112*N112</f>
        <v/>
      </c>
      <c r="T112" s="230">
        <f>CONCATENATE(S112,Q112,P112)</f>
        <v/>
      </c>
      <c r="U112" s="206">
        <f>L112*M112</f>
        <v/>
      </c>
      <c r="V112" s="4" t="n"/>
      <c r="W112" s="4" t="n"/>
      <c r="X112" s="4" t="n"/>
    </row>
    <row r="113" ht="15" customHeight="1" thickBot="1">
      <c r="A113" s="183" t="n">
        <v>67</v>
      </c>
      <c r="B113" s="114" t="inlineStr">
        <is>
          <t>Cheese Curls</t>
        </is>
      </c>
      <c r="C113" s="114" t="n"/>
      <c r="D113" s="115">
        <f>IFERROR(__xludf.DUMMYFUNCTION("IF(J113="""",""n/a"",IFERROR(SPLIT(J113,""/"")))"),"n/a")</f>
        <v/>
      </c>
      <c r="E113" s="114" t="n"/>
      <c r="F113" s="114" t="n"/>
      <c r="G113" s="114" t="n"/>
      <c r="H113" s="84" t="inlineStr">
        <is>
          <t>F1</t>
        </is>
      </c>
      <c r="I113" s="7" t="n"/>
      <c r="J113" s="19" t="n"/>
      <c r="K113" s="7" t="n"/>
      <c r="L113" s="12" t="n">
        <v>18.97</v>
      </c>
      <c r="M113" s="191" t="n">
        <v>23</v>
      </c>
      <c r="N113" s="85" t="n">
        <v>1</v>
      </c>
      <c r="O113" s="13">
        <f>E113</f>
        <v/>
      </c>
      <c r="P113" s="23" t="inlineStr">
        <is>
          <t>pieces</t>
        </is>
      </c>
      <c r="Q113" s="20" t="n"/>
      <c r="R113" s="5" t="n"/>
      <c r="S113" s="229">
        <f>M113*N113</f>
        <v/>
      </c>
      <c r="T113" s="230">
        <f>CONCATENATE(S113,Q113,P113)</f>
        <v/>
      </c>
      <c r="U113" s="206">
        <f>L113*M113</f>
        <v/>
      </c>
      <c r="V113" s="4" t="n"/>
      <c r="W113" s="4" t="n"/>
      <c r="X113" s="4" t="n"/>
    </row>
    <row r="114" ht="15" customHeight="1" thickBot="1">
      <c r="A114" s="183" t="n">
        <v>68</v>
      </c>
      <c r="B114" s="115" t="inlineStr">
        <is>
          <t>Cheese Powder</t>
        </is>
      </c>
      <c r="C114" s="115" t="n"/>
      <c r="D114" s="115">
        <f>IFERROR(__xludf.DUMMYFUNCTION("IF(J114="""",""n/a"",IFERROR(SPLIT(J114,""/"")))"),"SM Bonus")</f>
        <v/>
      </c>
      <c r="E114" s="115">
        <f>IFERROR(__xludf.DUMMYFUNCTION("""COMPUTED_VALUE"""),"pack")</f>
        <v/>
      </c>
      <c r="F114" s="115">
        <f>IFERROR(__xludf.DUMMYFUNCTION("""COMPUTED_VALUE"""),"50grams")</f>
        <v/>
      </c>
      <c r="G114" s="115" t="n"/>
      <c r="H114" s="11" t="inlineStr">
        <is>
          <t>CIP</t>
        </is>
      </c>
      <c r="I114" s="95" t="n"/>
      <c r="J114" s="19" t="inlineStr">
        <is>
          <t>SM Bonus/pack/50grams</t>
        </is>
      </c>
      <c r="K114" s="116" t="n"/>
      <c r="L114" s="90" t="n">
        <v>18.5</v>
      </c>
      <c r="M114" s="189" t="n">
        <v>6</v>
      </c>
      <c r="N114" s="13" t="n">
        <v>1</v>
      </c>
      <c r="O114" s="13">
        <f>E114</f>
        <v/>
      </c>
      <c r="P114" s="13" t="inlineStr">
        <is>
          <t>grams</t>
        </is>
      </c>
      <c r="Q114" s="20" t="n"/>
      <c r="R114" s="5" t="n"/>
      <c r="S114" s="229">
        <f>M114*N114</f>
        <v/>
      </c>
      <c r="T114" s="230">
        <f>CONCATENATE(S114,Q114,P114)</f>
        <v/>
      </c>
      <c r="U114" s="206">
        <f>L114*M114</f>
        <v/>
      </c>
      <c r="V114" s="4" t="n"/>
      <c r="W114" s="4" t="n"/>
      <c r="X114" s="4" t="n"/>
    </row>
    <row r="115" ht="15" customHeight="1" thickBot="1">
      <c r="A115" s="183" t="n">
        <v>69</v>
      </c>
      <c r="B115" s="114" t="inlineStr">
        <is>
          <t>Cheese Ring</t>
        </is>
      </c>
      <c r="C115" s="114" t="n"/>
      <c r="D115" s="115">
        <f>IFERROR(__xludf.DUMMYFUNCTION("IF(J115="""",""n/a"",IFERROR(SPLIT(J115,""/"")))"),"n/a")</f>
        <v/>
      </c>
      <c r="E115" s="114" t="n"/>
      <c r="F115" s="114" t="n"/>
      <c r="G115" s="114" t="n"/>
      <c r="H115" s="84" t="inlineStr">
        <is>
          <t>F1</t>
        </is>
      </c>
      <c r="I115" s="7" t="n"/>
      <c r="J115" s="19" t="n"/>
      <c r="K115" s="7" t="n"/>
      <c r="L115" s="12" t="n">
        <v>15.472</v>
      </c>
      <c r="M115" s="191" t="n">
        <v>25</v>
      </c>
      <c r="N115" s="85" t="n">
        <v>25</v>
      </c>
      <c r="O115" s="13">
        <f>E115</f>
        <v/>
      </c>
      <c r="P115" s="9" t="inlineStr">
        <is>
          <t>pieces</t>
        </is>
      </c>
      <c r="Q115" s="20" t="n"/>
      <c r="R115" s="5" t="n"/>
      <c r="S115" s="229">
        <f>M115*N115</f>
        <v/>
      </c>
      <c r="T115" s="230">
        <f>CONCATENATE(S115,Q115,P115)</f>
        <v/>
      </c>
      <c r="U115" s="206">
        <f>L115*M115</f>
        <v/>
      </c>
      <c r="V115" s="4" t="n"/>
      <c r="W115" s="4" t="n"/>
      <c r="X115" s="4" t="n"/>
    </row>
    <row r="116" ht="15" customHeight="1" thickBot="1">
      <c r="A116" s="183" t="n">
        <v>70</v>
      </c>
      <c r="B116" s="115" t="inlineStr">
        <is>
          <t>Cheese Ring Cheese</t>
        </is>
      </c>
      <c r="C116" s="115" t="n"/>
      <c r="D116" s="115">
        <f>IFERROR(__xludf.DUMMYFUNCTION("IF(J116="""",""n/a"",IFERROR(SPLIT(J116,""/"")))"),"Regent")</f>
        <v/>
      </c>
      <c r="E116" s="115">
        <f>IFERROR(__xludf.DUMMYFUNCTION("""COMPUTED_VALUE"""),"bundle (25x60 grams)")</f>
        <v/>
      </c>
      <c r="F116" s="115" t="n"/>
      <c r="G116" s="115" t="n"/>
      <c r="H116" s="11" t="inlineStr">
        <is>
          <t>Annex</t>
        </is>
      </c>
      <c r="I116" s="6" t="n"/>
      <c r="J116" s="19" t="inlineStr">
        <is>
          <t>Regent/bundle (25x60 grams)</t>
        </is>
      </c>
      <c r="K116" s="6" t="n"/>
      <c r="L116" s="8" t="n">
        <v>15.47</v>
      </c>
      <c r="M116" s="190" t="n">
        <v>10</v>
      </c>
      <c r="N116" s="17" t="n">
        <v>1</v>
      </c>
      <c r="O116" s="13">
        <f>E116</f>
        <v/>
      </c>
      <c r="P116" s="9" t="inlineStr">
        <is>
          <t>pieces</t>
        </is>
      </c>
      <c r="Q116" s="13" t="n"/>
      <c r="R116" s="78">
        <f>CONCATENATE(N116,P116)</f>
        <v/>
      </c>
      <c r="S116" s="229">
        <f>M116*N116</f>
        <v/>
      </c>
      <c r="T116" s="230">
        <f>CONCATENATE(S116,Q116,P116)</f>
        <v/>
      </c>
      <c r="U116" s="206">
        <f>L116*M116</f>
        <v/>
      </c>
      <c r="V116" s="34" t="n"/>
      <c r="W116" s="34" t="n"/>
      <c r="X116" s="34" t="n"/>
    </row>
    <row r="117" ht="15.75" customHeight="1" thickBot="1">
      <c r="A117" s="183" t="n">
        <v>70</v>
      </c>
      <c r="B117" s="115" t="inlineStr">
        <is>
          <t>Cheese Ring Cheese</t>
        </is>
      </c>
      <c r="C117" s="115" t="n"/>
      <c r="D117" s="115">
        <f>IFERROR(__xludf.DUMMYFUNCTION("IF(J117="""",""n/a"",IFERROR(SPLIT(J117,""/"")))"),"Regent")</f>
        <v/>
      </c>
      <c r="E117" s="115">
        <f>IFERROR(__xludf.DUMMYFUNCTION("""COMPUTED_VALUE"""),"bundle (25x60 grams)")</f>
        <v/>
      </c>
      <c r="F117" s="115" t="n"/>
      <c r="G117" s="115" t="n"/>
      <c r="H117" s="11" t="inlineStr">
        <is>
          <t>CIP</t>
        </is>
      </c>
      <c r="I117" s="95" t="n"/>
      <c r="J117" s="93" t="inlineStr">
        <is>
          <t>Regent/bundle (25x60 grams)</t>
        </is>
      </c>
      <c r="K117" s="116" t="n"/>
      <c r="L117" s="90" t="n">
        <v>15.472</v>
      </c>
      <c r="M117" s="189" t="n">
        <v>50</v>
      </c>
      <c r="N117" s="13" t="n">
        <v>1</v>
      </c>
      <c r="O117" s="13">
        <f>E117</f>
        <v/>
      </c>
      <c r="P117" s="13" t="inlineStr">
        <is>
          <t>pieces</t>
        </is>
      </c>
      <c r="Q117" s="20" t="n"/>
      <c r="R117" s="5" t="n"/>
      <c r="S117" s="229">
        <f>M117*N117</f>
        <v/>
      </c>
      <c r="T117" s="230">
        <f>CONCATENATE(S117,Q117,P117)</f>
        <v/>
      </c>
      <c r="U117" s="206">
        <f>L117*M117</f>
        <v/>
      </c>
      <c r="V117" s="4" t="n"/>
      <c r="W117" s="4" t="n"/>
      <c r="X117" s="4" t="n"/>
    </row>
    <row r="118" ht="14.25" customHeight="1" thickBot="1">
      <c r="A118" s="183" t="n">
        <v>71</v>
      </c>
      <c r="B118" s="115" t="inlineStr">
        <is>
          <t>Cheez-it Cheese</t>
        </is>
      </c>
      <c r="C118" s="115" t="n"/>
      <c r="D118" s="115">
        <f>IFERROR(__xludf.DUMMYFUNCTION("IF(J118="""",""n/a"",IFERROR(SPLIT(J118,""/"")))"),"Pepsi")</f>
        <v/>
      </c>
      <c r="E118" s="115">
        <f>IFERROR(__xludf.DUMMYFUNCTION("""COMPUTED_VALUE"""),"case (24x500ml)")</f>
        <v/>
      </c>
      <c r="F118" s="115" t="n"/>
      <c r="G118" s="115" t="n"/>
      <c r="H118" s="11" t="inlineStr">
        <is>
          <t>Annex</t>
        </is>
      </c>
      <c r="I118" s="6" t="n"/>
      <c r="J118" s="19" t="inlineStr">
        <is>
          <t>Pepsi/case (24x500ml)</t>
        </is>
      </c>
      <c r="K118" s="6" t="n"/>
      <c r="L118" s="8" t="n">
        <v>43.4</v>
      </c>
      <c r="M118" s="190" t="n">
        <v>24</v>
      </c>
      <c r="N118" s="17" t="n">
        <v>1</v>
      </c>
      <c r="O118" s="13">
        <f>E118</f>
        <v/>
      </c>
      <c r="P118" s="9" t="inlineStr">
        <is>
          <t>pieces</t>
        </is>
      </c>
      <c r="Q118" s="13" t="n"/>
      <c r="R118" s="78">
        <f>CONCATENATE(N118,P118)</f>
        <v/>
      </c>
      <c r="S118" s="229">
        <f>M118*N118</f>
        <v/>
      </c>
      <c r="T118" s="230">
        <f>CONCATENATE(S118,Q118,P118)</f>
        <v/>
      </c>
      <c r="U118" s="206">
        <f>L118*M118</f>
        <v/>
      </c>
      <c r="V118" s="231" t="n"/>
      <c r="W118" s="236" t="n"/>
      <c r="X118" s="71" t="n"/>
    </row>
    <row r="119" ht="14.25" customHeight="1" thickBot="1">
      <c r="A119" s="183" t="n">
        <v>71</v>
      </c>
      <c r="B119" s="115" t="inlineStr">
        <is>
          <t>Cheez-it Cheese</t>
        </is>
      </c>
      <c r="C119" s="115" t="n"/>
      <c r="D119" s="115">
        <f>IFERROR(__xludf.DUMMYFUNCTION("IF(J119="""",""n/a"",IFERROR(SPLIT(J119,""/"")))"),"Nutri-Snackbundle (50x60grams)")</f>
        <v/>
      </c>
      <c r="E119" s="115" t="n"/>
      <c r="F119" s="115" t="n"/>
      <c r="G119" s="115" t="n"/>
      <c r="H119" s="11" t="inlineStr">
        <is>
          <t>Annex</t>
        </is>
      </c>
      <c r="I119" s="6" t="n"/>
      <c r="J119" s="19" t="inlineStr">
        <is>
          <t>Nutri-Snackbundle (50x60grams)</t>
        </is>
      </c>
      <c r="K119" s="6" t="n"/>
      <c r="L119" s="8" t="n">
        <v>15.39</v>
      </c>
      <c r="M119" s="190" t="n">
        <v>12</v>
      </c>
      <c r="N119" s="17" t="n">
        <v>1</v>
      </c>
      <c r="O119" s="13">
        <f>E119</f>
        <v/>
      </c>
      <c r="P119" s="9" t="inlineStr">
        <is>
          <t>pieces</t>
        </is>
      </c>
      <c r="Q119" s="13" t="n"/>
      <c r="R119" s="78">
        <f>CONCATENATE(N119,P119)</f>
        <v/>
      </c>
      <c r="S119" s="229">
        <f>M119*N119</f>
        <v/>
      </c>
      <c r="T119" s="230">
        <f>CONCATENATE(S119,Q119,P119)</f>
        <v/>
      </c>
      <c r="U119" s="206">
        <f>L119*M119</f>
        <v/>
      </c>
      <c r="V119" s="34" t="n"/>
      <c r="W119" s="34" t="n"/>
      <c r="X119" s="34" t="n"/>
    </row>
    <row r="120" ht="14.25" customHeight="1" thickBot="1">
      <c r="A120" s="183" t="n">
        <v>71</v>
      </c>
      <c r="B120" s="115" t="inlineStr">
        <is>
          <t>Cheez-it Cheese</t>
        </is>
      </c>
      <c r="C120" s="115" t="n"/>
      <c r="D120" s="115">
        <f>IFERROR(__xludf.DUMMYFUNCTION("IF(J120="""",""n/a"",IFERROR(SPLIT(J120,""/"")))"),"Nutri-Snackbundle (50x60grams)")</f>
        <v/>
      </c>
      <c r="E120" s="115" t="n"/>
      <c r="F120" s="115" t="n"/>
      <c r="G120" s="115" t="n"/>
      <c r="H120" s="11" t="inlineStr">
        <is>
          <t>CIP</t>
        </is>
      </c>
      <c r="I120" s="95" t="n"/>
      <c r="J120" s="93" t="inlineStr">
        <is>
          <t>Nutri-Snackbundle (50x60grams)</t>
        </is>
      </c>
      <c r="K120" s="116" t="n"/>
      <c r="L120" s="90" t="n">
        <v>16.33</v>
      </c>
      <c r="M120" s="189" t="n">
        <v>50</v>
      </c>
      <c r="N120" s="13" t="n">
        <v>1</v>
      </c>
      <c r="O120" s="13">
        <f>E120</f>
        <v/>
      </c>
      <c r="P120" s="13" t="inlineStr">
        <is>
          <t>pieces</t>
        </is>
      </c>
      <c r="Q120" s="20" t="n"/>
      <c r="R120" s="5" t="n"/>
      <c r="S120" s="229">
        <f>M120*N120</f>
        <v/>
      </c>
      <c r="T120" s="230">
        <f>CONCATENATE(S120,Q120,P120)</f>
        <v/>
      </c>
      <c r="U120" s="206">
        <f>L120*M120</f>
        <v/>
      </c>
      <c r="V120" s="4" t="n"/>
      <c r="W120" s="4" t="n"/>
      <c r="X120" s="4" t="n"/>
    </row>
    <row r="121" ht="14.25" customHeight="1" thickBot="1">
      <c r="A121" s="183" t="n">
        <v>71</v>
      </c>
      <c r="B121" s="114" t="inlineStr">
        <is>
          <t>Cheez-it Cheese</t>
        </is>
      </c>
      <c r="C121" s="114" t="n"/>
      <c r="D121" s="115">
        <f>IFERROR(__xludf.DUMMYFUNCTION("IF(J121="""",""n/a"",IFERROR(SPLIT(J121,""/"")))"),"n/a")</f>
        <v/>
      </c>
      <c r="E121" s="114" t="n"/>
      <c r="F121" s="114" t="n"/>
      <c r="G121" s="114" t="n"/>
      <c r="H121" s="84" t="inlineStr">
        <is>
          <t>F1</t>
        </is>
      </c>
      <c r="I121" s="7" t="n"/>
      <c r="J121" s="19" t="n"/>
      <c r="K121" s="7" t="n"/>
      <c r="L121" s="12" t="n">
        <v>15.39</v>
      </c>
      <c r="M121" s="191" t="n">
        <v>3</v>
      </c>
      <c r="N121" s="85" t="n">
        <v>50</v>
      </c>
      <c r="O121" s="13">
        <f>E121</f>
        <v/>
      </c>
      <c r="P121" s="23" t="inlineStr">
        <is>
          <t>pieces</t>
        </is>
      </c>
      <c r="Q121" s="20" t="n"/>
      <c r="R121" s="5" t="n"/>
      <c r="S121" s="229">
        <f>M121*N121</f>
        <v/>
      </c>
      <c r="T121" s="230">
        <f>CONCATENATE(S121,Q121,P121)</f>
        <v/>
      </c>
      <c r="U121" s="206">
        <f>L121*M121</f>
        <v/>
      </c>
      <c r="V121" s="4" t="n"/>
      <c r="W121" s="4" t="n"/>
      <c r="X121" s="4" t="n"/>
    </row>
    <row r="122" ht="14.25" customHeight="1" thickBot="1">
      <c r="A122" s="183" t="n">
        <v>72</v>
      </c>
      <c r="B122" s="114" t="inlineStr">
        <is>
          <t>Cheezy</t>
        </is>
      </c>
      <c r="C122" s="114" t="n"/>
      <c r="D122" s="115">
        <f>IFERROR(__xludf.DUMMYFUNCTION("IF(J122="""",""n/a"",IFERROR(SPLIT(J122,""/"")))"),"n/a")</f>
        <v/>
      </c>
      <c r="E122" s="114" t="n"/>
      <c r="F122" s="114" t="n"/>
      <c r="G122" s="114" t="n"/>
      <c r="H122" s="84" t="inlineStr">
        <is>
          <t>F1</t>
        </is>
      </c>
      <c r="I122" s="7" t="n"/>
      <c r="J122" s="19" t="n"/>
      <c r="K122" s="7" t="n"/>
      <c r="L122" s="12" t="n">
        <v>26.35</v>
      </c>
      <c r="M122" s="191" t="n">
        <v>4</v>
      </c>
      <c r="N122" s="85" t="n">
        <v>1</v>
      </c>
      <c r="O122" s="13">
        <f>E122</f>
        <v/>
      </c>
      <c r="P122" s="23" t="inlineStr">
        <is>
          <t>pieces</t>
        </is>
      </c>
      <c r="Q122" s="20" t="n"/>
      <c r="R122" s="5" t="n"/>
      <c r="S122" s="229">
        <f>M122*N122</f>
        <v/>
      </c>
      <c r="T122" s="230">
        <f>CONCATENATE(S122,Q122,P122)</f>
        <v/>
      </c>
      <c r="U122" s="206">
        <f>L122*M122</f>
        <v/>
      </c>
      <c r="V122" s="4" t="n"/>
      <c r="W122" s="4" t="n"/>
      <c r="X122" s="4" t="n"/>
    </row>
    <row r="123" ht="14.25" customHeight="1" thickBot="1">
      <c r="A123" s="183" t="n">
        <v>73</v>
      </c>
      <c r="B123" s="114" t="inlineStr">
        <is>
          <t>Chicken and Corn</t>
        </is>
      </c>
      <c r="C123" s="114" t="n"/>
      <c r="D123" s="115">
        <f>IFERROR(__xludf.DUMMYFUNCTION("IF(J123="""",""n/a"",IFERROR(SPLIT(J123,""/"")))"),"Knorr")</f>
        <v/>
      </c>
      <c r="E123" s="114">
        <f>IFERROR(__xludf.DUMMYFUNCTION("""COMPUTED_VALUE"""),"sachet")</f>
        <v/>
      </c>
      <c r="F123" s="114">
        <f>IFERROR(__xludf.DUMMYFUNCTION("""COMPUTED_VALUE"""),"60grams")</f>
        <v/>
      </c>
      <c r="G123" s="114" t="n"/>
      <c r="H123" s="11" t="inlineStr">
        <is>
          <t>CIP</t>
        </is>
      </c>
      <c r="I123" s="95" t="n"/>
      <c r="J123" s="93" t="inlineStr">
        <is>
          <t>Knorr/sachet/60grams</t>
        </is>
      </c>
      <c r="K123" s="116" t="n"/>
      <c r="L123" s="90" t="n">
        <v>58</v>
      </c>
      <c r="M123" s="189" t="n">
        <v>12</v>
      </c>
      <c r="N123" s="13" t="n">
        <v>1</v>
      </c>
      <c r="O123" s="13">
        <f>E123</f>
        <v/>
      </c>
      <c r="P123" s="13" t="inlineStr">
        <is>
          <t>grams</t>
        </is>
      </c>
      <c r="Q123" s="20" t="n"/>
      <c r="R123" s="5" t="n"/>
      <c r="S123" s="229">
        <f>M123*N123</f>
        <v/>
      </c>
      <c r="T123" s="230">
        <f>CONCATENATE(S123,Q123,P123)</f>
        <v/>
      </c>
      <c r="U123" s="206">
        <f>L123*M123</f>
        <v/>
      </c>
      <c r="V123" s="4" t="n"/>
      <c r="W123" s="4" t="n"/>
      <c r="X123" s="4" t="n"/>
    </row>
    <row r="124" ht="14.25" customHeight="1" thickBot="1">
      <c r="A124" s="183" t="n">
        <v>74</v>
      </c>
      <c r="B124" s="115" t="inlineStr">
        <is>
          <t>Chicken Breast</t>
        </is>
      </c>
      <c r="C124" s="115" t="n"/>
      <c r="D124" s="115">
        <f>IFERROR(__xludf.DUMMYFUNCTION("IF(J124="""",""n/a"",IFERROR(SPLIT(J124,""/"")))"),"Star")</f>
        <v/>
      </c>
      <c r="E124" s="115">
        <f>IFERROR(__xludf.DUMMYFUNCTION("""COMPUTED_VALUE"""),"pail")</f>
        <v/>
      </c>
      <c r="F124" s="115">
        <f>IFERROR(__xludf.DUMMYFUNCTION("""COMPUTED_VALUE"""),"1000grams")</f>
        <v/>
      </c>
      <c r="G124" s="115" t="n"/>
      <c r="H124" s="11" t="inlineStr">
        <is>
          <t>Annex</t>
        </is>
      </c>
      <c r="I124" s="6" t="n"/>
      <c r="J124" s="19" t="inlineStr">
        <is>
          <t>Star/pail/1000grams</t>
        </is>
      </c>
      <c r="K124" s="6" t="n"/>
      <c r="L124" s="8" t="n">
        <v>0.12</v>
      </c>
      <c r="M124" s="190" t="n">
        <v>7000</v>
      </c>
      <c r="N124" s="17" t="n">
        <v>1000</v>
      </c>
      <c r="O124" s="13">
        <f>E124</f>
        <v/>
      </c>
      <c r="P124" s="9" t="inlineStr">
        <is>
          <t>grams</t>
        </is>
      </c>
      <c r="Q124" s="13" t="n"/>
      <c r="R124" s="78">
        <f>CONCATENATE(N124,P124)</f>
        <v/>
      </c>
      <c r="S124" s="229">
        <f>M124*N124</f>
        <v/>
      </c>
      <c r="T124" s="230">
        <f>CONCATENATE(S124,Q124,P124)</f>
        <v/>
      </c>
      <c r="U124" s="206">
        <f>L124*M124</f>
        <v/>
      </c>
      <c r="V124" s="231" t="n"/>
      <c r="W124" s="236" t="n"/>
      <c r="X124" s="71" t="n"/>
    </row>
    <row r="125" ht="14.25" customHeight="1" thickBot="1">
      <c r="A125" s="183" t="n">
        <v>74</v>
      </c>
      <c r="B125" s="115" t="inlineStr">
        <is>
          <t>Chicken Breast</t>
        </is>
      </c>
      <c r="C125" s="115" t="n"/>
      <c r="D125" s="115">
        <f>IFERROR(__xludf.DUMMYFUNCTION("IF(J125="""",""n/a"",IFERROR(SPLIT(J125,""/"")))"),"Frozen with bone")</f>
        <v/>
      </c>
      <c r="E125" s="115" t="n"/>
      <c r="F125" s="115" t="n"/>
      <c r="G125" s="115" t="n"/>
      <c r="H125" s="11" t="inlineStr">
        <is>
          <t>Annex</t>
        </is>
      </c>
      <c r="I125" s="6" t="n"/>
      <c r="J125" s="19" t="inlineStr">
        <is>
          <t>Frozen with bone</t>
        </is>
      </c>
      <c r="K125" s="6" t="n"/>
      <c r="L125" s="8" t="n">
        <v>285</v>
      </c>
      <c r="M125" s="190" t="n">
        <v>5</v>
      </c>
      <c r="N125" s="17" t="n">
        <v>1</v>
      </c>
      <c r="O125" s="13">
        <f>E125</f>
        <v/>
      </c>
      <c r="P125" s="9" t="inlineStr">
        <is>
          <t>kilos</t>
        </is>
      </c>
      <c r="Q125" s="13" t="n"/>
      <c r="R125" s="78">
        <f>CONCATENATE(N125,P125)</f>
        <v/>
      </c>
      <c r="S125" s="229">
        <f>M125*N125</f>
        <v/>
      </c>
      <c r="T125" s="230">
        <f>CONCATENATE(S125,Q125,P125)</f>
        <v/>
      </c>
      <c r="U125" s="206">
        <f>L125*M125</f>
        <v/>
      </c>
      <c r="V125" s="231" t="n"/>
      <c r="W125" s="236" t="n"/>
      <c r="X125" s="71" t="n"/>
    </row>
    <row r="126" ht="14.25" customHeight="1" thickBot="1">
      <c r="A126" s="183" t="n">
        <v>75</v>
      </c>
      <c r="B126" s="115" t="inlineStr">
        <is>
          <t>Chicken Leg Quarter</t>
        </is>
      </c>
      <c r="C126" s="115" t="n"/>
      <c r="D126" s="115">
        <f>IFERROR(__xludf.DUMMYFUNCTION("IF(J126="""",""n/a"",IFERROR(SPLIT(J126,""/"")))"),"Frozen")</f>
        <v/>
      </c>
      <c r="E126" s="115">
        <f>IFERROR(__xludf.DUMMYFUNCTION("""COMPUTED_VALUE"""),"box(kilos)")</f>
        <v/>
      </c>
      <c r="F126" s="115" t="n"/>
      <c r="G126" s="115" t="n"/>
      <c r="H126" s="11" t="inlineStr">
        <is>
          <t>Annex</t>
        </is>
      </c>
      <c r="I126" s="6" t="n"/>
      <c r="J126" s="19" t="inlineStr">
        <is>
          <t>Frozen/box(kilos)</t>
        </is>
      </c>
      <c r="K126" s="6" t="n"/>
      <c r="L126" s="8" t="n">
        <v>138</v>
      </c>
      <c r="M126" s="190" t="n">
        <v>50</v>
      </c>
      <c r="N126" s="17" t="n">
        <v>1</v>
      </c>
      <c r="O126" s="13">
        <f>E126</f>
        <v/>
      </c>
      <c r="P126" s="9" t="inlineStr">
        <is>
          <t>kilos</t>
        </is>
      </c>
      <c r="Q126" s="13" t="n"/>
      <c r="R126" s="78">
        <f>CONCATENATE(N126,P126)</f>
        <v/>
      </c>
      <c r="S126" s="229">
        <f>M126*N126</f>
        <v/>
      </c>
      <c r="T126" s="230">
        <f>CONCATENATE(S126,Q126,P126)</f>
        <v/>
      </c>
      <c r="U126" s="206">
        <f>L126*M126</f>
        <v/>
      </c>
      <c r="V126" s="231" t="n"/>
      <c r="W126" s="236" t="n"/>
      <c r="X126" s="71" t="n"/>
    </row>
    <row r="127" ht="14.25" customHeight="1" thickBot="1">
      <c r="A127" s="183" t="n">
        <v>75</v>
      </c>
      <c r="B127" s="122" t="inlineStr">
        <is>
          <t>Chicken Leg Quarter</t>
        </is>
      </c>
      <c r="C127" s="122" t="n"/>
      <c r="D127" s="115">
        <f>IFERROR(__xludf.DUMMYFUNCTION("IF(J127="""",""n/a"",IFERROR(SPLIT(J127,""/"")))"),"Frozen")</f>
        <v/>
      </c>
      <c r="E127" s="122">
        <f>IFERROR(__xludf.DUMMYFUNCTION("""COMPUTED_VALUE"""),"box(kilos)")</f>
        <v/>
      </c>
      <c r="F127" s="122" t="n"/>
      <c r="G127" s="122" t="n"/>
      <c r="H127" s="11" t="inlineStr">
        <is>
          <t>CIP</t>
        </is>
      </c>
      <c r="I127" s="95" t="n"/>
      <c r="J127" s="19" t="inlineStr">
        <is>
          <t>Frozen/box(kilos)</t>
        </is>
      </c>
      <c r="K127" s="116" t="n"/>
      <c r="L127" s="90" t="n">
        <v>138</v>
      </c>
      <c r="M127" s="189" t="n">
        <v>123</v>
      </c>
      <c r="N127" s="13" t="n">
        <v>1</v>
      </c>
      <c r="O127" s="13">
        <f>E127</f>
        <v/>
      </c>
      <c r="P127" s="13" t="inlineStr">
        <is>
          <t>kilos</t>
        </is>
      </c>
      <c r="Q127" s="20" t="n"/>
      <c r="R127" s="5" t="n"/>
      <c r="S127" s="229">
        <f>M127*N127</f>
        <v/>
      </c>
      <c r="T127" s="230">
        <f>CONCATENATE(S127,Q127,P127)</f>
        <v/>
      </c>
      <c r="U127" s="206">
        <f>L127*M127</f>
        <v/>
      </c>
      <c r="V127" s="4" t="n"/>
      <c r="W127" s="4" t="n"/>
      <c r="X127" s="4" t="n"/>
    </row>
    <row r="128" ht="14.25" customHeight="1" thickBot="1">
      <c r="A128" s="183" t="n">
        <v>75</v>
      </c>
      <c r="B128" s="115" t="inlineStr">
        <is>
          <t>Chicken Leg Quarter</t>
        </is>
      </c>
      <c r="C128" s="115" t="n"/>
      <c r="D128" s="115">
        <f>IFERROR(__xludf.DUMMYFUNCTION("IF(J128="""",""n/a"",IFERROR(SPLIT(J128,""/"")))"),"n/a")</f>
        <v/>
      </c>
      <c r="E128" s="115" t="n"/>
      <c r="F128" s="115" t="n"/>
      <c r="G128" s="115" t="n"/>
      <c r="H128" s="84" t="inlineStr">
        <is>
          <t>F1</t>
        </is>
      </c>
      <c r="I128" s="7" t="n"/>
      <c r="J128" s="19" t="n"/>
      <c r="K128" s="7" t="n"/>
      <c r="L128" s="12" t="n">
        <v>139</v>
      </c>
      <c r="M128" s="191" t="n">
        <v>40</v>
      </c>
      <c r="N128" s="85" t="n">
        <v>1</v>
      </c>
      <c r="O128" s="13">
        <f>E128</f>
        <v/>
      </c>
      <c r="P128" s="9" t="inlineStr">
        <is>
          <t>kilos</t>
        </is>
      </c>
      <c r="Q128" s="20" t="n"/>
      <c r="R128" s="5" t="n"/>
      <c r="S128" s="229">
        <f>M128*N128</f>
        <v/>
      </c>
      <c r="T128" s="230">
        <f>CONCATENATE(S128,Q128,P128)</f>
        <v/>
      </c>
      <c r="U128" s="206">
        <f>L128*M128</f>
        <v/>
      </c>
      <c r="V128" s="4" t="n"/>
      <c r="W128" s="4" t="n"/>
      <c r="X128" s="4" t="n"/>
    </row>
    <row r="129" ht="14.25" customHeight="1" thickBot="1">
      <c r="A129" s="183" t="n">
        <v>76</v>
      </c>
      <c r="B129" s="122" t="inlineStr">
        <is>
          <t>Chicken Whole</t>
        </is>
      </c>
      <c r="C129" s="122" t="n"/>
      <c r="D129" s="115">
        <f>IFERROR(__xludf.DUMMYFUNCTION("IF(J129="""",""n/a"",IFERROR(SPLIT(J129,""/"")))"),"Frozen")</f>
        <v/>
      </c>
      <c r="E129" s="122">
        <f>IFERROR(__xludf.DUMMYFUNCTION("""COMPUTED_VALUE"""),"box(kilos)")</f>
        <v/>
      </c>
      <c r="F129" s="122" t="n"/>
      <c r="G129" s="122" t="n"/>
      <c r="H129" s="11" t="inlineStr">
        <is>
          <t>CIP</t>
        </is>
      </c>
      <c r="I129" s="95" t="n"/>
      <c r="J129" s="19" t="inlineStr">
        <is>
          <t>Frozen/box(kilos)</t>
        </is>
      </c>
      <c r="K129" s="116" t="n"/>
      <c r="L129" s="90" t="n">
        <v>169</v>
      </c>
      <c r="M129" s="189" t="n">
        <v>58</v>
      </c>
      <c r="N129" s="13" t="n">
        <v>1</v>
      </c>
      <c r="O129" s="13">
        <f>E129</f>
        <v/>
      </c>
      <c r="P129" s="13" t="inlineStr">
        <is>
          <t>kilos</t>
        </is>
      </c>
      <c r="Q129" s="20" t="n"/>
      <c r="R129" s="5" t="n"/>
      <c r="S129" s="229">
        <f>M129*N129</f>
        <v/>
      </c>
      <c r="T129" s="230">
        <f>CONCATENATE(S129,Q129,P129)</f>
        <v/>
      </c>
      <c r="U129" s="206">
        <f>L129*M129</f>
        <v/>
      </c>
      <c r="V129" s="4" t="n"/>
      <c r="W129" s="4" t="n"/>
      <c r="X129" s="4" t="n"/>
    </row>
    <row r="130" ht="15.75" customHeight="1" thickBot="1">
      <c r="A130" s="183" t="n">
        <v>76</v>
      </c>
      <c r="B130" s="115" t="inlineStr">
        <is>
          <t>Chicken Whole</t>
        </is>
      </c>
      <c r="C130" s="115" t="n"/>
      <c r="D130" s="115">
        <f>IFERROR(__xludf.DUMMYFUNCTION("IF(J130="""",""n/a"",IFERROR(SPLIT(J130,""/"")))"),"n/a")</f>
        <v/>
      </c>
      <c r="E130" s="115" t="n"/>
      <c r="F130" s="115" t="n"/>
      <c r="G130" s="115" t="n"/>
      <c r="H130" s="84" t="inlineStr">
        <is>
          <t>F1</t>
        </is>
      </c>
      <c r="I130" s="7" t="n"/>
      <c r="J130" s="19" t="n"/>
      <c r="K130" s="7" t="n"/>
      <c r="L130" s="12" t="n">
        <v>168</v>
      </c>
      <c r="M130" s="191" t="n">
        <v>19</v>
      </c>
      <c r="N130" s="85" t="n">
        <v>1</v>
      </c>
      <c r="O130" s="13">
        <f>E130</f>
        <v/>
      </c>
      <c r="P130" s="9" t="inlineStr">
        <is>
          <t>kilos</t>
        </is>
      </c>
      <c r="Q130" s="20" t="n"/>
      <c r="R130" s="5" t="n"/>
      <c r="S130" s="229">
        <f>M130*N130</f>
        <v/>
      </c>
      <c r="T130" s="230">
        <f>CONCATENATE(S130,Q130,P130)</f>
        <v/>
      </c>
      <c r="U130" s="206">
        <f>L130*M130</f>
        <v/>
      </c>
      <c r="V130" s="4" t="n"/>
      <c r="W130" s="4" t="n"/>
      <c r="X130" s="4" t="n"/>
    </row>
    <row r="131" ht="15.75" customHeight="1" thickBot="1">
      <c r="A131" s="183" t="n">
        <v>77</v>
      </c>
      <c r="B131" s="125" t="inlineStr">
        <is>
          <t>Chicken Wings</t>
        </is>
      </c>
      <c r="C131" s="125" t="n"/>
      <c r="D131" s="115">
        <f>IFERROR(__xludf.DUMMYFUNCTION("IF(J131="""",""n/a"",IFERROR(SPLIT(J131,""/"")))"),"Fresh")</f>
        <v/>
      </c>
      <c r="E131" s="125" t="n"/>
      <c r="F131" s="125" t="n"/>
      <c r="G131" s="125" t="n"/>
      <c r="H131" s="11" t="inlineStr">
        <is>
          <t>CIP</t>
        </is>
      </c>
      <c r="I131" s="95" t="n"/>
      <c r="J131" s="93" t="inlineStr">
        <is>
          <t>Fresh</t>
        </is>
      </c>
      <c r="K131" s="116" t="n"/>
      <c r="L131" s="90" t="n">
        <v>168</v>
      </c>
      <c r="M131" s="189" t="n">
        <v>30</v>
      </c>
      <c r="N131" s="13" t="n">
        <v>1</v>
      </c>
      <c r="O131" s="13">
        <f>E131</f>
        <v/>
      </c>
      <c r="P131" s="13" t="inlineStr">
        <is>
          <t>kilos</t>
        </is>
      </c>
      <c r="Q131" s="20" t="n"/>
      <c r="R131" s="5" t="n"/>
      <c r="S131" s="229">
        <f>M131*N131</f>
        <v/>
      </c>
      <c r="T131" s="230">
        <f>CONCATENATE(S131,Q131,P131)</f>
        <v/>
      </c>
      <c r="U131" s="206">
        <f>L131*M131</f>
        <v/>
      </c>
      <c r="V131" s="4" t="n"/>
      <c r="W131" s="4" t="n"/>
      <c r="X131" s="4" t="n"/>
    </row>
    <row r="132" ht="15.75" customHeight="1" thickBot="1">
      <c r="A132" s="183" t="n">
        <v>78</v>
      </c>
      <c r="B132" s="115" t="inlineStr">
        <is>
          <t>Chili Garlic Sauce</t>
        </is>
      </c>
      <c r="C132" s="115" t="n"/>
      <c r="D132" s="115">
        <f>IFERROR(__xludf.DUMMYFUNCTION("IF(J132="""",""n/a"",IFERROR(SPLIT(J132,""/"")))"),"Lee Kum Kee")</f>
        <v/>
      </c>
      <c r="E132" s="115">
        <f>IFERROR(__xludf.DUMMYFUNCTION("""COMPUTED_VALUE"""),"bottle")</f>
        <v/>
      </c>
      <c r="F132" s="115">
        <f>IFERROR(__xludf.DUMMYFUNCTION("""COMPUTED_VALUE"""),"226grams")</f>
        <v/>
      </c>
      <c r="G132" s="115" t="n"/>
      <c r="H132" s="11" t="inlineStr">
        <is>
          <t>CIP</t>
        </is>
      </c>
      <c r="I132" s="95" t="n"/>
      <c r="J132" s="19" t="inlineStr">
        <is>
          <t>Lee Kum Kee/bottle/226grams</t>
        </is>
      </c>
      <c r="K132" s="116" t="n"/>
      <c r="L132" s="90" t="n">
        <v>240</v>
      </c>
      <c r="M132" s="189" t="n">
        <v>1</v>
      </c>
      <c r="N132" s="13" t="n">
        <v>1</v>
      </c>
      <c r="O132" s="13">
        <f>E132</f>
        <v/>
      </c>
      <c r="P132" s="13" t="inlineStr">
        <is>
          <t>grams</t>
        </is>
      </c>
      <c r="Q132" s="20" t="n"/>
      <c r="R132" s="5" t="n"/>
      <c r="S132" s="229">
        <f>M132*N132</f>
        <v/>
      </c>
      <c r="T132" s="230">
        <f>CONCATENATE(S132,Q132,P132)</f>
        <v/>
      </c>
      <c r="U132" s="206">
        <f>L132*M132</f>
        <v/>
      </c>
      <c r="V132" s="4" t="n"/>
      <c r="W132" s="4" t="n"/>
      <c r="X132" s="4" t="n"/>
    </row>
    <row r="133" ht="15.75" customHeight="1" thickBot="1">
      <c r="A133" s="183" t="n">
        <v>79</v>
      </c>
      <c r="B133" s="115" t="inlineStr">
        <is>
          <t>Chilli Powder</t>
        </is>
      </c>
      <c r="C133" s="115" t="n"/>
      <c r="D133" s="115">
        <f>IFERROR(__xludf.DUMMYFUNCTION("IF(J133="""",""n/a"",IFERROR(SPLIT(J133,""/"")))"),"UFC")</f>
        <v/>
      </c>
      <c r="E133" s="115">
        <f>IFERROR(__xludf.DUMMYFUNCTION("""COMPUTED_VALUE"""),"pack")</f>
        <v/>
      </c>
      <c r="F133" s="115">
        <f>IFERROR(__xludf.DUMMYFUNCTION("""COMPUTED_VALUE"""),"30grams")</f>
        <v/>
      </c>
      <c r="G133" s="115" t="n"/>
      <c r="H133" s="11" t="inlineStr">
        <is>
          <t>Annex</t>
        </is>
      </c>
      <c r="I133" s="6" t="n"/>
      <c r="J133" s="19" t="inlineStr">
        <is>
          <t>UFC/pack/30grams</t>
        </is>
      </c>
      <c r="K133" s="18" t="n"/>
      <c r="L133" s="12" t="n">
        <v>1.46</v>
      </c>
      <c r="M133" s="190" t="n">
        <v>60</v>
      </c>
      <c r="N133" s="17" t="n">
        <v>30</v>
      </c>
      <c r="O133" s="13">
        <f>E133</f>
        <v/>
      </c>
      <c r="P133" s="9" t="inlineStr">
        <is>
          <t>grams</t>
        </is>
      </c>
      <c r="Q133" s="13" t="n"/>
      <c r="R133" s="78">
        <f>CONCATENATE(N133,P133)</f>
        <v/>
      </c>
      <c r="S133" s="229">
        <f>M133*N133</f>
        <v/>
      </c>
      <c r="T133" s="230">
        <f>CONCATENATE(S133,Q133,P133)</f>
        <v/>
      </c>
      <c r="U133" s="206">
        <f>L133*M133</f>
        <v/>
      </c>
      <c r="V133" s="231" t="n"/>
      <c r="W133" s="236" t="n"/>
      <c r="X133" s="71" t="n"/>
    </row>
    <row r="134" ht="15.75" customHeight="1" thickBot="1">
      <c r="A134" s="183" t="n">
        <v>80</v>
      </c>
      <c r="B134" s="115" t="inlineStr">
        <is>
          <t>Chippy Babarque</t>
        </is>
      </c>
      <c r="C134" s="115" t="n"/>
      <c r="D134" s="115">
        <f>IFERROR(__xludf.DUMMYFUNCTION("IF(J134="""",""n/a"",IFERROR(SPLIT(J134,""/"")))"),"Jack n Jill")</f>
        <v/>
      </c>
      <c r="E134" s="115">
        <f>IFERROR(__xludf.DUMMYFUNCTION("""COMPUTED_VALUE"""),"box (100")</f>
        <v/>
      </c>
      <c r="F134" s="115">
        <f>IFERROR(__xludf.DUMMYFUNCTION("""COMPUTED_VALUE"""),"25grams)")</f>
        <v/>
      </c>
      <c r="G134" s="115" t="n"/>
      <c r="H134" s="11" t="inlineStr">
        <is>
          <t>Annex</t>
        </is>
      </c>
      <c r="I134" s="6" t="n"/>
      <c r="J134" s="19" t="inlineStr">
        <is>
          <t>Jack n Jill/box (100/25grams)</t>
        </is>
      </c>
      <c r="K134" s="6" t="n"/>
      <c r="L134" s="8" t="n">
        <v>6.79</v>
      </c>
      <c r="M134" s="190" t="n">
        <v>13</v>
      </c>
      <c r="N134" s="22" t="n">
        <v>1</v>
      </c>
      <c r="O134" s="13">
        <f>E134</f>
        <v/>
      </c>
      <c r="P134" s="9" t="inlineStr">
        <is>
          <t>pieces</t>
        </is>
      </c>
      <c r="Q134" s="13" t="n"/>
      <c r="R134" s="78">
        <f>CONCATENATE(N134,P134)</f>
        <v/>
      </c>
      <c r="S134" s="229">
        <f>M134*N134</f>
        <v/>
      </c>
      <c r="T134" s="230">
        <f>CONCATENATE(S134,Q134,P134)</f>
        <v/>
      </c>
      <c r="U134" s="206">
        <f>L134*M134</f>
        <v/>
      </c>
      <c r="V134" s="34" t="n"/>
      <c r="W134" s="34" t="n"/>
      <c r="X134" s="34" t="n"/>
    </row>
    <row r="135" ht="15.75" customHeight="1" thickBot="1">
      <c r="A135" s="183" t="n">
        <v>80</v>
      </c>
      <c r="B135" s="114" t="inlineStr">
        <is>
          <t>Chippy Babarque</t>
        </is>
      </c>
      <c r="C135" s="114" t="n"/>
      <c r="D135" s="115">
        <f>IFERROR(__xludf.DUMMYFUNCTION("IF(J135="""",""n/a"",IFERROR(SPLIT(J135,""/"")))"),"n/a")</f>
        <v/>
      </c>
      <c r="E135" s="114" t="n"/>
      <c r="F135" s="114" t="n"/>
      <c r="G135" s="114" t="n"/>
      <c r="H135" s="84" t="inlineStr">
        <is>
          <t>F1</t>
        </is>
      </c>
      <c r="I135" s="7" t="n"/>
      <c r="J135" s="19" t="n"/>
      <c r="K135" s="7" t="n"/>
      <c r="L135" s="12" t="n">
        <v>23.313</v>
      </c>
      <c r="M135" s="191" t="n">
        <v>50</v>
      </c>
      <c r="N135" s="85" t="n">
        <v>50</v>
      </c>
      <c r="O135" s="13">
        <f>E135</f>
        <v/>
      </c>
      <c r="P135" s="9" t="inlineStr">
        <is>
          <t>pieces</t>
        </is>
      </c>
      <c r="Q135" s="20" t="n"/>
      <c r="R135" s="5" t="n"/>
      <c r="S135" s="229">
        <f>M135*N135</f>
        <v/>
      </c>
      <c r="T135" s="230">
        <f>CONCATENATE(S135,Q135,P135)</f>
        <v/>
      </c>
      <c r="U135" s="206">
        <f>L135*M135</f>
        <v/>
      </c>
      <c r="V135" s="4" t="n"/>
      <c r="W135" s="4" t="n"/>
      <c r="X135" s="4" t="n"/>
    </row>
    <row r="136" ht="15.75" customHeight="1" thickBot="1">
      <c r="A136" s="183" t="n">
        <v>81</v>
      </c>
      <c r="B136" s="115" t="inlineStr">
        <is>
          <t>Chiz Curls</t>
        </is>
      </c>
      <c r="C136" s="115" t="n"/>
      <c r="D136" s="115">
        <f>IFERROR(__xludf.DUMMYFUNCTION("IF(J136="""",""n/a"",IFERROR(SPLIT(J136,""/"")))"),"Jack n Jill")</f>
        <v/>
      </c>
      <c r="E136" s="115">
        <f>IFERROR(__xludf.DUMMYFUNCTION("""COMPUTED_VALUE"""),"box (pcsx55grams)")</f>
        <v/>
      </c>
      <c r="F136" s="115" t="n"/>
      <c r="G136" s="115" t="n"/>
      <c r="H136" s="11" t="inlineStr">
        <is>
          <t>Annex</t>
        </is>
      </c>
      <c r="I136" s="6" t="n"/>
      <c r="J136" s="19" t="inlineStr">
        <is>
          <t>Jack n Jill/box (pcsx55grams)</t>
        </is>
      </c>
      <c r="K136" s="6" t="n"/>
      <c r="L136" s="22" t="n">
        <v>19.25</v>
      </c>
      <c r="M136" s="190" t="n">
        <v>139</v>
      </c>
      <c r="N136" s="17" t="n">
        <v>1</v>
      </c>
      <c r="O136" s="13">
        <f>E136</f>
        <v/>
      </c>
      <c r="P136" s="9" t="inlineStr">
        <is>
          <t>pieces</t>
        </is>
      </c>
      <c r="Q136" s="13" t="n"/>
      <c r="R136" s="78">
        <f>CONCATENATE(N136,P136)</f>
        <v/>
      </c>
      <c r="S136" s="229">
        <f>M136*N136</f>
        <v/>
      </c>
      <c r="T136" s="230">
        <f>CONCATENATE(S136,Q136,P136)</f>
        <v/>
      </c>
      <c r="U136" s="206">
        <f>L136*M136</f>
        <v/>
      </c>
      <c r="V136" s="34" t="n"/>
      <c r="W136" s="34" t="n"/>
      <c r="X136" s="34" t="n"/>
    </row>
    <row r="137" ht="15.75" customHeight="1" thickBot="1">
      <c r="A137" s="183" t="n">
        <v>82</v>
      </c>
      <c r="B137" s="115" t="inlineStr">
        <is>
          <t>Chocnut</t>
        </is>
      </c>
      <c r="C137" s="115" t="n"/>
      <c r="D137" s="115">
        <f>IFERROR(__xludf.DUMMYFUNCTION("IF(J137="""",""n/a"",IFERROR(SPLIT(J137,""/"")))"),"King")</f>
        <v/>
      </c>
      <c r="E137" s="115">
        <f>IFERROR(__xludf.DUMMYFUNCTION("""COMPUTED_VALUE"""),"pack (24pcsxgrams)")</f>
        <v/>
      </c>
      <c r="F137" s="115" t="n"/>
      <c r="G137" s="115" t="n"/>
      <c r="H137" s="11" t="inlineStr">
        <is>
          <t>Annex</t>
        </is>
      </c>
      <c r="I137" s="6" t="n"/>
      <c r="J137" s="19" t="inlineStr">
        <is>
          <t>King/pack (24pcsxgrams)</t>
        </is>
      </c>
      <c r="K137" s="6" t="n"/>
      <c r="L137" s="8" t="n">
        <v>1.8</v>
      </c>
      <c r="M137" s="190" t="n">
        <v>379</v>
      </c>
      <c r="N137" s="17" t="n">
        <v>1</v>
      </c>
      <c r="O137" s="13">
        <f>E137</f>
        <v/>
      </c>
      <c r="P137" s="9" t="inlineStr">
        <is>
          <t>pieces</t>
        </is>
      </c>
      <c r="Q137" s="13" t="n"/>
      <c r="R137" s="78">
        <f>CONCATENATE(N137,P137)</f>
        <v/>
      </c>
      <c r="S137" s="229">
        <f>M137*N137</f>
        <v/>
      </c>
      <c r="T137" s="230">
        <f>CONCATENATE(S137,Q137,P137)</f>
        <v/>
      </c>
      <c r="U137" s="206">
        <f>L137*M137</f>
        <v/>
      </c>
      <c r="V137" s="34" t="n"/>
      <c r="W137" s="34" t="n"/>
      <c r="X137" s="34" t="n"/>
    </row>
    <row r="138" ht="15.75" customHeight="1" thickBot="1">
      <c r="A138" s="183" t="n">
        <v>83</v>
      </c>
      <c r="B138" s="114" t="inlineStr">
        <is>
          <t>Choco Crunchies</t>
        </is>
      </c>
      <c r="C138" s="114" t="n"/>
      <c r="D138" s="115">
        <f>IFERROR(__xludf.DUMMYFUNCTION("IF(J138="""",""n/a"",IFERROR(SPLIT(J138,""/"")))"),"n/a")</f>
        <v/>
      </c>
      <c r="E138" s="114" t="n"/>
      <c r="F138" s="114" t="n"/>
      <c r="G138" s="114" t="n"/>
      <c r="H138" s="84" t="inlineStr">
        <is>
          <t>F1</t>
        </is>
      </c>
      <c r="I138" s="7" t="n"/>
      <c r="J138" s="19" t="n"/>
      <c r="K138" s="7" t="n"/>
      <c r="L138" s="12" t="n">
        <v>1.472916666666667</v>
      </c>
      <c r="M138" s="192" t="n">
        <v>2</v>
      </c>
      <c r="N138" s="85" t="n">
        <v>48</v>
      </c>
      <c r="O138" s="13">
        <f>E138</f>
        <v/>
      </c>
      <c r="P138" s="9" t="inlineStr">
        <is>
          <t>pieces</t>
        </is>
      </c>
      <c r="Q138" s="20" t="n"/>
      <c r="R138" s="5" t="n"/>
      <c r="S138" s="229">
        <f>M138*N138</f>
        <v/>
      </c>
      <c r="T138" s="230">
        <f>CONCATENATE(S138,Q138,P138)</f>
        <v/>
      </c>
      <c r="U138" s="206">
        <f>L138*M138</f>
        <v/>
      </c>
      <c r="V138" s="4" t="n"/>
      <c r="W138" s="4" t="n"/>
      <c r="X138" s="4" t="n"/>
    </row>
    <row r="139" ht="15.75" customHeight="1" thickBot="1">
      <c r="A139" s="183" t="n">
        <v>83</v>
      </c>
      <c r="B139" s="114" t="inlineStr">
        <is>
          <t>Choco Crunchies</t>
        </is>
      </c>
      <c r="C139" s="114" t="n"/>
      <c r="D139" s="115">
        <f>IFERROR(__xludf.DUMMYFUNCTION("IF(J139="""",""n/a"",IFERROR(SPLIT(J139,""/"")))"),"n/a")</f>
        <v/>
      </c>
      <c r="E139" s="114" t="n"/>
      <c r="F139" s="114" t="n"/>
      <c r="G139" s="114" t="n"/>
      <c r="H139" s="84" t="inlineStr">
        <is>
          <t>F1</t>
        </is>
      </c>
      <c r="I139" s="7" t="n"/>
      <c r="J139" s="19" t="n"/>
      <c r="K139" s="7" t="n"/>
      <c r="L139" s="12" t="n">
        <v>3.69</v>
      </c>
      <c r="M139" s="192" t="n">
        <v>2</v>
      </c>
      <c r="N139" s="85" t="n">
        <v>1</v>
      </c>
      <c r="O139" s="13">
        <f>E139</f>
        <v/>
      </c>
      <c r="P139" s="9" t="inlineStr">
        <is>
          <t>pieces</t>
        </is>
      </c>
      <c r="Q139" s="20" t="n"/>
      <c r="R139" s="5" t="n"/>
      <c r="S139" s="229">
        <f>M139*N139</f>
        <v/>
      </c>
      <c r="T139" s="230">
        <f>CONCATENATE(S139,Q139,P139)</f>
        <v/>
      </c>
      <c r="U139" s="206">
        <f>L139*M139</f>
        <v/>
      </c>
      <c r="V139" s="4" t="n"/>
      <c r="W139" s="4" t="n"/>
      <c r="X139" s="4" t="n"/>
    </row>
    <row r="140" ht="15.75" customHeight="1" thickBot="1">
      <c r="A140" s="183" t="n">
        <v>84</v>
      </c>
      <c r="B140" s="115" t="inlineStr">
        <is>
          <t>Chocolate Syrup</t>
        </is>
      </c>
      <c r="C140" s="115" t="n"/>
      <c r="D140" s="115">
        <f>IFERROR(__xludf.DUMMYFUNCTION("IF(J140="""",""n/a"",IFERROR(SPLIT(J140,""/"")))"),"Injoy bottle")</f>
        <v/>
      </c>
      <c r="E140" s="115">
        <f>IFERROR(__xludf.DUMMYFUNCTION("""COMPUTED_VALUE"""),"750ml")</f>
        <v/>
      </c>
      <c r="F140" s="115" t="n"/>
      <c r="G140" s="115" t="n"/>
      <c r="H140" s="11" t="inlineStr">
        <is>
          <t>Annex</t>
        </is>
      </c>
      <c r="I140" s="6" t="n"/>
      <c r="J140" s="19" t="inlineStr">
        <is>
          <t>Injoy bottle/750ml</t>
        </is>
      </c>
      <c r="K140" s="6" t="n"/>
      <c r="L140" s="8" t="n">
        <v>0.1706666666666667</v>
      </c>
      <c r="M140" s="190" t="n">
        <v>750</v>
      </c>
      <c r="N140" s="17" t="n">
        <v>750</v>
      </c>
      <c r="O140" s="13">
        <f>E140</f>
        <v/>
      </c>
      <c r="P140" s="9" t="inlineStr">
        <is>
          <t>ml</t>
        </is>
      </c>
      <c r="Q140" s="9" t="n"/>
      <c r="R140" s="74">
        <f>CONCATENATE(N140,P140)</f>
        <v/>
      </c>
      <c r="S140" s="233">
        <f>M140*N140</f>
        <v/>
      </c>
      <c r="T140" s="234">
        <f>CONCATENATE(S140,Q140,P140)</f>
        <v/>
      </c>
      <c r="U140" s="207">
        <f>L140*M140</f>
        <v/>
      </c>
      <c r="V140" s="235" t="n"/>
      <c r="W140" s="236" t="n"/>
      <c r="X140" s="71" t="n"/>
    </row>
    <row r="141" ht="15.75" customHeight="1" thickBot="1">
      <c r="A141" s="183" t="n">
        <v>85</v>
      </c>
      <c r="B141" s="114" t="inlineStr">
        <is>
          <t>Chocolate-Cadbury</t>
        </is>
      </c>
      <c r="C141" s="114" t="n"/>
      <c r="D141" s="115">
        <f>IFERROR(__xludf.DUMMYFUNCTION("IF(J141="""",""n/a"",IFERROR(SPLIT(J141,""/"")))"),"n/a")</f>
        <v/>
      </c>
      <c r="E141" s="114" t="n"/>
      <c r="F141" s="114" t="n"/>
      <c r="G141" s="114" t="n"/>
      <c r="H141" s="84" t="inlineStr">
        <is>
          <t>F1</t>
        </is>
      </c>
      <c r="I141" s="7" t="n"/>
      <c r="J141" s="19" t="n"/>
      <c r="K141" s="7" t="n"/>
      <c r="L141" s="12" t="n">
        <v>8.279999999999999</v>
      </c>
      <c r="M141" s="192" t="n">
        <v>36</v>
      </c>
      <c r="N141" s="85" t="n">
        <v>1</v>
      </c>
      <c r="O141" s="13">
        <f>E141</f>
        <v/>
      </c>
      <c r="P141" s="9" t="inlineStr">
        <is>
          <t>pieces</t>
        </is>
      </c>
      <c r="Q141" s="20" t="n"/>
      <c r="R141" s="5" t="n"/>
      <c r="S141" s="229">
        <f>M141*N141</f>
        <v/>
      </c>
      <c r="T141" s="230">
        <f>CONCATENATE(S141,Q141,P141)</f>
        <v/>
      </c>
      <c r="U141" s="206">
        <f>L141*M141</f>
        <v/>
      </c>
      <c r="V141" s="4" t="n"/>
      <c r="W141" s="4" t="n"/>
      <c r="X141" s="4" t="n"/>
    </row>
    <row r="142" ht="15.75" customHeight="1" thickBot="1">
      <c r="A142" s="183" t="n">
        <v>86</v>
      </c>
      <c r="B142" s="114" t="inlineStr">
        <is>
          <t>Chocolate-Kikkat</t>
        </is>
      </c>
      <c r="C142" s="114" t="n"/>
      <c r="D142" s="115">
        <f>IFERROR(__xludf.DUMMYFUNCTION("IF(J142="""",""n/a"",IFERROR(SPLIT(J142,""/"")))"),"n/a")</f>
        <v/>
      </c>
      <c r="E142" s="114" t="n"/>
      <c r="F142" s="114" t="n"/>
      <c r="G142" s="114" t="n"/>
      <c r="H142" s="84" t="inlineStr">
        <is>
          <t>F1</t>
        </is>
      </c>
      <c r="I142" s="7" t="n"/>
      <c r="J142" s="19" t="n"/>
      <c r="K142" s="7" t="n"/>
      <c r="L142" s="12" t="n">
        <v>16.9</v>
      </c>
      <c r="M142" s="192" t="n">
        <v>28</v>
      </c>
      <c r="N142" s="85" t="n">
        <v>1</v>
      </c>
      <c r="O142" s="13">
        <f>E142</f>
        <v/>
      </c>
      <c r="P142" s="9" t="inlineStr">
        <is>
          <t>pieces</t>
        </is>
      </c>
      <c r="Q142" s="20" t="n"/>
      <c r="R142" s="5" t="n"/>
      <c r="S142" s="229">
        <f>M142*N142</f>
        <v/>
      </c>
      <c r="T142" s="230">
        <f>CONCATENATE(S142,Q142,P142)</f>
        <v/>
      </c>
      <c r="U142" s="206">
        <f>L142*M142</f>
        <v/>
      </c>
      <c r="V142" s="4" t="n"/>
      <c r="W142" s="4" t="n"/>
      <c r="X142" s="4" t="n"/>
    </row>
    <row r="143" ht="15.75" customHeight="1" thickBot="1">
      <c r="A143" s="183" t="n">
        <v>87</v>
      </c>
      <c r="B143" s="115" t="inlineStr">
        <is>
          <t>Chopsticks</t>
        </is>
      </c>
      <c r="C143" s="115" t="n"/>
      <c r="D143" s="115">
        <f>IFERROR(__xludf.DUMMYFUNCTION("IF(J143="""",""n/a"",IFERROR(SPLIT(J143,""/"")))"),"Welcome")</f>
        <v/>
      </c>
      <c r="E143" s="115">
        <f>IFERROR(__xludf.DUMMYFUNCTION("""COMPUTED_VALUE"""),"pack 100s'")</f>
        <v/>
      </c>
      <c r="F143" s="115" t="n"/>
      <c r="G143" s="115" t="n"/>
      <c r="H143" s="11" t="inlineStr">
        <is>
          <t>CIP</t>
        </is>
      </c>
      <c r="I143" s="95" t="n"/>
      <c r="J143" s="93" t="inlineStr">
        <is>
          <t>Welcome/pack 100s'</t>
        </is>
      </c>
      <c r="K143" s="116" t="n"/>
      <c r="L143" s="90" t="n">
        <v>100</v>
      </c>
      <c r="M143" s="189" t="n">
        <v>4</v>
      </c>
      <c r="N143" s="13" t="n">
        <v>1</v>
      </c>
      <c r="O143" s="13">
        <f>E143</f>
        <v/>
      </c>
      <c r="P143" s="13" t="inlineStr">
        <is>
          <t>packs</t>
        </is>
      </c>
      <c r="Q143" s="20" t="n"/>
      <c r="R143" s="5" t="n"/>
      <c r="S143" s="229">
        <f>M143*N143</f>
        <v/>
      </c>
      <c r="T143" s="230">
        <f>CONCATENATE(S143,Q143,P143)</f>
        <v/>
      </c>
      <c r="U143" s="206">
        <f>L143*M143</f>
        <v/>
      </c>
      <c r="V143" s="4" t="n"/>
      <c r="W143" s="4" t="n"/>
      <c r="X143" s="4" t="n"/>
    </row>
    <row r="144" ht="15.75" customHeight="1" thickBot="1">
      <c r="A144" s="183" t="n">
        <v>88</v>
      </c>
      <c r="B144" s="115" t="inlineStr">
        <is>
          <t>Cloud 9 Classic</t>
        </is>
      </c>
      <c r="C144" s="115" t="n"/>
      <c r="D144" s="115">
        <f>IFERROR(__xludf.DUMMYFUNCTION("IF(J144="""",""n/a"",IFERROR(SPLIT(J144,""/"")))"),"Jack n Jill")</f>
        <v/>
      </c>
      <c r="E144" s="115">
        <f>IFERROR(__xludf.DUMMYFUNCTION("""COMPUTED_VALUE"""),"box (12pcsx")</f>
        <v/>
      </c>
      <c r="F144" s="115">
        <f>IFERROR(__xludf.DUMMYFUNCTION("""COMPUTED_VALUE"""),"28grams)")</f>
        <v/>
      </c>
      <c r="G144" s="115" t="n"/>
      <c r="H144" s="11" t="inlineStr">
        <is>
          <t>CIP</t>
        </is>
      </c>
      <c r="I144" s="95" t="n"/>
      <c r="J144" s="93" t="inlineStr">
        <is>
          <t>Jack n Jill/box (12pcsx/28grams)</t>
        </is>
      </c>
      <c r="K144" s="116" t="n"/>
      <c r="L144" s="90" t="n">
        <v>7.78</v>
      </c>
      <c r="M144" s="189" t="n">
        <v>144</v>
      </c>
      <c r="N144" s="13" t="n">
        <v>1</v>
      </c>
      <c r="O144" s="13">
        <f>E144</f>
        <v/>
      </c>
      <c r="P144" s="13" t="inlineStr">
        <is>
          <t>pieces</t>
        </is>
      </c>
      <c r="Q144" s="20" t="n"/>
      <c r="R144" s="5" t="n"/>
      <c r="S144" s="229">
        <f>M144*N144</f>
        <v/>
      </c>
      <c r="T144" s="230">
        <f>CONCATENATE(S144,Q144,P144)</f>
        <v/>
      </c>
      <c r="U144" s="206">
        <f>L144*M144</f>
        <v/>
      </c>
      <c r="V144" s="4" t="n"/>
      <c r="W144" s="4" t="n"/>
      <c r="X144" s="4" t="n"/>
    </row>
    <row r="145" ht="15.75" customHeight="1" thickBot="1">
      <c r="A145" s="183" t="n">
        <v>89</v>
      </c>
      <c r="B145" s="114" t="inlineStr">
        <is>
          <t>Cloud 9 Classic mini</t>
        </is>
      </c>
      <c r="C145" s="114" t="n"/>
      <c r="D145" s="115">
        <f>IFERROR(__xludf.DUMMYFUNCTION("IF(J145="""",""n/a"",IFERROR(SPLIT(J145,""/"")))"),"n/a")</f>
        <v/>
      </c>
      <c r="E145" s="114" t="n"/>
      <c r="F145" s="114" t="n"/>
      <c r="G145" s="114" t="n"/>
      <c r="H145" s="84" t="inlineStr">
        <is>
          <t>F1</t>
        </is>
      </c>
      <c r="I145" s="7" t="n"/>
      <c r="J145" s="19" t="n"/>
      <c r="K145" s="7" t="n"/>
      <c r="L145" s="12" t="n">
        <v>2.111111111111111</v>
      </c>
      <c r="M145" s="191" t="n">
        <v>419</v>
      </c>
      <c r="N145" s="85" t="n">
        <v>36</v>
      </c>
      <c r="O145" s="13">
        <f>E145</f>
        <v/>
      </c>
      <c r="P145" s="23" t="inlineStr">
        <is>
          <t>pieces</t>
        </is>
      </c>
      <c r="Q145" s="20" t="n"/>
      <c r="R145" s="5" t="n"/>
      <c r="S145" s="229">
        <f>M145*N145</f>
        <v/>
      </c>
      <c r="T145" s="230">
        <f>CONCATENATE(S145,Q145,P145)</f>
        <v/>
      </c>
      <c r="U145" s="206">
        <f>L145*M145</f>
        <v/>
      </c>
      <c r="V145" s="4" t="n"/>
      <c r="W145" s="4" t="n"/>
      <c r="X145" s="4" t="n"/>
    </row>
    <row r="146" ht="15.75" customHeight="1" thickBot="1">
      <c r="A146" s="183" t="n">
        <v>90</v>
      </c>
      <c r="B146" s="114" t="inlineStr">
        <is>
          <t>Clover BBQ</t>
        </is>
      </c>
      <c r="C146" s="114" t="n"/>
      <c r="D146" s="115">
        <f>IFERROR(__xludf.DUMMYFUNCTION("IF(J146="""",""n/a"",IFERROR(SPLIT(J146,""/"")))"),"n/a")</f>
        <v/>
      </c>
      <c r="E146" s="114" t="n"/>
      <c r="F146" s="114" t="n"/>
      <c r="G146" s="114" t="n"/>
      <c r="H146" s="84" t="inlineStr">
        <is>
          <t>F1</t>
        </is>
      </c>
      <c r="I146" s="7" t="n"/>
      <c r="J146" s="19" t="n"/>
      <c r="K146" s="7" t="n"/>
      <c r="L146" s="12" t="n">
        <v>31.8</v>
      </c>
      <c r="M146" s="191" t="n">
        <v>36</v>
      </c>
      <c r="N146" s="85" t="n">
        <v>36</v>
      </c>
      <c r="O146" s="13">
        <f>E146</f>
        <v/>
      </c>
      <c r="P146" s="23" t="inlineStr">
        <is>
          <t>pieces</t>
        </is>
      </c>
      <c r="Q146" s="20" t="n"/>
      <c r="R146" s="5" t="n"/>
      <c r="S146" s="229">
        <f>M146*N146</f>
        <v/>
      </c>
      <c r="T146" s="230">
        <f>CONCATENATE(S146,Q146,P146)</f>
        <v/>
      </c>
      <c r="U146" s="206">
        <f>L146*M146</f>
        <v/>
      </c>
      <c r="V146" s="4" t="n"/>
      <c r="W146" s="4" t="n"/>
      <c r="X146" s="4" t="n"/>
    </row>
    <row r="147" ht="15.75" customHeight="1" thickBot="1">
      <c r="A147" s="183" t="n">
        <v>90</v>
      </c>
      <c r="B147" s="114" t="inlineStr">
        <is>
          <t>Clover BBQ</t>
        </is>
      </c>
      <c r="C147" s="114" t="n"/>
      <c r="D147" s="115">
        <f>IFERROR(__xludf.DUMMYFUNCTION("IF(J147="""",""n/a"",IFERROR(SPLIT(J147,""/"")))"),"n/a")</f>
        <v/>
      </c>
      <c r="E147" s="114" t="n"/>
      <c r="F147" s="114" t="n"/>
      <c r="G147" s="114" t="n"/>
      <c r="H147" s="84" t="inlineStr">
        <is>
          <t>F1</t>
        </is>
      </c>
      <c r="I147" s="7" t="n"/>
      <c r="J147" s="19" t="n"/>
      <c r="K147" s="7" t="n"/>
      <c r="L147" s="12" t="n">
        <v>52.76</v>
      </c>
      <c r="M147" s="191" t="n">
        <v>1</v>
      </c>
      <c r="N147" s="85" t="n">
        <v>30</v>
      </c>
      <c r="O147" s="13">
        <f>E147</f>
        <v/>
      </c>
      <c r="P147" s="23" t="inlineStr">
        <is>
          <t>pieces</t>
        </is>
      </c>
      <c r="Q147" s="20" t="n"/>
      <c r="R147" s="5" t="n"/>
      <c r="S147" s="229">
        <f>M147*N147</f>
        <v/>
      </c>
      <c r="T147" s="230">
        <f>CONCATENATE(S147,Q147,P147)</f>
        <v/>
      </c>
      <c r="U147" s="206">
        <f>L147*M147</f>
        <v/>
      </c>
      <c r="V147" s="4" t="n"/>
      <c r="W147" s="4" t="n"/>
      <c r="X147" s="4" t="n"/>
    </row>
    <row r="148" ht="15.75" customHeight="1" thickBot="1">
      <c r="A148" s="183" t="n">
        <v>91</v>
      </c>
      <c r="B148" s="115" t="inlineStr">
        <is>
          <t>Coconut Milk Powder</t>
        </is>
      </c>
      <c r="C148" s="115" t="n"/>
      <c r="D148" s="115">
        <f>IFERROR(__xludf.DUMMYFUNCTION("IF(J148="""",""n/a"",IFERROR(SPLIT(J148,""/"")))"),"n/a")</f>
        <v/>
      </c>
      <c r="E148" s="115" t="n"/>
      <c r="F148" s="115" t="n"/>
      <c r="G148" s="115" t="n"/>
      <c r="H148" s="84" t="inlineStr">
        <is>
          <t>F1</t>
        </is>
      </c>
      <c r="I148" s="7" t="n"/>
      <c r="J148" s="19" t="n"/>
      <c r="K148" s="7" t="n"/>
      <c r="L148" s="12" t="n">
        <v>0.5710000000000001</v>
      </c>
      <c r="M148" s="192" t="n">
        <v>50</v>
      </c>
      <c r="N148" s="85" t="n">
        <v>50</v>
      </c>
      <c r="O148" s="13">
        <f>E148</f>
        <v/>
      </c>
      <c r="P148" s="9" t="inlineStr">
        <is>
          <t>grams</t>
        </is>
      </c>
      <c r="Q148" s="20" t="n"/>
      <c r="R148" s="5" t="n"/>
      <c r="S148" s="229">
        <f>M148*N148</f>
        <v/>
      </c>
      <c r="T148" s="230">
        <f>CONCATENATE(S148,Q148,P148)</f>
        <v/>
      </c>
      <c r="U148" s="206">
        <f>L148*M148</f>
        <v/>
      </c>
      <c r="V148" s="4" t="n"/>
      <c r="W148" s="4" t="n"/>
      <c r="X148" s="4" t="n"/>
    </row>
    <row r="149" ht="15.75" customHeight="1" thickBot="1">
      <c r="A149" s="183" t="n">
        <v>92</v>
      </c>
      <c r="B149" s="115" t="inlineStr">
        <is>
          <t>Coconut Powder</t>
        </is>
      </c>
      <c r="C149" s="115" t="n"/>
      <c r="D149" s="115">
        <f>IFERROR(__xludf.DUMMYFUNCTION("IF(J149="""",""n/a"",IFERROR(SPLIT(J149,""/"")))"),"Vista")</f>
        <v/>
      </c>
      <c r="E149" s="115">
        <f>IFERROR(__xludf.DUMMYFUNCTION("""COMPUTED_VALUE"""),"pack (24pcsx50grams)")</f>
        <v/>
      </c>
      <c r="F149" s="115" t="n"/>
      <c r="G149" s="115" t="n"/>
      <c r="H149" s="11" t="inlineStr">
        <is>
          <t>Annex</t>
        </is>
      </c>
      <c r="I149" s="6" t="n"/>
      <c r="J149" s="19" t="inlineStr">
        <is>
          <t>Vista/pack (24pcsx50grams)</t>
        </is>
      </c>
      <c r="K149" s="18" t="n"/>
      <c r="L149" s="12" t="n">
        <v>0.631</v>
      </c>
      <c r="M149" s="190" t="n">
        <v>2350</v>
      </c>
      <c r="N149" s="17" t="n">
        <v>50</v>
      </c>
      <c r="O149" s="13">
        <f>E149</f>
        <v/>
      </c>
      <c r="P149" s="9" t="inlineStr">
        <is>
          <t>grams</t>
        </is>
      </c>
      <c r="Q149" s="13" t="n"/>
      <c r="R149" s="78">
        <f>CONCATENATE(N149,P149)</f>
        <v/>
      </c>
      <c r="S149" s="229">
        <f>M149*N149</f>
        <v/>
      </c>
      <c r="T149" s="230">
        <f>CONCATENATE(S149,Q149,P149)</f>
        <v/>
      </c>
      <c r="U149" s="206">
        <f>L149*M149</f>
        <v/>
      </c>
      <c r="V149" s="231" t="n"/>
      <c r="W149" s="236" t="n"/>
      <c r="X149" s="71" t="n"/>
    </row>
    <row r="150" ht="15.75" customHeight="1" thickBot="1">
      <c r="A150" s="183" t="n">
        <v>93</v>
      </c>
      <c r="B150" s="114" t="inlineStr">
        <is>
          <t>Coffee 5 in 1</t>
        </is>
      </c>
      <c r="C150" s="114" t="n"/>
      <c r="D150" s="115">
        <f>IFERROR(__xludf.DUMMYFUNCTION("IF(J150="""",""n/a"",IFERROR(SPLIT(J150,""/"")))"),"n/a")</f>
        <v/>
      </c>
      <c r="E150" s="114" t="n"/>
      <c r="F150" s="114" t="n"/>
      <c r="G150" s="114" t="n"/>
      <c r="H150" s="84" t="inlineStr">
        <is>
          <t>F1</t>
        </is>
      </c>
      <c r="I150" s="7" t="n"/>
      <c r="J150" s="19" t="n"/>
      <c r="K150" s="7" t="n"/>
      <c r="L150" s="12" t="n">
        <v>14.25</v>
      </c>
      <c r="M150" s="191" t="n">
        <v>20</v>
      </c>
      <c r="N150" s="85" t="n">
        <v>1</v>
      </c>
      <c r="O150" s="13">
        <f>E150</f>
        <v/>
      </c>
      <c r="P150" s="23" t="inlineStr">
        <is>
          <t>pieces</t>
        </is>
      </c>
      <c r="Q150" s="20" t="n"/>
      <c r="R150" s="5" t="n"/>
      <c r="S150" s="229">
        <f>M150*N150</f>
        <v/>
      </c>
      <c r="T150" s="230">
        <f>CONCATENATE(S150,Q150,P150)</f>
        <v/>
      </c>
      <c r="U150" s="206">
        <f>L150*M150</f>
        <v/>
      </c>
      <c r="V150" s="4" t="n"/>
      <c r="W150" s="4" t="n"/>
      <c r="X150" s="4" t="n"/>
    </row>
    <row r="151" ht="15.75" customHeight="1" thickBot="1">
      <c r="A151" s="183" t="n">
        <v>94</v>
      </c>
      <c r="B151" s="115" t="inlineStr">
        <is>
          <t>Coffee Granules Stick</t>
        </is>
      </c>
      <c r="C151" s="115" t="n"/>
      <c r="D151" s="115">
        <f>IFERROR(__xludf.DUMMYFUNCTION("IF(J151="""",""n/a"",IFERROR(SPLIT(J151,""/"")))"),"Great Taste")</f>
        <v/>
      </c>
      <c r="E151" s="115">
        <f>IFERROR(__xludf.DUMMYFUNCTION("""COMPUTED_VALUE"""),1.8)</f>
        <v/>
      </c>
      <c r="F151" s="115">
        <f>IFERROR(__xludf.DUMMYFUNCTION("""COMPUTED_VALUE"""),"Sachet")</f>
        <v/>
      </c>
      <c r="G151" s="115" t="n"/>
      <c r="H151" s="11" t="inlineStr">
        <is>
          <t>CIP</t>
        </is>
      </c>
      <c r="I151" s="95" t="n"/>
      <c r="J151" s="19" t="inlineStr">
        <is>
          <t>Great Taste/1.8/Sachet</t>
        </is>
      </c>
      <c r="K151" s="5" t="n"/>
      <c r="L151" s="90" t="n">
        <v>2.04</v>
      </c>
      <c r="M151" s="189" t="n">
        <v>1492</v>
      </c>
      <c r="N151" s="13" t="n"/>
      <c r="O151" s="13">
        <f>E151</f>
        <v/>
      </c>
      <c r="P151" s="13" t="inlineStr">
        <is>
          <t>pieces</t>
        </is>
      </c>
      <c r="Q151" s="20" t="n"/>
      <c r="R151" s="5" t="n"/>
      <c r="S151" s="229">
        <f>M151*N151</f>
        <v/>
      </c>
      <c r="T151" s="230">
        <f>CONCATENATE(S151,Q151,P151)</f>
        <v/>
      </c>
      <c r="U151" s="206">
        <f>L151*M151</f>
        <v/>
      </c>
      <c r="V151" s="4" t="n"/>
      <c r="W151" s="4" t="n"/>
      <c r="X151" s="4" t="n"/>
    </row>
    <row r="152" ht="15.75" customHeight="1" thickBot="1">
      <c r="A152" s="183" t="n">
        <v>94</v>
      </c>
      <c r="B152" s="114" t="inlineStr">
        <is>
          <t>Coffee Granules Stick</t>
        </is>
      </c>
      <c r="C152" s="114" t="n"/>
      <c r="D152" s="115">
        <f>IFERROR(__xludf.DUMMYFUNCTION("IF(J152="""",""n/a"",IFERROR(SPLIT(J152,""/"")))"),"n/a")</f>
        <v/>
      </c>
      <c r="E152" s="114" t="n"/>
      <c r="F152" s="114" t="n"/>
      <c r="G152" s="114" t="n"/>
      <c r="H152" s="84" t="inlineStr">
        <is>
          <t>F1</t>
        </is>
      </c>
      <c r="I152" s="7" t="n"/>
      <c r="J152" s="19" t="n"/>
      <c r="K152" s="7" t="n"/>
      <c r="L152" s="12" t="n">
        <v>2.04</v>
      </c>
      <c r="M152" s="191" t="n">
        <v>720</v>
      </c>
      <c r="N152" s="85" t="n">
        <v>1</v>
      </c>
      <c r="O152" s="13">
        <f>E152</f>
        <v/>
      </c>
      <c r="P152" s="23" t="inlineStr">
        <is>
          <t>pieces</t>
        </is>
      </c>
      <c r="Q152" s="20" t="n"/>
      <c r="R152" s="5" t="n"/>
      <c r="S152" s="229">
        <f>M152*N152</f>
        <v/>
      </c>
      <c r="T152" s="230">
        <f>CONCATENATE(S152,Q152,P152)</f>
        <v/>
      </c>
      <c r="U152" s="206">
        <f>L152*M152</f>
        <v/>
      </c>
      <c r="V152" s="4" t="n"/>
      <c r="W152" s="4" t="n"/>
      <c r="X152" s="4" t="n"/>
    </row>
    <row r="153" ht="15.75" customHeight="1" thickBot="1">
      <c r="A153" s="183" t="n">
        <v>95</v>
      </c>
      <c r="B153" s="114" t="inlineStr">
        <is>
          <t>Coffee mate</t>
        </is>
      </c>
      <c r="C153" s="114" t="n"/>
      <c r="D153" s="115">
        <f>IFERROR(__xludf.DUMMYFUNCTION("IF(J153="""",""n/a"",IFERROR(SPLIT(J153,""/"")))"),"n/a")</f>
        <v/>
      </c>
      <c r="E153" s="114" t="n"/>
      <c r="F153" s="114" t="n"/>
      <c r="G153" s="114" t="n"/>
      <c r="H153" s="84" t="inlineStr">
        <is>
          <t>F1</t>
        </is>
      </c>
      <c r="I153" s="7" t="n"/>
      <c r="J153" s="19" t="n"/>
      <c r="K153" s="7" t="n"/>
      <c r="L153" s="12" t="n">
        <v>1.97</v>
      </c>
      <c r="M153" s="191" t="n">
        <v>684</v>
      </c>
      <c r="N153" s="85" t="n">
        <v>1</v>
      </c>
      <c r="O153" s="13">
        <f>E153</f>
        <v/>
      </c>
      <c r="P153" s="23" t="inlineStr">
        <is>
          <t>pieces</t>
        </is>
      </c>
      <c r="Q153" s="20" t="n"/>
      <c r="R153" s="5" t="n"/>
      <c r="S153" s="229">
        <f>M153*N153</f>
        <v/>
      </c>
      <c r="T153" s="230">
        <f>CONCATENATE(S153,Q153,P153)</f>
        <v/>
      </c>
      <c r="U153" s="206">
        <f>L153*M153</f>
        <v/>
      </c>
      <c r="V153" s="4" t="n"/>
      <c r="W153" s="4" t="n"/>
      <c r="X153" s="4" t="n"/>
    </row>
    <row r="154" ht="15.75" customHeight="1" thickBot="1">
      <c r="A154" s="183" t="n">
        <v>96</v>
      </c>
      <c r="B154" s="114" t="inlineStr">
        <is>
          <t>Coffee Premuim Classic Stick</t>
        </is>
      </c>
      <c r="C154" s="114" t="n"/>
      <c r="D154" s="115">
        <f>IFERROR(__xludf.DUMMYFUNCTION("IF(J154="""",""n/a"",IFERROR(SPLIT(J154,""/"")))"),"n/a")</f>
        <v/>
      </c>
      <c r="E154" s="114" t="n"/>
      <c r="F154" s="114" t="n"/>
      <c r="G154" s="114" t="n"/>
      <c r="H154" s="84" t="inlineStr">
        <is>
          <t>F1</t>
        </is>
      </c>
      <c r="I154" s="7" t="n"/>
      <c r="J154" s="19" t="n"/>
      <c r="K154" s="7" t="n"/>
      <c r="L154" s="12" t="n">
        <v>2.65</v>
      </c>
      <c r="M154" s="191" t="n">
        <v>828</v>
      </c>
      <c r="N154" s="85" t="n">
        <v>1</v>
      </c>
      <c r="O154" s="13">
        <f>E154</f>
        <v/>
      </c>
      <c r="P154" s="23" t="inlineStr">
        <is>
          <t>pieces</t>
        </is>
      </c>
      <c r="Q154" s="20" t="n"/>
      <c r="R154" s="5" t="n"/>
      <c r="S154" s="229">
        <f>M154*N154</f>
        <v/>
      </c>
      <c r="T154" s="230">
        <f>CONCATENATE(S154,Q154,P154)</f>
        <v/>
      </c>
      <c r="U154" s="206">
        <f>L154*M154</f>
        <v/>
      </c>
      <c r="V154" s="4" t="n"/>
      <c r="W154" s="4" t="n"/>
      <c r="X154" s="4" t="n"/>
    </row>
    <row r="155" ht="15.75" customHeight="1" thickBot="1">
      <c r="A155" s="183" t="n">
        <v>97</v>
      </c>
      <c r="B155" s="115" t="inlineStr">
        <is>
          <t>Coffee Stick</t>
        </is>
      </c>
      <c r="C155" s="115" t="n"/>
      <c r="D155" s="115">
        <f>IFERROR(__xludf.DUMMYFUNCTION("IF(J155="""",""n/a"",IFERROR(SPLIT(J155,""/"")))"),"Great Tastepack (pcsx1.8grams)")</f>
        <v/>
      </c>
      <c r="E155" s="115" t="n"/>
      <c r="F155" s="115" t="n"/>
      <c r="G155" s="115" t="n"/>
      <c r="H155" s="11" t="inlineStr">
        <is>
          <t>Annex</t>
        </is>
      </c>
      <c r="I155" s="6" t="n"/>
      <c r="J155" s="19" t="inlineStr">
        <is>
          <t>Great Tastepack (pcsx1.8grams)</t>
        </is>
      </c>
      <c r="K155" s="6" t="n"/>
      <c r="L155" s="14" t="n">
        <v>2.79</v>
      </c>
      <c r="M155" s="190" t="n">
        <v>2312</v>
      </c>
      <c r="N155" s="17" t="n">
        <v>1</v>
      </c>
      <c r="O155" s="13">
        <f>E155</f>
        <v/>
      </c>
      <c r="P155" s="9" t="inlineStr">
        <is>
          <t>pieces</t>
        </is>
      </c>
      <c r="Q155" s="13" t="n"/>
      <c r="R155" s="78">
        <f>CONCATENATE(N155,P155)</f>
        <v/>
      </c>
      <c r="S155" s="229">
        <f>M155*N155</f>
        <v/>
      </c>
      <c r="T155" s="230">
        <f>CONCATENATE(S155,Q155,P155)</f>
        <v/>
      </c>
      <c r="U155" s="206">
        <f>L155*M155</f>
        <v/>
      </c>
      <c r="V155" s="231" t="n"/>
      <c r="W155" s="236" t="n"/>
      <c r="X155" s="71" t="n"/>
    </row>
    <row r="156" ht="15.75" customHeight="1" thickBot="1">
      <c r="A156" s="183" t="n">
        <v>97</v>
      </c>
      <c r="B156" s="115" t="inlineStr">
        <is>
          <t>Coffee Stick</t>
        </is>
      </c>
      <c r="C156" s="115" t="n"/>
      <c r="D156" s="115">
        <f>IFERROR(__xludf.DUMMYFUNCTION("IF(J156="""",""n/a"",IFERROR(SPLIT(J156,""/"")))"),"Great Tastepack (pcsx1.8grams)")</f>
        <v/>
      </c>
      <c r="E156" s="115" t="n"/>
      <c r="F156" s="115" t="n"/>
      <c r="G156" s="115" t="n"/>
      <c r="H156" s="11" t="inlineStr">
        <is>
          <t>CIP</t>
        </is>
      </c>
      <c r="I156" s="95" t="n"/>
      <c r="J156" s="93" t="inlineStr">
        <is>
          <t>Great Tastepack (pcsx1.8grams)</t>
        </is>
      </c>
      <c r="K156" s="5" t="n"/>
      <c r="L156" s="90" t="n">
        <v>2.89</v>
      </c>
      <c r="M156" s="189" t="n">
        <v>3576</v>
      </c>
      <c r="N156" s="13" t="n">
        <v>1</v>
      </c>
      <c r="O156" s="13">
        <f>E156</f>
        <v/>
      </c>
      <c r="P156" s="13" t="inlineStr">
        <is>
          <t>pieces</t>
        </is>
      </c>
      <c r="Q156" s="20" t="n"/>
      <c r="R156" s="5" t="n"/>
      <c r="S156" s="229">
        <f>M156*N156</f>
        <v/>
      </c>
      <c r="T156" s="230">
        <f>CONCATENATE(S156,Q156,P156)</f>
        <v/>
      </c>
      <c r="U156" s="206">
        <f>L156*M156</f>
        <v/>
      </c>
      <c r="V156" s="4" t="n"/>
      <c r="W156" s="4" t="n"/>
      <c r="X156" s="4" t="n"/>
    </row>
    <row r="157" ht="15.75" customHeight="1" thickBot="1">
      <c r="A157" s="183" t="n">
        <v>98</v>
      </c>
      <c r="B157" s="115" t="inlineStr">
        <is>
          <t>Coffee Stirrer</t>
        </is>
      </c>
      <c r="C157" s="115" t="n"/>
      <c r="D157" s="115">
        <f>IFERROR(__xludf.DUMMYFUNCTION("IF(J157="""",""n/a"",IFERROR(SPLIT(J157,""/"")))"),"My Everyday")</f>
        <v/>
      </c>
      <c r="E157" s="115">
        <f>IFERROR(__xludf.DUMMYFUNCTION("""COMPUTED_VALUE"""),"50's")</f>
        <v/>
      </c>
      <c r="F157" s="115" t="n"/>
      <c r="G157" s="115" t="n"/>
      <c r="H157" s="11" t="inlineStr">
        <is>
          <t>CIP</t>
        </is>
      </c>
      <c r="I157" s="95" t="n"/>
      <c r="J157" s="93" t="inlineStr">
        <is>
          <t>My Everyday/50's</t>
        </is>
      </c>
      <c r="K157" s="116" t="n"/>
      <c r="L157" s="90" t="n">
        <v>13.3</v>
      </c>
      <c r="M157" s="189" t="n">
        <v>20</v>
      </c>
      <c r="N157" s="13" t="n">
        <v>1</v>
      </c>
      <c r="O157" s="13">
        <f>E157</f>
        <v/>
      </c>
      <c r="P157" s="13" t="inlineStr">
        <is>
          <t>packs</t>
        </is>
      </c>
      <c r="Q157" s="20" t="n"/>
      <c r="R157" s="5" t="n"/>
      <c r="S157" s="229">
        <f>M157*N157</f>
        <v/>
      </c>
      <c r="T157" s="230">
        <f>CONCATENATE(S157,Q157,P157)</f>
        <v/>
      </c>
      <c r="U157" s="206">
        <f>L157*M157</f>
        <v/>
      </c>
      <c r="V157" s="4" t="n"/>
      <c r="W157" s="4" t="n"/>
      <c r="X157" s="4" t="n"/>
    </row>
    <row r="158" ht="15.75" customHeight="1" thickBot="1">
      <c r="A158" s="183" t="n">
        <v>99</v>
      </c>
      <c r="B158" s="115" t="inlineStr">
        <is>
          <t>Coffeemate</t>
        </is>
      </c>
      <c r="C158" s="115" t="n"/>
      <c r="D158" s="115">
        <f>IFERROR(__xludf.DUMMYFUNCTION("IF(J158="""",""n/a"",IFERROR(SPLIT(J158,""/"")))"),"Nestle")</f>
        <v/>
      </c>
      <c r="E158" s="115">
        <f>IFERROR(__xludf.DUMMYFUNCTION("""COMPUTED_VALUE"""),"pack")</f>
        <v/>
      </c>
      <c r="F158" s="115">
        <f>IFERROR(__xludf.DUMMYFUNCTION("""COMPUTED_VALUE"""),"400grams")</f>
        <v/>
      </c>
      <c r="G158" s="115" t="n"/>
      <c r="H158" s="11" t="inlineStr">
        <is>
          <t>Annex</t>
        </is>
      </c>
      <c r="I158" s="6" t="n"/>
      <c r="J158" s="19" t="inlineStr">
        <is>
          <t>Nestle/pack/400grams</t>
        </is>
      </c>
      <c r="K158" s="6" t="n"/>
      <c r="L158" s="8" t="n">
        <v>0.25825</v>
      </c>
      <c r="M158" s="190" t="n">
        <v>800</v>
      </c>
      <c r="N158" s="17" t="n">
        <v>400</v>
      </c>
      <c r="O158" s="13">
        <f>E158</f>
        <v/>
      </c>
      <c r="P158" s="9" t="inlineStr">
        <is>
          <t>grams</t>
        </is>
      </c>
      <c r="Q158" s="13" t="n"/>
      <c r="R158" s="78">
        <f>CONCATENATE(N158,P158)</f>
        <v/>
      </c>
      <c r="S158" s="229">
        <f>M158*N158</f>
        <v/>
      </c>
      <c r="T158" s="230">
        <f>CONCATENATE(S158,Q158,P158)</f>
        <v/>
      </c>
      <c r="U158" s="206">
        <f>L158*M158</f>
        <v/>
      </c>
      <c r="V158" s="231" t="n"/>
      <c r="W158" s="236" t="n"/>
      <c r="X158" s="71" t="n"/>
    </row>
    <row r="159" ht="15.75" customHeight="1" thickBot="1">
      <c r="A159" s="183" t="n">
        <v>99</v>
      </c>
      <c r="B159" s="115" t="inlineStr">
        <is>
          <t>Coffeemate</t>
        </is>
      </c>
      <c r="C159" s="115" t="n"/>
      <c r="D159" s="115">
        <f>IFERROR(__xludf.DUMMYFUNCTION("IF(J159="""",""n/a"",IFERROR(SPLIT(J159,""/"")))"),"Nestle")</f>
        <v/>
      </c>
      <c r="E159" s="115">
        <f>IFERROR(__xludf.DUMMYFUNCTION("""COMPUTED_VALUE"""),"pack (pcsx5grams)")</f>
        <v/>
      </c>
      <c r="F159" s="115" t="n"/>
      <c r="G159" s="115" t="n"/>
      <c r="H159" s="11" t="inlineStr">
        <is>
          <t>Annex</t>
        </is>
      </c>
      <c r="I159" s="6" t="n"/>
      <c r="J159" s="19" t="inlineStr">
        <is>
          <t>Nestle/pack (pcsx5grams)</t>
        </is>
      </c>
      <c r="K159" s="6" t="n"/>
      <c r="L159" s="14" t="n">
        <v>1.97</v>
      </c>
      <c r="M159" s="190" t="n">
        <v>479</v>
      </c>
      <c r="N159" s="17" t="n">
        <v>1</v>
      </c>
      <c r="O159" s="13">
        <f>E159</f>
        <v/>
      </c>
      <c r="P159" s="9" t="inlineStr">
        <is>
          <t>pieces</t>
        </is>
      </c>
      <c r="Q159" s="13" t="n"/>
      <c r="R159" s="78">
        <f>CONCATENATE(N159,P159)</f>
        <v/>
      </c>
      <c r="S159" s="229">
        <f>M159*N159</f>
        <v/>
      </c>
      <c r="T159" s="230">
        <f>CONCATENATE(S159,Q159,P159)</f>
        <v/>
      </c>
      <c r="U159" s="206">
        <f>L159*M159</f>
        <v/>
      </c>
      <c r="V159" s="231" t="n"/>
      <c r="W159" s="236" t="n"/>
      <c r="X159" s="71" t="n"/>
    </row>
    <row r="160" ht="15.75" customHeight="1" thickBot="1">
      <c r="A160" s="183" t="n">
        <v>99</v>
      </c>
      <c r="B160" s="114" t="inlineStr">
        <is>
          <t>Coffeemate</t>
        </is>
      </c>
      <c r="C160" s="114" t="n"/>
      <c r="D160" s="115">
        <f>IFERROR(__xludf.DUMMYFUNCTION("IF(J160="""",""n/a"",IFERROR(SPLIT(J160,""/"")))"),"Nestle")</f>
        <v/>
      </c>
      <c r="E160" s="114">
        <f>IFERROR(__xludf.DUMMYFUNCTION("""COMPUTED_VALUE"""),"pack (pcsx5grams)")</f>
        <v/>
      </c>
      <c r="F160" s="114" t="n"/>
      <c r="G160" s="114" t="n"/>
      <c r="H160" s="11" t="inlineStr">
        <is>
          <t>CIP</t>
        </is>
      </c>
      <c r="I160" s="95" t="n"/>
      <c r="J160" s="93" t="inlineStr">
        <is>
          <t>Nestle/pack (pcsx5grams)</t>
        </is>
      </c>
      <c r="K160" s="5" t="n"/>
      <c r="L160" s="90" t="n">
        <v>1.93</v>
      </c>
      <c r="M160" s="189" t="n">
        <v>1074</v>
      </c>
      <c r="N160" s="13" t="n">
        <v>1</v>
      </c>
      <c r="O160" s="13">
        <f>E160</f>
        <v/>
      </c>
      <c r="P160" s="13" t="inlineStr">
        <is>
          <t>pieces</t>
        </is>
      </c>
      <c r="Q160" s="20" t="n"/>
      <c r="R160" s="5" t="n"/>
      <c r="S160" s="229">
        <f>M160*N160</f>
        <v/>
      </c>
      <c r="T160" s="230">
        <f>CONCATENATE(S160,Q160,P160)</f>
        <v/>
      </c>
      <c r="U160" s="206">
        <f>L160*M160</f>
        <v/>
      </c>
      <c r="V160" s="4" t="n"/>
      <c r="W160" s="4" t="n"/>
      <c r="X160" s="4" t="n"/>
    </row>
    <row r="161" ht="15.75" customHeight="1" thickBot="1">
      <c r="A161" s="183" t="n">
        <v>100</v>
      </c>
      <c r="B161" s="114" t="inlineStr">
        <is>
          <t>Coke Mismo</t>
        </is>
      </c>
      <c r="C161" s="114" t="n"/>
      <c r="D161" s="115">
        <f>IFERROR(__xludf.DUMMYFUNCTION("IF(J161="""",""n/a"",IFERROR(SPLIT(J161,""/"")))"),"Coca-Cola")</f>
        <v/>
      </c>
      <c r="E161" s="114">
        <f>IFERROR(__xludf.DUMMYFUNCTION("""COMPUTED_VALUE"""),"case (12x290ml)")</f>
        <v/>
      </c>
      <c r="F161" s="114" t="n"/>
      <c r="G161" s="114" t="n"/>
      <c r="H161" s="11" t="inlineStr">
        <is>
          <t>CIP</t>
        </is>
      </c>
      <c r="I161" s="6" t="n"/>
      <c r="J161" s="93" t="inlineStr">
        <is>
          <t>Coca-Cola/case (12x290ml)</t>
        </is>
      </c>
      <c r="K161" s="5" t="n"/>
      <c r="L161" s="90" t="n">
        <v>16.66</v>
      </c>
      <c r="M161" s="189" t="n">
        <v>135</v>
      </c>
      <c r="N161" s="13" t="n">
        <v>12</v>
      </c>
      <c r="O161" s="13">
        <f>E161</f>
        <v/>
      </c>
      <c r="P161" s="13" t="inlineStr">
        <is>
          <t>pieces</t>
        </is>
      </c>
      <c r="Q161" s="20" t="n"/>
      <c r="R161" s="5" t="n"/>
      <c r="S161" s="229">
        <f>M161*N161</f>
        <v/>
      </c>
      <c r="T161" s="230">
        <f>CONCATENATE(S161,Q161,P161)</f>
        <v/>
      </c>
      <c r="U161" s="206">
        <f>L161*M161</f>
        <v/>
      </c>
      <c r="V161" s="4" t="n"/>
      <c r="W161" s="4" t="n"/>
      <c r="X161" s="4" t="n"/>
    </row>
    <row r="162" ht="15.75" customHeight="1" thickBot="1">
      <c r="A162" s="183" t="n">
        <v>101</v>
      </c>
      <c r="B162" s="114" t="inlineStr">
        <is>
          <t>Condensada</t>
        </is>
      </c>
      <c r="C162" s="114" t="n"/>
      <c r="D162" s="115">
        <f>IFERROR(__xludf.DUMMYFUNCTION("IF(J162="""",""n/a"",IFERROR(SPLIT(J162,""/"")))"),"Alaska (48x370ml)")</f>
        <v/>
      </c>
      <c r="E162" s="114" t="n"/>
      <c r="F162" s="114" t="n"/>
      <c r="G162" s="114" t="n"/>
      <c r="H162" s="84" t="inlineStr">
        <is>
          <t>F1</t>
        </is>
      </c>
      <c r="I162" s="7" t="n"/>
      <c r="J162" s="19" t="inlineStr">
        <is>
          <t>Alaska (48x370ml)</t>
        </is>
      </c>
      <c r="K162" s="7" t="n"/>
      <c r="L162" s="12" t="n">
        <v>0.1445135135135135</v>
      </c>
      <c r="M162" s="191" t="n">
        <v>9620</v>
      </c>
      <c r="N162" s="85" t="n">
        <v>370</v>
      </c>
      <c r="O162" s="13">
        <f>E162</f>
        <v/>
      </c>
      <c r="P162" s="9" t="inlineStr">
        <is>
          <t>grams</t>
        </is>
      </c>
      <c r="Q162" s="20" t="n"/>
      <c r="R162" s="5" t="n"/>
      <c r="S162" s="229">
        <f>M162*N162</f>
        <v/>
      </c>
      <c r="T162" s="230">
        <f>CONCATENATE(S162,Q162,P162)</f>
        <v/>
      </c>
      <c r="U162" s="206">
        <f>L162*M162</f>
        <v/>
      </c>
      <c r="V162" s="4" t="n"/>
      <c r="W162" s="4" t="n"/>
      <c r="X162" s="4" t="n"/>
    </row>
    <row r="163" ht="15.75" customHeight="1" thickBot="1">
      <c r="A163" s="183" t="n">
        <v>101</v>
      </c>
      <c r="B163" s="114" t="inlineStr">
        <is>
          <t>Condensada</t>
        </is>
      </c>
      <c r="C163" s="114" t="n"/>
      <c r="D163" s="115">
        <f>IFERROR(__xludf.DUMMYFUNCTION("IF(J163="""",""n/a"",IFERROR(SPLIT(J163,""/"")))"),"Alaska 206ml")</f>
        <v/>
      </c>
      <c r="E163" s="114" t="n"/>
      <c r="F163" s="114" t="n"/>
      <c r="G163" s="114" t="n"/>
      <c r="H163" s="84" t="inlineStr">
        <is>
          <t>F1</t>
        </is>
      </c>
      <c r="I163" s="7" t="n"/>
      <c r="J163" s="19" t="inlineStr">
        <is>
          <t>Alaska 206ml</t>
        </is>
      </c>
      <c r="K163" s="7" t="n"/>
      <c r="L163" s="12" t="n">
        <v>0.1703883495145631</v>
      </c>
      <c r="M163" s="191" t="n">
        <v>3502</v>
      </c>
      <c r="N163" s="85" t="n">
        <v>206</v>
      </c>
      <c r="O163" s="13">
        <f>E163</f>
        <v/>
      </c>
      <c r="P163" s="9" t="inlineStr">
        <is>
          <t>grams</t>
        </is>
      </c>
      <c r="Q163" s="20" t="n"/>
      <c r="R163" s="5" t="n"/>
      <c r="S163" s="229">
        <f>M163*N163</f>
        <v/>
      </c>
      <c r="T163" s="230">
        <f>CONCATENATE(S163,Q163,P163)</f>
        <v/>
      </c>
      <c r="U163" s="206">
        <f>L163*M163</f>
        <v/>
      </c>
      <c r="V163" s="4" t="n"/>
      <c r="W163" s="4" t="n"/>
      <c r="X163" s="4" t="n"/>
    </row>
    <row r="164" ht="15.75" customHeight="1" thickBot="1">
      <c r="A164" s="183" t="n">
        <v>102</v>
      </c>
      <c r="B164" s="115" t="inlineStr">
        <is>
          <t>Condensed Milk</t>
        </is>
      </c>
      <c r="C164" s="115" t="n"/>
      <c r="D164" s="115">
        <f>IFERROR(__xludf.DUMMYFUNCTION("IF(J164="""",""n/a"",IFERROR(SPLIT(J164,""/"")))"),"Cowbell")</f>
        <v/>
      </c>
      <c r="E164" s="115">
        <f>IFERROR(__xludf.DUMMYFUNCTION("""COMPUTED_VALUE"""),"can")</f>
        <v/>
      </c>
      <c r="F164" s="115">
        <f>IFERROR(__xludf.DUMMYFUNCTION("""COMPUTED_VALUE"""),"375ml")</f>
        <v/>
      </c>
      <c r="G164" s="115" t="n"/>
      <c r="H164" s="11" t="inlineStr">
        <is>
          <t>Annex</t>
        </is>
      </c>
      <c r="I164" s="6" t="n"/>
      <c r="J164" s="19" t="inlineStr">
        <is>
          <t>Cowbell/can/375ml</t>
        </is>
      </c>
      <c r="K164" s="6" t="n"/>
      <c r="L164" s="8" t="n">
        <v>0.112</v>
      </c>
      <c r="M164" s="190" t="n">
        <v>28875</v>
      </c>
      <c r="N164" s="17" t="n">
        <v>375</v>
      </c>
      <c r="O164" s="13">
        <f>E164</f>
        <v/>
      </c>
      <c r="P164" s="9" t="inlineStr">
        <is>
          <t>ml</t>
        </is>
      </c>
      <c r="Q164" s="9" t="n"/>
      <c r="R164" s="74">
        <f>CONCATENATE(N164,P164)</f>
        <v/>
      </c>
      <c r="S164" s="233">
        <f>M164*N164</f>
        <v/>
      </c>
      <c r="T164" s="234">
        <f>CONCATENATE(S164,Q164,P164)</f>
        <v/>
      </c>
      <c r="U164" s="207">
        <f>L164*M164</f>
        <v/>
      </c>
      <c r="V164" s="235" t="n"/>
      <c r="W164" s="236" t="n"/>
      <c r="X164" s="71" t="n"/>
    </row>
    <row r="165" ht="15.75" customHeight="1" thickBot="1">
      <c r="A165" s="183" t="n">
        <v>102</v>
      </c>
      <c r="B165" s="114" t="inlineStr">
        <is>
          <t>Condensed Milk</t>
        </is>
      </c>
      <c r="C165" s="114" t="n"/>
      <c r="D165" s="115">
        <f>IFERROR(__xludf.DUMMYFUNCTION("IF(J165="""",""n/a"",IFERROR(SPLIT(J165,""/"")))"),"Cowbell")</f>
        <v/>
      </c>
      <c r="E165" s="114">
        <f>IFERROR(__xludf.DUMMYFUNCTION("""COMPUTED_VALUE"""),"can")</f>
        <v/>
      </c>
      <c r="F165" s="114">
        <f>IFERROR(__xludf.DUMMYFUNCTION("""COMPUTED_VALUE"""),"374ml")</f>
        <v/>
      </c>
      <c r="G165" s="114" t="n"/>
      <c r="H165" s="11" t="inlineStr">
        <is>
          <t>CIP</t>
        </is>
      </c>
      <c r="I165" s="95" t="n"/>
      <c r="J165" s="93" t="inlineStr">
        <is>
          <t>Cowbell/can/374ml</t>
        </is>
      </c>
      <c r="K165" s="5" t="n"/>
      <c r="L165" s="90" t="n">
        <v>40.72</v>
      </c>
      <c r="M165" s="189" t="n">
        <v>163.64</v>
      </c>
      <c r="N165" s="13" t="n">
        <v>374</v>
      </c>
      <c r="O165" s="13">
        <f>E165</f>
        <v/>
      </c>
      <c r="P165" s="13" t="inlineStr">
        <is>
          <t>ml</t>
        </is>
      </c>
      <c r="Q165" s="20" t="n"/>
      <c r="R165" s="5" t="n"/>
      <c r="S165" s="229">
        <f>M165*N165</f>
        <v/>
      </c>
      <c r="T165" s="230">
        <f>CONCATENATE(S165,Q165,P165)</f>
        <v/>
      </c>
      <c r="U165" s="206">
        <f>L165*M165</f>
        <v/>
      </c>
      <c r="V165" s="4" t="n"/>
      <c r="W165" s="4" t="n"/>
      <c r="X165" s="4" t="n"/>
    </row>
    <row r="166" ht="15.75" customHeight="1" thickBot="1">
      <c r="A166" s="183" t="n">
        <v>103</v>
      </c>
      <c r="B166" s="114" t="inlineStr">
        <is>
          <t>Condensed Milk Macapuno</t>
        </is>
      </c>
      <c r="C166" s="114" t="n"/>
      <c r="D166" s="115">
        <f>IFERROR(__xludf.DUMMYFUNCTION("IF(J166="""",""n/a"",IFERROR(SPLIT(J166,""/"")))"),"Jersey")</f>
        <v/>
      </c>
      <c r="E166" s="114">
        <f>IFERROR(__xludf.DUMMYFUNCTION("""COMPUTED_VALUE"""),"can")</f>
        <v/>
      </c>
      <c r="F166" s="114">
        <f>IFERROR(__xludf.DUMMYFUNCTION("""COMPUTED_VALUE"""),"390ml")</f>
        <v/>
      </c>
      <c r="G166" s="114" t="n"/>
      <c r="H166" s="84" t="inlineStr">
        <is>
          <t>F1</t>
        </is>
      </c>
      <c r="I166" s="7" t="n"/>
      <c r="J166" s="19" t="inlineStr">
        <is>
          <t>Jersey/can/390ml</t>
        </is>
      </c>
      <c r="K166" s="7" t="n"/>
      <c r="L166" s="12" t="n">
        <v>0.1446153846153846</v>
      </c>
      <c r="M166" s="191" t="n">
        <v>780</v>
      </c>
      <c r="N166" s="85" t="n">
        <v>390</v>
      </c>
      <c r="O166" s="13">
        <f>E166</f>
        <v/>
      </c>
      <c r="P166" s="9" t="inlineStr">
        <is>
          <t>ml</t>
        </is>
      </c>
      <c r="Q166" s="20" t="n"/>
      <c r="R166" s="5" t="n"/>
      <c r="S166" s="229">
        <f>M166*N166</f>
        <v/>
      </c>
      <c r="T166" s="230">
        <f>CONCATENATE(S166,Q166,P166)</f>
        <v/>
      </c>
      <c r="U166" s="206">
        <f>L166*M166</f>
        <v/>
      </c>
      <c r="V166" s="4" t="n"/>
      <c r="W166" s="4" t="n"/>
      <c r="X166" s="4" t="n"/>
    </row>
    <row r="167" ht="15.75" customHeight="1" thickBot="1">
      <c r="A167" s="183" t="n">
        <v>104</v>
      </c>
      <c r="B167" s="114" t="inlineStr">
        <is>
          <t>Condensed Milk Mango</t>
        </is>
      </c>
      <c r="C167" s="114" t="n"/>
      <c r="D167" s="115">
        <f>IFERROR(__xludf.DUMMYFUNCTION("IF(J167="""",""n/a"",IFERROR(SPLIT(J167,""/"")))"),"Jersey")</f>
        <v/>
      </c>
      <c r="E167" s="114">
        <f>IFERROR(__xludf.DUMMYFUNCTION("""COMPUTED_VALUE"""),"can")</f>
        <v/>
      </c>
      <c r="F167" s="114">
        <f>IFERROR(__xludf.DUMMYFUNCTION("""COMPUTED_VALUE"""),"390ml")</f>
        <v/>
      </c>
      <c r="G167" s="114" t="n"/>
      <c r="H167" s="11" t="inlineStr">
        <is>
          <t>CIP</t>
        </is>
      </c>
      <c r="I167" s="95" t="n"/>
      <c r="J167" s="19" t="inlineStr">
        <is>
          <t>Jersey/can/390ml</t>
        </is>
      </c>
      <c r="K167" s="5" t="n"/>
      <c r="L167" s="94" t="n">
        <v>62.7</v>
      </c>
      <c r="M167" s="189" t="n">
        <v>1</v>
      </c>
      <c r="N167" s="13" t="n">
        <v>390</v>
      </c>
      <c r="O167" s="13">
        <f>E167</f>
        <v/>
      </c>
      <c r="P167" s="13" t="inlineStr">
        <is>
          <t>ml</t>
        </is>
      </c>
      <c r="Q167" s="20" t="n"/>
      <c r="R167" s="5" t="n"/>
      <c r="S167" s="229">
        <f>M167*N167</f>
        <v/>
      </c>
      <c r="T167" s="230">
        <f>CONCATENATE(S167,Q167,P167)</f>
        <v/>
      </c>
      <c r="U167" s="206">
        <f>L167*M167</f>
        <v/>
      </c>
      <c r="V167" s="4" t="n"/>
      <c r="W167" s="4" t="n"/>
      <c r="X167" s="4" t="n"/>
    </row>
    <row r="168" ht="15.75" customHeight="1" thickBot="1">
      <c r="A168" s="183" t="n">
        <v>105</v>
      </c>
      <c r="B168" s="115" t="inlineStr">
        <is>
          <t>Condensed Milk Ube</t>
        </is>
      </c>
      <c r="C168" s="115" t="n"/>
      <c r="D168" s="115">
        <f>IFERROR(__xludf.DUMMYFUNCTION("IF(J168="""",""n/a"",IFERROR(SPLIT(J168,""/"")))"),"Jersey")</f>
        <v/>
      </c>
      <c r="E168" s="115">
        <f>IFERROR(__xludf.DUMMYFUNCTION("""COMPUTED_VALUE"""),"can")</f>
        <v/>
      </c>
      <c r="F168" s="115">
        <f>IFERROR(__xludf.DUMMYFUNCTION("""COMPUTED_VALUE"""),"390ml")</f>
        <v/>
      </c>
      <c r="G168" s="115" t="n"/>
      <c r="H168" s="11" t="inlineStr">
        <is>
          <t>Annex</t>
        </is>
      </c>
      <c r="I168" s="6" t="n"/>
      <c r="J168" s="19" t="inlineStr">
        <is>
          <t>Jersey/can/390ml</t>
        </is>
      </c>
      <c r="K168" s="6" t="n"/>
      <c r="L168" s="8" t="n">
        <v>0.1446153846153846</v>
      </c>
      <c r="M168" s="190" t="n">
        <v>390</v>
      </c>
      <c r="N168" s="17" t="n">
        <v>390</v>
      </c>
      <c r="O168" s="13">
        <f>E168</f>
        <v/>
      </c>
      <c r="P168" s="9" t="inlineStr">
        <is>
          <t>ml</t>
        </is>
      </c>
      <c r="Q168" s="9" t="n"/>
      <c r="R168" s="74">
        <f>CONCATENATE(N168,P168)</f>
        <v/>
      </c>
      <c r="S168" s="233">
        <f>M168*N168</f>
        <v/>
      </c>
      <c r="T168" s="234">
        <f>CONCATENATE(S168,Q168,P168)</f>
        <v/>
      </c>
      <c r="U168" s="207">
        <f>L168*M168</f>
        <v/>
      </c>
      <c r="V168" s="235" t="n"/>
      <c r="W168" s="236" t="n"/>
      <c r="X168" s="71" t="n"/>
    </row>
    <row r="169" ht="15.75" customHeight="1" thickBot="1">
      <c r="A169" s="183" t="n">
        <v>106</v>
      </c>
      <c r="B169" s="114" t="inlineStr">
        <is>
          <t>Confectioner sugar</t>
        </is>
      </c>
      <c r="C169" s="114" t="n"/>
      <c r="D169" s="115">
        <f>IFERROR(__xludf.DUMMYFUNCTION("IF(J169="""",""n/a"",IFERROR(SPLIT(J169,""/"")))"),"Peotraco")</f>
        <v/>
      </c>
      <c r="E169" s="114">
        <f>IFERROR(__xludf.DUMMYFUNCTION("""COMPUTED_VALUE"""),"box")</f>
        <v/>
      </c>
      <c r="F169" s="114">
        <f>IFERROR(__xludf.DUMMYFUNCTION("""COMPUTED_VALUE"""),"450grams")</f>
        <v/>
      </c>
      <c r="G169" s="114" t="n"/>
      <c r="H169" s="11" t="inlineStr">
        <is>
          <t>CIP</t>
        </is>
      </c>
      <c r="I169" s="95" t="n"/>
      <c r="J169" s="93" t="inlineStr">
        <is>
          <t>Peotraco/box/450grams</t>
        </is>
      </c>
      <c r="K169" s="5" t="n"/>
      <c r="L169" s="90" t="n">
        <v>350</v>
      </c>
      <c r="M169" s="189" t="n">
        <v>2.22</v>
      </c>
      <c r="N169" s="13" t="n">
        <v>450</v>
      </c>
      <c r="O169" s="13">
        <f>E169</f>
        <v/>
      </c>
      <c r="P169" s="13" t="inlineStr">
        <is>
          <t>grams</t>
        </is>
      </c>
      <c r="Q169" s="20" t="n"/>
      <c r="R169" s="5" t="n"/>
      <c r="S169" s="229">
        <f>M169*N169</f>
        <v/>
      </c>
      <c r="T169" s="230">
        <f>CONCATENATE(S169,Q169,P169)</f>
        <v/>
      </c>
      <c r="U169" s="206">
        <f>L169*M169</f>
        <v/>
      </c>
      <c r="V169" s="4" t="n"/>
      <c r="W169" s="4" t="n"/>
      <c r="X169" s="4" t="n"/>
    </row>
    <row r="170" ht="15.75" customHeight="1" thickBot="1">
      <c r="A170" s="183" t="n">
        <v>107</v>
      </c>
      <c r="B170" s="122" t="inlineStr">
        <is>
          <t>Cooked Ham</t>
        </is>
      </c>
      <c r="C170" s="122" t="n"/>
      <c r="D170" s="115">
        <f>IFERROR(__xludf.DUMMYFUNCTION("IF(J170="""",""n/a"",IFERROR(SPLIT(J170,""/"")))"),"CDO")</f>
        <v/>
      </c>
      <c r="E170" s="122">
        <f>IFERROR(__xludf.DUMMYFUNCTION("""COMPUTED_VALUE"""),"pack")</f>
        <v/>
      </c>
      <c r="F170" s="122">
        <f>IFERROR(__xludf.DUMMYFUNCTION("""COMPUTED_VALUE"""),"250grams")</f>
        <v/>
      </c>
      <c r="G170" s="122" t="n"/>
      <c r="H170" s="11" t="inlineStr">
        <is>
          <t>CIP</t>
        </is>
      </c>
      <c r="I170" s="95" t="n"/>
      <c r="J170" s="19" t="inlineStr">
        <is>
          <t>CDO/pack/250grams</t>
        </is>
      </c>
      <c r="K170" s="116" t="n"/>
      <c r="L170" s="90" t="n">
        <v>69</v>
      </c>
      <c r="M170" s="189" t="n">
        <v>21</v>
      </c>
      <c r="N170" s="13" t="n">
        <v>1</v>
      </c>
      <c r="O170" s="13">
        <f>E170</f>
        <v/>
      </c>
      <c r="P170" s="13" t="inlineStr">
        <is>
          <t>grams</t>
        </is>
      </c>
      <c r="Q170" s="20" t="n"/>
      <c r="R170" s="5" t="n"/>
      <c r="S170" s="229">
        <f>M170*N170</f>
        <v/>
      </c>
      <c r="T170" s="230">
        <f>CONCATENATE(S170,Q170,P170)</f>
        <v/>
      </c>
      <c r="U170" s="206">
        <f>L170*M170</f>
        <v/>
      </c>
      <c r="V170" s="4" t="n"/>
      <c r="W170" s="4" t="n"/>
      <c r="X170" s="4" t="n"/>
    </row>
    <row r="171" ht="15.75" customHeight="1" thickBot="1">
      <c r="A171" s="183" t="n">
        <v>108</v>
      </c>
      <c r="B171" s="115" t="inlineStr">
        <is>
          <t>Cooking Oil</t>
        </is>
      </c>
      <c r="C171" s="115" t="n"/>
      <c r="D171" s="115">
        <f>IFERROR(__xludf.DUMMYFUNCTION("IF(J171="""",""n/a"",IFERROR(SPLIT(J171,""/"")))"),"Happy Fiesta")</f>
        <v/>
      </c>
      <c r="E171" s="115">
        <f>IFERROR(__xludf.DUMMYFUNCTION("""COMPUTED_VALUE"""),"pouch")</f>
        <v/>
      </c>
      <c r="F171" s="115">
        <f>IFERROR(__xludf.DUMMYFUNCTION("""COMPUTED_VALUE"""),"1800ml")</f>
        <v/>
      </c>
      <c r="G171" s="115" t="n"/>
      <c r="H171" s="11" t="inlineStr">
        <is>
          <t>Annex</t>
        </is>
      </c>
      <c r="I171" s="6" t="n"/>
      <c r="J171" s="19" t="inlineStr">
        <is>
          <t>Happy Fiesta/pouch/1800ml</t>
        </is>
      </c>
      <c r="K171" s="18" t="n"/>
      <c r="L171" s="12" t="n">
        <v>0.01188333333333333</v>
      </c>
      <c r="M171" s="190" t="n">
        <v>486000</v>
      </c>
      <c r="N171" s="17" t="n">
        <v>18000</v>
      </c>
      <c r="O171" s="13">
        <f>E171</f>
        <v/>
      </c>
      <c r="P171" s="9" t="inlineStr">
        <is>
          <t>ml</t>
        </is>
      </c>
      <c r="Q171" s="13" t="n"/>
      <c r="R171" s="78">
        <f>CONCATENATE(N171,P171)</f>
        <v/>
      </c>
      <c r="S171" s="229">
        <f>M171*N171</f>
        <v/>
      </c>
      <c r="T171" s="230">
        <f>CONCATENATE(S171,Q171,P171)</f>
        <v/>
      </c>
      <c r="U171" s="206">
        <f>L171*M171</f>
        <v/>
      </c>
      <c r="V171" s="231" t="n"/>
      <c r="W171" s="236" t="n"/>
      <c r="X171" s="71" t="n"/>
    </row>
    <row r="172" ht="15.75" customHeight="1" thickBot="1">
      <c r="A172" s="183" t="n">
        <v>108</v>
      </c>
      <c r="B172" s="126" t="inlineStr">
        <is>
          <t>Cooking Oil</t>
        </is>
      </c>
      <c r="C172" s="126" t="n"/>
      <c r="D172" s="115">
        <f>IFERROR(__xludf.DUMMYFUNCTION("IF(J172="""",""n/a"",IFERROR(SPLIT(J172,""/"")))"),"n/a")</f>
        <v/>
      </c>
      <c r="E172" s="126" t="n"/>
      <c r="F172" s="126" t="n"/>
      <c r="G172" s="126" t="n"/>
      <c r="H172" s="84" t="inlineStr">
        <is>
          <t>F1</t>
        </is>
      </c>
      <c r="I172" s="7" t="n"/>
      <c r="J172" s="19" t="n"/>
      <c r="K172" s="7" t="n"/>
      <c r="L172" s="12" t="n">
        <v>0.1188333333333333</v>
      </c>
      <c r="M172" s="192" t="n">
        <v>10800</v>
      </c>
      <c r="N172" s="85" t="n">
        <v>1800</v>
      </c>
      <c r="O172" s="13">
        <f>E172</f>
        <v/>
      </c>
      <c r="P172" s="9" t="inlineStr">
        <is>
          <t>ml</t>
        </is>
      </c>
      <c r="Q172" s="20" t="n"/>
      <c r="R172" s="5" t="n"/>
      <c r="S172" s="229">
        <f>M172*N172</f>
        <v/>
      </c>
      <c r="T172" s="230">
        <f>CONCATENATE(S172,Q172,P172)</f>
        <v/>
      </c>
      <c r="U172" s="206">
        <f>L172*M172</f>
        <v/>
      </c>
      <c r="V172" s="4" t="n"/>
      <c r="W172" s="4" t="n"/>
      <c r="X172" s="4" t="n"/>
    </row>
    <row r="173" ht="15.75" customHeight="1" thickBot="1">
      <c r="A173" s="183" t="n">
        <v>109</v>
      </c>
      <c r="B173" s="115" t="inlineStr">
        <is>
          <t>Cooking Oil - Vegetable</t>
        </is>
      </c>
      <c r="C173" s="115" t="n"/>
      <c r="D173" s="115">
        <f>IFERROR(__xludf.DUMMYFUNCTION("IF(J173="""",""n/a"",IFERROR(SPLIT(J173,""/"")))"),"Freeto")</f>
        <v/>
      </c>
      <c r="E173" s="115">
        <f>IFERROR(__xludf.DUMMYFUNCTION("""COMPUTED_VALUE"""),"tin can")</f>
        <v/>
      </c>
      <c r="F173" s="115">
        <f>IFERROR(__xludf.DUMMYFUNCTION("""COMPUTED_VALUE"""),"16kilos")</f>
        <v/>
      </c>
      <c r="G173" s="115" t="n"/>
      <c r="H173" s="11" t="inlineStr">
        <is>
          <t>CIP</t>
        </is>
      </c>
      <c r="I173" s="95" t="n"/>
      <c r="J173" s="19" t="inlineStr">
        <is>
          <t>Freeto/tin can/16kilos</t>
        </is>
      </c>
      <c r="K173" s="116" t="n"/>
      <c r="L173" s="90" t="n">
        <v>105</v>
      </c>
      <c r="M173" s="189" t="n">
        <v>112</v>
      </c>
      <c r="N173" s="13" t="n">
        <v>1</v>
      </c>
      <c r="O173" s="13">
        <f>E173</f>
        <v/>
      </c>
      <c r="P173" s="13" t="inlineStr">
        <is>
          <t>kilos</t>
        </is>
      </c>
      <c r="Q173" s="20" t="n"/>
      <c r="R173" s="5" t="n"/>
      <c r="S173" s="229">
        <f>M173*N173</f>
        <v/>
      </c>
      <c r="T173" s="230">
        <f>CONCATENATE(S173,Q173,P173)</f>
        <v/>
      </c>
      <c r="U173" s="206">
        <f>L173*M173</f>
        <v/>
      </c>
      <c r="V173" s="4" t="n"/>
      <c r="W173" s="4" t="n"/>
      <c r="X173" s="4" t="n"/>
    </row>
    <row r="174" ht="15.75" customHeight="1" thickBot="1">
      <c r="A174" s="183" t="n">
        <v>110</v>
      </c>
      <c r="B174" s="115" t="inlineStr">
        <is>
          <t>Corn Oil</t>
        </is>
      </c>
      <c r="C174" s="115" t="n"/>
      <c r="D174" s="115">
        <f>IFERROR(__xludf.DUMMYFUNCTION("IF(J174="""",""n/a"",IFERROR(SPLIT(J174,""/"")))"),"gallon")</f>
        <v/>
      </c>
      <c r="E174" s="115">
        <f>IFERROR(__xludf.DUMMYFUNCTION("""COMPUTED_VALUE"""),"2000ml")</f>
        <v/>
      </c>
      <c r="F174" s="115" t="n"/>
      <c r="G174" s="115" t="n"/>
      <c r="H174" s="11" t="inlineStr">
        <is>
          <t>CIP</t>
        </is>
      </c>
      <c r="I174" s="95" t="n"/>
      <c r="J174" s="93" t="inlineStr">
        <is>
          <t>gallon/2000ml</t>
        </is>
      </c>
      <c r="K174" s="116" t="n"/>
      <c r="L174" s="90" t="n">
        <v>227</v>
      </c>
      <c r="M174" s="189" t="n">
        <v>1</v>
      </c>
      <c r="N174" s="13" t="n">
        <v>1</v>
      </c>
      <c r="O174" s="13">
        <f>E174</f>
        <v/>
      </c>
      <c r="P174" s="13" t="inlineStr">
        <is>
          <t>ml</t>
        </is>
      </c>
      <c r="Q174" s="20" t="n"/>
      <c r="R174" s="5" t="n"/>
      <c r="S174" s="229">
        <f>M174*N174</f>
        <v/>
      </c>
      <c r="T174" s="230">
        <f>CONCATENATE(S174,Q174,P174)</f>
        <v/>
      </c>
      <c r="U174" s="206">
        <f>L174*M174</f>
        <v/>
      </c>
      <c r="V174" s="4" t="n"/>
      <c r="W174" s="4" t="n"/>
      <c r="X174" s="4" t="n"/>
    </row>
    <row r="175" ht="15.75" customHeight="1" thickBot="1">
      <c r="A175" s="183" t="n">
        <v>111</v>
      </c>
      <c r="B175" s="114" t="inlineStr">
        <is>
          <t>Corned Beef</t>
        </is>
      </c>
      <c r="C175" s="114" t="n"/>
      <c r="D175" s="115">
        <f>IFERROR(__xludf.DUMMYFUNCTION("IF(J175="""",""n/a"",IFERROR(SPLIT(J175,""/"")))"),"Argentina")</f>
        <v/>
      </c>
      <c r="E175" s="114">
        <f>IFERROR(__xludf.DUMMYFUNCTION("""COMPUTED_VALUE"""),"can")</f>
        <v/>
      </c>
      <c r="F175" s="114">
        <f>IFERROR(__xludf.DUMMYFUNCTION("""COMPUTED_VALUE"""),"260grams")</f>
        <v/>
      </c>
      <c r="G175" s="114" t="n"/>
      <c r="H175" s="11" t="inlineStr">
        <is>
          <t>CIP</t>
        </is>
      </c>
      <c r="I175" s="95" t="n"/>
      <c r="J175" s="93" t="inlineStr">
        <is>
          <t>Argentina/can/260grams</t>
        </is>
      </c>
      <c r="K175" s="116" t="n"/>
      <c r="L175" s="90" t="n">
        <v>55.05</v>
      </c>
      <c r="M175" s="189" t="n">
        <v>8</v>
      </c>
      <c r="N175" s="13" t="n">
        <v>1</v>
      </c>
      <c r="O175" s="13">
        <f>E175</f>
        <v/>
      </c>
      <c r="P175" s="13" t="inlineStr">
        <is>
          <t>grams</t>
        </is>
      </c>
      <c r="Q175" s="20" t="n"/>
      <c r="R175" s="5" t="n"/>
      <c r="S175" s="229">
        <f>M175*N175</f>
        <v/>
      </c>
      <c r="T175" s="230">
        <f>CONCATENATE(S175,Q175,P175)</f>
        <v/>
      </c>
      <c r="U175" s="206">
        <f>L175*M175</f>
        <v/>
      </c>
      <c r="V175" s="4" t="n"/>
      <c r="W175" s="4" t="n"/>
      <c r="X175" s="4" t="n"/>
    </row>
    <row r="176" ht="15.75" customHeight="1" thickBot="1">
      <c r="A176" s="183" t="n">
        <v>112</v>
      </c>
      <c r="B176" s="114" t="inlineStr">
        <is>
          <t>Corned Tuna chilli</t>
        </is>
      </c>
      <c r="C176" s="114" t="n"/>
      <c r="D176" s="115">
        <f>IFERROR(__xludf.DUMMYFUNCTION("IF(J176="""",""n/a"",IFERROR(SPLIT(J176,""/"")))"),"n/a")</f>
        <v/>
      </c>
      <c r="E176" s="114" t="n"/>
      <c r="F176" s="114" t="n"/>
      <c r="G176" s="114" t="n"/>
      <c r="H176" s="84" t="inlineStr">
        <is>
          <t>F1</t>
        </is>
      </c>
      <c r="I176" s="7" t="n"/>
      <c r="J176" s="19" t="n"/>
      <c r="K176" s="7" t="n"/>
      <c r="L176" s="12" t="n">
        <v>27.89</v>
      </c>
      <c r="M176" s="191" t="n">
        <v>48</v>
      </c>
      <c r="N176" s="85" t="n">
        <v>1</v>
      </c>
      <c r="O176" s="13">
        <f>E176</f>
        <v/>
      </c>
      <c r="P176" s="9" t="inlineStr">
        <is>
          <t>grams</t>
        </is>
      </c>
      <c r="Q176" s="20" t="n"/>
      <c r="R176" s="5" t="n"/>
      <c r="S176" s="229">
        <f>M176*N176</f>
        <v/>
      </c>
      <c r="T176" s="230">
        <f>CONCATENATE(S176,Q176,P176)</f>
        <v/>
      </c>
      <c r="U176" s="206">
        <f>L176*M176</f>
        <v/>
      </c>
      <c r="V176" s="4" t="n"/>
      <c r="W176" s="4" t="n"/>
      <c r="X176" s="4" t="n"/>
    </row>
    <row r="177" ht="15.75" customHeight="1" thickBot="1">
      <c r="A177" s="183" t="n">
        <v>113</v>
      </c>
      <c r="B177" s="126" t="inlineStr">
        <is>
          <t>Corned Tuna Plain</t>
        </is>
      </c>
      <c r="C177" s="126" t="n"/>
      <c r="D177" s="115">
        <f>IFERROR(__xludf.DUMMYFUNCTION("IF(J177="""",""n/a"",IFERROR(SPLIT(J177,""/"")))"),"n/a")</f>
        <v/>
      </c>
      <c r="E177" s="126" t="n"/>
      <c r="F177" s="126" t="n"/>
      <c r="G177" s="126" t="n"/>
      <c r="H177" s="84" t="inlineStr">
        <is>
          <t>F1</t>
        </is>
      </c>
      <c r="I177" s="7" t="n"/>
      <c r="J177" s="19" t="n"/>
      <c r="K177" s="7" t="n"/>
      <c r="L177" s="12" t="n">
        <v>27.89</v>
      </c>
      <c r="M177" s="192" t="n">
        <v>48</v>
      </c>
      <c r="N177" s="85" t="n">
        <v>1</v>
      </c>
      <c r="O177" s="13">
        <f>E177</f>
        <v/>
      </c>
      <c r="P177" s="9" t="inlineStr">
        <is>
          <t>pieces</t>
        </is>
      </c>
      <c r="Q177" s="20" t="n"/>
      <c r="R177" s="5" t="n"/>
      <c r="S177" s="229">
        <f>M177*N177</f>
        <v/>
      </c>
      <c r="T177" s="230">
        <f>CONCATENATE(S177,Q177,P177)</f>
        <v/>
      </c>
      <c r="U177" s="206">
        <f>L177*M177</f>
        <v/>
      </c>
      <c r="V177" s="4" t="n"/>
      <c r="W177" s="4" t="n"/>
      <c r="X177" s="4" t="n"/>
    </row>
    <row r="178" ht="15.75" customHeight="1" thickBot="1">
      <c r="A178" s="183" t="n">
        <v>114</v>
      </c>
      <c r="B178" s="115" t="inlineStr">
        <is>
          <t>Cornstarch</t>
        </is>
      </c>
      <c r="C178" s="115" t="n"/>
      <c r="D178" s="115">
        <f>IFERROR(__xludf.DUMMYFUNCTION("IF(J178="""",""n/a"",IFERROR(SPLIT(J178,""/"")))"),"Superior")</f>
        <v/>
      </c>
      <c r="E178" s="115">
        <f>IFERROR(__xludf.DUMMYFUNCTION("""COMPUTED_VALUE"""),"pack")</f>
        <v/>
      </c>
      <c r="F178" s="115">
        <f>IFERROR(__xludf.DUMMYFUNCTION("""COMPUTED_VALUE"""),"1000grams")</f>
        <v/>
      </c>
      <c r="G178" s="115" t="n"/>
      <c r="H178" s="11" t="inlineStr">
        <is>
          <t>Annex</t>
        </is>
      </c>
      <c r="I178" s="6" t="n"/>
      <c r="J178" s="19" t="inlineStr">
        <is>
          <t>Superior/pack/1000grams</t>
        </is>
      </c>
      <c r="K178" s="6" t="n"/>
      <c r="L178" s="8" t="n">
        <v>0.056</v>
      </c>
      <c r="M178" s="190" t="n">
        <v>7000</v>
      </c>
      <c r="N178" s="17" t="n">
        <v>1000</v>
      </c>
      <c r="O178" s="13">
        <f>E178</f>
        <v/>
      </c>
      <c r="P178" s="9" t="inlineStr">
        <is>
          <t>grams</t>
        </is>
      </c>
      <c r="Q178" s="9" t="n"/>
      <c r="R178" s="74">
        <f>CONCATENATE(N178,P178)</f>
        <v/>
      </c>
      <c r="S178" s="233">
        <f>M178*N178</f>
        <v/>
      </c>
      <c r="T178" s="234">
        <f>CONCATENATE(S178,Q178,P178)</f>
        <v/>
      </c>
      <c r="U178" s="207">
        <f>L178*M178</f>
        <v/>
      </c>
      <c r="V178" s="235" t="n"/>
      <c r="W178" s="236" t="n"/>
      <c r="X178" s="71" t="n"/>
    </row>
    <row r="179" ht="15.75" customHeight="1" thickBot="1">
      <c r="A179" s="183" t="n">
        <v>114</v>
      </c>
      <c r="B179" s="114" t="inlineStr">
        <is>
          <t>Cornstarch</t>
        </is>
      </c>
      <c r="C179" s="114" t="n"/>
      <c r="D179" s="115">
        <f>IFERROR(__xludf.DUMMYFUNCTION("IF(J179="""",""n/a"",IFERROR(SPLIT(J179,""/"")))"),"Superior")</f>
        <v/>
      </c>
      <c r="E179" s="114">
        <f>IFERROR(__xludf.DUMMYFUNCTION("""COMPUTED_VALUE"""),"pack")</f>
        <v/>
      </c>
      <c r="F179" s="114">
        <f>IFERROR(__xludf.DUMMYFUNCTION("""COMPUTED_VALUE"""),"1000grams")</f>
        <v/>
      </c>
      <c r="G179" s="114" t="n"/>
      <c r="H179" s="11" t="inlineStr">
        <is>
          <t>CIP</t>
        </is>
      </c>
      <c r="I179" s="95" t="n"/>
      <c r="J179" s="19" t="inlineStr">
        <is>
          <t>Superior/pack/1000grams</t>
        </is>
      </c>
      <c r="K179" s="5" t="n"/>
      <c r="L179" s="94" t="n">
        <v>51.4</v>
      </c>
      <c r="M179" s="189" t="n">
        <v>28</v>
      </c>
      <c r="N179" s="13" t="n">
        <v>1000</v>
      </c>
      <c r="O179" s="13">
        <f>E179</f>
        <v/>
      </c>
      <c r="P179" s="13" t="inlineStr">
        <is>
          <t>grams</t>
        </is>
      </c>
      <c r="Q179" s="20" t="n"/>
      <c r="R179" s="5" t="n"/>
      <c r="S179" s="229">
        <f>M179*N179</f>
        <v/>
      </c>
      <c r="T179" s="230">
        <f>CONCATENATE(S179,Q179,P179)</f>
        <v/>
      </c>
      <c r="U179" s="206">
        <f>L179*M179</f>
        <v/>
      </c>
      <c r="V179" s="4" t="n"/>
      <c r="W179" s="4" t="n"/>
      <c r="X179" s="4" t="n"/>
    </row>
    <row r="180" ht="15.75" customHeight="1" thickBot="1">
      <c r="A180" s="183" t="n">
        <v>114</v>
      </c>
      <c r="B180" s="115" t="inlineStr">
        <is>
          <t>Cornstarch</t>
        </is>
      </c>
      <c r="C180" s="115" t="n"/>
      <c r="D180" s="115">
        <f>IFERROR(__xludf.DUMMYFUNCTION("IF(J180="""",""n/a"",IFERROR(SPLIT(J180,""/"")))"),"Superior")</f>
        <v/>
      </c>
      <c r="E180" s="115">
        <f>IFERROR(__xludf.DUMMYFUNCTION("""COMPUTED_VALUE"""),"pack")</f>
        <v/>
      </c>
      <c r="F180" s="115">
        <f>IFERROR(__xludf.DUMMYFUNCTION("""COMPUTED_VALUE"""),"1000grams")</f>
        <v/>
      </c>
      <c r="G180" s="115" t="n"/>
      <c r="H180" s="84" t="inlineStr">
        <is>
          <t>F1</t>
        </is>
      </c>
      <c r="I180" s="7" t="n"/>
      <c r="J180" s="19" t="inlineStr">
        <is>
          <t>Superior/pack/1000grams</t>
        </is>
      </c>
      <c r="K180" s="7" t="n"/>
      <c r="L180" s="12" t="n">
        <v>0.056</v>
      </c>
      <c r="M180" s="191" t="n">
        <v>200</v>
      </c>
      <c r="N180" s="85" t="n">
        <v>1000</v>
      </c>
      <c r="O180" s="13">
        <f>E180</f>
        <v/>
      </c>
      <c r="P180" s="9" t="inlineStr">
        <is>
          <t>grams</t>
        </is>
      </c>
      <c r="Q180" s="20" t="n"/>
      <c r="R180" s="5" t="n"/>
      <c r="S180" s="229">
        <f>M180*N180</f>
        <v/>
      </c>
      <c r="T180" s="230">
        <f>CONCATENATE(S180,Q180,P180)</f>
        <v/>
      </c>
      <c r="U180" s="206">
        <f>L180*M180</f>
        <v/>
      </c>
      <c r="V180" s="4" t="n"/>
      <c r="W180" s="4" t="n"/>
      <c r="X180" s="4" t="n"/>
    </row>
    <row r="181" ht="15.75" customHeight="1" thickBot="1">
      <c r="A181" s="183" t="n">
        <v>115</v>
      </c>
      <c r="B181" s="115" t="inlineStr">
        <is>
          <t>Crab and Corn</t>
        </is>
      </c>
      <c r="C181" s="115" t="n"/>
      <c r="D181" s="115">
        <f>IFERROR(__xludf.DUMMYFUNCTION("IF(J181="""",""n/a"",IFERROR(SPLIT(J181,""/"")))"),"Knorr")</f>
        <v/>
      </c>
      <c r="E181" s="115">
        <f>IFERROR(__xludf.DUMMYFUNCTION("""COMPUTED_VALUE"""),"sachet")</f>
        <v/>
      </c>
      <c r="F181" s="115">
        <f>IFERROR(__xludf.DUMMYFUNCTION("""COMPUTED_VALUE"""),"37grams")</f>
        <v/>
      </c>
      <c r="G181" s="115" t="n"/>
      <c r="H181" s="11" t="inlineStr">
        <is>
          <t>CIP</t>
        </is>
      </c>
      <c r="I181" s="95" t="n"/>
      <c r="J181" s="19" t="inlineStr">
        <is>
          <t>Knorr/sachet/37grams</t>
        </is>
      </c>
      <c r="K181" s="116" t="n"/>
      <c r="L181" s="90" t="n">
        <v>35.9</v>
      </c>
      <c r="M181" s="189" t="n">
        <v>15</v>
      </c>
      <c r="N181" s="13" t="n">
        <v>1</v>
      </c>
      <c r="O181" s="13">
        <f>E181</f>
        <v/>
      </c>
      <c r="P181" s="13" t="inlineStr">
        <is>
          <t>grams</t>
        </is>
      </c>
      <c r="Q181" s="20" t="n"/>
      <c r="R181" s="5" t="n"/>
      <c r="S181" s="229">
        <f>M181*N181</f>
        <v/>
      </c>
      <c r="T181" s="230">
        <f>CONCATENATE(S181,Q181,P181)</f>
        <v/>
      </c>
      <c r="U181" s="206">
        <f>L181*M181</f>
        <v/>
      </c>
      <c r="V181" s="4" t="n"/>
      <c r="W181" s="4" t="n"/>
      <c r="X181" s="4" t="n"/>
    </row>
    <row r="182" ht="15.75" customHeight="1" thickBot="1">
      <c r="A182" s="183" t="n">
        <v>116</v>
      </c>
      <c r="B182" s="115" t="inlineStr">
        <is>
          <t>Cracklings Salt &amp; Vinegar</t>
        </is>
      </c>
      <c r="C182" s="115" t="n"/>
      <c r="D182" s="115">
        <f>IFERROR(__xludf.DUMMYFUNCTION("IF(J182="""",""n/a"",IFERROR(SPLIT(J182,""/"")))"),"Oishi")</f>
        <v/>
      </c>
      <c r="E182" s="115">
        <f>IFERROR(__xludf.DUMMYFUNCTION("""COMPUTED_VALUE"""),"box (50pcsx50grams)")</f>
        <v/>
      </c>
      <c r="F182" s="115" t="n"/>
      <c r="G182" s="115" t="n"/>
      <c r="H182" s="11" t="inlineStr">
        <is>
          <t>CIP</t>
        </is>
      </c>
      <c r="I182" s="95" t="n"/>
      <c r="J182" s="93" t="inlineStr">
        <is>
          <t>Oishi/box (50pcsx50grams)</t>
        </is>
      </c>
      <c r="K182" s="116" t="n"/>
      <c r="L182" s="90" t="n">
        <v>13.564</v>
      </c>
      <c r="M182" s="189" t="n">
        <v>25</v>
      </c>
      <c r="N182" s="13" t="n">
        <v>1</v>
      </c>
      <c r="O182" s="13">
        <f>E182</f>
        <v/>
      </c>
      <c r="P182" s="13" t="inlineStr">
        <is>
          <t>pieces</t>
        </is>
      </c>
      <c r="Q182" s="20" t="n"/>
      <c r="R182" s="5" t="n"/>
      <c r="S182" s="229">
        <f>M182*N182</f>
        <v/>
      </c>
      <c r="T182" s="230">
        <f>CONCATENATE(S182,Q182,P182)</f>
        <v/>
      </c>
      <c r="U182" s="206">
        <f>L182*M182</f>
        <v/>
      </c>
      <c r="V182" s="4" t="n"/>
      <c r="W182" s="4" t="n"/>
      <c r="X182" s="4" t="n"/>
    </row>
    <row r="183" ht="15.75" customHeight="1" thickBot="1">
      <c r="A183" s="183" t="n">
        <v>117</v>
      </c>
      <c r="B183" s="115" t="inlineStr">
        <is>
          <t>Cream Dory Fish Fillet</t>
        </is>
      </c>
      <c r="C183" s="115" t="n"/>
      <c r="D183" s="115">
        <f>IFERROR(__xludf.DUMMYFUNCTION("IF(J183="""",""n/a"",IFERROR(SPLIT(J183,""/"")))"),"n/a")</f>
        <v/>
      </c>
      <c r="E183" s="115" t="n"/>
      <c r="F183" s="115" t="n"/>
      <c r="G183" s="115" t="n"/>
      <c r="H183" s="84" t="inlineStr">
        <is>
          <t>F1</t>
        </is>
      </c>
      <c r="I183" s="7" t="n"/>
      <c r="J183" s="19" t="n"/>
      <c r="K183" s="7" t="n"/>
      <c r="L183" s="12" t="n">
        <v>0.112</v>
      </c>
      <c r="M183" s="192" t="n">
        <v>10000</v>
      </c>
      <c r="N183" s="85" t="n">
        <v>1000</v>
      </c>
      <c r="O183" s="13">
        <f>E183</f>
        <v/>
      </c>
      <c r="P183" s="9" t="inlineStr">
        <is>
          <t>grams</t>
        </is>
      </c>
      <c r="Q183" s="20" t="n"/>
      <c r="R183" s="5" t="n"/>
      <c r="S183" s="229">
        <f>M183*N183</f>
        <v/>
      </c>
      <c r="T183" s="230">
        <f>CONCATENATE(S183,Q183,P183)</f>
        <v/>
      </c>
      <c r="U183" s="206">
        <f>L183*M183</f>
        <v/>
      </c>
      <c r="V183" s="4" t="n"/>
      <c r="W183" s="4" t="n"/>
      <c r="X183" s="4" t="n"/>
    </row>
    <row r="184" ht="15.75" customHeight="1" thickBot="1">
      <c r="A184" s="183" t="n">
        <v>118</v>
      </c>
      <c r="B184" s="127" t="inlineStr">
        <is>
          <t>CREAM O CAKE BAR</t>
        </is>
      </c>
      <c r="C184" s="127" t="n"/>
      <c r="D184" s="115">
        <f>IFERROR(__xludf.DUMMYFUNCTION("IF(J184="""",""n/a"",IFERROR(SPLIT(J184,""/"")))"),"CREAM O37G")</f>
        <v/>
      </c>
      <c r="E184" s="127" t="n"/>
      <c r="F184" s="127" t="n"/>
      <c r="G184" s="127" t="n"/>
      <c r="H184" s="11" t="inlineStr">
        <is>
          <t>Annex</t>
        </is>
      </c>
      <c r="I184" s="6" t="n"/>
      <c r="J184" s="128" t="inlineStr">
        <is>
          <t>CREAM O37G</t>
        </is>
      </c>
      <c r="K184" s="18" t="n"/>
      <c r="L184" s="82" t="n">
        <v>8.109999999999999</v>
      </c>
      <c r="M184" s="194" t="n">
        <v>11</v>
      </c>
      <c r="N184" s="21" t="n">
        <v>1</v>
      </c>
      <c r="O184" s="13">
        <f>E184</f>
        <v/>
      </c>
      <c r="P184" s="23" t="inlineStr">
        <is>
          <t>pieces</t>
        </is>
      </c>
      <c r="Q184" s="13" t="n"/>
      <c r="R184" s="78">
        <f>CONCATENATE(N184,P184)</f>
        <v/>
      </c>
      <c r="S184" s="229">
        <f>M184*N184</f>
        <v/>
      </c>
      <c r="T184" s="230">
        <f>CONCATENATE(S184,Q184,P184)</f>
        <v/>
      </c>
      <c r="U184" s="206">
        <f>L184*M184</f>
        <v/>
      </c>
      <c r="V184" s="34" t="n"/>
      <c r="W184" s="34" t="n"/>
      <c r="X184" s="34" t="n"/>
    </row>
    <row r="185" ht="15.75" customHeight="1" thickBot="1">
      <c r="A185" s="183" t="n">
        <v>119</v>
      </c>
      <c r="B185" s="127" t="inlineStr">
        <is>
          <t>CREAM O CRINKLES</t>
        </is>
      </c>
      <c r="C185" s="127" t="n"/>
      <c r="D185" s="115">
        <f>IFERROR(__xludf.DUMMYFUNCTION("IF(J185="""",""n/a"",IFERROR(SPLIT(J185,""/"")))"),"CREAM O 30G")</f>
        <v/>
      </c>
      <c r="E185" s="127" t="n"/>
      <c r="F185" s="127" t="n"/>
      <c r="G185" s="127" t="n"/>
      <c r="H185" s="11" t="inlineStr">
        <is>
          <t>Annex</t>
        </is>
      </c>
      <c r="I185" s="6" t="n"/>
      <c r="J185" s="128" t="inlineStr">
        <is>
          <t>CREAM O 30G</t>
        </is>
      </c>
      <c r="K185" s="18" t="n"/>
      <c r="L185" s="82" t="n">
        <v>7.03</v>
      </c>
      <c r="M185" s="194" t="n">
        <v>15</v>
      </c>
      <c r="N185" s="21" t="n">
        <v>1</v>
      </c>
      <c r="O185" s="13">
        <f>E185</f>
        <v/>
      </c>
      <c r="P185" s="23" t="inlineStr">
        <is>
          <t>pieces</t>
        </is>
      </c>
      <c r="Q185" s="13" t="n"/>
      <c r="R185" s="78">
        <f>CONCATENATE(N185,P185)</f>
        <v/>
      </c>
      <c r="S185" s="229">
        <f>M185*N185</f>
        <v/>
      </c>
      <c r="T185" s="230">
        <f>CONCATENATE(S185,Q185,P185)</f>
        <v/>
      </c>
      <c r="U185" s="206">
        <f>L185*M185</f>
        <v/>
      </c>
      <c r="V185" s="34" t="n"/>
      <c r="W185" s="34" t="n"/>
      <c r="X185" s="34" t="n"/>
    </row>
    <row r="186" ht="15.75" customHeight="1" thickBot="1">
      <c r="A186" s="183" t="n">
        <v>120</v>
      </c>
      <c r="B186" s="115" t="inlineStr">
        <is>
          <t>Cream of Corn Stye</t>
        </is>
      </c>
      <c r="C186" s="115" t="n"/>
      <c r="D186" s="115">
        <f>IFERROR(__xludf.DUMMYFUNCTION("IF(J186="""",""n/a"",IFERROR(SPLIT(J186,""/"")))"),"Jolly")</f>
        <v/>
      </c>
      <c r="E186" s="115">
        <f>IFERROR(__xludf.DUMMYFUNCTION("""COMPUTED_VALUE"""),"can")</f>
        <v/>
      </c>
      <c r="F186" s="115">
        <f>IFERROR(__xludf.DUMMYFUNCTION("""COMPUTED_VALUE"""),"425grams")</f>
        <v/>
      </c>
      <c r="G186" s="115" t="n"/>
      <c r="H186" s="11" t="inlineStr">
        <is>
          <t>Annex</t>
        </is>
      </c>
      <c r="I186" s="6" t="n"/>
      <c r="J186" s="19" t="inlineStr">
        <is>
          <t>Jolly/can/425grams</t>
        </is>
      </c>
      <c r="K186" s="6" t="n"/>
      <c r="L186" s="14" t="n">
        <v>0.1011764705882353</v>
      </c>
      <c r="M186" s="190" t="n">
        <v>2550</v>
      </c>
      <c r="N186" s="17" t="n">
        <v>425</v>
      </c>
      <c r="O186" s="13">
        <f>E186</f>
        <v/>
      </c>
      <c r="P186" s="129" t="inlineStr">
        <is>
          <t>grams</t>
        </is>
      </c>
      <c r="Q186" s="13" t="n"/>
      <c r="R186" s="78">
        <f>CONCATENATE(N186,P186)</f>
        <v/>
      </c>
      <c r="S186" s="229">
        <f>M186*N186</f>
        <v/>
      </c>
      <c r="T186" s="230">
        <f>CONCATENATE(S186,Q186,P186)</f>
        <v/>
      </c>
      <c r="U186" s="206">
        <f>L186*M186</f>
        <v/>
      </c>
      <c r="V186" s="231" t="n"/>
      <c r="W186" s="236" t="n"/>
      <c r="X186" s="71" t="n"/>
    </row>
    <row r="187" ht="15.75" customHeight="1" thickBot="1">
      <c r="A187" s="183" t="n">
        <v>120</v>
      </c>
      <c r="B187" s="114" t="inlineStr">
        <is>
          <t>Cream of Corn Stye</t>
        </is>
      </c>
      <c r="C187" s="114" t="n"/>
      <c r="D187" s="115">
        <f>IFERROR(__xludf.DUMMYFUNCTION("IF(J187="""",""n/a"",IFERROR(SPLIT(J187,""/"")))"),"Mega Prime")</f>
        <v/>
      </c>
      <c r="E187" s="114">
        <f>IFERROR(__xludf.DUMMYFUNCTION("""COMPUTED_VALUE"""),"can")</f>
        <v/>
      </c>
      <c r="F187" s="114">
        <f>IFERROR(__xludf.DUMMYFUNCTION("""COMPUTED_VALUE"""),"425grams")</f>
        <v/>
      </c>
      <c r="G187" s="114" t="n"/>
      <c r="H187" s="11" t="inlineStr">
        <is>
          <t>CIP</t>
        </is>
      </c>
      <c r="I187" s="95" t="n"/>
      <c r="J187" s="93" t="inlineStr">
        <is>
          <t>Mega Prime/can/425grams</t>
        </is>
      </c>
      <c r="K187" s="116" t="n"/>
      <c r="L187" s="90" t="n">
        <v>43</v>
      </c>
      <c r="M187" s="189" t="n">
        <v>17</v>
      </c>
      <c r="N187" s="13" t="n">
        <v>1</v>
      </c>
      <c r="O187" s="13">
        <f>E187</f>
        <v/>
      </c>
      <c r="P187" s="13" t="inlineStr">
        <is>
          <t>grams</t>
        </is>
      </c>
      <c r="Q187" s="20" t="n"/>
      <c r="R187" s="5" t="n"/>
      <c r="S187" s="229">
        <f>M187*N187</f>
        <v/>
      </c>
      <c r="T187" s="230">
        <f>CONCATENATE(S187,Q187,P187)</f>
        <v/>
      </c>
      <c r="U187" s="206">
        <f>L187*M187</f>
        <v/>
      </c>
      <c r="V187" s="4" t="n"/>
      <c r="W187" s="4" t="n"/>
      <c r="X187" s="4" t="n"/>
    </row>
    <row r="188" ht="15.75" customHeight="1" thickBot="1">
      <c r="A188" s="183" t="n">
        <v>120</v>
      </c>
      <c r="B188" s="115" t="inlineStr">
        <is>
          <t>Cream of Corn Stye</t>
        </is>
      </c>
      <c r="C188" s="115" t="n"/>
      <c r="D188" s="115">
        <f>IFERROR(__xludf.DUMMYFUNCTION("IF(J188="""",""n/a"",IFERROR(SPLIT(J188,""/"")))"),"n/a")</f>
        <v/>
      </c>
      <c r="E188" s="115" t="n"/>
      <c r="F188" s="115" t="n"/>
      <c r="G188" s="115" t="n"/>
      <c r="H188" s="84" t="inlineStr">
        <is>
          <t>F1</t>
        </is>
      </c>
      <c r="I188" s="7" t="n"/>
      <c r="J188" s="19" t="n"/>
      <c r="K188" s="7" t="n"/>
      <c r="L188" s="12" t="n">
        <v>0.1364705882352941</v>
      </c>
      <c r="M188" s="191" t="n">
        <v>2125</v>
      </c>
      <c r="N188" s="85" t="n">
        <v>425</v>
      </c>
      <c r="O188" s="13">
        <f>E188</f>
        <v/>
      </c>
      <c r="P188" s="130" t="inlineStr">
        <is>
          <t>grams</t>
        </is>
      </c>
      <c r="Q188" s="20" t="n"/>
      <c r="R188" s="5" t="n"/>
      <c r="S188" s="229">
        <f>M188*N188</f>
        <v/>
      </c>
      <c r="T188" s="230">
        <f>CONCATENATE(S188,Q188,P188)</f>
        <v/>
      </c>
      <c r="U188" s="206">
        <f>L188*M188</f>
        <v/>
      </c>
      <c r="V188" s="4" t="n"/>
      <c r="W188" s="4" t="n"/>
      <c r="X188" s="4" t="n"/>
    </row>
    <row r="189" ht="15.75" customHeight="1" thickBot="1">
      <c r="A189" s="183" t="n">
        <v>121</v>
      </c>
      <c r="B189" s="115" t="inlineStr">
        <is>
          <t>Cream of Mushroom</t>
        </is>
      </c>
      <c r="C189" s="115" t="n"/>
      <c r="D189" s="115">
        <f>IFERROR(__xludf.DUMMYFUNCTION("IF(J189="""",""n/a"",IFERROR(SPLIT(J189,""/"")))"),"Knorr")</f>
        <v/>
      </c>
      <c r="E189" s="115">
        <f>IFERROR(__xludf.DUMMYFUNCTION("""COMPUTED_VALUE"""),"sachet")</f>
        <v/>
      </c>
      <c r="F189" s="115">
        <f>IFERROR(__xludf.DUMMYFUNCTION("""COMPUTED_VALUE"""),"62grams")</f>
        <v/>
      </c>
      <c r="G189" s="115" t="n"/>
      <c r="H189" s="11" t="inlineStr">
        <is>
          <t>Annex</t>
        </is>
      </c>
      <c r="I189" s="6" t="n"/>
      <c r="J189" s="19" t="inlineStr">
        <is>
          <t>Knorr/sachet/62grams</t>
        </is>
      </c>
      <c r="K189" s="18" t="n"/>
      <c r="L189" s="12" t="n">
        <v>0.8387096774193549</v>
      </c>
      <c r="M189" s="190" t="n">
        <v>930</v>
      </c>
      <c r="N189" s="17" t="n">
        <v>62</v>
      </c>
      <c r="O189" s="13">
        <f>E189</f>
        <v/>
      </c>
      <c r="P189" s="9" t="inlineStr">
        <is>
          <t>grams</t>
        </is>
      </c>
      <c r="Q189" s="13" t="n"/>
      <c r="R189" s="78">
        <f>CONCATENATE(N189,P189)</f>
        <v/>
      </c>
      <c r="S189" s="229">
        <f>M189*N189</f>
        <v/>
      </c>
      <c r="T189" s="230">
        <f>CONCATENATE(S189,Q189,P189)</f>
        <v/>
      </c>
      <c r="U189" s="206">
        <f>L189*M189</f>
        <v/>
      </c>
      <c r="V189" s="231" t="n"/>
      <c r="W189" s="236" t="n"/>
      <c r="X189" s="71" t="n"/>
    </row>
    <row r="190" ht="15.75" customHeight="1" thickBot="1">
      <c r="A190" s="183" t="n">
        <v>121</v>
      </c>
      <c r="B190" s="114" t="inlineStr">
        <is>
          <t>Cream of Mushroom</t>
        </is>
      </c>
      <c r="C190" s="114" t="n"/>
      <c r="D190" s="115">
        <f>IFERROR(__xludf.DUMMYFUNCTION("IF(J190="""",""n/a"",IFERROR(SPLIT(J190,""/"")))"),"Knorr")</f>
        <v/>
      </c>
      <c r="E190" s="114">
        <f>IFERROR(__xludf.DUMMYFUNCTION("""COMPUTED_VALUE"""),"sachet")</f>
        <v/>
      </c>
      <c r="F190" s="114">
        <f>IFERROR(__xludf.DUMMYFUNCTION("""COMPUTED_VALUE"""),"62grams")</f>
        <v/>
      </c>
      <c r="G190" s="114" t="n"/>
      <c r="H190" s="11" t="inlineStr">
        <is>
          <t>CIP</t>
        </is>
      </c>
      <c r="I190" s="95" t="n"/>
      <c r="J190" s="93" t="inlineStr">
        <is>
          <t>Knorr/sachet/62grams</t>
        </is>
      </c>
      <c r="K190" s="116" t="n"/>
      <c r="L190" s="90" t="n">
        <v>52.6</v>
      </c>
      <c r="M190" s="189" t="n">
        <v>22</v>
      </c>
      <c r="N190" s="13" t="n">
        <v>1</v>
      </c>
      <c r="O190" s="13">
        <f>E190</f>
        <v/>
      </c>
      <c r="P190" s="13" t="inlineStr">
        <is>
          <t>grams</t>
        </is>
      </c>
      <c r="Q190" s="20" t="n"/>
      <c r="R190" s="5" t="n"/>
      <c r="S190" s="229">
        <f>M190*N190</f>
        <v/>
      </c>
      <c r="T190" s="230">
        <f>CONCATENATE(S190,Q190,P190)</f>
        <v/>
      </c>
      <c r="U190" s="206">
        <f>L190*M190</f>
        <v/>
      </c>
      <c r="V190" s="4" t="n"/>
      <c r="W190" s="4" t="n"/>
      <c r="X190" s="4" t="n"/>
    </row>
    <row r="191" ht="15.75" customHeight="1" thickBot="1">
      <c r="A191" s="183" t="n">
        <v>122</v>
      </c>
      <c r="B191" s="115" t="inlineStr">
        <is>
          <t>Cream- O Vanilla</t>
        </is>
      </c>
      <c r="C191" s="115" t="n"/>
      <c r="D191" s="115">
        <f>IFERROR(__xludf.DUMMYFUNCTION("IF(J191="""",""n/a"",IFERROR(SPLIT(J191,""/"")))"),"Jack n Jill")</f>
        <v/>
      </c>
      <c r="E191" s="115">
        <f>IFERROR(__xludf.DUMMYFUNCTION("""COMPUTED_VALUE"""),"pack (10pcsx33grams)")</f>
        <v/>
      </c>
      <c r="F191" s="115" t="n"/>
      <c r="G191" s="115" t="n"/>
      <c r="H191" s="11" t="inlineStr">
        <is>
          <t>Annex</t>
        </is>
      </c>
      <c r="I191" s="6" t="n"/>
      <c r="J191" s="19" t="inlineStr">
        <is>
          <t>Jack n Jill/pack (10pcsx33grams)</t>
        </is>
      </c>
      <c r="K191" s="6" t="n"/>
      <c r="L191" s="8" t="n">
        <v>7.07</v>
      </c>
      <c r="M191" s="194" t="n">
        <v>13</v>
      </c>
      <c r="N191" s="17" t="n">
        <v>1</v>
      </c>
      <c r="O191" s="13">
        <f>E191</f>
        <v/>
      </c>
      <c r="P191" s="9" t="inlineStr">
        <is>
          <t>pieces</t>
        </is>
      </c>
      <c r="Q191" s="13" t="n"/>
      <c r="R191" s="78">
        <f>CONCATENATE(N191,P191)</f>
        <v/>
      </c>
      <c r="S191" s="229">
        <f>M191*N191</f>
        <v/>
      </c>
      <c r="T191" s="230">
        <f>CONCATENATE(S191,Q191,P191)</f>
        <v/>
      </c>
      <c r="U191" s="206">
        <f>L191*M191</f>
        <v/>
      </c>
      <c r="V191" s="34" t="n"/>
      <c r="W191" s="34" t="n"/>
      <c r="X191" s="34" t="n"/>
    </row>
    <row r="192" ht="15.75" customHeight="1" thickBot="1">
      <c r="A192" s="183" t="n">
        <v>123</v>
      </c>
      <c r="B192" s="115" t="inlineStr">
        <is>
          <t>Cream-O Choco</t>
        </is>
      </c>
      <c r="C192" s="115" t="n"/>
      <c r="D192" s="115">
        <f>IFERROR(__xludf.DUMMYFUNCTION("IF(J192="""",""n/a"",IFERROR(SPLIT(J192,""/"")))"),"ZEST-O Big 250")</f>
        <v/>
      </c>
      <c r="E192" s="115">
        <f>IFERROR(__xludf.DUMMYFUNCTION("""COMPUTED_VALUE"""),"box (10x250ml)")</f>
        <v/>
      </c>
      <c r="F192" s="115" t="n"/>
      <c r="G192" s="115" t="n"/>
      <c r="H192" s="11" t="inlineStr">
        <is>
          <t>Annex</t>
        </is>
      </c>
      <c r="I192" s="6" t="n"/>
      <c r="J192" s="19" t="inlineStr">
        <is>
          <t>ZEST-O Big 250/box (10x250ml)</t>
        </is>
      </c>
      <c r="K192" s="6" t="n"/>
      <c r="L192" s="8" t="n">
        <v>9.74</v>
      </c>
      <c r="M192" s="190" t="n">
        <v>7</v>
      </c>
      <c r="N192" s="17" t="n">
        <v>1</v>
      </c>
      <c r="O192" s="13">
        <f>E192</f>
        <v/>
      </c>
      <c r="P192" s="9" t="inlineStr">
        <is>
          <t>pieces</t>
        </is>
      </c>
      <c r="Q192" s="13" t="n"/>
      <c r="R192" s="78">
        <f>CONCATENATE(N192,P192)</f>
        <v/>
      </c>
      <c r="S192" s="229">
        <f>M192*N192</f>
        <v/>
      </c>
      <c r="T192" s="230">
        <f>CONCATENATE(S192,Q192,P192)</f>
        <v/>
      </c>
      <c r="U192" s="206">
        <f>L192*M192</f>
        <v/>
      </c>
      <c r="V192" s="231" t="n"/>
      <c r="W192" s="231" t="n"/>
      <c r="X192" s="71" t="n"/>
    </row>
    <row r="193" ht="15.75" customHeight="1" thickBot="1">
      <c r="A193" s="183" t="n">
        <v>123</v>
      </c>
      <c r="B193" s="115" t="inlineStr">
        <is>
          <t>Cream-O Choco</t>
        </is>
      </c>
      <c r="C193" s="115" t="n"/>
      <c r="D193" s="115">
        <f>IFERROR(__xludf.DUMMYFUNCTION("IF(J193="""",""n/a"",IFERROR(SPLIT(J193,""/"")))"),"Jack n Jill")</f>
        <v/>
      </c>
      <c r="E193" s="115">
        <f>IFERROR(__xludf.DUMMYFUNCTION("""COMPUTED_VALUE"""),"pack (10pcsx33grams)")</f>
        <v/>
      </c>
      <c r="F193" s="115" t="n"/>
      <c r="G193" s="115" t="n"/>
      <c r="H193" s="11" t="inlineStr">
        <is>
          <t>Annex</t>
        </is>
      </c>
      <c r="I193" s="6" t="n"/>
      <c r="J193" s="19" t="inlineStr">
        <is>
          <t>Jack n Jill/pack (10pcsx33grams)</t>
        </is>
      </c>
      <c r="K193" s="6" t="n"/>
      <c r="L193" s="8" t="n">
        <v>8.859999999999999</v>
      </c>
      <c r="M193" s="190" t="n">
        <v>15</v>
      </c>
      <c r="N193" s="17" t="n">
        <v>1</v>
      </c>
      <c r="O193" s="13">
        <f>E193</f>
        <v/>
      </c>
      <c r="P193" s="9" t="inlineStr">
        <is>
          <t>pieces</t>
        </is>
      </c>
      <c r="Q193" s="13" t="n"/>
      <c r="R193" s="78">
        <f>CONCATENATE(N193,P193)</f>
        <v/>
      </c>
      <c r="S193" s="229">
        <f>M193*N193</f>
        <v/>
      </c>
      <c r="T193" s="230">
        <f>CONCATENATE(S193,Q193,P193)</f>
        <v/>
      </c>
      <c r="U193" s="206">
        <f>L193*M193</f>
        <v/>
      </c>
      <c r="V193" s="34" t="n"/>
      <c r="W193" s="34" t="n"/>
      <c r="X193" s="34" t="n"/>
    </row>
    <row r="194" ht="15.75" customHeight="1" thickBot="1">
      <c r="A194" s="183" t="n">
        <v>123</v>
      </c>
      <c r="B194" s="115" t="inlineStr">
        <is>
          <t>Cream-O Choco</t>
        </is>
      </c>
      <c r="C194" s="115" t="n"/>
      <c r="D194" s="115">
        <f>IFERROR(__xludf.DUMMYFUNCTION("IF(J194="""",""n/a"",IFERROR(SPLIT(J194,""/"")))"),"Jack n Jill")</f>
        <v/>
      </c>
      <c r="E194" s="115">
        <f>IFERROR(__xludf.DUMMYFUNCTION("""COMPUTED_VALUE"""),"pack (10pcsx33grams)")</f>
        <v/>
      </c>
      <c r="F194" s="115" t="n"/>
      <c r="G194" s="115" t="n"/>
      <c r="H194" s="11" t="inlineStr">
        <is>
          <t>CIP</t>
        </is>
      </c>
      <c r="I194" s="95" t="n"/>
      <c r="J194" s="93" t="inlineStr">
        <is>
          <t>Jack n Jill/pack (10pcsx33grams)</t>
        </is>
      </c>
      <c r="K194" s="116" t="n"/>
      <c r="L194" s="90" t="n">
        <v>6.59</v>
      </c>
      <c r="M194" s="189" t="n">
        <v>147</v>
      </c>
      <c r="N194" s="13" t="n">
        <v>1</v>
      </c>
      <c r="O194" s="13">
        <f>E194</f>
        <v/>
      </c>
      <c r="P194" s="13" t="inlineStr">
        <is>
          <t>pieces</t>
        </is>
      </c>
      <c r="Q194" s="20" t="n"/>
      <c r="R194" s="5" t="n"/>
      <c r="S194" s="229">
        <f>M194*N194</f>
        <v/>
      </c>
      <c r="T194" s="230">
        <f>CONCATENATE(S194,Q194,P194)</f>
        <v/>
      </c>
      <c r="U194" s="206">
        <f>L194*M194</f>
        <v/>
      </c>
      <c r="V194" s="4" t="n"/>
      <c r="W194" s="4" t="n"/>
      <c r="X194" s="4" t="n"/>
    </row>
    <row r="195" ht="15.75" customHeight="1" thickBot="1">
      <c r="A195" s="183" t="n">
        <v>123</v>
      </c>
      <c r="B195" s="114" t="inlineStr">
        <is>
          <t>Cream-O Choco</t>
        </is>
      </c>
      <c r="C195" s="114" t="n"/>
      <c r="D195" s="115">
        <f>IFERROR(__xludf.DUMMYFUNCTION("IF(J195="""",""n/a"",IFERROR(SPLIT(J195,""/"")))"),"n/a")</f>
        <v/>
      </c>
      <c r="E195" s="114" t="n"/>
      <c r="F195" s="114" t="n"/>
      <c r="G195" s="114" t="n"/>
      <c r="H195" s="84" t="inlineStr">
        <is>
          <t>F1</t>
        </is>
      </c>
      <c r="I195" s="7" t="n"/>
      <c r="J195" s="19" t="n"/>
      <c r="K195" s="7" t="n"/>
      <c r="L195" s="12" t="n">
        <v>8.209999999999999</v>
      </c>
      <c r="M195" s="191" t="n">
        <v>38</v>
      </c>
      <c r="N195" s="85" t="n">
        <v>10</v>
      </c>
      <c r="O195" s="13">
        <f>E195</f>
        <v/>
      </c>
      <c r="P195" s="23" t="inlineStr">
        <is>
          <t>pieces</t>
        </is>
      </c>
      <c r="Q195" s="20" t="n"/>
      <c r="R195" s="5" t="n"/>
      <c r="S195" s="229">
        <f>M195*N195</f>
        <v/>
      </c>
      <c r="T195" s="230">
        <f>CONCATENATE(S195,Q195,P195)</f>
        <v/>
      </c>
      <c r="U195" s="206">
        <f>L195*M195</f>
        <v/>
      </c>
      <c r="V195" s="4" t="n"/>
      <c r="W195" s="4" t="n"/>
      <c r="X195" s="4" t="n"/>
    </row>
    <row r="196" ht="15.75" customHeight="1" thickBot="1">
      <c r="A196" s="183" t="n">
        <v>124</v>
      </c>
      <c r="B196" s="114" t="inlineStr">
        <is>
          <t>Cream-O Choco Chips</t>
        </is>
      </c>
      <c r="C196" s="114" t="n"/>
      <c r="D196" s="115">
        <f>IFERROR(__xludf.DUMMYFUNCTION("IF(J196="""",""n/a"",IFERROR(SPLIT(J196,""/"")))"),"n/a")</f>
        <v/>
      </c>
      <c r="E196" s="114" t="n"/>
      <c r="F196" s="114" t="n"/>
      <c r="G196" s="114" t="n"/>
      <c r="H196" s="84" t="inlineStr">
        <is>
          <t>F1</t>
        </is>
      </c>
      <c r="I196" s="7" t="n"/>
      <c r="J196" s="19" t="n"/>
      <c r="K196" s="7" t="n"/>
      <c r="L196" s="12" t="n">
        <v>9.4</v>
      </c>
      <c r="M196" s="191" t="n">
        <v>18</v>
      </c>
      <c r="N196" s="86" t="n">
        <v>10</v>
      </c>
      <c r="O196" s="13">
        <f>E196</f>
        <v/>
      </c>
      <c r="P196" s="23" t="inlineStr">
        <is>
          <t>pieces</t>
        </is>
      </c>
      <c r="Q196" s="20" t="n"/>
      <c r="R196" s="5" t="n"/>
      <c r="S196" s="229">
        <f>M196*N196</f>
        <v/>
      </c>
      <c r="T196" s="230">
        <f>CONCATENATE(S196,Q196,P196)</f>
        <v/>
      </c>
      <c r="U196" s="206">
        <f>L196*M196</f>
        <v/>
      </c>
      <c r="V196" s="4" t="n"/>
      <c r="W196" s="4" t="n"/>
      <c r="X196" s="4" t="n"/>
    </row>
    <row r="197" ht="15.75" customHeight="1" thickBot="1">
      <c r="A197" s="183" t="n">
        <v>125</v>
      </c>
      <c r="B197" s="115" t="inlineStr">
        <is>
          <t>Cream-O Crinkles</t>
        </is>
      </c>
      <c r="C197" s="115" t="n"/>
      <c r="D197" s="115">
        <f>IFERROR(__xludf.DUMMYFUNCTION("IF(J197="""",""n/a"",IFERROR(SPLIT(J197,""/"")))"),"Jack n Jill")</f>
        <v/>
      </c>
      <c r="E197" s="115">
        <f>IFERROR(__xludf.DUMMYFUNCTION("""COMPUTED_VALUE"""),"pack (10x30grams)")</f>
        <v/>
      </c>
      <c r="F197" s="115" t="n"/>
      <c r="G197" s="115" t="n"/>
      <c r="H197" s="11" t="inlineStr">
        <is>
          <t>CIP</t>
        </is>
      </c>
      <c r="I197" s="95" t="n"/>
      <c r="J197" s="93" t="inlineStr">
        <is>
          <t>Jack n Jill/pack (10x30grams)</t>
        </is>
      </c>
      <c r="K197" s="116" t="n"/>
      <c r="L197" s="90" t="n">
        <v>6</v>
      </c>
      <c r="M197" s="189" t="n">
        <v>410</v>
      </c>
      <c r="N197" s="13" t="n">
        <v>1</v>
      </c>
      <c r="O197" s="13">
        <f>E197</f>
        <v/>
      </c>
      <c r="P197" s="13" t="inlineStr">
        <is>
          <t>pieces</t>
        </is>
      </c>
      <c r="Q197" s="20" t="n"/>
      <c r="R197" s="5" t="n"/>
      <c r="S197" s="229">
        <f>M197*N197</f>
        <v/>
      </c>
      <c r="T197" s="230">
        <f>CONCATENATE(S197,Q197,P197)</f>
        <v/>
      </c>
      <c r="U197" s="206">
        <f>L197*M197</f>
        <v/>
      </c>
      <c r="V197" s="4" t="n"/>
      <c r="W197" s="4" t="n"/>
      <c r="X197" s="4" t="n"/>
    </row>
    <row r="198" ht="15.75" customHeight="1" thickBot="1">
      <c r="A198" s="183" t="n">
        <v>126</v>
      </c>
      <c r="B198" s="115" t="inlineStr">
        <is>
          <t>Cream-O Vanilla</t>
        </is>
      </c>
      <c r="C198" s="115" t="n"/>
      <c r="D198" s="115">
        <f>IFERROR(__xludf.DUMMYFUNCTION("IF(J198="""",""n/a"",IFERROR(SPLIT(J198,""/"")))"),"Jack n Jill")</f>
        <v/>
      </c>
      <c r="E198" s="115">
        <f>IFERROR(__xludf.DUMMYFUNCTION("""COMPUTED_VALUE"""),"pack (10pcsx30grams)")</f>
        <v/>
      </c>
      <c r="F198" s="115" t="n"/>
      <c r="G198" s="115" t="n"/>
      <c r="H198" s="11" t="inlineStr">
        <is>
          <t>CIP</t>
        </is>
      </c>
      <c r="I198" s="95" t="n"/>
      <c r="J198" s="93" t="inlineStr">
        <is>
          <t>Jack n Jill/pack (10pcsx30grams)</t>
        </is>
      </c>
      <c r="K198" s="116" t="n"/>
      <c r="L198" s="90" t="n">
        <v>7.87</v>
      </c>
      <c r="M198" s="189" t="n">
        <v>497</v>
      </c>
      <c r="N198" s="13" t="n">
        <v>1</v>
      </c>
      <c r="O198" s="13">
        <f>E198</f>
        <v/>
      </c>
      <c r="P198" s="13" t="inlineStr">
        <is>
          <t>pieces</t>
        </is>
      </c>
      <c r="Q198" s="20" t="n"/>
      <c r="R198" s="5" t="n"/>
      <c r="S198" s="229">
        <f>M198*N198</f>
        <v/>
      </c>
      <c r="T198" s="230">
        <f>CONCATENATE(S198,Q198,P198)</f>
        <v/>
      </c>
      <c r="U198" s="206">
        <f>L198*M198</f>
        <v/>
      </c>
      <c r="V198" s="4" t="n"/>
      <c r="W198" s="4" t="n"/>
      <c r="X198" s="4" t="n"/>
    </row>
    <row r="199" ht="15.75" customHeight="1" thickBot="1">
      <c r="A199" s="183" t="n">
        <v>126</v>
      </c>
      <c r="B199" s="114" t="inlineStr">
        <is>
          <t>Cream-O Vanilla</t>
        </is>
      </c>
      <c r="C199" s="114" t="n"/>
      <c r="D199" s="115">
        <f>IFERROR(__xludf.DUMMYFUNCTION("IF(J199="""",""n/a"",IFERROR(SPLIT(J199,""/"")))"),"n/a")</f>
        <v/>
      </c>
      <c r="E199" s="114" t="n"/>
      <c r="F199" s="114" t="n"/>
      <c r="G199" s="114" t="n"/>
      <c r="H199" s="84" t="inlineStr">
        <is>
          <t>F1</t>
        </is>
      </c>
      <c r="I199" s="7" t="n"/>
      <c r="J199" s="19" t="n"/>
      <c r="K199" s="7" t="n"/>
      <c r="L199" s="12" t="n">
        <v>7.87</v>
      </c>
      <c r="M199" s="191" t="n">
        <v>65</v>
      </c>
      <c r="N199" s="85" t="n">
        <v>10</v>
      </c>
      <c r="O199" s="13">
        <f>E199</f>
        <v/>
      </c>
      <c r="P199" s="23" t="inlineStr">
        <is>
          <t>pieces</t>
        </is>
      </c>
      <c r="Q199" s="20" t="n"/>
      <c r="R199" s="5" t="n"/>
      <c r="S199" s="229">
        <f>M199*N199</f>
        <v/>
      </c>
      <c r="T199" s="230">
        <f>CONCATENATE(S199,Q199,P199)</f>
        <v/>
      </c>
      <c r="U199" s="206">
        <f>L199*M199</f>
        <v/>
      </c>
      <c r="V199" s="4" t="n"/>
      <c r="W199" s="4" t="n"/>
      <c r="X199" s="4" t="n"/>
    </row>
    <row r="200" ht="15.75" customHeight="1" thickBot="1">
      <c r="A200" s="183" t="n">
        <v>127</v>
      </c>
      <c r="B200" s="115" t="inlineStr">
        <is>
          <t>Creamy White</t>
        </is>
      </c>
      <c r="C200" s="115" t="n"/>
      <c r="D200" s="115">
        <f>IFERROR(__xludf.DUMMYFUNCTION("IF(J200="""",""n/a"",IFERROR(SPLIT(J200,""/"")))"),"Great Taste")</f>
        <v/>
      </c>
      <c r="E200" s="115">
        <f>IFERROR(__xludf.DUMMYFUNCTION("""COMPUTED_VALUE"""),"pack (pcsx26grams)")</f>
        <v/>
      </c>
      <c r="F200" s="115" t="n"/>
      <c r="G200" s="115" t="n"/>
      <c r="H200" s="11" t="inlineStr">
        <is>
          <t>CIP</t>
        </is>
      </c>
      <c r="I200" s="95" t="n"/>
      <c r="J200" s="19" t="inlineStr">
        <is>
          <t>Great Taste/pack (pcsx26grams)</t>
        </is>
      </c>
      <c r="K200" s="5" t="n"/>
      <c r="L200" s="90" t="n">
        <v>8.34</v>
      </c>
      <c r="M200" s="189" t="n">
        <v>167</v>
      </c>
      <c r="N200" s="13" t="n">
        <v>1</v>
      </c>
      <c r="O200" s="13">
        <f>E200</f>
        <v/>
      </c>
      <c r="P200" s="13" t="inlineStr">
        <is>
          <t>pieces</t>
        </is>
      </c>
      <c r="Q200" s="20" t="n"/>
      <c r="R200" s="5" t="n"/>
      <c r="S200" s="229">
        <f>M200*N200</f>
        <v/>
      </c>
      <c r="T200" s="230">
        <f>CONCATENATE(S200,Q200,P200)</f>
        <v/>
      </c>
      <c r="U200" s="206">
        <f>L200*M200</f>
        <v/>
      </c>
      <c r="V200" s="4" t="n"/>
      <c r="W200" s="4" t="n"/>
      <c r="X200" s="4" t="n"/>
    </row>
    <row r="201" ht="15.75" customHeight="1" thickBot="1">
      <c r="A201" s="183" t="n">
        <v>128</v>
      </c>
      <c r="B201" s="114" t="inlineStr">
        <is>
          <t>Crispy fry</t>
        </is>
      </c>
      <c r="C201" s="114" t="n"/>
      <c r="D201" s="115">
        <f>IFERROR(__xludf.DUMMYFUNCTION("IF(J201="""",""n/a"",IFERROR(SPLIT(J201,""/"")))"),"n/a")</f>
        <v/>
      </c>
      <c r="E201" s="114" t="n"/>
      <c r="F201" s="114" t="n"/>
      <c r="G201" s="114" t="n"/>
      <c r="H201" s="84" t="inlineStr">
        <is>
          <t>F1</t>
        </is>
      </c>
      <c r="I201" s="7" t="n"/>
      <c r="J201" s="19" t="n"/>
      <c r="K201" s="7" t="n"/>
      <c r="L201" s="12" t="n">
        <v>0.3445378151260504</v>
      </c>
      <c r="M201" s="192" t="n">
        <v>676</v>
      </c>
      <c r="N201" s="85" t="n">
        <v>238</v>
      </c>
      <c r="O201" s="13">
        <f>E201</f>
        <v/>
      </c>
      <c r="P201" s="9" t="inlineStr">
        <is>
          <t>grams</t>
        </is>
      </c>
      <c r="Q201" s="20" t="n"/>
      <c r="R201" s="5" t="n"/>
      <c r="S201" s="229">
        <f>M201*N201</f>
        <v/>
      </c>
      <c r="T201" s="230">
        <f>CONCATENATE(S201,Q201,P201)</f>
        <v/>
      </c>
      <c r="U201" s="206">
        <f>L201*M201</f>
        <v/>
      </c>
      <c r="V201" s="4" t="n"/>
      <c r="W201" s="4" t="n"/>
      <c r="X201" s="4" t="n"/>
    </row>
    <row r="202" ht="15.75" customHeight="1" thickBot="1">
      <c r="A202" s="183" t="n">
        <v>129</v>
      </c>
      <c r="B202" s="115" t="inlineStr">
        <is>
          <t>Crispy Fry Breadcrumbs</t>
        </is>
      </c>
      <c r="C202" s="115" t="n"/>
      <c r="D202" s="115">
        <f>IFERROR(__xludf.DUMMYFUNCTION("IF(J202="""",""n/a"",IFERROR(SPLIT(J202,""/"")))"),"Ajinomoto")</f>
        <v/>
      </c>
      <c r="E202" s="115">
        <f>IFERROR(__xludf.DUMMYFUNCTION("""COMPUTED_VALUE"""),"pack")</f>
        <v/>
      </c>
      <c r="F202" s="115">
        <f>IFERROR(__xludf.DUMMYFUNCTION("""COMPUTED_VALUE"""),"62grams")</f>
        <v/>
      </c>
      <c r="G202" s="115" t="n"/>
      <c r="H202" s="11" t="inlineStr">
        <is>
          <t>Annex</t>
        </is>
      </c>
      <c r="I202" s="6" t="n"/>
      <c r="J202" s="32" t="inlineStr">
        <is>
          <t>Ajinomoto/pack/62grams</t>
        </is>
      </c>
      <c r="K202" s="6" t="n"/>
      <c r="L202" s="8" t="n">
        <v>0.2693548387096774</v>
      </c>
      <c r="M202" s="195" t="n">
        <v>248</v>
      </c>
      <c r="N202" s="72" t="n">
        <v>62</v>
      </c>
      <c r="O202" s="13">
        <f>E202</f>
        <v/>
      </c>
      <c r="P202" s="131" t="inlineStr">
        <is>
          <t>grams</t>
        </is>
      </c>
      <c r="Q202" s="13" t="n"/>
      <c r="R202" s="78">
        <f>CONCATENATE(N202,P202)</f>
        <v/>
      </c>
      <c r="S202" s="229">
        <f>M202*N202</f>
        <v/>
      </c>
      <c r="T202" s="230">
        <f>CONCATENATE(S202,Q202,P202)</f>
        <v/>
      </c>
      <c r="U202" s="206">
        <f>L202*M202</f>
        <v/>
      </c>
      <c r="V202" s="231" t="n"/>
      <c r="W202" s="236" t="n"/>
      <c r="X202" s="71" t="n"/>
    </row>
    <row r="203" ht="15.75" customHeight="1" thickBot="1">
      <c r="A203" s="183" t="n">
        <v>130</v>
      </c>
      <c r="B203" s="115" t="inlineStr">
        <is>
          <t>Crushed Graham</t>
        </is>
      </c>
      <c r="C203" s="115" t="n"/>
      <c r="D203" s="115">
        <f>IFERROR(__xludf.DUMMYFUNCTION("IF(J203="""",""n/a"",IFERROR(SPLIT(J203,""/"")))"),"My San")</f>
        <v/>
      </c>
      <c r="E203" s="115">
        <f>IFERROR(__xludf.DUMMYFUNCTION("""COMPUTED_VALUE"""),"pack")</f>
        <v/>
      </c>
      <c r="F203" s="115">
        <f>IFERROR(__xludf.DUMMYFUNCTION("""COMPUTED_VALUE"""),"200grams")</f>
        <v/>
      </c>
      <c r="G203" s="115" t="n"/>
      <c r="H203" s="11" t="inlineStr">
        <is>
          <t>Annex</t>
        </is>
      </c>
      <c r="I203" s="6" t="n"/>
      <c r="J203" s="19" t="inlineStr">
        <is>
          <t>My San/pack/200grams</t>
        </is>
      </c>
      <c r="K203" s="6" t="n"/>
      <c r="L203" s="8" t="n">
        <v>0.235</v>
      </c>
      <c r="M203" s="190" t="n">
        <v>200</v>
      </c>
      <c r="N203" s="17" t="n">
        <v>200</v>
      </c>
      <c r="O203" s="13">
        <f>E203</f>
        <v/>
      </c>
      <c r="P203" s="9" t="inlineStr">
        <is>
          <t>grams</t>
        </is>
      </c>
      <c r="Q203" s="13" t="n"/>
      <c r="R203" s="78">
        <f>CONCATENATE(N203,P203)</f>
        <v/>
      </c>
      <c r="S203" s="229">
        <f>M203*N203</f>
        <v/>
      </c>
      <c r="T203" s="230">
        <f>CONCATENATE(S203,Q203,P203)</f>
        <v/>
      </c>
      <c r="U203" s="206">
        <f>L203*M203</f>
        <v/>
      </c>
      <c r="V203" s="231" t="n"/>
      <c r="W203" s="231" t="n"/>
      <c r="X203" s="71" t="n"/>
    </row>
    <row r="204" ht="15.75" customHeight="1" thickBot="1">
      <c r="A204" s="183" t="n">
        <v>131</v>
      </c>
      <c r="B204" s="115" t="inlineStr">
        <is>
          <t>Cumin Powder</t>
        </is>
      </c>
      <c r="C204" s="115" t="n"/>
      <c r="D204" s="115">
        <f>IFERROR(__xludf.DUMMYFUNCTION("IF(J204="""",""n/a"",IFERROR(SPLIT(J204,""/"")))"),"Robinson ")</f>
        <v/>
      </c>
      <c r="E204" s="115">
        <f>IFERROR(__xludf.DUMMYFUNCTION("""COMPUTED_VALUE"""),"pack")</f>
        <v/>
      </c>
      <c r="F204" s="115">
        <f>IFERROR(__xludf.DUMMYFUNCTION("""COMPUTED_VALUE"""),"20grams")</f>
        <v/>
      </c>
      <c r="G204" s="115" t="n"/>
      <c r="H204" s="11" t="inlineStr">
        <is>
          <t>CIP</t>
        </is>
      </c>
      <c r="I204" s="95" t="n"/>
      <c r="J204" s="19" t="inlineStr">
        <is>
          <t>Robinson /pack/20grams</t>
        </is>
      </c>
      <c r="K204" s="116" t="n"/>
      <c r="L204" s="90" t="n">
        <v>18.25</v>
      </c>
      <c r="M204" s="189" t="n">
        <v>2</v>
      </c>
      <c r="N204" s="13" t="n">
        <v>1</v>
      </c>
      <c r="O204" s="13">
        <f>E204</f>
        <v/>
      </c>
      <c r="P204" s="13" t="inlineStr">
        <is>
          <t>grams</t>
        </is>
      </c>
      <c r="Q204" s="20" t="n"/>
      <c r="R204" s="5" t="n"/>
      <c r="S204" s="229">
        <f>M204*N204</f>
        <v/>
      </c>
      <c r="T204" s="230">
        <f>CONCATENATE(S204,Q204,P204)</f>
        <v/>
      </c>
      <c r="U204" s="206">
        <f>L204*M204</f>
        <v/>
      </c>
      <c r="V204" s="4" t="n"/>
      <c r="W204" s="4" t="n"/>
      <c r="X204" s="4" t="n"/>
    </row>
    <row r="205" ht="15.75" customHeight="1" thickBot="1">
      <c r="A205" s="183" t="n">
        <v>131</v>
      </c>
      <c r="B205" s="114" t="inlineStr">
        <is>
          <t>Cumin Powder</t>
        </is>
      </c>
      <c r="C205" s="114" t="n"/>
      <c r="D205" s="115">
        <f>IFERROR(__xludf.DUMMYFUNCTION("IF(J205="""",""n/a"",IFERROR(SPLIT(J205,""/"")))"),"n/a")</f>
        <v/>
      </c>
      <c r="E205" s="114" t="n"/>
      <c r="F205" s="114" t="n"/>
      <c r="G205" s="114" t="n"/>
      <c r="H205" s="84" t="inlineStr">
        <is>
          <t>F1</t>
        </is>
      </c>
      <c r="I205" s="7" t="n"/>
      <c r="J205" s="19" t="n"/>
      <c r="K205" s="7" t="n"/>
      <c r="L205" s="12" t="n">
        <v>0.9125</v>
      </c>
      <c r="M205" s="191" t="n">
        <v>40</v>
      </c>
      <c r="N205" s="85" t="n">
        <v>20</v>
      </c>
      <c r="O205" s="13">
        <f>E205</f>
        <v/>
      </c>
      <c r="P205" s="9" t="inlineStr">
        <is>
          <t>grams</t>
        </is>
      </c>
      <c r="Q205" s="20" t="n"/>
      <c r="R205" s="5" t="n"/>
      <c r="S205" s="229">
        <f>M205*N205</f>
        <v/>
      </c>
      <c r="T205" s="230">
        <f>CONCATENATE(S205,Q205,P205)</f>
        <v/>
      </c>
      <c r="U205" s="206">
        <f>L205*M205</f>
        <v/>
      </c>
      <c r="V205" s="4" t="n"/>
      <c r="W205" s="4" t="n"/>
      <c r="X205" s="4" t="n"/>
    </row>
    <row r="206" ht="15.75" customHeight="1" thickBot="1">
      <c r="A206" s="183" t="n">
        <v>132</v>
      </c>
      <c r="B206" s="115" t="inlineStr">
        <is>
          <t>Cup Cake Holder</t>
        </is>
      </c>
      <c r="C206" s="115" t="n"/>
      <c r="D206" s="115">
        <f>IFERROR(__xludf.DUMMYFUNCTION("IF(J206="""",""n/a"",IFERROR(SPLIT(J206,""/"")))"),"Cupcake Holder")</f>
        <v/>
      </c>
      <c r="E206" s="115" t="n"/>
      <c r="F206" s="115" t="n"/>
      <c r="G206" s="115" t="n"/>
      <c r="H206" s="11" t="inlineStr">
        <is>
          <t>CIP</t>
        </is>
      </c>
      <c r="I206" s="95" t="n"/>
      <c r="J206" s="93" t="inlineStr">
        <is>
          <t>Cupcake Holder</t>
        </is>
      </c>
      <c r="K206" s="116" t="n"/>
      <c r="L206" s="90" t="n">
        <v>1.25</v>
      </c>
      <c r="M206" s="189" t="n">
        <v>300</v>
      </c>
      <c r="N206" s="13" t="n">
        <v>1</v>
      </c>
      <c r="O206" s="13">
        <f>E206</f>
        <v/>
      </c>
      <c r="P206" s="13" t="inlineStr">
        <is>
          <t>pieces</t>
        </is>
      </c>
      <c r="Q206" s="20" t="n"/>
      <c r="R206" s="5" t="n"/>
      <c r="S206" s="229">
        <f>M206*N206</f>
        <v/>
      </c>
      <c r="T206" s="230">
        <f>CONCATENATE(S206,Q206,P206)</f>
        <v/>
      </c>
      <c r="U206" s="206">
        <f>L206*M206</f>
        <v/>
      </c>
      <c r="V206" s="4" t="n"/>
      <c r="W206" s="4" t="n"/>
      <c r="X206" s="4" t="n"/>
    </row>
    <row r="207" ht="15.75" customHeight="1" thickBot="1">
      <c r="A207" s="183" t="n">
        <v>133</v>
      </c>
      <c r="B207" s="115" t="inlineStr">
        <is>
          <t>Cup-Noodles Chicken Sotanghon</t>
        </is>
      </c>
      <c r="C207" s="115" t="n"/>
      <c r="D207" s="115">
        <f>IFERROR(__xludf.DUMMYFUNCTION("IF(J207="""",""n/a"",IFERROR(SPLIT(J207,""/"")))"),"Lucky Me")</f>
        <v/>
      </c>
      <c r="E207" s="115">
        <f>IFERROR(__xludf.DUMMYFUNCTION("""COMPUTED_VALUE"""),"box (48pcsx40grams)")</f>
        <v/>
      </c>
      <c r="F207" s="115" t="n"/>
      <c r="G207" s="115" t="n"/>
      <c r="H207" s="11" t="inlineStr">
        <is>
          <t>CIP</t>
        </is>
      </c>
      <c r="I207" s="95" t="n"/>
      <c r="J207" s="93" t="inlineStr">
        <is>
          <t>Lucky Me/box (48pcsx40grams)</t>
        </is>
      </c>
      <c r="K207" s="116" t="n"/>
      <c r="L207" s="90" t="n">
        <v>24.94</v>
      </c>
      <c r="M207" s="189" t="n">
        <v>48</v>
      </c>
      <c r="N207" s="13" t="n">
        <v>1</v>
      </c>
      <c r="O207" s="13">
        <f>E207</f>
        <v/>
      </c>
      <c r="P207" s="13" t="inlineStr">
        <is>
          <t>pieces</t>
        </is>
      </c>
      <c r="Q207" s="20" t="n"/>
      <c r="R207" s="5" t="n"/>
      <c r="S207" s="229">
        <f>M207*N207</f>
        <v/>
      </c>
      <c r="T207" s="230">
        <f>CONCATENATE(S207,Q207,P207)</f>
        <v/>
      </c>
      <c r="U207" s="206">
        <f>L207*M207</f>
        <v/>
      </c>
      <c r="V207" s="4" t="n"/>
      <c r="W207" s="4" t="n"/>
      <c r="X207" s="4" t="n"/>
    </row>
    <row r="208" ht="15.75" customHeight="1" thickBot="1">
      <c r="A208" s="183" t="n">
        <v>134</v>
      </c>
      <c r="B208" s="115" t="inlineStr">
        <is>
          <t>Cup-Noodles Jjamppong</t>
        </is>
      </c>
      <c r="C208" s="115" t="n"/>
      <c r="D208" s="115">
        <f>IFERROR(__xludf.DUMMYFUNCTION("IF(J208="""",""n/a"",IFERROR(SPLIT(J208,""/"")))"),"Lucky Me")</f>
        <v/>
      </c>
      <c r="E208" s="115">
        <f>IFERROR(__xludf.DUMMYFUNCTION("""COMPUTED_VALUE"""),"box (48pcsx40grams)")</f>
        <v/>
      </c>
      <c r="F208" s="115" t="n"/>
      <c r="G208" s="115" t="n"/>
      <c r="H208" s="11" t="inlineStr">
        <is>
          <t>CIP</t>
        </is>
      </c>
      <c r="I208" s="95" t="n"/>
      <c r="J208" s="93" t="inlineStr">
        <is>
          <t>Lucky Me/box (48pcsx40grams)</t>
        </is>
      </c>
      <c r="K208" s="116" t="n"/>
      <c r="L208" s="90" t="n">
        <v>24.77</v>
      </c>
      <c r="M208" s="189" t="n">
        <v>48</v>
      </c>
      <c r="N208" s="13" t="n">
        <v>1</v>
      </c>
      <c r="O208" s="13">
        <f>E208</f>
        <v/>
      </c>
      <c r="P208" s="13" t="inlineStr">
        <is>
          <t>pieces</t>
        </is>
      </c>
      <c r="Q208" s="20" t="n"/>
      <c r="R208" s="5" t="n"/>
      <c r="S208" s="229">
        <f>M208*N208</f>
        <v/>
      </c>
      <c r="T208" s="230">
        <f>CONCATENATE(S208,Q208,P208)</f>
        <v/>
      </c>
      <c r="U208" s="206">
        <f>L208*M208</f>
        <v/>
      </c>
      <c r="V208" s="4" t="n"/>
      <c r="W208" s="4" t="n"/>
      <c r="X208" s="4" t="n"/>
    </row>
    <row r="209" ht="15.75" customHeight="1" thickBot="1">
      <c r="A209" s="183" t="n">
        <v>135</v>
      </c>
      <c r="B209" s="115" t="inlineStr">
        <is>
          <t>Curry Bar</t>
        </is>
      </c>
      <c r="C209" s="115" t="n"/>
      <c r="D209" s="115">
        <f>IFERROR(__xludf.DUMMYFUNCTION("IF(J209="""",""n/a"",IFERROR(SPLIT(J209,""/"")))"),"bar")</f>
        <v/>
      </c>
      <c r="E209" s="115">
        <f>IFERROR(__xludf.DUMMYFUNCTION("""COMPUTED_VALUE"""),"1000grams")</f>
        <v/>
      </c>
      <c r="F209" s="115" t="n"/>
      <c r="G209" s="115" t="n"/>
      <c r="H209" s="11" t="inlineStr">
        <is>
          <t>CIP</t>
        </is>
      </c>
      <c r="I209" s="95" t="n"/>
      <c r="J209" s="93" t="inlineStr">
        <is>
          <t>bar/1000grams</t>
        </is>
      </c>
      <c r="K209" s="116" t="n"/>
      <c r="L209" s="90" t="n">
        <v>220</v>
      </c>
      <c r="M209" s="189" t="n">
        <v>2</v>
      </c>
      <c r="N209" s="13" t="n">
        <v>1</v>
      </c>
      <c r="O209" s="13">
        <f>E209</f>
        <v/>
      </c>
      <c r="P209" s="13" t="inlineStr">
        <is>
          <t>grams</t>
        </is>
      </c>
      <c r="Q209" s="20" t="n"/>
      <c r="R209" s="5" t="n"/>
      <c r="S209" s="229">
        <f>M209*N209</f>
        <v/>
      </c>
      <c r="T209" s="230">
        <f>CONCATENATE(S209,Q209,P209)</f>
        <v/>
      </c>
      <c r="U209" s="206">
        <f>L209*M209</f>
        <v/>
      </c>
      <c r="V209" s="4" t="n"/>
      <c r="W209" s="4" t="n"/>
      <c r="X209" s="4" t="n"/>
    </row>
    <row r="210" ht="15.75" customHeight="1" thickBot="1">
      <c r="A210" s="183" t="n">
        <v>136</v>
      </c>
      <c r="B210" s="115" t="inlineStr">
        <is>
          <t>Curry Powder</t>
        </is>
      </c>
      <c r="C210" s="115" t="n"/>
      <c r="D210" s="115">
        <f>IFERROR(__xludf.DUMMYFUNCTION("IF(J210="""",""n/a"",IFERROR(SPLIT(J210,""/"")))"),"Mama")</f>
        <v/>
      </c>
      <c r="E210" s="115">
        <f>IFERROR(__xludf.DUMMYFUNCTION("""COMPUTED_VALUE"""),"canister")</f>
        <v/>
      </c>
      <c r="F210" s="115">
        <f>IFERROR(__xludf.DUMMYFUNCTION("""COMPUTED_VALUE"""),"1000grams")</f>
        <v/>
      </c>
      <c r="G210" s="115" t="n"/>
      <c r="H210" s="11" t="inlineStr">
        <is>
          <t>Annex</t>
        </is>
      </c>
      <c r="I210" s="6" t="n"/>
      <c r="J210" s="19" t="inlineStr">
        <is>
          <t>Mama/canister/1000grams</t>
        </is>
      </c>
      <c r="K210" s="6" t="n"/>
      <c r="L210" s="8" t="n">
        <v>0.22</v>
      </c>
      <c r="M210" s="190" t="n">
        <v>1000</v>
      </c>
      <c r="N210" s="17" t="n">
        <v>1000</v>
      </c>
      <c r="O210" s="13">
        <f>E210</f>
        <v/>
      </c>
      <c r="P210" s="9" t="inlineStr">
        <is>
          <t>grams</t>
        </is>
      </c>
      <c r="Q210" s="13" t="n"/>
      <c r="R210" s="78">
        <f>CONCATENATE(N210,P210)</f>
        <v/>
      </c>
      <c r="S210" s="229">
        <f>M210*N210</f>
        <v/>
      </c>
      <c r="T210" s="230">
        <f>CONCATENATE(S210,Q210,P210)</f>
        <v/>
      </c>
      <c r="U210" s="206">
        <f>L210*M210</f>
        <v/>
      </c>
      <c r="V210" s="231" t="n"/>
      <c r="W210" s="236" t="n"/>
      <c r="X210" s="71" t="n"/>
    </row>
    <row r="211" ht="15.75" customHeight="1" thickBot="1">
      <c r="A211" s="183" t="n">
        <v>136</v>
      </c>
      <c r="B211" s="115" t="inlineStr">
        <is>
          <t>Curry Powder</t>
        </is>
      </c>
      <c r="C211" s="115" t="n"/>
      <c r="D211" s="115">
        <f>IFERROR(__xludf.DUMMYFUNCTION("IF(J211="""",""n/a"",IFERROR(SPLIT(J211,""/"")))"),"S8 Greatbuy")</f>
        <v/>
      </c>
      <c r="E211" s="115">
        <f>IFERROR(__xludf.DUMMYFUNCTION("""COMPUTED_VALUE"""),"pack")</f>
        <v/>
      </c>
      <c r="F211" s="115">
        <f>IFERROR(__xludf.DUMMYFUNCTION("""COMPUTED_VALUE"""),"30grams")</f>
        <v/>
      </c>
      <c r="G211" s="115" t="n"/>
      <c r="H211" s="11" t="inlineStr">
        <is>
          <t>Annex</t>
        </is>
      </c>
      <c r="I211" s="6" t="n"/>
      <c r="J211" s="19" t="inlineStr">
        <is>
          <t>S8 Greatbuy/pack/30grams</t>
        </is>
      </c>
      <c r="K211" s="18" t="n"/>
      <c r="L211" s="12" t="n">
        <v>1.06</v>
      </c>
      <c r="M211" s="190" t="n">
        <v>150</v>
      </c>
      <c r="N211" s="17" t="n">
        <v>30</v>
      </c>
      <c r="O211" s="13">
        <f>E211</f>
        <v/>
      </c>
      <c r="P211" s="9" t="inlineStr">
        <is>
          <t>grams</t>
        </is>
      </c>
      <c r="Q211" s="13" t="n"/>
      <c r="R211" s="78">
        <f>CONCATENATE(N211,P211)</f>
        <v/>
      </c>
      <c r="S211" s="229">
        <f>M211*N211</f>
        <v/>
      </c>
      <c r="T211" s="230">
        <f>CONCATENATE(S211,Q211,P211)</f>
        <v/>
      </c>
      <c r="U211" s="206">
        <f>L211*M211</f>
        <v/>
      </c>
      <c r="V211" s="231" t="n"/>
      <c r="W211" s="236" t="n"/>
      <c r="X211" s="71" t="n"/>
    </row>
    <row r="212" ht="15.75" customHeight="1" thickBot="1">
      <c r="A212" s="183" t="n">
        <v>136</v>
      </c>
      <c r="B212" s="115" t="inlineStr">
        <is>
          <t>Curry Powder</t>
        </is>
      </c>
      <c r="C212" s="115" t="n"/>
      <c r="D212" s="115">
        <f>IFERROR(__xludf.DUMMYFUNCTION("IF(J212="""",""n/a"",IFERROR(SPLIT(J212,""/"")))"),"Pure Basic")</f>
        <v/>
      </c>
      <c r="E212" s="115">
        <f>IFERROR(__xludf.DUMMYFUNCTION("""COMPUTED_VALUE"""),"pack")</f>
        <v/>
      </c>
      <c r="F212" s="115">
        <f>IFERROR(__xludf.DUMMYFUNCTION("""COMPUTED_VALUE"""),"50grams")</f>
        <v/>
      </c>
      <c r="G212" s="115" t="n"/>
      <c r="H212" s="11" t="inlineStr">
        <is>
          <t>CIP</t>
        </is>
      </c>
      <c r="I212" s="95" t="n"/>
      <c r="J212" s="19" t="inlineStr">
        <is>
          <t>Pure Basic/pack/50grams</t>
        </is>
      </c>
      <c r="K212" s="116" t="n"/>
      <c r="L212" s="90" t="n">
        <v>113</v>
      </c>
      <c r="M212" s="189" t="n">
        <v>7</v>
      </c>
      <c r="N212" s="13" t="n">
        <v>1</v>
      </c>
      <c r="O212" s="13">
        <f>E212</f>
        <v/>
      </c>
      <c r="P212" s="13" t="inlineStr">
        <is>
          <t>grams</t>
        </is>
      </c>
      <c r="Q212" s="20" t="n"/>
      <c r="R212" s="5" t="n"/>
      <c r="S212" s="229">
        <f>M212*N212</f>
        <v/>
      </c>
      <c r="T212" s="230">
        <f>CONCATENATE(S212,Q212,P212)</f>
        <v/>
      </c>
      <c r="U212" s="206">
        <f>L212*M212</f>
        <v/>
      </c>
      <c r="V212" s="4" t="n"/>
      <c r="W212" s="4" t="n"/>
      <c r="X212" s="4" t="n"/>
    </row>
    <row r="213" ht="15.75" customHeight="1" thickBot="1">
      <c r="A213" s="183" t="n">
        <v>137</v>
      </c>
      <c r="B213" s="115" t="inlineStr">
        <is>
          <t>Dashi</t>
        </is>
      </c>
      <c r="C213" s="115" t="n"/>
      <c r="D213" s="115">
        <f>IFERROR(__xludf.DUMMYFUNCTION("IF(J213="""",""n/a"",IFERROR(SPLIT(J213,""/"")))"),"Marutomo")</f>
        <v/>
      </c>
      <c r="E213" s="115" t="n"/>
      <c r="F213" s="115" t="n"/>
      <c r="G213" s="115" t="n"/>
      <c r="H213" s="11" t="inlineStr">
        <is>
          <t>CIP</t>
        </is>
      </c>
      <c r="I213" s="95" t="n"/>
      <c r="J213" s="93" t="inlineStr">
        <is>
          <t>Marutomo</t>
        </is>
      </c>
      <c r="K213" s="116" t="n"/>
      <c r="L213" s="90" t="n">
        <v>450</v>
      </c>
      <c r="M213" s="189" t="n">
        <v>1</v>
      </c>
      <c r="N213" s="13" t="n">
        <v>1</v>
      </c>
      <c r="O213" s="13">
        <f>E213</f>
        <v/>
      </c>
      <c r="P213" s="13" t="inlineStr">
        <is>
          <t>grams</t>
        </is>
      </c>
      <c r="Q213" s="20" t="n"/>
      <c r="R213" s="5" t="n"/>
      <c r="S213" s="229">
        <f>M213*N213</f>
        <v/>
      </c>
      <c r="T213" s="230">
        <f>CONCATENATE(S213,Q213,P213)</f>
        <v/>
      </c>
      <c r="U213" s="206">
        <f>L213*M213</f>
        <v/>
      </c>
      <c r="V213" s="4" t="n"/>
      <c r="W213" s="4" t="n"/>
      <c r="X213" s="4" t="n"/>
    </row>
    <row r="214" ht="15.75" customHeight="1" thickBot="1">
      <c r="A214" s="183" t="n">
        <v>137</v>
      </c>
      <c r="B214" s="115" t="inlineStr">
        <is>
          <t>Dashi</t>
        </is>
      </c>
      <c r="C214" s="115" t="n"/>
      <c r="D214" s="115">
        <f>IFERROR(__xludf.DUMMYFUNCTION("IF(J214="""",""n/a"",IFERROR(SPLIT(J214,""/"")))"),"n/a")</f>
        <v/>
      </c>
      <c r="E214" s="115" t="n"/>
      <c r="F214" s="115" t="n"/>
      <c r="G214" s="115" t="n"/>
      <c r="H214" s="84" t="inlineStr">
        <is>
          <t>F1</t>
        </is>
      </c>
      <c r="I214" s="7" t="n"/>
      <c r="J214" s="19" t="n"/>
      <c r="K214" s="7" t="n"/>
      <c r="L214" s="12" t="n">
        <v>0.5600000000000001</v>
      </c>
      <c r="M214" s="192" t="n">
        <v>500</v>
      </c>
      <c r="N214" s="85" t="n">
        <v>500</v>
      </c>
      <c r="O214" s="13">
        <f>E214</f>
        <v/>
      </c>
      <c r="P214" s="9" t="inlineStr">
        <is>
          <t>grams</t>
        </is>
      </c>
      <c r="Q214" s="20" t="n"/>
      <c r="R214" s="5" t="n"/>
      <c r="S214" s="229">
        <f>M214*N214</f>
        <v/>
      </c>
      <c r="T214" s="230">
        <f>CONCATENATE(S214,Q214,P214)</f>
        <v/>
      </c>
      <c r="U214" s="206">
        <f>L214*M214</f>
        <v/>
      </c>
      <c r="V214" s="4" t="n"/>
      <c r="W214" s="4" t="n"/>
      <c r="X214" s="4" t="n"/>
    </row>
    <row r="215" ht="15.75" customHeight="1" thickBot="1">
      <c r="A215" s="183" t="n">
        <v>138</v>
      </c>
      <c r="B215" s="115" t="inlineStr">
        <is>
          <t>Dewberry Blueberry</t>
        </is>
      </c>
      <c r="C215" s="115" t="n"/>
      <c r="D215" s="115">
        <f>IFERROR(__xludf.DUMMYFUNCTION("IF(J215="""",""n/a"",IFERROR(SPLIT(J215,""/"")))"),"Jack n Jill")</f>
        <v/>
      </c>
      <c r="E215" s="115">
        <f>IFERROR(__xludf.DUMMYFUNCTION("""COMPUTED_VALUE"""),"pack (10x33 grams)")</f>
        <v/>
      </c>
      <c r="F215" s="115" t="n"/>
      <c r="G215" s="115" t="n"/>
      <c r="H215" s="11" t="inlineStr">
        <is>
          <t>CIP</t>
        </is>
      </c>
      <c r="I215" s="95" t="n"/>
      <c r="J215" s="93" t="inlineStr">
        <is>
          <t>Jack n Jill/pack (10x33 grams)</t>
        </is>
      </c>
      <c r="K215" s="116" t="n"/>
      <c r="L215" s="90" t="n">
        <v>7.15</v>
      </c>
      <c r="M215" s="189" t="n">
        <v>400</v>
      </c>
      <c r="N215" s="13" t="n">
        <v>1</v>
      </c>
      <c r="O215" s="13">
        <f>E215</f>
        <v/>
      </c>
      <c r="P215" s="13" t="inlineStr">
        <is>
          <t>pieces</t>
        </is>
      </c>
      <c r="Q215" s="20" t="n"/>
      <c r="R215" s="5" t="n"/>
      <c r="S215" s="229">
        <f>M215*N215</f>
        <v/>
      </c>
      <c r="T215" s="230">
        <f>CONCATENATE(S215,Q215,P215)</f>
        <v/>
      </c>
      <c r="U215" s="206">
        <f>L215*M215</f>
        <v/>
      </c>
      <c r="V215" s="4" t="n"/>
      <c r="W215" s="4" t="n"/>
      <c r="X215" s="4" t="n"/>
    </row>
    <row r="216" ht="15.75" customHeight="1" thickBot="1">
      <c r="A216" s="183" t="n">
        <v>139</v>
      </c>
      <c r="B216" s="115" t="inlineStr">
        <is>
          <t>Dewberry Cakeberry</t>
        </is>
      </c>
      <c r="C216" s="115" t="n"/>
      <c r="D216" s="115">
        <f>IFERROR(__xludf.DUMMYFUNCTION("IF(J216="""",""n/a"",IFERROR(SPLIT(J216,""/"")))"),"Jack n Jill")</f>
        <v/>
      </c>
      <c r="E216" s="115">
        <f>IFERROR(__xludf.DUMMYFUNCTION("""COMPUTED_VALUE"""),"pack (10pcsx")</f>
        <v/>
      </c>
      <c r="F216" s="115">
        <f>IFERROR(__xludf.DUMMYFUNCTION("""COMPUTED_VALUE"""),"2grams)")</f>
        <v/>
      </c>
      <c r="G216" s="115" t="n"/>
      <c r="H216" s="11" t="inlineStr">
        <is>
          <t>Annex</t>
        </is>
      </c>
      <c r="I216" s="6" t="n"/>
      <c r="J216" s="19" t="inlineStr">
        <is>
          <t>Jack n Jill/pack (10pcsx/2grams)</t>
        </is>
      </c>
      <c r="K216" s="6" t="n"/>
      <c r="L216" s="22" t="n">
        <v>7.26</v>
      </c>
      <c r="M216" s="190" t="n">
        <v>19</v>
      </c>
      <c r="N216" s="17" t="n">
        <v>1</v>
      </c>
      <c r="O216" s="13">
        <f>E216</f>
        <v/>
      </c>
      <c r="P216" s="9" t="inlineStr">
        <is>
          <t>pieces</t>
        </is>
      </c>
      <c r="Q216" s="13" t="n"/>
      <c r="R216" s="78">
        <f>CONCATENATE(N216,P216)</f>
        <v/>
      </c>
      <c r="S216" s="229">
        <f>M216*N216</f>
        <v/>
      </c>
      <c r="T216" s="230">
        <f>CONCATENATE(S216,Q216,P216)</f>
        <v/>
      </c>
      <c r="U216" s="206">
        <f>L216*M216</f>
        <v/>
      </c>
      <c r="V216" s="34" t="n"/>
      <c r="W216" s="34" t="n"/>
      <c r="X216" s="34" t="n"/>
    </row>
    <row r="217" ht="15.75" customHeight="1" thickBot="1">
      <c r="A217" s="183" t="n">
        <v>139</v>
      </c>
      <c r="B217" s="115" t="inlineStr">
        <is>
          <t>Dewberry Cakeberry</t>
        </is>
      </c>
      <c r="C217" s="115" t="n"/>
      <c r="D217" s="115">
        <f>IFERROR(__xludf.DUMMYFUNCTION("IF(J217="""",""n/a"",IFERROR(SPLIT(J217,""/"")))"),"Jack n Jill")</f>
        <v/>
      </c>
      <c r="E217" s="115">
        <f>IFERROR(__xludf.DUMMYFUNCTION("""COMPUTED_VALUE"""),"pack (10pcsx")</f>
        <v/>
      </c>
      <c r="F217" s="115">
        <f>IFERROR(__xludf.DUMMYFUNCTION("""COMPUTED_VALUE"""),"2grams)")</f>
        <v/>
      </c>
      <c r="G217" s="115" t="n"/>
      <c r="H217" s="11" t="inlineStr">
        <is>
          <t>CIP</t>
        </is>
      </c>
      <c r="I217" s="95" t="n"/>
      <c r="J217" s="93" t="inlineStr">
        <is>
          <t>Jack n Jill/pack (10pcsx/2grams)</t>
        </is>
      </c>
      <c r="K217" s="116" t="n"/>
      <c r="L217" s="90" t="n">
        <v>7.89</v>
      </c>
      <c r="M217" s="189" t="n">
        <v>440</v>
      </c>
      <c r="N217" s="13" t="n">
        <v>1</v>
      </c>
      <c r="O217" s="13">
        <f>E217</f>
        <v/>
      </c>
      <c r="P217" s="13" t="inlineStr">
        <is>
          <t>pieces</t>
        </is>
      </c>
      <c r="Q217" s="20" t="n"/>
      <c r="R217" s="5" t="n"/>
      <c r="S217" s="229">
        <f>M217*N217</f>
        <v/>
      </c>
      <c r="T217" s="230">
        <f>CONCATENATE(S217,Q217,P217)</f>
        <v/>
      </c>
      <c r="U217" s="206">
        <f>L217*M217</f>
        <v/>
      </c>
      <c r="V217" s="4" t="n"/>
      <c r="W217" s="4" t="n"/>
      <c r="X217" s="4" t="n"/>
    </row>
    <row r="218" ht="15.75" customHeight="1" thickBot="1">
      <c r="A218" s="183" t="n">
        <v>140</v>
      </c>
      <c r="B218" s="122" t="inlineStr">
        <is>
          <t>Dishwashing Liquid</t>
        </is>
      </c>
      <c r="C218" s="122" t="n"/>
      <c r="D218" s="115">
        <f>IFERROR(__xludf.DUMMYFUNCTION("IF(J218="""",""n/a"",IFERROR(SPLIT(J218,""/"")))"),"Quinriv")</f>
        <v/>
      </c>
      <c r="E218" s="122" t="n"/>
      <c r="F218" s="122" t="n"/>
      <c r="G218" s="122" t="n"/>
      <c r="H218" s="11" t="inlineStr">
        <is>
          <t>CIP</t>
        </is>
      </c>
      <c r="I218" s="95" t="n"/>
      <c r="J218" s="93" t="inlineStr">
        <is>
          <t>Quinriv</t>
        </is>
      </c>
      <c r="K218" s="116" t="n"/>
      <c r="L218" s="90" t="n">
        <v>309</v>
      </c>
      <c r="M218" s="189" t="n">
        <v>16</v>
      </c>
      <c r="N218" s="13" t="n">
        <v>1</v>
      </c>
      <c r="O218" s="13">
        <f>E218</f>
        <v/>
      </c>
      <c r="P218" s="13" t="inlineStr">
        <is>
          <t>gal</t>
        </is>
      </c>
      <c r="Q218" s="20" t="n"/>
      <c r="R218" s="5" t="n"/>
      <c r="S218" s="229">
        <f>M218*N218</f>
        <v/>
      </c>
      <c r="T218" s="230">
        <f>CONCATENATE(S218,Q218,P218)</f>
        <v/>
      </c>
      <c r="U218" s="206">
        <f>L218*M218</f>
        <v/>
      </c>
      <c r="V218" s="4" t="n"/>
      <c r="W218" s="4" t="n"/>
      <c r="X218" s="4" t="n"/>
    </row>
    <row r="219" ht="15.75" customHeight="1" thickBot="1">
      <c r="A219" s="183" t="n">
        <v>141</v>
      </c>
      <c r="B219" s="115" t="inlineStr">
        <is>
          <t>Dried Dilis</t>
        </is>
      </c>
      <c r="C219" s="115" t="n"/>
      <c r="D219" s="115">
        <f>IFERROR(__xludf.DUMMYFUNCTION("IF(J219="""",""n/a"",IFERROR(SPLIT(J219,""/"")))"),"n/a")</f>
        <v/>
      </c>
      <c r="E219" s="115" t="n"/>
      <c r="F219" s="115" t="n"/>
      <c r="G219" s="115" t="n"/>
      <c r="H219" s="84" t="inlineStr">
        <is>
          <t>F1</t>
        </is>
      </c>
      <c r="I219" s="7" t="n"/>
      <c r="J219" s="19" t="n"/>
      <c r="K219" s="7" t="n"/>
      <c r="L219" s="12" t="n">
        <v>0.32</v>
      </c>
      <c r="M219" s="191" t="n">
        <v>1300</v>
      </c>
      <c r="N219" s="85" t="n">
        <v>1000</v>
      </c>
      <c r="O219" s="13">
        <f>E219</f>
        <v/>
      </c>
      <c r="P219" s="9" t="inlineStr">
        <is>
          <t>grams</t>
        </is>
      </c>
      <c r="Q219" s="20" t="n"/>
      <c r="R219" s="5" t="n"/>
      <c r="S219" s="229">
        <f>M219*N219</f>
        <v/>
      </c>
      <c r="T219" s="230">
        <f>CONCATENATE(S219,Q219,P219)</f>
        <v/>
      </c>
      <c r="U219" s="206">
        <f>L219*M219</f>
        <v/>
      </c>
      <c r="V219" s="4" t="n"/>
      <c r="W219" s="4" t="n"/>
      <c r="X219" s="4" t="n"/>
    </row>
    <row r="220" ht="15.75" customHeight="1" thickBot="1">
      <c r="A220" s="183" t="n">
        <v>142</v>
      </c>
      <c r="B220" s="115" t="inlineStr">
        <is>
          <t>Dried Mushroom</t>
        </is>
      </c>
      <c r="C220" s="115" t="n"/>
      <c r="D220" s="115">
        <f>IFERROR(__xludf.DUMMYFUNCTION("IF(J220="""",""n/a"",IFERROR(SPLIT(J220,""/"")))"),"pack")</f>
        <v/>
      </c>
      <c r="E220" s="115">
        <f>IFERROR(__xludf.DUMMYFUNCTION("""COMPUTED_VALUE"""),"1000grams")</f>
        <v/>
      </c>
      <c r="F220" s="115" t="n"/>
      <c r="G220" s="115" t="n"/>
      <c r="H220" s="11" t="inlineStr">
        <is>
          <t>Annex</t>
        </is>
      </c>
      <c r="I220" s="6" t="n"/>
      <c r="J220" s="19" t="inlineStr">
        <is>
          <t>pack/1000grams</t>
        </is>
      </c>
      <c r="K220" s="6" t="n"/>
      <c r="L220" s="22" t="n">
        <v>0.625</v>
      </c>
      <c r="M220" s="190" t="n">
        <v>250</v>
      </c>
      <c r="N220" s="17" t="n">
        <v>1000</v>
      </c>
      <c r="O220" s="13">
        <f>E220</f>
        <v/>
      </c>
      <c r="P220" s="9" t="inlineStr">
        <is>
          <t>grams</t>
        </is>
      </c>
      <c r="Q220" s="13" t="n"/>
      <c r="R220" s="78">
        <f>CONCATENATE(N220,P220)</f>
        <v/>
      </c>
      <c r="S220" s="229">
        <f>M220*N220</f>
        <v/>
      </c>
      <c r="T220" s="230">
        <f>CONCATENATE(S220,Q220,P220)</f>
        <v/>
      </c>
      <c r="U220" s="206">
        <f>L220*M220</f>
        <v/>
      </c>
      <c r="V220" s="34" t="n"/>
      <c r="W220" s="34" t="n"/>
      <c r="X220" s="34" t="n"/>
    </row>
    <row r="221" ht="15.75" customHeight="1" thickBot="1">
      <c r="A221" s="183" t="n">
        <v>142</v>
      </c>
      <c r="B221" s="115" t="inlineStr">
        <is>
          <t>Dried Mushroom</t>
        </is>
      </c>
      <c r="C221" s="115" t="n"/>
      <c r="D221" s="115">
        <f>IFERROR(__xludf.DUMMYFUNCTION("IF(J221="""",""n/a"",IFERROR(SPLIT(J221,""/"")))"),"n/a")</f>
        <v/>
      </c>
      <c r="E221" s="115" t="n"/>
      <c r="F221" s="115" t="n"/>
      <c r="G221" s="115" t="n"/>
      <c r="H221" s="84" t="inlineStr">
        <is>
          <t>F1</t>
        </is>
      </c>
      <c r="I221" s="7" t="n"/>
      <c r="J221" s="19" t="n"/>
      <c r="K221" s="7" t="n"/>
      <c r="L221" s="12" t="n">
        <v>0.35</v>
      </c>
      <c r="M221" s="192" t="n">
        <v>100</v>
      </c>
      <c r="N221" s="85" t="n">
        <v>1000</v>
      </c>
      <c r="O221" s="13">
        <f>E221</f>
        <v/>
      </c>
      <c r="P221" s="9" t="inlineStr">
        <is>
          <t>grams</t>
        </is>
      </c>
      <c r="Q221" s="20" t="n"/>
      <c r="R221" s="5" t="n"/>
      <c r="S221" s="229">
        <f>M221*N221</f>
        <v/>
      </c>
      <c r="T221" s="230">
        <f>CONCATENATE(S221,Q221,P221)</f>
        <v/>
      </c>
      <c r="U221" s="206">
        <f>L221*M221</f>
        <v/>
      </c>
      <c r="V221" s="4" t="n"/>
      <c r="W221" s="4" t="n"/>
      <c r="X221" s="4" t="n"/>
    </row>
    <row r="222" ht="15.75" customHeight="1" thickBot="1">
      <c r="A222" s="183" t="n">
        <v>143</v>
      </c>
      <c r="B222" s="115" t="inlineStr">
        <is>
          <t>Dulong</t>
        </is>
      </c>
      <c r="C222" s="115" t="n"/>
      <c r="D222" s="115">
        <f>IFERROR(__xludf.DUMMYFUNCTION("IF(J222="""",""n/a"",IFERROR(SPLIT(J222,""/"")))"),"100grams per pc")</f>
        <v/>
      </c>
      <c r="E222" s="115" t="n"/>
      <c r="F222" s="115" t="n"/>
      <c r="G222" s="115" t="n"/>
      <c r="H222" s="11" t="inlineStr">
        <is>
          <t>Annex</t>
        </is>
      </c>
      <c r="I222" s="6" t="n"/>
      <c r="J222" s="19" t="inlineStr">
        <is>
          <t>100grams per pc</t>
        </is>
      </c>
      <c r="K222" s="6" t="n"/>
      <c r="L222" s="22" t="n">
        <v>0.18</v>
      </c>
      <c r="M222" s="190" t="n">
        <v>10000</v>
      </c>
      <c r="N222" s="17" t="n">
        <v>1000</v>
      </c>
      <c r="O222" s="13">
        <f>E222</f>
        <v/>
      </c>
      <c r="P222" s="9" t="inlineStr">
        <is>
          <t>grams</t>
        </is>
      </c>
      <c r="Q222" s="13" t="n"/>
      <c r="R222" s="78">
        <f>CONCATENATE(N222,P222)</f>
        <v/>
      </c>
      <c r="S222" s="229">
        <f>M222*N222</f>
        <v/>
      </c>
      <c r="T222" s="230">
        <f>CONCATENATE(S222,Q222,P222)</f>
        <v/>
      </c>
      <c r="U222" s="206">
        <f>L222*M222</f>
        <v/>
      </c>
      <c r="V222" s="34" t="n"/>
      <c r="W222" s="34" t="n"/>
      <c r="X222" s="34" t="n"/>
    </row>
    <row r="223" ht="15.75" customHeight="1" thickBot="1">
      <c r="A223" s="183" t="n">
        <v>144</v>
      </c>
      <c r="B223" s="132" t="inlineStr">
        <is>
          <t>Dutchmill Yogurt Orange</t>
        </is>
      </c>
      <c r="C223" s="132" t="n"/>
      <c r="D223" s="115">
        <f>IFERROR(__xludf.DUMMYFUNCTION("IF(J223="""",""n/a"",IFERROR(SPLIT(J223,""/"")))"),"n/a")</f>
        <v/>
      </c>
      <c r="E223" s="132" t="n"/>
      <c r="F223" s="132" t="n"/>
      <c r="G223" s="132" t="n"/>
      <c r="H223" s="84" t="inlineStr">
        <is>
          <t>F1</t>
        </is>
      </c>
      <c r="I223" s="7" t="n"/>
      <c r="J223" s="19" t="n"/>
      <c r="K223" s="7" t="n"/>
      <c r="L223" s="12" t="n">
        <v>19.525</v>
      </c>
      <c r="M223" s="191" t="n">
        <v>4</v>
      </c>
      <c r="N223" s="86" t="n">
        <v>4</v>
      </c>
      <c r="O223" s="13">
        <f>E223</f>
        <v/>
      </c>
      <c r="P223" s="23" t="inlineStr">
        <is>
          <t>pieces</t>
        </is>
      </c>
      <c r="Q223" s="20" t="n"/>
      <c r="R223" s="5" t="n"/>
      <c r="S223" s="229">
        <f>M223*N223</f>
        <v/>
      </c>
      <c r="T223" s="230">
        <f>CONCATENATE(S223,Q223,P223)</f>
        <v/>
      </c>
      <c r="U223" s="206">
        <f>L223*M223</f>
        <v/>
      </c>
      <c r="V223" s="4" t="n"/>
      <c r="W223" s="4" t="n"/>
      <c r="X223" s="4" t="n"/>
    </row>
    <row r="224" ht="15.75" customHeight="1" thickBot="1">
      <c r="A224" s="183" t="n">
        <v>145</v>
      </c>
      <c r="B224" s="132" t="inlineStr">
        <is>
          <t>Dutchmill Yogurt Strawberry</t>
        </is>
      </c>
      <c r="C224" s="132" t="n"/>
      <c r="D224" s="115">
        <f>IFERROR(__xludf.DUMMYFUNCTION("IF(J224="""",""n/a"",IFERROR(SPLIT(J224,""/"")))"),"n/a")</f>
        <v/>
      </c>
      <c r="E224" s="132" t="n"/>
      <c r="F224" s="132" t="n"/>
      <c r="G224" s="132" t="n"/>
      <c r="H224" s="84" t="inlineStr">
        <is>
          <t>F1</t>
        </is>
      </c>
      <c r="I224" s="7" t="n"/>
      <c r="J224" s="19" t="n"/>
      <c r="K224" s="7" t="n"/>
      <c r="L224" s="12" t="n">
        <v>19.525</v>
      </c>
      <c r="M224" s="191" t="n">
        <v>4</v>
      </c>
      <c r="N224" s="86" t="n">
        <v>4</v>
      </c>
      <c r="O224" s="13">
        <f>E224</f>
        <v/>
      </c>
      <c r="P224" s="23" t="inlineStr">
        <is>
          <t>pieces</t>
        </is>
      </c>
      <c r="Q224" s="20" t="n"/>
      <c r="R224" s="5" t="n"/>
      <c r="S224" s="229">
        <f>M224*N224</f>
        <v/>
      </c>
      <c r="T224" s="230">
        <f>CONCATENATE(S224,Q224,P224)</f>
        <v/>
      </c>
      <c r="U224" s="206">
        <f>L224*M224</f>
        <v/>
      </c>
      <c r="V224" s="4" t="n"/>
      <c r="W224" s="4" t="n"/>
      <c r="X224" s="4" t="n"/>
    </row>
    <row r="225" ht="15.75" customHeight="1" thickBot="1">
      <c r="A225" s="183" t="n">
        <v>146</v>
      </c>
      <c r="B225" s="114" t="inlineStr">
        <is>
          <t>eco sun</t>
        </is>
      </c>
      <c r="C225" s="114" t="n"/>
      <c r="D225" s="115">
        <f>IFERROR(__xludf.DUMMYFUNCTION("IF(J225="""",""n/a"",IFERROR(SPLIT(J225,""/"")))"),"n/a")</f>
        <v/>
      </c>
      <c r="E225" s="114" t="n"/>
      <c r="F225" s="114" t="n"/>
      <c r="G225" s="114" t="n"/>
      <c r="H225" s="84" t="inlineStr">
        <is>
          <t>F1</t>
        </is>
      </c>
      <c r="I225" s="7" t="n"/>
      <c r="J225" s="19" t="n"/>
      <c r="K225" s="7" t="n"/>
      <c r="L225" s="12" t="n">
        <v>656</v>
      </c>
      <c r="M225" s="192" t="n">
        <v>17</v>
      </c>
      <c r="N225" s="85" t="n">
        <v>1</v>
      </c>
      <c r="O225" s="13">
        <f>E225</f>
        <v/>
      </c>
      <c r="P225" s="9" t="inlineStr">
        <is>
          <t>gal</t>
        </is>
      </c>
      <c r="Q225" s="20" t="n"/>
      <c r="R225" s="5" t="n"/>
      <c r="S225" s="229">
        <f>M225*N225</f>
        <v/>
      </c>
      <c r="T225" s="230">
        <f>CONCATENATE(S225,Q225,P225)</f>
        <v/>
      </c>
      <c r="U225" s="206">
        <f>L225*M225</f>
        <v/>
      </c>
      <c r="V225" s="4" t="n"/>
      <c r="W225" s="4" t="n"/>
      <c r="X225" s="4" t="n"/>
    </row>
    <row r="226" ht="15.75" customHeight="1" thickBot="1">
      <c r="A226" s="183" t="n">
        <v>147</v>
      </c>
      <c r="B226" s="115" t="inlineStr">
        <is>
          <t>Egg</t>
        </is>
      </c>
      <c r="C226" s="115" t="n"/>
      <c r="D226" s="115">
        <f>IFERROR(__xludf.DUMMYFUNCTION("IF(J226="""",""n/a"",IFERROR(SPLIT(J226,""/"")))"),"Mr Brown")</f>
        <v/>
      </c>
      <c r="E226" s="115">
        <f>IFERROR(__xludf.DUMMYFUNCTION("""COMPUTED_VALUE"""),"bottle")</f>
        <v/>
      </c>
      <c r="F226" s="115">
        <f>IFERROR(__xludf.DUMMYFUNCTION("""COMPUTED_VALUE"""),"350ml")</f>
        <v/>
      </c>
      <c r="G226" s="115" t="n"/>
      <c r="H226" s="11" t="inlineStr">
        <is>
          <t>Annex</t>
        </is>
      </c>
      <c r="I226" s="6" t="n"/>
      <c r="J226" s="19" t="inlineStr">
        <is>
          <t>Mr Brown/bottle/350ml</t>
        </is>
      </c>
      <c r="K226" s="6" t="n"/>
      <c r="L226" s="8" t="n">
        <v>0.2428571428571429</v>
      </c>
      <c r="M226" s="190" t="n">
        <v>350</v>
      </c>
      <c r="N226" s="17" t="n">
        <v>350</v>
      </c>
      <c r="O226" s="13">
        <f>E226</f>
        <v/>
      </c>
      <c r="P226" s="9" t="inlineStr">
        <is>
          <t>ml</t>
        </is>
      </c>
      <c r="Q226" s="13" t="n"/>
      <c r="R226" s="78">
        <f>CONCATENATE(N226,P226)</f>
        <v/>
      </c>
      <c r="S226" s="229">
        <f>M226*N226</f>
        <v/>
      </c>
      <c r="T226" s="230">
        <f>CONCATENATE(S226,Q226,P226)</f>
        <v/>
      </c>
      <c r="U226" s="206">
        <f>L226*M226</f>
        <v/>
      </c>
      <c r="V226" s="231" t="n"/>
      <c r="W226" s="236" t="n"/>
      <c r="X226" s="71" t="n"/>
    </row>
    <row r="227" ht="15.75" customHeight="1" thickBot="1">
      <c r="A227" s="183" t="n">
        <v>147</v>
      </c>
      <c r="B227" s="115" t="inlineStr">
        <is>
          <t>Egg</t>
        </is>
      </c>
      <c r="C227" s="115" t="n"/>
      <c r="D227" s="115">
        <f>IFERROR(__xludf.DUMMYFUNCTION("IF(J227="""",""n/a"",IFERROR(SPLIT(J227,""/"")))"),"Small")</f>
        <v/>
      </c>
      <c r="E227" s="115">
        <f>IFERROR(__xludf.DUMMYFUNCTION("""COMPUTED_VALUE"""),"tray")</f>
        <v/>
      </c>
      <c r="F227" s="115" t="n"/>
      <c r="G227" s="115" t="n"/>
      <c r="H227" s="11" t="inlineStr">
        <is>
          <t>Annex</t>
        </is>
      </c>
      <c r="I227" s="6" t="n"/>
      <c r="J227" s="19" t="inlineStr">
        <is>
          <t>Small/tray</t>
        </is>
      </c>
      <c r="K227" s="6" t="n"/>
      <c r="L227" s="22" t="n">
        <v>6.8</v>
      </c>
      <c r="M227" s="190" t="n">
        <v>3570</v>
      </c>
      <c r="N227" s="16" t="n">
        <v>1</v>
      </c>
      <c r="O227" s="13">
        <f>E227</f>
        <v/>
      </c>
      <c r="P227" s="10" t="inlineStr">
        <is>
          <t>pieces</t>
        </is>
      </c>
      <c r="Q227" s="13" t="n"/>
      <c r="R227" s="78">
        <f>CONCATENATE(N227,P227)</f>
        <v/>
      </c>
      <c r="S227" s="229">
        <f>M227*N227</f>
        <v/>
      </c>
      <c r="T227" s="230">
        <f>CONCATENATE(S227,Q227,P227)</f>
        <v/>
      </c>
      <c r="U227" s="206">
        <f>L227*M227</f>
        <v/>
      </c>
      <c r="V227" s="231" t="n"/>
      <c r="W227" s="34" t="n"/>
      <c r="X227" s="34" t="n"/>
    </row>
    <row r="228" ht="15.75" customHeight="1" thickBot="1">
      <c r="A228" s="183" t="n">
        <v>147</v>
      </c>
      <c r="B228" s="115" t="inlineStr">
        <is>
          <t>Egg</t>
        </is>
      </c>
      <c r="C228" s="115" t="n"/>
      <c r="D228" s="115">
        <f>IFERROR(__xludf.DUMMYFUNCTION("IF(J228="""",""n/a"",IFERROR(SPLIT(J228,""/"")))"),"Small")</f>
        <v/>
      </c>
      <c r="E228" s="115">
        <f>IFERROR(__xludf.DUMMYFUNCTION("""COMPUTED_VALUE"""),"tray")</f>
        <v/>
      </c>
      <c r="F228" s="115" t="n"/>
      <c r="G228" s="115" t="n"/>
      <c r="H228" s="11" t="inlineStr">
        <is>
          <t>CIP</t>
        </is>
      </c>
      <c r="I228" s="95" t="n"/>
      <c r="J228" s="93" t="inlineStr">
        <is>
          <t>Small/tray</t>
        </is>
      </c>
      <c r="K228" s="116" t="n"/>
      <c r="L228" s="90" t="n">
        <v>6.83</v>
      </c>
      <c r="M228" s="189" t="n">
        <v>5370</v>
      </c>
      <c r="N228" s="13" t="n">
        <v>1</v>
      </c>
      <c r="O228" s="13">
        <f>E228</f>
        <v/>
      </c>
      <c r="P228" s="13" t="inlineStr">
        <is>
          <t>pieces</t>
        </is>
      </c>
      <c r="Q228" s="20" t="n"/>
      <c r="R228" s="5" t="n"/>
      <c r="S228" s="229">
        <f>M228*N228</f>
        <v/>
      </c>
      <c r="T228" s="230">
        <f>CONCATENATE(S228,Q228,P228)</f>
        <v/>
      </c>
      <c r="U228" s="206">
        <f>L228*M228</f>
        <v/>
      </c>
      <c r="V228" s="4" t="n"/>
      <c r="W228" s="4" t="n"/>
      <c r="X228" s="4" t="n"/>
    </row>
    <row r="229" ht="15.75" customHeight="1" thickBot="1">
      <c r="A229" s="183" t="n">
        <v>147</v>
      </c>
      <c r="B229" s="114" t="inlineStr">
        <is>
          <t>Egg</t>
        </is>
      </c>
      <c r="C229" s="114" t="n"/>
      <c r="D229" s="115">
        <f>IFERROR(__xludf.DUMMYFUNCTION("IF(J229="""",""n/a"",IFERROR(SPLIT(J229,""/"")))"),"n/a")</f>
        <v/>
      </c>
      <c r="E229" s="114" t="n"/>
      <c r="F229" s="114" t="n"/>
      <c r="G229" s="114" t="n"/>
      <c r="H229" s="84" t="inlineStr">
        <is>
          <t>F1</t>
        </is>
      </c>
      <c r="I229" s="7" t="n"/>
      <c r="J229" s="19" t="n"/>
      <c r="K229" s="7" t="n"/>
      <c r="L229" s="12" t="n">
        <v>7.666666666666667</v>
      </c>
      <c r="M229" s="192" t="n">
        <v>1485</v>
      </c>
      <c r="N229" s="85" t="n">
        <v>30</v>
      </c>
      <c r="O229" s="13">
        <f>E229</f>
        <v/>
      </c>
      <c r="P229" s="9" t="inlineStr">
        <is>
          <t>pieces</t>
        </is>
      </c>
      <c r="Q229" s="20" t="n"/>
      <c r="R229" s="5" t="n"/>
      <c r="S229" s="229">
        <f>M229*N229</f>
        <v/>
      </c>
      <c r="T229" s="230">
        <f>CONCATENATE(S229,Q229,P229)</f>
        <v/>
      </c>
      <c r="U229" s="206">
        <f>L229*M229</f>
        <v/>
      </c>
      <c r="V229" s="4" t="n"/>
      <c r="W229" s="4" t="n"/>
      <c r="X229" s="4" t="n"/>
    </row>
    <row r="230" ht="15.75" customHeight="1" thickBot="1">
      <c r="A230" s="183" t="n">
        <v>148</v>
      </c>
      <c r="B230" s="114" t="inlineStr">
        <is>
          <t>Energen Champion</t>
        </is>
      </c>
      <c r="C230" s="114" t="n"/>
      <c r="D230" s="115">
        <f>IFERROR(__xludf.DUMMYFUNCTION("IF(J230="""",""n/a"",IFERROR(SPLIT(J230,""/"")))"),"n/a")</f>
        <v/>
      </c>
      <c r="E230" s="114" t="n"/>
      <c r="F230" s="114" t="n"/>
      <c r="G230" s="114" t="n"/>
      <c r="H230" s="84" t="inlineStr">
        <is>
          <t>F1</t>
        </is>
      </c>
      <c r="I230" s="7" t="n"/>
      <c r="J230" s="19" t="n"/>
      <c r="K230" s="7" t="n"/>
      <c r="L230" s="12" t="n">
        <v>9.1</v>
      </c>
      <c r="M230" s="191" t="n">
        <v>47</v>
      </c>
      <c r="N230" s="85" t="n">
        <v>1</v>
      </c>
      <c r="O230" s="13">
        <f>E230</f>
        <v/>
      </c>
      <c r="P230" s="23" t="inlineStr">
        <is>
          <t>pieces</t>
        </is>
      </c>
      <c r="Q230" s="20" t="n"/>
      <c r="R230" s="5" t="n"/>
      <c r="S230" s="229">
        <f>M230*N230</f>
        <v/>
      </c>
      <c r="T230" s="230">
        <f>CONCATENATE(S230,Q230,P230)</f>
        <v/>
      </c>
      <c r="U230" s="206">
        <f>L230*M230</f>
        <v/>
      </c>
      <c r="V230" s="4" t="n"/>
      <c r="W230" s="4" t="n"/>
      <c r="X230" s="4" t="n"/>
    </row>
    <row r="231" ht="15.75" customHeight="1" thickBot="1">
      <c r="A231" s="183" t="n">
        <v>149</v>
      </c>
      <c r="B231" s="115" t="inlineStr">
        <is>
          <t>Energen Choco</t>
        </is>
      </c>
      <c r="C231" s="115" t="n"/>
      <c r="D231" s="115">
        <f>IFERROR(__xludf.DUMMYFUNCTION("IF(J231="""",""n/a"",IFERROR(SPLIT(J231,""/"")))"),"Energen")</f>
        <v/>
      </c>
      <c r="E231" s="115">
        <f>IFERROR(__xludf.DUMMYFUNCTION("""COMPUTED_VALUE"""),"pack (pcsx40grams)")</f>
        <v/>
      </c>
      <c r="F231" s="115" t="n"/>
      <c r="G231" s="115" t="n"/>
      <c r="H231" s="11" t="inlineStr">
        <is>
          <t>Annex</t>
        </is>
      </c>
      <c r="I231" s="6" t="n"/>
      <c r="J231" s="19" t="inlineStr">
        <is>
          <t>Energen/pack (pcsx40grams)</t>
        </is>
      </c>
      <c r="K231" s="6" t="n"/>
      <c r="L231" s="14" t="n">
        <v>8.51</v>
      </c>
      <c r="M231" s="190" t="n">
        <v>19</v>
      </c>
      <c r="N231" s="17" t="n">
        <v>1</v>
      </c>
      <c r="O231" s="13">
        <f>E231</f>
        <v/>
      </c>
      <c r="P231" s="9" t="inlineStr">
        <is>
          <t>pieces</t>
        </is>
      </c>
      <c r="Q231" s="13" t="n"/>
      <c r="R231" s="78">
        <f>CONCATENATE(N231,P231)</f>
        <v/>
      </c>
      <c r="S231" s="229">
        <f>M231*N231</f>
        <v/>
      </c>
      <c r="T231" s="230">
        <f>CONCATENATE(S231,Q231,P231)</f>
        <v/>
      </c>
      <c r="U231" s="206">
        <f>L231*M231</f>
        <v/>
      </c>
      <c r="V231" s="231" t="n"/>
      <c r="W231" s="236" t="n"/>
      <c r="X231" s="71" t="n"/>
    </row>
    <row r="232" ht="15.75" customHeight="1" thickBot="1">
      <c r="A232" s="183" t="n">
        <v>149</v>
      </c>
      <c r="B232" s="114" t="inlineStr">
        <is>
          <t>Energen Choco</t>
        </is>
      </c>
      <c r="C232" s="114" t="n"/>
      <c r="D232" s="115">
        <f>IFERROR(__xludf.DUMMYFUNCTION("IF(J232="""",""n/a"",IFERROR(SPLIT(J232,""/"")))"),"n/a")</f>
        <v/>
      </c>
      <c r="E232" s="114" t="n"/>
      <c r="F232" s="114" t="n"/>
      <c r="G232" s="114" t="n"/>
      <c r="H232" s="84" t="inlineStr">
        <is>
          <t>F1</t>
        </is>
      </c>
      <c r="I232" s="7" t="n"/>
      <c r="J232" s="19" t="n"/>
      <c r="K232" s="7" t="n"/>
      <c r="L232" s="12" t="n">
        <v>8.699999999999999</v>
      </c>
      <c r="M232" s="191" t="n">
        <v>86</v>
      </c>
      <c r="N232" s="85" t="n">
        <v>1</v>
      </c>
      <c r="O232" s="13">
        <f>E232</f>
        <v/>
      </c>
      <c r="P232" s="23" t="inlineStr">
        <is>
          <t>pieces</t>
        </is>
      </c>
      <c r="Q232" s="20" t="n"/>
      <c r="R232" s="5" t="n"/>
      <c r="S232" s="229">
        <f>M232*N232</f>
        <v/>
      </c>
      <c r="T232" s="230">
        <f>CONCATENATE(S232,Q232,P232)</f>
        <v/>
      </c>
      <c r="U232" s="206">
        <f>L232*M232</f>
        <v/>
      </c>
      <c r="V232" s="4" t="n"/>
      <c r="W232" s="4" t="n"/>
      <c r="X232" s="4" t="n"/>
    </row>
    <row r="233" ht="15.75" customHeight="1" thickBot="1">
      <c r="A233" s="183" t="n">
        <v>150</v>
      </c>
      <c r="B233" s="114" t="inlineStr">
        <is>
          <t>Energen Chocolate</t>
        </is>
      </c>
      <c r="C233" s="114" t="n"/>
      <c r="D233" s="115">
        <f>IFERROR(__xludf.DUMMYFUNCTION("IF(J233="""",""n/a"",IFERROR(SPLIT(J233,""/"")))"),"n/a")</f>
        <v/>
      </c>
      <c r="E233" s="114" t="n"/>
      <c r="F233" s="114" t="n"/>
      <c r="G233" s="114" t="n"/>
      <c r="H233" s="84" t="inlineStr">
        <is>
          <t>F1</t>
        </is>
      </c>
      <c r="I233" s="7" t="n"/>
      <c r="J233" s="19" t="n"/>
      <c r="K233" s="7" t="n"/>
      <c r="L233" s="12" t="n">
        <v>8.699999999999999</v>
      </c>
      <c r="M233" s="191" t="n">
        <v>60</v>
      </c>
      <c r="N233" s="85" t="n">
        <v>1</v>
      </c>
      <c r="O233" s="13">
        <f>E233</f>
        <v/>
      </c>
      <c r="P233" s="23" t="inlineStr">
        <is>
          <t>pieces</t>
        </is>
      </c>
      <c r="Q233" s="20" t="n"/>
      <c r="R233" s="5" t="n"/>
      <c r="S233" s="229">
        <f>M233*N233</f>
        <v/>
      </c>
      <c r="T233" s="230">
        <f>CONCATENATE(S233,Q233,P233)</f>
        <v/>
      </c>
      <c r="U233" s="206">
        <f>L233*M233</f>
        <v/>
      </c>
      <c r="V233" s="4" t="n"/>
      <c r="W233" s="4" t="n"/>
      <c r="X233" s="4" t="n"/>
    </row>
    <row r="234" ht="15.75" customHeight="1" thickBot="1">
      <c r="A234" s="183" t="n">
        <v>151</v>
      </c>
      <c r="B234" s="115" t="inlineStr">
        <is>
          <t>Energen Vanilla</t>
        </is>
      </c>
      <c r="C234" s="115" t="n"/>
      <c r="D234" s="115">
        <f>IFERROR(__xludf.DUMMYFUNCTION("IF(J234="""",""n/a"",IFERROR(SPLIT(J234,""/"")))"),"Energen")</f>
        <v/>
      </c>
      <c r="E234" s="115">
        <f>IFERROR(__xludf.DUMMYFUNCTION("""COMPUTED_VALUE"""),"pack (pcsx40grams)")</f>
        <v/>
      </c>
      <c r="F234" s="115" t="n"/>
      <c r="G234" s="115" t="n"/>
      <c r="H234" s="11" t="inlineStr">
        <is>
          <t>Annex</t>
        </is>
      </c>
      <c r="I234" s="6" t="n"/>
      <c r="J234" s="19" t="inlineStr">
        <is>
          <t>Energen/pack (pcsx40grams)</t>
        </is>
      </c>
      <c r="K234" s="6" t="n"/>
      <c r="L234" s="14" t="n">
        <v>8.51</v>
      </c>
      <c r="M234" s="190" t="n">
        <v>124</v>
      </c>
      <c r="N234" s="17" t="n">
        <v>1</v>
      </c>
      <c r="O234" s="13">
        <f>E234</f>
        <v/>
      </c>
      <c r="P234" s="9" t="inlineStr">
        <is>
          <t>pieces</t>
        </is>
      </c>
      <c r="Q234" s="13" t="n"/>
      <c r="R234" s="78">
        <f>CONCATENATE(N234,P234)</f>
        <v/>
      </c>
      <c r="S234" s="229">
        <f>M234*N234</f>
        <v/>
      </c>
      <c r="T234" s="230">
        <f>CONCATENATE(S234,Q234,P234)</f>
        <v/>
      </c>
      <c r="U234" s="206">
        <f>L234*M234</f>
        <v/>
      </c>
      <c r="V234" s="231" t="n"/>
      <c r="W234" s="236" t="n"/>
      <c r="X234" s="71" t="n"/>
    </row>
    <row r="235" ht="15.75" customHeight="1" thickBot="1">
      <c r="A235" s="183" t="n">
        <v>151</v>
      </c>
      <c r="B235" s="115" t="inlineStr">
        <is>
          <t>Energen Vanilla</t>
        </is>
      </c>
      <c r="C235" s="115" t="n"/>
      <c r="D235" s="115">
        <f>IFERROR(__xludf.DUMMYFUNCTION("IF(J235="""",""n/a"",IFERROR(SPLIT(J235,""/"")))"),"Energen")</f>
        <v/>
      </c>
      <c r="E235" s="115">
        <f>IFERROR(__xludf.DUMMYFUNCTION("""COMPUTED_VALUE"""),"pack (pcsx40grams)")</f>
        <v/>
      </c>
      <c r="F235" s="115" t="n"/>
      <c r="G235" s="115" t="n"/>
      <c r="H235" s="11" t="inlineStr">
        <is>
          <t>CIP</t>
        </is>
      </c>
      <c r="I235" s="95" t="n"/>
      <c r="J235" s="19" t="inlineStr">
        <is>
          <t>Energen/pack (pcsx40grams)</t>
        </is>
      </c>
      <c r="K235" s="5" t="n"/>
      <c r="L235" s="90" t="n">
        <v>8.51</v>
      </c>
      <c r="M235" s="189" t="n">
        <v>126</v>
      </c>
      <c r="N235" s="13" t="n">
        <v>1</v>
      </c>
      <c r="O235" s="13">
        <f>E235</f>
        <v/>
      </c>
      <c r="P235" s="13" t="inlineStr">
        <is>
          <t>pieces</t>
        </is>
      </c>
      <c r="Q235" s="20" t="n"/>
      <c r="R235" s="5" t="n"/>
      <c r="S235" s="229">
        <f>M235*N235</f>
        <v/>
      </c>
      <c r="T235" s="230">
        <f>CONCATENATE(S235,Q235,P235)</f>
        <v/>
      </c>
      <c r="U235" s="206">
        <f>L235*M235</f>
        <v/>
      </c>
      <c r="V235" s="4" t="n"/>
      <c r="W235" s="4" t="n"/>
      <c r="X235" s="4" t="n"/>
    </row>
    <row r="236" ht="15.75" customHeight="1" thickBot="1">
      <c r="A236" s="183" t="n">
        <v>151</v>
      </c>
      <c r="B236" s="114" t="inlineStr">
        <is>
          <t>Energen Vanilla</t>
        </is>
      </c>
      <c r="C236" s="114" t="n"/>
      <c r="D236" s="115">
        <f>IFERROR(__xludf.DUMMYFUNCTION("IF(J236="""",""n/a"",IFERROR(SPLIT(J236,""/"")))"),"n/a")</f>
        <v/>
      </c>
      <c r="E236" s="114" t="n"/>
      <c r="F236" s="114" t="n"/>
      <c r="G236" s="114" t="n"/>
      <c r="H236" s="84" t="inlineStr">
        <is>
          <t>F1</t>
        </is>
      </c>
      <c r="I236" s="7" t="n"/>
      <c r="J236" s="19" t="n"/>
      <c r="K236" s="7" t="n"/>
      <c r="L236" s="12" t="n">
        <v>8.699999999999999</v>
      </c>
      <c r="M236" s="191" t="n">
        <v>71</v>
      </c>
      <c r="N236" s="85" t="n">
        <v>1</v>
      </c>
      <c r="O236" s="13">
        <f>E236</f>
        <v/>
      </c>
      <c r="P236" s="23" t="inlineStr">
        <is>
          <t>pieces</t>
        </is>
      </c>
      <c r="Q236" s="20" t="n"/>
      <c r="R236" s="5" t="n"/>
      <c r="S236" s="229">
        <f>M236*N236</f>
        <v/>
      </c>
      <c r="T236" s="230">
        <f>CONCATENATE(S236,Q236,P236)</f>
        <v/>
      </c>
      <c r="U236" s="206">
        <f>L236*M236</f>
        <v/>
      </c>
      <c r="V236" s="4" t="n"/>
      <c r="W236" s="4" t="n"/>
      <c r="X236" s="4" t="n"/>
    </row>
    <row r="237" ht="15.75" customHeight="1" thickBot="1">
      <c r="A237" s="183" t="n">
        <v>152</v>
      </c>
      <c r="B237" s="115" t="inlineStr">
        <is>
          <t>Evaporated Milk</t>
        </is>
      </c>
      <c r="C237" s="115" t="n"/>
      <c r="D237" s="115">
        <f>IFERROR(__xludf.DUMMYFUNCTION("IF(J237="""",""n/a"",IFERROR(SPLIT(J237,""/"")))"),"Alaska")</f>
        <v/>
      </c>
      <c r="E237" s="115">
        <f>IFERROR(__xludf.DUMMYFUNCTION("""COMPUTED_VALUE"""),"can")</f>
        <v/>
      </c>
      <c r="F237" s="115">
        <f>IFERROR(__xludf.DUMMYFUNCTION("""COMPUTED_VALUE"""),"360ml")</f>
        <v/>
      </c>
      <c r="G237" s="115" t="n"/>
      <c r="H237" s="11" t="inlineStr">
        <is>
          <t>Annex</t>
        </is>
      </c>
      <c r="I237" s="6" t="n"/>
      <c r="J237" s="19" t="inlineStr">
        <is>
          <t>Alaska/can/360ml</t>
        </is>
      </c>
      <c r="K237" s="6" t="n"/>
      <c r="L237" s="8" t="n">
        <v>0.09325</v>
      </c>
      <c r="M237" s="190" t="n">
        <v>34920</v>
      </c>
      <c r="N237" s="17" t="n">
        <v>360</v>
      </c>
      <c r="O237" s="13">
        <f>E237</f>
        <v/>
      </c>
      <c r="P237" s="9" t="inlineStr">
        <is>
          <t>ml</t>
        </is>
      </c>
      <c r="Q237" s="13" t="n"/>
      <c r="R237" s="78">
        <f>CONCATENATE(N237,P237)</f>
        <v/>
      </c>
      <c r="S237" s="229">
        <f>M237*N237</f>
        <v/>
      </c>
      <c r="T237" s="230">
        <f>CONCATENATE(S237,Q237,P237)</f>
        <v/>
      </c>
      <c r="U237" s="206">
        <f>L237*M237</f>
        <v/>
      </c>
      <c r="V237" s="231" t="n"/>
      <c r="W237" s="236" t="n"/>
      <c r="X237" s="71" t="n"/>
    </row>
    <row r="238" ht="15.75" customHeight="1" thickBot="1">
      <c r="A238" s="183" t="n">
        <v>152</v>
      </c>
      <c r="B238" s="114" t="inlineStr">
        <is>
          <t>Evaporated Milk</t>
        </is>
      </c>
      <c r="C238" s="114" t="n"/>
      <c r="D238" s="115">
        <f>IFERROR(__xludf.DUMMYFUNCTION("IF(J238="""",""n/a"",IFERROR(SPLIT(J238,""/"")))"),"Cowbell")</f>
        <v/>
      </c>
      <c r="E238" s="114">
        <f>IFERROR(__xludf.DUMMYFUNCTION("""COMPUTED_VALUE"""),"can")</f>
        <v/>
      </c>
      <c r="F238" s="114">
        <f>IFERROR(__xludf.DUMMYFUNCTION("""COMPUTED_VALUE"""),"360ml")</f>
        <v/>
      </c>
      <c r="G238" s="114" t="n"/>
      <c r="H238" s="11" t="inlineStr">
        <is>
          <t>CIP</t>
        </is>
      </c>
      <c r="I238" s="95" t="n"/>
      <c r="J238" s="19" t="inlineStr">
        <is>
          <t>Cowbell/can/360ml</t>
        </is>
      </c>
      <c r="K238" s="5" t="n"/>
      <c r="L238" s="90" t="n">
        <v>29.63</v>
      </c>
      <c r="M238" s="189" t="n">
        <v>191.73</v>
      </c>
      <c r="N238" s="13" t="n">
        <v>360</v>
      </c>
      <c r="O238" s="13">
        <f>E238</f>
        <v/>
      </c>
      <c r="P238" s="13" t="inlineStr">
        <is>
          <t>ml</t>
        </is>
      </c>
      <c r="Q238" s="20" t="n"/>
      <c r="R238" s="5" t="n"/>
      <c r="S238" s="229">
        <f>M238*N238</f>
        <v/>
      </c>
      <c r="T238" s="230">
        <f>CONCATENATE(S238,Q238,P238)</f>
        <v/>
      </c>
      <c r="U238" s="206">
        <f>L238*M238</f>
        <v/>
      </c>
      <c r="V238" s="4" t="n"/>
      <c r="W238" s="4" t="n"/>
      <c r="X238" s="4" t="n"/>
    </row>
    <row r="239" ht="15.75" customHeight="1" thickBot="1">
      <c r="A239" s="183" t="n">
        <v>152</v>
      </c>
      <c r="B239" s="114" t="inlineStr">
        <is>
          <t>Evaporated Milk</t>
        </is>
      </c>
      <c r="C239" s="114" t="n"/>
      <c r="D239" s="115">
        <f>IFERROR(__xludf.DUMMYFUNCTION("IF(J239="""",""n/a"",IFERROR(SPLIT(J239,""/"")))"),"Alaska")</f>
        <v/>
      </c>
      <c r="E239" s="114">
        <f>IFERROR(__xludf.DUMMYFUNCTION("""COMPUTED_VALUE"""),"can")</f>
        <v/>
      </c>
      <c r="F239" s="114">
        <f>IFERROR(__xludf.DUMMYFUNCTION("""COMPUTED_VALUE"""),"360ml")</f>
        <v/>
      </c>
      <c r="G239" s="114" t="n"/>
      <c r="H239" s="84" t="inlineStr">
        <is>
          <t>F1</t>
        </is>
      </c>
      <c r="I239" s="7" t="n"/>
      <c r="J239" s="19" t="inlineStr">
        <is>
          <t>Alaska/can/360ml</t>
        </is>
      </c>
      <c r="K239" s="7" t="n"/>
      <c r="L239" s="12" t="n">
        <v>0.09325</v>
      </c>
      <c r="M239" s="192" t="n">
        <v>7560</v>
      </c>
      <c r="N239" s="85" t="n">
        <v>360</v>
      </c>
      <c r="O239" s="13">
        <f>E239</f>
        <v/>
      </c>
      <c r="P239" s="9" t="inlineStr">
        <is>
          <t>ml</t>
        </is>
      </c>
      <c r="Q239" s="20" t="n"/>
      <c r="R239" s="5" t="n"/>
      <c r="S239" s="229">
        <f>M239*N239</f>
        <v/>
      </c>
      <c r="T239" s="230">
        <f>CONCATENATE(S239,Q239,P239)</f>
        <v/>
      </c>
      <c r="U239" s="206">
        <f>L239*M239</f>
        <v/>
      </c>
      <c r="V239" s="4" t="n"/>
      <c r="W239" s="4" t="n"/>
      <c r="X239" s="4" t="n"/>
    </row>
    <row r="240" ht="15.75" customHeight="1" thickBot="1">
      <c r="A240" s="183" t="n">
        <v>152</v>
      </c>
      <c r="B240" s="114" t="inlineStr">
        <is>
          <t>Evaporated Milk</t>
        </is>
      </c>
      <c r="C240" s="114" t="n"/>
      <c r="D240" s="115">
        <f>IFERROR(__xludf.DUMMYFUNCTION("IF(J240="""",""n/a"",IFERROR(SPLIT(J240,""/"")))"),"Alaska")</f>
        <v/>
      </c>
      <c r="E240" s="114">
        <f>IFERROR(__xludf.DUMMYFUNCTION("""COMPUTED_VALUE"""),"tetrapack")</f>
        <v/>
      </c>
      <c r="F240" s="114">
        <f>IFERROR(__xludf.DUMMYFUNCTION("""COMPUTED_VALUE"""),"1liter")</f>
        <v/>
      </c>
      <c r="G240" s="114" t="n"/>
      <c r="H240" s="84" t="inlineStr">
        <is>
          <t>F1</t>
        </is>
      </c>
      <c r="I240" s="7" t="n"/>
      <c r="J240" s="19" t="inlineStr">
        <is>
          <t>Alaska/tetrapack/1liter</t>
        </is>
      </c>
      <c r="K240" s="7" t="n"/>
      <c r="L240" s="12" t="n">
        <v>0.0901</v>
      </c>
      <c r="M240" s="191" t="n">
        <v>4000</v>
      </c>
      <c r="N240" s="85" t="n">
        <v>1000</v>
      </c>
      <c r="O240" s="13">
        <f>E240</f>
        <v/>
      </c>
      <c r="P240" s="9" t="inlineStr">
        <is>
          <t>ml</t>
        </is>
      </c>
      <c r="Q240" s="20" t="n"/>
      <c r="R240" s="5" t="n"/>
      <c r="S240" s="229">
        <f>M240*N240</f>
        <v/>
      </c>
      <c r="T240" s="230">
        <f>CONCATENATE(S240,Q240,P240)</f>
        <v/>
      </c>
      <c r="U240" s="206">
        <f>L240*M240</f>
        <v/>
      </c>
      <c r="V240" s="4" t="n"/>
      <c r="W240" s="4" t="n"/>
      <c r="X240" s="4" t="n"/>
    </row>
    <row r="241" ht="15.75" customHeight="1" thickBot="1">
      <c r="A241" s="183" t="n">
        <v>152</v>
      </c>
      <c r="B241" s="114" t="inlineStr">
        <is>
          <t>Evaporated Milk</t>
        </is>
      </c>
      <c r="C241" s="114" t="n"/>
      <c r="D241" s="115">
        <f>IFERROR(__xludf.DUMMYFUNCTION("IF(J241="""",""n/a"",IFERROR(SPLIT(J241,""/"")))"),"Healthy cow")</f>
        <v/>
      </c>
      <c r="E241" s="114">
        <f>IFERROR(__xludf.DUMMYFUNCTION("""COMPUTED_VALUE"""),"can")</f>
        <v/>
      </c>
      <c r="F241" s="114">
        <f>IFERROR(__xludf.DUMMYFUNCTION("""COMPUTED_VALUE"""),"370ml")</f>
        <v/>
      </c>
      <c r="G241" s="114" t="n"/>
      <c r="H241" s="84" t="inlineStr">
        <is>
          <t>F1</t>
        </is>
      </c>
      <c r="I241" s="7" t="n"/>
      <c r="J241" s="19" t="inlineStr">
        <is>
          <t>Healthy cow/can/370ml</t>
        </is>
      </c>
      <c r="K241" s="7" t="n"/>
      <c r="L241" s="12" t="n">
        <v>0.1502777777777778</v>
      </c>
      <c r="M241" s="191" t="n">
        <v>370</v>
      </c>
      <c r="N241" s="85" t="n">
        <v>360</v>
      </c>
      <c r="O241" s="13">
        <f>E241</f>
        <v/>
      </c>
      <c r="P241" s="9" t="inlineStr">
        <is>
          <t>ml</t>
        </is>
      </c>
      <c r="Q241" s="20" t="n"/>
      <c r="R241" s="5" t="n"/>
      <c r="S241" s="229">
        <f>M241*N241</f>
        <v/>
      </c>
      <c r="T241" s="230">
        <f>CONCATENATE(S241,Q241,P241)</f>
        <v/>
      </c>
      <c r="U241" s="206">
        <f>L241*M241</f>
        <v/>
      </c>
      <c r="V241" s="4" t="n"/>
      <c r="W241" s="4" t="n"/>
      <c r="X241" s="4" t="n"/>
    </row>
    <row r="242" ht="15.75" customHeight="1" thickBot="1">
      <c r="A242" s="183" t="n">
        <v>153</v>
      </c>
      <c r="B242" s="122" t="inlineStr">
        <is>
          <t>Fish ball</t>
        </is>
      </c>
      <c r="C242" s="122" t="n"/>
      <c r="D242" s="115">
        <f>IFERROR(__xludf.DUMMYFUNCTION("IF(J242="""",""n/a"",IFERROR(SPLIT(J242,""/"")))"),"Shanghai")</f>
        <v/>
      </c>
      <c r="E242" s="122">
        <f>IFERROR(__xludf.DUMMYFUNCTION("""COMPUTED_VALUE"""),"pack")</f>
        <v/>
      </c>
      <c r="F242" s="122">
        <f>IFERROR(__xludf.DUMMYFUNCTION("""COMPUTED_VALUE"""),"250grams")</f>
        <v/>
      </c>
      <c r="G242" s="122" t="n"/>
      <c r="H242" s="11" t="inlineStr">
        <is>
          <t>CIP</t>
        </is>
      </c>
      <c r="I242" s="95" t="n"/>
      <c r="J242" s="19" t="inlineStr">
        <is>
          <t>Shanghai/pack/250grams</t>
        </is>
      </c>
      <c r="K242" s="116" t="n"/>
      <c r="L242" s="90" t="n">
        <v>80</v>
      </c>
      <c r="M242" s="189" t="n">
        <v>12</v>
      </c>
      <c r="N242" s="13" t="n">
        <v>1</v>
      </c>
      <c r="O242" s="13">
        <f>E242</f>
        <v/>
      </c>
      <c r="P242" s="13" t="inlineStr">
        <is>
          <t>grams</t>
        </is>
      </c>
      <c r="Q242" s="20" t="n"/>
      <c r="R242" s="5" t="n"/>
      <c r="S242" s="229">
        <f>M242*N242</f>
        <v/>
      </c>
      <c r="T242" s="230">
        <f>CONCATENATE(S242,Q242,P242)</f>
        <v/>
      </c>
      <c r="U242" s="206">
        <f>L242*M242</f>
        <v/>
      </c>
      <c r="V242" s="4" t="n"/>
      <c r="W242" s="4" t="n"/>
      <c r="X242" s="4" t="n"/>
    </row>
    <row r="243" ht="15.75" customHeight="1" thickBot="1">
      <c r="A243" s="183" t="n">
        <v>154</v>
      </c>
      <c r="B243" s="115" t="inlineStr">
        <is>
          <t>Fish Sauce</t>
        </is>
      </c>
      <c r="C243" s="115" t="n"/>
      <c r="D243" s="115">
        <f>IFERROR(__xludf.DUMMYFUNCTION("IF(J243="""",""n/a"",IFERROR(SPLIT(J243,""/"")))"),"Ticman")</f>
        <v/>
      </c>
      <c r="E243" s="115">
        <f>IFERROR(__xludf.DUMMYFUNCTION("""COMPUTED_VALUE"""),"gallon")</f>
        <v/>
      </c>
      <c r="F243" s="115">
        <f>IFERROR(__xludf.DUMMYFUNCTION("""COMPUTED_VALUE"""),"3500ml")</f>
        <v/>
      </c>
      <c r="G243" s="115" t="n"/>
      <c r="H243" s="11" t="inlineStr">
        <is>
          <t>CIP</t>
        </is>
      </c>
      <c r="I243" s="95" t="n"/>
      <c r="J243" s="19" t="inlineStr">
        <is>
          <t>Ticman/gallon/3500ml</t>
        </is>
      </c>
      <c r="K243" s="116" t="n"/>
      <c r="L243" s="90" t="n">
        <v>73</v>
      </c>
      <c r="M243" s="189" t="n">
        <v>12</v>
      </c>
      <c r="N243" s="13" t="n">
        <v>1</v>
      </c>
      <c r="O243" s="13">
        <f>E243</f>
        <v/>
      </c>
      <c r="P243" s="13" t="inlineStr">
        <is>
          <t>gal</t>
        </is>
      </c>
      <c r="Q243" s="20" t="n"/>
      <c r="R243" s="5" t="n"/>
      <c r="S243" s="229">
        <f>M243*N243</f>
        <v/>
      </c>
      <c r="T243" s="230">
        <f>CONCATENATE(S243,Q243,P243)</f>
        <v/>
      </c>
      <c r="U243" s="206">
        <f>L243*M243</f>
        <v/>
      </c>
      <c r="V243" s="4" t="n"/>
      <c r="W243" s="4" t="n"/>
      <c r="X243" s="4" t="n"/>
    </row>
    <row r="244" ht="15.75" customHeight="1" thickBot="1">
      <c r="A244" s="183" t="n">
        <v>154</v>
      </c>
      <c r="B244" s="115" t="inlineStr">
        <is>
          <t>Fish Sauce</t>
        </is>
      </c>
      <c r="C244" s="115" t="n"/>
      <c r="D244" s="115">
        <f>IFERROR(__xludf.DUMMYFUNCTION("IF(J244="""",""n/a"",IFERROR(SPLIT(J244,""/"")))"),"n/a")</f>
        <v/>
      </c>
      <c r="E244" s="115" t="n"/>
      <c r="F244" s="115" t="n"/>
      <c r="G244" s="115" t="n"/>
      <c r="H244" s="84" t="inlineStr">
        <is>
          <t>F1</t>
        </is>
      </c>
      <c r="I244" s="7" t="n"/>
      <c r="J244" s="19" t="n"/>
      <c r="K244" s="7" t="n"/>
      <c r="L244" s="12" t="n">
        <v>73</v>
      </c>
      <c r="M244" s="192" t="n">
        <v>8</v>
      </c>
      <c r="N244" s="85" t="n">
        <v>1</v>
      </c>
      <c r="O244" s="13">
        <f>E244</f>
        <v/>
      </c>
      <c r="P244" s="9" t="inlineStr">
        <is>
          <t>gal</t>
        </is>
      </c>
      <c r="Q244" s="20" t="n"/>
      <c r="R244" s="5" t="n"/>
      <c r="S244" s="229">
        <f>M244*N244</f>
        <v/>
      </c>
      <c r="T244" s="230">
        <f>CONCATENATE(S244,Q244,P244)</f>
        <v/>
      </c>
      <c r="U244" s="206">
        <f>L244*M244</f>
        <v/>
      </c>
      <c r="V244" s="4" t="n"/>
      <c r="W244" s="4" t="n"/>
      <c r="X244" s="4" t="n"/>
    </row>
    <row r="245" ht="15.75" customHeight="1" thickBot="1">
      <c r="A245" s="183" t="n">
        <v>155</v>
      </c>
      <c r="B245" s="115" t="inlineStr">
        <is>
          <t>Fishda</t>
        </is>
      </c>
      <c r="C245" s="115" t="n"/>
      <c r="D245" s="115">
        <f>IFERROR(__xludf.DUMMYFUNCTION("IF(J245="""",""n/a"",IFERROR(SPLIT(J245,""/"")))"),"Oishibox(pcsx90grams)")</f>
        <v/>
      </c>
      <c r="E245" s="115" t="n"/>
      <c r="F245" s="115" t="n"/>
      <c r="G245" s="115" t="n"/>
      <c r="H245" s="11" t="inlineStr">
        <is>
          <t>CIP</t>
        </is>
      </c>
      <c r="I245" s="95" t="n"/>
      <c r="J245" s="93" t="inlineStr">
        <is>
          <t>Oishibox(pcsx90grams)</t>
        </is>
      </c>
      <c r="K245" s="116" t="n"/>
      <c r="L245" s="90" t="n">
        <v>20.54</v>
      </c>
      <c r="M245" s="189" t="n">
        <v>7</v>
      </c>
      <c r="N245" s="13" t="n">
        <v>1</v>
      </c>
      <c r="O245" s="13">
        <f>E245</f>
        <v/>
      </c>
      <c r="P245" s="13" t="inlineStr">
        <is>
          <t>pieces</t>
        </is>
      </c>
      <c r="Q245" s="20" t="n"/>
      <c r="R245" s="5" t="n"/>
      <c r="S245" s="229">
        <f>M245*N245</f>
        <v/>
      </c>
      <c r="T245" s="230">
        <f>CONCATENATE(S245,Q245,P245)</f>
        <v/>
      </c>
      <c r="U245" s="206">
        <f>L245*M245</f>
        <v/>
      </c>
      <c r="V245" s="4" t="n"/>
      <c r="W245" s="4" t="n"/>
      <c r="X245" s="4" t="n"/>
    </row>
    <row r="246" ht="15.75" customHeight="1" thickBot="1">
      <c r="A246" s="183" t="n">
        <v>156</v>
      </c>
      <c r="B246" s="115" t="inlineStr">
        <is>
          <t>Fit n Right Burn Pineapple</t>
        </is>
      </c>
      <c r="C246" s="115" t="n"/>
      <c r="D246" s="115">
        <f>IFERROR(__xludf.DUMMYFUNCTION("IF(J246="""",""n/a"",IFERROR(SPLIT(J246,""/"")))"),"Del Monte")</f>
        <v/>
      </c>
      <c r="E246" s="115">
        <f>IFERROR(__xludf.DUMMYFUNCTION("""COMPUTED_VALUE"""),"box (24x320ml)")</f>
        <v/>
      </c>
      <c r="F246" s="115" t="n"/>
      <c r="G246" s="115" t="n"/>
      <c r="H246" s="11" t="inlineStr">
        <is>
          <t>Annex</t>
        </is>
      </c>
      <c r="I246" s="6" t="n"/>
      <c r="J246" s="19" t="inlineStr">
        <is>
          <t>Del Monte/box (24x320ml)</t>
        </is>
      </c>
      <c r="K246" s="6" t="n"/>
      <c r="L246" s="8" t="n">
        <v>26.25</v>
      </c>
      <c r="M246" s="190" t="n">
        <v>20</v>
      </c>
      <c r="N246" s="17" t="n">
        <v>1</v>
      </c>
      <c r="O246" s="13">
        <f>E246</f>
        <v/>
      </c>
      <c r="P246" s="9" t="inlineStr">
        <is>
          <t>pieces</t>
        </is>
      </c>
      <c r="Q246" s="13" t="n"/>
      <c r="R246" s="78">
        <f>CONCATENATE(N246,P246)</f>
        <v/>
      </c>
      <c r="S246" s="229">
        <f>M246*N246</f>
        <v/>
      </c>
      <c r="T246" s="230">
        <f>CONCATENATE(S246,Q246,P246)</f>
        <v/>
      </c>
      <c r="U246" s="206">
        <f>L246*M246</f>
        <v/>
      </c>
      <c r="V246" s="231" t="n"/>
      <c r="W246" s="236" t="n"/>
      <c r="X246" s="71" t="n"/>
    </row>
    <row r="247" ht="15.75" customHeight="1" thickBot="1">
      <c r="A247" s="183" t="n">
        <v>156</v>
      </c>
      <c r="B247" s="114" t="inlineStr">
        <is>
          <t>Fit n Right Burn Pineapple</t>
        </is>
      </c>
      <c r="C247" s="114" t="n"/>
      <c r="D247" s="115">
        <f>IFERROR(__xludf.DUMMYFUNCTION("IF(J247="""",""n/a"",IFERROR(SPLIT(J247,""/"")))"),"Del Monte")</f>
        <v/>
      </c>
      <c r="E247" s="114">
        <f>IFERROR(__xludf.DUMMYFUNCTION("""COMPUTED_VALUE"""),"box (24x320ml)")</f>
        <v/>
      </c>
      <c r="F247" s="114" t="n"/>
      <c r="G247" s="114" t="n"/>
      <c r="H247" s="11" t="inlineStr">
        <is>
          <t>CIP</t>
        </is>
      </c>
      <c r="I247" s="6" t="n"/>
      <c r="J247" s="19" t="inlineStr">
        <is>
          <t>Del Monte/box (24x320ml)</t>
        </is>
      </c>
      <c r="K247" s="5" t="n"/>
      <c r="L247" s="90" t="n">
        <v>26.16</v>
      </c>
      <c r="M247" s="189" t="n">
        <v>30</v>
      </c>
      <c r="N247" s="13" t="n">
        <v>1</v>
      </c>
      <c r="O247" s="13">
        <f>E247</f>
        <v/>
      </c>
      <c r="P247" s="13" t="inlineStr">
        <is>
          <t>pieces</t>
        </is>
      </c>
      <c r="Q247" s="20" t="n"/>
      <c r="R247" s="5" t="n"/>
      <c r="S247" s="229">
        <f>M247*N247</f>
        <v/>
      </c>
      <c r="T247" s="230">
        <f>CONCATENATE(S247,Q247,P247)</f>
        <v/>
      </c>
      <c r="U247" s="206">
        <f>L247*M247</f>
        <v/>
      </c>
      <c r="V247" s="4" t="n"/>
      <c r="W247" s="4" t="n"/>
      <c r="X247" s="4" t="n"/>
    </row>
    <row r="248" ht="15.75" customHeight="1" thickBot="1">
      <c r="A248" s="183" t="n">
        <v>157</v>
      </c>
      <c r="B248" s="115" t="inlineStr">
        <is>
          <t>Fita Crackers</t>
        </is>
      </c>
      <c r="C248" s="115" t="n"/>
      <c r="D248" s="115">
        <f>IFERROR(__xludf.DUMMYFUNCTION("IF(J248="""",""n/a"",IFERROR(SPLIT(J248,""/"")))"),"MY Sac")</f>
        <v/>
      </c>
      <c r="E248" s="115">
        <f>IFERROR(__xludf.DUMMYFUNCTION("""COMPUTED_VALUE"""),"pck")</f>
        <v/>
      </c>
      <c r="F248" s="115">
        <f>IFERROR(__xludf.DUMMYFUNCTION("""COMPUTED_VALUE"""),10)</f>
        <v/>
      </c>
      <c r="G248" s="115">
        <f>IFERROR(__xludf.DUMMYFUNCTION("""COMPUTED_VALUE"""),"30g")</f>
        <v/>
      </c>
      <c r="H248" s="11" t="inlineStr">
        <is>
          <t>Annex</t>
        </is>
      </c>
      <c r="I248" s="6" t="n"/>
      <c r="J248" s="19" t="inlineStr">
        <is>
          <t>MY Sac/pck/10/30g</t>
        </is>
      </c>
      <c r="K248" s="6" t="n"/>
      <c r="L248" s="8" t="n">
        <v>5.59</v>
      </c>
      <c r="M248" s="190" t="n">
        <v>170</v>
      </c>
      <c r="N248" s="17" t="n">
        <v>1</v>
      </c>
      <c r="O248" s="13">
        <f>E248</f>
        <v/>
      </c>
      <c r="P248" s="9" t="inlineStr">
        <is>
          <t>pieces</t>
        </is>
      </c>
      <c r="Q248" s="13" t="n"/>
      <c r="R248" s="78">
        <f>CONCATENATE(N248,P248)</f>
        <v/>
      </c>
      <c r="S248" s="229">
        <f>M248*N248</f>
        <v/>
      </c>
      <c r="T248" s="230">
        <f>CONCATENATE(S248,Q248,P248)</f>
        <v/>
      </c>
      <c r="U248" s="206">
        <f>L248*M248</f>
        <v/>
      </c>
      <c r="V248" s="34" t="n"/>
      <c r="W248" s="34" t="n"/>
      <c r="X248" s="34" t="n"/>
    </row>
    <row r="249" ht="15.75" customHeight="1" thickBot="1">
      <c r="A249" s="183" t="n">
        <v>158</v>
      </c>
      <c r="B249" s="115" t="inlineStr">
        <is>
          <t>Fita Crackers Plain</t>
        </is>
      </c>
      <c r="C249" s="115" t="n"/>
      <c r="D249" s="115">
        <f>IFERROR(__xludf.DUMMYFUNCTION("IF(J249="""",""n/a"",IFERROR(SPLIT(J249,""/"")))"),"M.Y Sanpack (10x30grams)")</f>
        <v/>
      </c>
      <c r="E249" s="115" t="n"/>
      <c r="F249" s="115" t="n"/>
      <c r="G249" s="115" t="n"/>
      <c r="H249" s="11" t="inlineStr">
        <is>
          <t>CIP</t>
        </is>
      </c>
      <c r="I249" s="95" t="n"/>
      <c r="J249" s="93" t="inlineStr">
        <is>
          <t>M.Y Sanpack (10x30grams)</t>
        </is>
      </c>
      <c r="K249" s="116" t="n"/>
      <c r="L249" s="90" t="n">
        <v>5.59</v>
      </c>
      <c r="M249" s="189" t="n">
        <v>480</v>
      </c>
      <c r="N249" s="13" t="n">
        <v>1</v>
      </c>
      <c r="O249" s="13">
        <f>E249</f>
        <v/>
      </c>
      <c r="P249" s="13" t="inlineStr">
        <is>
          <t>pieces</t>
        </is>
      </c>
      <c r="Q249" s="20" t="n"/>
      <c r="R249" s="5" t="n"/>
      <c r="S249" s="229">
        <f>M249*N249</f>
        <v/>
      </c>
      <c r="T249" s="230">
        <f>CONCATENATE(S249,Q249,P249)</f>
        <v/>
      </c>
      <c r="U249" s="206">
        <f>L249*M249</f>
        <v/>
      </c>
      <c r="V249" s="4" t="n"/>
      <c r="W249" s="4" t="n"/>
      <c r="X249" s="4" t="n"/>
    </row>
    <row r="250" ht="15.75" customHeight="1" thickBot="1">
      <c r="A250" s="183" t="n">
        <v>159</v>
      </c>
      <c r="B250" s="115" t="inlineStr">
        <is>
          <t>Food Color</t>
        </is>
      </c>
      <c r="C250" s="115" t="n"/>
      <c r="D250" s="115">
        <f>IFERROR(__xludf.DUMMYFUNCTION("IF(J250="""",""n/a"",IFERROR(SPLIT(J250,""/"")))"),"Hyco")</f>
        <v/>
      </c>
      <c r="E250" s="115">
        <f>IFERROR(__xludf.DUMMYFUNCTION("""COMPUTED_VALUE"""),"bottle")</f>
        <v/>
      </c>
      <c r="F250" s="115">
        <f>IFERROR(__xludf.DUMMYFUNCTION("""COMPUTED_VALUE"""),"454grams")</f>
        <v/>
      </c>
      <c r="G250" s="115" t="n"/>
      <c r="H250" s="11" t="inlineStr">
        <is>
          <t>Annex</t>
        </is>
      </c>
      <c r="I250" s="6" t="n"/>
      <c r="J250" s="19" t="inlineStr">
        <is>
          <t>Hyco/bottle/454grams</t>
        </is>
      </c>
      <c r="K250" s="6" t="n"/>
      <c r="L250" s="8" t="n">
        <v>1.16</v>
      </c>
      <c r="M250" s="190" t="n">
        <v>125</v>
      </c>
      <c r="N250" s="17" t="n">
        <v>125</v>
      </c>
      <c r="O250" s="13">
        <f>E250</f>
        <v/>
      </c>
      <c r="P250" s="9" t="inlineStr">
        <is>
          <t>grams</t>
        </is>
      </c>
      <c r="Q250" s="13" t="n"/>
      <c r="R250" s="78">
        <f>CONCATENATE(N250,P250)</f>
        <v/>
      </c>
      <c r="S250" s="229">
        <f>M250*N250</f>
        <v/>
      </c>
      <c r="T250" s="230">
        <f>CONCATENATE(S250,Q250,P250)</f>
        <v/>
      </c>
      <c r="U250" s="206">
        <f>L250*M250</f>
        <v/>
      </c>
      <c r="V250" s="231" t="n"/>
      <c r="W250" s="236" t="n"/>
      <c r="X250" s="71" t="n"/>
    </row>
    <row r="251" ht="15.75" customHeight="1" thickBot="1">
      <c r="A251" s="183" t="n">
        <v>160</v>
      </c>
      <c r="B251" s="114" t="inlineStr">
        <is>
          <t>Food Flavoring-Cheese Powder</t>
        </is>
      </c>
      <c r="C251" s="114" t="n"/>
      <c r="D251" s="115">
        <f>IFERROR(__xludf.DUMMYFUNCTION("IF(J251="""",""n/a"",IFERROR(SPLIT(J251,""/"")))"),"Good Foods")</f>
        <v/>
      </c>
      <c r="E251" s="114">
        <f>IFERROR(__xludf.DUMMYFUNCTION("""COMPUTED_VALUE"""),"100grams")</f>
        <v/>
      </c>
      <c r="F251" s="114">
        <f>IFERROR(__xludf.DUMMYFUNCTION("""COMPUTED_VALUE"""),"pack")</f>
        <v/>
      </c>
      <c r="G251" s="114" t="n"/>
      <c r="H251" s="84" t="inlineStr">
        <is>
          <t>F1</t>
        </is>
      </c>
      <c r="I251" s="7" t="n"/>
      <c r="J251" s="19" t="inlineStr">
        <is>
          <t>Good Foods/100grams/pack</t>
        </is>
      </c>
      <c r="K251" s="7" t="n"/>
      <c r="L251" s="12" t="n">
        <v>0.405</v>
      </c>
      <c r="M251" s="192" t="n">
        <v>300</v>
      </c>
      <c r="N251" s="85" t="n">
        <v>100</v>
      </c>
      <c r="O251" s="13">
        <f>E251</f>
        <v/>
      </c>
      <c r="P251" s="9" t="inlineStr">
        <is>
          <t>grams</t>
        </is>
      </c>
      <c r="Q251" s="20" t="n"/>
      <c r="R251" s="5" t="n"/>
      <c r="S251" s="229">
        <f>M251*N251</f>
        <v/>
      </c>
      <c r="T251" s="230">
        <f>CONCATENATE(S251,Q251,P251)</f>
        <v/>
      </c>
      <c r="U251" s="206">
        <f>L251*M251</f>
        <v/>
      </c>
      <c r="V251" s="4" t="n"/>
      <c r="W251" s="4" t="n"/>
      <c r="X251" s="4" t="n"/>
    </row>
    <row r="252" ht="15.75" customHeight="1" thickBot="1">
      <c r="A252" s="183" t="n">
        <v>161</v>
      </c>
      <c r="B252" s="115" t="inlineStr">
        <is>
          <t>Freshmilk</t>
        </is>
      </c>
      <c r="C252" s="115" t="n"/>
      <c r="D252" s="115">
        <f>IFERROR(__xludf.DUMMYFUNCTION("IF(J252="""",""n/a"",IFERROR(SPLIT(J252,""/"")))"),"n/a")</f>
        <v/>
      </c>
      <c r="E252" s="115" t="n"/>
      <c r="F252" s="115" t="n"/>
      <c r="G252" s="115" t="n"/>
      <c r="H252" s="84" t="inlineStr">
        <is>
          <t>F1</t>
        </is>
      </c>
      <c r="I252" s="7" t="n"/>
      <c r="J252" s="19" t="n"/>
      <c r="K252" s="7" t="n"/>
      <c r="L252" s="12" t="n">
        <v>181.39</v>
      </c>
      <c r="M252" s="191" t="n">
        <v>24</v>
      </c>
      <c r="N252" s="85" t="n">
        <v>1</v>
      </c>
      <c r="O252" s="13">
        <f>E252</f>
        <v/>
      </c>
      <c r="P252" s="9" t="inlineStr">
        <is>
          <t>pieces</t>
        </is>
      </c>
      <c r="Q252" s="20" t="n"/>
      <c r="R252" s="5" t="n"/>
      <c r="S252" s="229">
        <f>M252*N252</f>
        <v/>
      </c>
      <c r="T252" s="230">
        <f>CONCATENATE(S252,Q252,P252)</f>
        <v/>
      </c>
      <c r="U252" s="206">
        <f>L252*M252</f>
        <v/>
      </c>
      <c r="V252" s="4" t="n"/>
      <c r="W252" s="4" t="n"/>
      <c r="X252" s="4" t="n"/>
    </row>
    <row r="253" ht="15.75" customHeight="1" thickBot="1">
      <c r="A253" s="183" t="n">
        <v>162</v>
      </c>
      <c r="B253" s="115" t="inlineStr">
        <is>
          <t>Fruit Cocktail</t>
        </is>
      </c>
      <c r="C253" s="115" t="n"/>
      <c r="D253" s="115">
        <f>IFERROR(__xludf.DUMMYFUNCTION("IF(J253="""",""n/a"",IFERROR(SPLIT(J253,""/"")))"),"Today's")</f>
        <v/>
      </c>
      <c r="E253" s="115">
        <f>IFERROR(__xludf.DUMMYFUNCTION("""COMPUTED_VALUE"""),"can")</f>
        <v/>
      </c>
      <c r="F253" s="115">
        <f>IFERROR(__xludf.DUMMYFUNCTION("""COMPUTED_VALUE"""),"836grams")</f>
        <v/>
      </c>
      <c r="G253" s="115">
        <f>IFERROR(__xludf.DUMMYFUNCTION("""COMPUTED_VALUE"""),"422drainedweight")</f>
        <v/>
      </c>
      <c r="H253" s="11" t="inlineStr">
        <is>
          <t>Annex</t>
        </is>
      </c>
      <c r="I253" s="6" t="n"/>
      <c r="J253" s="19" t="inlineStr">
        <is>
          <t>Today's/can/836grams/422drainedweight</t>
        </is>
      </c>
      <c r="K253" s="6" t="n"/>
      <c r="L253" s="8" t="n">
        <v>0.2052132701421801</v>
      </c>
      <c r="M253" s="190" t="n">
        <v>422</v>
      </c>
      <c r="N253" s="17" t="n">
        <v>422</v>
      </c>
      <c r="O253" s="13">
        <f>E253</f>
        <v/>
      </c>
      <c r="P253" s="9" t="inlineStr">
        <is>
          <t>grams</t>
        </is>
      </c>
      <c r="Q253" s="13" t="n"/>
      <c r="R253" s="78">
        <f>CONCATENATE(N253,P253)</f>
        <v/>
      </c>
      <c r="S253" s="229">
        <f>M253*N253</f>
        <v/>
      </c>
      <c r="T253" s="230">
        <f>CONCATENATE(S253,Q253,P253)</f>
        <v/>
      </c>
      <c r="U253" s="206">
        <f>L253*M253</f>
        <v/>
      </c>
      <c r="V253" s="231" t="n"/>
      <c r="W253" s="236" t="n"/>
      <c r="X253" s="71" t="n"/>
    </row>
    <row r="254" ht="15.75" customHeight="1" thickBot="1">
      <c r="A254" s="183" t="n">
        <v>162</v>
      </c>
      <c r="B254" s="114" t="inlineStr">
        <is>
          <t>Fruit Cocktail</t>
        </is>
      </c>
      <c r="C254" s="114" t="n"/>
      <c r="D254" s="115">
        <f>IFERROR(__xludf.DUMMYFUNCTION("IF(J254="""",""n/a"",IFERROR(SPLIT(J254,""/"")))"),"Today's")</f>
        <v/>
      </c>
      <c r="E254" s="114">
        <f>IFERROR(__xludf.DUMMYFUNCTION("""COMPUTED_VALUE"""),"can")</f>
        <v/>
      </c>
      <c r="F254" s="114">
        <f>IFERROR(__xludf.DUMMYFUNCTION("""COMPUTED_VALUE"""),"3033grams")</f>
        <v/>
      </c>
      <c r="G254" s="114" t="n"/>
      <c r="H254" s="11" t="inlineStr">
        <is>
          <t>CIP</t>
        </is>
      </c>
      <c r="I254" s="95" t="n"/>
      <c r="J254" s="93" t="inlineStr">
        <is>
          <t>Today's/can/3033grams</t>
        </is>
      </c>
      <c r="K254" s="116" t="n"/>
      <c r="L254" s="90" t="n">
        <v>253.33</v>
      </c>
      <c r="M254" s="189" t="n">
        <v>2</v>
      </c>
      <c r="N254" s="13" t="n">
        <v>1</v>
      </c>
      <c r="O254" s="13">
        <f>E254</f>
        <v/>
      </c>
      <c r="P254" s="13" t="inlineStr">
        <is>
          <t>grams</t>
        </is>
      </c>
      <c r="Q254" s="20" t="n"/>
      <c r="R254" s="5" t="n"/>
      <c r="S254" s="229">
        <f>M254*N254</f>
        <v/>
      </c>
      <c r="T254" s="230">
        <f>CONCATENATE(S254,Q254,P254)</f>
        <v/>
      </c>
      <c r="U254" s="206">
        <f>L254*M254</f>
        <v/>
      </c>
      <c r="V254" s="4" t="n"/>
      <c r="W254" s="4" t="n"/>
      <c r="X254" s="4" t="n"/>
    </row>
    <row r="255" ht="15.75" customHeight="1" thickBot="1">
      <c r="A255" s="183" t="n">
        <v>162</v>
      </c>
      <c r="B255" s="114" t="inlineStr">
        <is>
          <t>Fruit Cocktail</t>
        </is>
      </c>
      <c r="C255" s="114" t="n"/>
      <c r="D255" s="115">
        <f>IFERROR(__xludf.DUMMYFUNCTION("IF(J255="""",""n/a"",IFERROR(SPLIT(J255,""/"")))"),"n/a")</f>
        <v/>
      </c>
      <c r="E255" s="114" t="n"/>
      <c r="F255" s="114" t="n"/>
      <c r="G255" s="114" t="n"/>
      <c r="H255" s="84" t="inlineStr">
        <is>
          <t>F1</t>
        </is>
      </c>
      <c r="I255" s="7" t="n"/>
      <c r="J255" s="19" t="n"/>
      <c r="K255" s="7" t="n"/>
      <c r="L255" s="12" t="n">
        <v>0.1632280927835052</v>
      </c>
      <c r="M255" s="192" t="n">
        <v>3104</v>
      </c>
      <c r="N255" s="85" t="n">
        <v>1552</v>
      </c>
      <c r="O255" s="13">
        <f>E255</f>
        <v/>
      </c>
      <c r="P255" s="9" t="inlineStr">
        <is>
          <t>grams</t>
        </is>
      </c>
      <c r="Q255" s="20" t="n"/>
      <c r="R255" s="5" t="n"/>
      <c r="S255" s="229">
        <f>M255*N255</f>
        <v/>
      </c>
      <c r="T255" s="230">
        <f>CONCATENATE(S255,Q255,P255)</f>
        <v/>
      </c>
      <c r="U255" s="206">
        <f>L255*M255</f>
        <v/>
      </c>
      <c r="V255" s="4" t="n"/>
      <c r="W255" s="4" t="n"/>
      <c r="X255" s="4" t="n"/>
    </row>
    <row r="256" ht="15.75" customHeight="1" thickBot="1">
      <c r="A256" s="183" t="n">
        <v>163</v>
      </c>
      <c r="B256" s="115" t="inlineStr">
        <is>
          <t>Fruit Dalandan</t>
        </is>
      </c>
      <c r="C256" s="115" t="n"/>
      <c r="D256" s="115">
        <f>IFERROR(__xludf.DUMMYFUNCTION("IF(J256="""",""n/a"",IFERROR(SPLIT(J256,""/"")))"),"n/a")</f>
        <v/>
      </c>
      <c r="E256" s="115" t="n"/>
      <c r="F256" s="115" t="n"/>
      <c r="G256" s="115" t="n"/>
      <c r="H256" s="84" t="inlineStr">
        <is>
          <t>F1</t>
        </is>
      </c>
      <c r="I256" s="7" t="n"/>
      <c r="J256" s="19" t="n"/>
      <c r="K256" s="7" t="n"/>
      <c r="L256" s="12" t="n">
        <v>0.9583333333333334</v>
      </c>
      <c r="M256" s="191" t="n">
        <v>60</v>
      </c>
      <c r="N256" s="86" t="n">
        <v>24</v>
      </c>
      <c r="O256" s="13">
        <f>E256</f>
        <v/>
      </c>
      <c r="P256" s="23" t="inlineStr">
        <is>
          <t>pieces</t>
        </is>
      </c>
      <c r="Q256" s="20" t="n"/>
      <c r="R256" s="5" t="n"/>
      <c r="S256" s="229">
        <f>M256*N256</f>
        <v/>
      </c>
      <c r="T256" s="230">
        <f>CONCATENATE(S256,Q256,P256)</f>
        <v/>
      </c>
      <c r="U256" s="206">
        <f>L256*M256</f>
        <v/>
      </c>
      <c r="V256" s="4" t="n"/>
      <c r="W256" s="4" t="n"/>
      <c r="X256" s="4" t="n"/>
    </row>
    <row r="257" ht="15.75" customHeight="1" thickBot="1">
      <c r="A257" s="183" t="n">
        <v>164</v>
      </c>
      <c r="B257" s="115" t="inlineStr">
        <is>
          <t>Fruit Kalamansi</t>
        </is>
      </c>
      <c r="C257" s="115" t="n"/>
      <c r="D257" s="115">
        <f>IFERROR(__xludf.DUMMYFUNCTION("IF(J257="""",""n/a"",IFERROR(SPLIT(J257,""/"")))"),"n/a")</f>
        <v/>
      </c>
      <c r="E257" s="115" t="n"/>
      <c r="F257" s="115" t="n"/>
      <c r="G257" s="115" t="n"/>
      <c r="H257" s="84" t="inlineStr">
        <is>
          <t>F1</t>
        </is>
      </c>
      <c r="I257" s="7" t="n"/>
      <c r="J257" s="19" t="n"/>
      <c r="K257" s="7" t="n"/>
      <c r="L257" s="12" t="n">
        <v>0.9583333333333334</v>
      </c>
      <c r="M257" s="191" t="n">
        <v>49</v>
      </c>
      <c r="N257" s="86" t="n">
        <v>24</v>
      </c>
      <c r="O257" s="13">
        <f>E257</f>
        <v/>
      </c>
      <c r="P257" s="23" t="inlineStr">
        <is>
          <t>pieces</t>
        </is>
      </c>
      <c r="Q257" s="20" t="n"/>
      <c r="R257" s="5" t="n"/>
      <c r="S257" s="229">
        <f>M257*N257</f>
        <v/>
      </c>
      <c r="T257" s="230">
        <f>CONCATENATE(S257,Q257,P257)</f>
        <v/>
      </c>
      <c r="U257" s="206">
        <f>L257*M257</f>
        <v/>
      </c>
      <c r="V257" s="4" t="n"/>
      <c r="W257" s="4" t="n"/>
      <c r="X257" s="4" t="n"/>
    </row>
    <row r="258" ht="15.75" customHeight="1" thickBot="1">
      <c r="A258" s="183" t="n">
        <v>165</v>
      </c>
      <c r="B258" s="115" t="inlineStr">
        <is>
          <t>Fruit Soda Orange</t>
        </is>
      </c>
      <c r="C258" s="115" t="n"/>
      <c r="D258" s="115">
        <f>IFERROR(__xludf.DUMMYFUNCTION("IF(J258="""",""n/a"",IFERROR(SPLIT(J258,""/"")))"),"n/a")</f>
        <v/>
      </c>
      <c r="E258" s="115" t="n"/>
      <c r="F258" s="115" t="n"/>
      <c r="G258" s="115" t="n"/>
      <c r="H258" s="84" t="inlineStr">
        <is>
          <t>F1</t>
        </is>
      </c>
      <c r="I258" s="7" t="n"/>
      <c r="J258" s="19" t="n"/>
      <c r="K258" s="7" t="n"/>
      <c r="L258" s="12" t="n">
        <v>10.72</v>
      </c>
      <c r="M258" s="191" t="n">
        <v>41</v>
      </c>
      <c r="N258" s="86" t="n">
        <v>1</v>
      </c>
      <c r="O258" s="13">
        <f>E258</f>
        <v/>
      </c>
      <c r="P258" s="23" t="inlineStr">
        <is>
          <t>pieces</t>
        </is>
      </c>
      <c r="Q258" s="20" t="n"/>
      <c r="R258" s="5" t="n"/>
      <c r="S258" s="229">
        <f>M258*N258</f>
        <v/>
      </c>
      <c r="T258" s="230">
        <f>CONCATENATE(S258,Q258,P258)</f>
        <v/>
      </c>
      <c r="U258" s="206">
        <f>L258*M258</f>
        <v/>
      </c>
      <c r="V258" s="4" t="n"/>
      <c r="W258" s="4" t="n"/>
      <c r="X258" s="4" t="n"/>
    </row>
    <row r="259" ht="15.75" customHeight="1" thickBot="1">
      <c r="A259" s="183" t="n">
        <v>166</v>
      </c>
      <c r="B259" s="115" t="inlineStr">
        <is>
          <t>Fruitti Apple</t>
        </is>
      </c>
      <c r="C259" s="115" t="n"/>
      <c r="D259" s="115">
        <f>IFERROR(__xludf.DUMMYFUNCTION("IF(J259="""",""n/a"",IFERROR(SPLIT(J259,""/"")))"),"n/a")</f>
        <v/>
      </c>
      <c r="E259" s="115" t="n"/>
      <c r="F259" s="115" t="n"/>
      <c r="G259" s="115" t="n"/>
      <c r="H259" s="84" t="inlineStr">
        <is>
          <t>F1</t>
        </is>
      </c>
      <c r="I259" s="7" t="n"/>
      <c r="J259" s="19" t="n"/>
      <c r="K259" s="7" t="n"/>
      <c r="L259" s="12" t="n">
        <v>8.640000000000001</v>
      </c>
      <c r="M259" s="191" t="n">
        <v>54</v>
      </c>
      <c r="N259" s="86" t="n">
        <v>48</v>
      </c>
      <c r="O259" s="13">
        <f>E259</f>
        <v/>
      </c>
      <c r="P259" s="23" t="inlineStr">
        <is>
          <t>pieces</t>
        </is>
      </c>
      <c r="Q259" s="20" t="n"/>
      <c r="R259" s="5" t="n"/>
      <c r="S259" s="229">
        <f>M259*N259</f>
        <v/>
      </c>
      <c r="T259" s="230">
        <f>CONCATENATE(S259,Q259,P259)</f>
        <v/>
      </c>
      <c r="U259" s="206">
        <f>L259*M259</f>
        <v/>
      </c>
      <c r="V259" s="4" t="n"/>
      <c r="W259" s="4" t="n"/>
      <c r="X259" s="4" t="n"/>
    </row>
    <row r="260" ht="15.75" customHeight="1" thickBot="1">
      <c r="A260" s="183" t="n">
        <v>167</v>
      </c>
      <c r="B260" s="115" t="inlineStr">
        <is>
          <t>Fudge Bar - Macapuno</t>
        </is>
      </c>
      <c r="C260" s="115" t="n"/>
      <c r="D260" s="115">
        <f>IFERROR(__xludf.DUMMYFUNCTION("IF(J260="""",""n/a"",IFERROR(SPLIT(J260,""/"")))"),"Suncrest Food")</f>
        <v/>
      </c>
      <c r="E260" s="115">
        <f>IFERROR(__xludf.DUMMYFUNCTION("""COMPUTED_VALUE"""),"pack (10pcsx41grams)")</f>
        <v/>
      </c>
      <c r="F260" s="115" t="n"/>
      <c r="G260" s="115" t="n"/>
      <c r="H260" s="11" t="inlineStr">
        <is>
          <t>CIP</t>
        </is>
      </c>
      <c r="I260" s="95" t="n"/>
      <c r="J260" s="93" t="inlineStr">
        <is>
          <t>Suncrest Food/pack (10pcsx41grams)</t>
        </is>
      </c>
      <c r="K260" s="116" t="n"/>
      <c r="L260" s="90" t="n">
        <v>7.51</v>
      </c>
      <c r="M260" s="189" t="n">
        <v>320</v>
      </c>
      <c r="N260" s="13" t="n">
        <v>1</v>
      </c>
      <c r="O260" s="13">
        <f>E260</f>
        <v/>
      </c>
      <c r="P260" s="13" t="inlineStr">
        <is>
          <t>pieces</t>
        </is>
      </c>
      <c r="Q260" s="20" t="n"/>
      <c r="R260" s="5" t="n"/>
      <c r="S260" s="229">
        <f>M260*N260</f>
        <v/>
      </c>
      <c r="T260" s="230">
        <f>CONCATENATE(S260,Q260,P260)</f>
        <v/>
      </c>
      <c r="U260" s="206">
        <f>L260*M260</f>
        <v/>
      </c>
      <c r="V260" s="4" t="n"/>
      <c r="W260" s="4" t="n"/>
      <c r="X260" s="4" t="n"/>
    </row>
    <row r="261" ht="15.75" customHeight="1" thickBot="1">
      <c r="A261" s="183" t="n">
        <v>168</v>
      </c>
      <c r="B261" s="115" t="inlineStr">
        <is>
          <t>Fussili Gourmet</t>
        </is>
      </c>
      <c r="C261" s="115" t="n"/>
      <c r="D261" s="115">
        <f>IFERROR(__xludf.DUMMYFUNCTION("IF(J261="""",""n/a"",IFERROR(SPLIT(J261,""/"")))"),"n/a")</f>
        <v/>
      </c>
      <c r="E261" s="115" t="n"/>
      <c r="F261" s="115" t="n"/>
      <c r="G261" s="115" t="n"/>
      <c r="H261" s="84" t="inlineStr">
        <is>
          <t>F1</t>
        </is>
      </c>
      <c r="I261" s="7" t="n"/>
      <c r="J261" s="19" t="n"/>
      <c r="K261" s="7" t="n"/>
      <c r="L261" s="12" t="n">
        <v>0.21</v>
      </c>
      <c r="M261" s="192" t="n">
        <v>500</v>
      </c>
      <c r="N261" s="85" t="n">
        <v>500</v>
      </c>
      <c r="O261" s="13">
        <f>E261</f>
        <v/>
      </c>
      <c r="P261" s="9" t="inlineStr">
        <is>
          <t>grams</t>
        </is>
      </c>
      <c r="Q261" s="20" t="n"/>
      <c r="R261" s="5" t="n"/>
      <c r="S261" s="229">
        <f>M261*N261</f>
        <v/>
      </c>
      <c r="T261" s="230">
        <f>CONCATENATE(S261,Q261,P261)</f>
        <v/>
      </c>
      <c r="U261" s="206">
        <f>L261*M261</f>
        <v/>
      </c>
      <c r="V261" s="4" t="n"/>
      <c r="W261" s="4" t="n"/>
      <c r="X261" s="4" t="n"/>
    </row>
    <row r="262" ht="15.75" customHeight="1" thickBot="1">
      <c r="A262" s="183" t="n">
        <v>169</v>
      </c>
      <c r="B262" s="115" t="inlineStr">
        <is>
          <t>Garbanzos</t>
        </is>
      </c>
      <c r="C262" s="115" t="n"/>
      <c r="D262" s="115">
        <f>IFERROR(__xludf.DUMMYFUNCTION("IF(J262="""",""n/a"",IFERROR(SPLIT(J262,""/"")))"),"Ram")</f>
        <v/>
      </c>
      <c r="E262" s="115">
        <f>IFERROR(__xludf.DUMMYFUNCTION("""COMPUTED_VALUE"""),"can")</f>
        <v/>
      </c>
      <c r="F262" s="115">
        <f>IFERROR(__xludf.DUMMYFUNCTION("""COMPUTED_VALUE"""),"450grams")</f>
        <v/>
      </c>
      <c r="G262" s="115" t="n"/>
      <c r="H262" s="11" t="inlineStr">
        <is>
          <t>Annex</t>
        </is>
      </c>
      <c r="I262" s="6" t="n"/>
      <c r="J262" s="19" t="inlineStr">
        <is>
          <t>Ram/can/450grams</t>
        </is>
      </c>
      <c r="K262" s="6" t="n"/>
      <c r="L262" s="8" t="n">
        <v>0.1048888888888889</v>
      </c>
      <c r="M262" s="190" t="n">
        <v>1350</v>
      </c>
      <c r="N262" s="17" t="n">
        <v>450</v>
      </c>
      <c r="O262" s="13">
        <f>E262</f>
        <v/>
      </c>
      <c r="P262" s="9" t="inlineStr">
        <is>
          <t>drained weight grams</t>
        </is>
      </c>
      <c r="Q262" s="13" t="n"/>
      <c r="R262" s="78">
        <f>CONCATENATE(N262,P262)</f>
        <v/>
      </c>
      <c r="S262" s="229">
        <f>M262*N262</f>
        <v/>
      </c>
      <c r="T262" s="230">
        <f>CONCATENATE(S262,Q262,P262)</f>
        <v/>
      </c>
      <c r="U262" s="206">
        <f>L262*M262</f>
        <v/>
      </c>
      <c r="V262" s="231" t="n"/>
      <c r="W262" s="236" t="n"/>
      <c r="X262" s="71" t="n"/>
    </row>
    <row r="263" ht="15.75" customHeight="1" thickBot="1">
      <c r="A263" s="183" t="n">
        <v>169</v>
      </c>
      <c r="B263" s="122" t="inlineStr">
        <is>
          <t>Garbanzos</t>
        </is>
      </c>
      <c r="C263" s="122" t="n"/>
      <c r="D263" s="115">
        <f>IFERROR(__xludf.DUMMYFUNCTION("IF(J263="""",""n/a"",IFERROR(SPLIT(J263,""/"")))"),"Ram")</f>
        <v/>
      </c>
      <c r="E263" s="122">
        <f>IFERROR(__xludf.DUMMYFUNCTION("""COMPUTED_VALUE"""),"can")</f>
        <v/>
      </c>
      <c r="F263" s="122">
        <f>IFERROR(__xludf.DUMMYFUNCTION("""COMPUTED_VALUE"""),"450grams")</f>
        <v/>
      </c>
      <c r="G263" s="122" t="n"/>
      <c r="H263" s="11" t="inlineStr">
        <is>
          <t>CIP</t>
        </is>
      </c>
      <c r="I263" s="95" t="n"/>
      <c r="J263" s="19" t="inlineStr">
        <is>
          <t>Ram/can/450grams</t>
        </is>
      </c>
      <c r="K263" s="116" t="n"/>
      <c r="L263" s="90" t="n">
        <v>47.2</v>
      </c>
      <c r="M263" s="189" t="n">
        <v>1</v>
      </c>
      <c r="N263" s="13" t="n">
        <v>1</v>
      </c>
      <c r="O263" s="13">
        <f>E263</f>
        <v/>
      </c>
      <c r="P263" s="13" t="inlineStr">
        <is>
          <t>drained weight grams</t>
        </is>
      </c>
      <c r="Q263" s="20" t="n"/>
      <c r="R263" s="5" t="n"/>
      <c r="S263" s="229">
        <f>M263*N263</f>
        <v/>
      </c>
      <c r="T263" s="230">
        <f>CONCATENATE(S263,Q263,P263)</f>
        <v/>
      </c>
      <c r="U263" s="206">
        <f>L263*M263</f>
        <v/>
      </c>
      <c r="V263" s="4" t="n"/>
      <c r="W263" s="4" t="n"/>
      <c r="X263" s="4" t="n"/>
    </row>
    <row r="264" ht="15.75" customHeight="1" thickBot="1">
      <c r="A264" s="183" t="n">
        <v>169</v>
      </c>
      <c r="B264" s="114" t="inlineStr">
        <is>
          <t>Garbanzos</t>
        </is>
      </c>
      <c r="C264" s="114" t="n"/>
      <c r="D264" s="115">
        <f>IFERROR(__xludf.DUMMYFUNCTION("IF(J264="""",""n/a"",IFERROR(SPLIT(J264,""/"")))"),"n/a")</f>
        <v/>
      </c>
      <c r="E264" s="114" t="n"/>
      <c r="F264" s="114" t="n"/>
      <c r="G264" s="114" t="n"/>
      <c r="H264" s="84" t="inlineStr">
        <is>
          <t>F1</t>
        </is>
      </c>
      <c r="I264" s="7" t="n"/>
      <c r="J264" s="19" t="n"/>
      <c r="K264" s="7" t="n"/>
      <c r="L264" s="12" t="n">
        <v>0.2407079646017699</v>
      </c>
      <c r="M264" s="191" t="n">
        <v>791</v>
      </c>
      <c r="N264" s="85" t="n">
        <v>113</v>
      </c>
      <c r="O264" s="13">
        <f>E264</f>
        <v/>
      </c>
      <c r="P264" s="9" t="inlineStr">
        <is>
          <t>grams</t>
        </is>
      </c>
      <c r="Q264" s="20" t="n"/>
      <c r="R264" s="5" t="n"/>
      <c r="S264" s="229">
        <f>M264*N264</f>
        <v/>
      </c>
      <c r="T264" s="230">
        <f>CONCATENATE(S264,Q264,P264)</f>
        <v/>
      </c>
      <c r="U264" s="206">
        <f>L264*M264</f>
        <v/>
      </c>
      <c r="V264" s="4" t="n"/>
      <c r="W264" s="4" t="n"/>
      <c r="X264" s="4" t="n"/>
    </row>
    <row r="265" ht="15.75" customHeight="1" thickBot="1">
      <c r="A265" s="183" t="n">
        <v>170</v>
      </c>
      <c r="B265" s="115" t="inlineStr">
        <is>
          <t>Garlic</t>
        </is>
      </c>
      <c r="C265" s="115" t="n"/>
      <c r="D265" s="115">
        <f>IFERROR(__xludf.DUMMYFUNCTION("IF(J265="""",""n/a"",IFERROR(SPLIT(J265,""/"")))"),"Fresh")</f>
        <v/>
      </c>
      <c r="E265" s="115" t="n"/>
      <c r="F265" s="115" t="n"/>
      <c r="G265" s="115" t="n"/>
      <c r="H265" s="11" t="inlineStr">
        <is>
          <t>CIP</t>
        </is>
      </c>
      <c r="I265" s="95" t="n"/>
      <c r="J265" s="93" t="inlineStr">
        <is>
          <t>Fresh</t>
        </is>
      </c>
      <c r="K265" s="116" t="n"/>
      <c r="L265" s="90" t="n">
        <v>143</v>
      </c>
      <c r="M265" s="189" t="n">
        <v>2</v>
      </c>
      <c r="N265" s="13" t="n">
        <v>1</v>
      </c>
      <c r="O265" s="13">
        <f>E265</f>
        <v/>
      </c>
      <c r="P265" s="13" t="inlineStr">
        <is>
          <t>grams</t>
        </is>
      </c>
      <c r="Q265" s="20" t="n"/>
      <c r="R265" s="5" t="n"/>
      <c r="S265" s="229">
        <f>M265*N265</f>
        <v/>
      </c>
      <c r="T265" s="230">
        <f>CONCATENATE(S265,Q265,P265)</f>
        <v/>
      </c>
      <c r="U265" s="206">
        <f>L265*M265</f>
        <v/>
      </c>
      <c r="V265" s="4" t="n"/>
      <c r="W265" s="4" t="n"/>
      <c r="X265" s="4" t="n"/>
    </row>
    <row r="266" ht="15.75" customHeight="1" thickBot="1">
      <c r="A266" s="183" t="n">
        <v>171</v>
      </c>
      <c r="B266" s="115" t="inlineStr">
        <is>
          <t>Garlic Peanut</t>
        </is>
      </c>
      <c r="C266" s="115" t="n"/>
      <c r="D266" s="115">
        <f>IFERROR(__xludf.DUMMYFUNCTION("IF(J266="""",""n/a"",IFERROR(SPLIT(J266,""/"")))"),"Growers")</f>
        <v/>
      </c>
      <c r="E266" s="115">
        <f>IFERROR(__xludf.DUMMYFUNCTION("""COMPUTED_VALUE"""),"box (24pcsx80grams)")</f>
        <v/>
      </c>
      <c r="F266" s="115" t="n"/>
      <c r="G266" s="115" t="n"/>
      <c r="H266" s="11" t="inlineStr">
        <is>
          <t>CIP</t>
        </is>
      </c>
      <c r="I266" s="95" t="n"/>
      <c r="J266" s="93" t="inlineStr">
        <is>
          <t>Growers/box (24pcsx80grams)</t>
        </is>
      </c>
      <c r="K266" s="116" t="n"/>
      <c r="L266" s="90" t="n">
        <v>65.44</v>
      </c>
      <c r="M266" s="189" t="n">
        <v>24</v>
      </c>
      <c r="N266" s="13" t="n">
        <v>1</v>
      </c>
      <c r="O266" s="13">
        <f>E266</f>
        <v/>
      </c>
      <c r="P266" s="13" t="inlineStr">
        <is>
          <t>pieces</t>
        </is>
      </c>
      <c r="Q266" s="20" t="n"/>
      <c r="R266" s="5" t="n"/>
      <c r="S266" s="229">
        <f>M266*N266</f>
        <v/>
      </c>
      <c r="T266" s="230">
        <f>CONCATENATE(S266,Q266,P266)</f>
        <v/>
      </c>
      <c r="U266" s="206">
        <f>L266*M266</f>
        <v/>
      </c>
      <c r="V266" s="4" t="n"/>
      <c r="W266" s="4" t="n"/>
      <c r="X266" s="4" t="n"/>
    </row>
    <row r="267" ht="15.75" customHeight="1" thickBot="1">
      <c r="A267" s="183" t="n">
        <v>172</v>
      </c>
      <c r="B267" s="114" t="inlineStr">
        <is>
          <t>Garlic Powder</t>
        </is>
      </c>
      <c r="C267" s="114" t="n"/>
      <c r="D267" s="115">
        <f>IFERROR(__xludf.DUMMYFUNCTION("IF(J267="""",""n/a"",IFERROR(SPLIT(J267,""/"")))"),"Sure buy")</f>
        <v/>
      </c>
      <c r="E267" s="114">
        <f>IFERROR(__xludf.DUMMYFUNCTION("""COMPUTED_VALUE"""),"pack")</f>
        <v/>
      </c>
      <c r="F267" s="114">
        <f>IFERROR(__xludf.DUMMYFUNCTION("""COMPUTED_VALUE"""),"30grams")</f>
        <v/>
      </c>
      <c r="G267" s="114" t="n"/>
      <c r="H267" s="11" t="inlineStr">
        <is>
          <t>CIP</t>
        </is>
      </c>
      <c r="I267" s="95" t="n"/>
      <c r="J267" s="93" t="inlineStr">
        <is>
          <t>Sure buy/pack/30grams</t>
        </is>
      </c>
      <c r="K267" s="116" t="n"/>
      <c r="L267" s="90" t="n">
        <v>20.25</v>
      </c>
      <c r="M267" s="189" t="n">
        <v>2</v>
      </c>
      <c r="N267" s="13" t="n">
        <v>1</v>
      </c>
      <c r="O267" s="13">
        <f>E267</f>
        <v/>
      </c>
      <c r="P267" s="13" t="inlineStr">
        <is>
          <t>grams</t>
        </is>
      </c>
      <c r="Q267" s="20" t="n"/>
      <c r="R267" s="5" t="n"/>
      <c r="S267" s="229">
        <f>M267*N267</f>
        <v/>
      </c>
      <c r="T267" s="230">
        <f>CONCATENATE(S267,Q267,P267)</f>
        <v/>
      </c>
      <c r="U267" s="206">
        <f>L267*M267</f>
        <v/>
      </c>
      <c r="V267" s="4" t="n"/>
      <c r="W267" s="4" t="n"/>
      <c r="X267" s="4" t="n"/>
    </row>
    <row r="268" ht="15.75" customHeight="1" thickBot="1">
      <c r="A268" s="183" t="n">
        <v>173</v>
      </c>
      <c r="B268" s="115" t="inlineStr">
        <is>
          <t>Gatorade (asstd flavor)</t>
        </is>
      </c>
      <c r="C268" s="115" t="n"/>
      <c r="D268" s="115">
        <f>IFERROR(__xludf.DUMMYFUNCTION("IF(J268="""",""n/a"",IFERROR(SPLIT(J268,""/"")))"),"Pepsi")</f>
        <v/>
      </c>
      <c r="E268" s="115">
        <f>IFERROR(__xludf.DUMMYFUNCTION("""COMPUTED_VALUE"""),"case (24x500ml)")</f>
        <v/>
      </c>
      <c r="F268" s="115" t="n"/>
      <c r="G268" s="115" t="n"/>
      <c r="H268" s="11" t="inlineStr">
        <is>
          <t>CIP</t>
        </is>
      </c>
      <c r="I268" s="6" t="n"/>
      <c r="J268" s="19" t="inlineStr">
        <is>
          <t>Pepsi/case (24x500ml)</t>
        </is>
      </c>
      <c r="K268" s="5" t="n"/>
      <c r="L268" s="90" t="n">
        <v>33.62</v>
      </c>
      <c r="M268" s="189" t="n">
        <v>69</v>
      </c>
      <c r="N268" s="13" t="n">
        <v>1</v>
      </c>
      <c r="O268" s="13">
        <f>E268</f>
        <v/>
      </c>
      <c r="P268" s="13" t="inlineStr">
        <is>
          <t>pieces</t>
        </is>
      </c>
      <c r="Q268" s="20" t="n"/>
      <c r="R268" s="5" t="n"/>
      <c r="S268" s="229">
        <f>M268*N268</f>
        <v/>
      </c>
      <c r="T268" s="230">
        <f>CONCATENATE(S268,Q268,P268)</f>
        <v/>
      </c>
      <c r="U268" s="206">
        <f>L268*M268</f>
        <v/>
      </c>
      <c r="V268" s="4" t="n"/>
      <c r="W268" s="4" t="n"/>
      <c r="X268" s="4" t="n"/>
    </row>
    <row r="269" ht="15.75" customHeight="1" thickBot="1">
      <c r="A269" s="183" t="n">
        <v>174</v>
      </c>
      <c r="B269" s="114" t="inlineStr">
        <is>
          <t>General Sanitizer</t>
        </is>
      </c>
      <c r="C269" s="114" t="n"/>
      <c r="D269" s="115">
        <f>IFERROR(__xludf.DUMMYFUNCTION("IF(J269="""",""n/a"",IFERROR(SPLIT(J269,""/"")))"),"n/a")</f>
        <v/>
      </c>
      <c r="E269" s="114" t="n"/>
      <c r="F269" s="114" t="n"/>
      <c r="G269" s="114" t="n"/>
      <c r="H269" s="84" t="inlineStr">
        <is>
          <t>F1</t>
        </is>
      </c>
      <c r="I269" s="7" t="n"/>
      <c r="J269" s="19" t="n"/>
      <c r="K269" s="7" t="n"/>
      <c r="L269" s="12" t="n">
        <v>342</v>
      </c>
      <c r="M269" s="192" t="n">
        <v>1</v>
      </c>
      <c r="N269" s="85" t="n">
        <v>1</v>
      </c>
      <c r="O269" s="13">
        <f>E269</f>
        <v/>
      </c>
      <c r="P269" s="9" t="inlineStr">
        <is>
          <t>gal</t>
        </is>
      </c>
      <c r="Q269" s="20" t="n"/>
      <c r="R269" s="5" t="n"/>
      <c r="S269" s="229">
        <f>M269*N269</f>
        <v/>
      </c>
      <c r="T269" s="230">
        <f>CONCATENATE(S269,Q269,P269)</f>
        <v/>
      </c>
      <c r="U269" s="206">
        <f>L269*M269</f>
        <v/>
      </c>
      <c r="V269" s="4" t="n"/>
      <c r="W269" s="4" t="n"/>
      <c r="X269" s="4" t="n"/>
    </row>
    <row r="270" ht="15.75" customHeight="1" thickBot="1">
      <c r="A270" s="183" t="n">
        <v>175</v>
      </c>
      <c r="B270" s="115" t="inlineStr">
        <is>
          <t>Ginger</t>
        </is>
      </c>
      <c r="C270" s="115" t="n"/>
      <c r="D270" s="115">
        <f>IFERROR(__xludf.DUMMYFUNCTION("IF(J270="""",""n/a"",IFERROR(SPLIT(J270,""/"")))"),"Fresh")</f>
        <v/>
      </c>
      <c r="E270" s="115" t="n"/>
      <c r="F270" s="115" t="n"/>
      <c r="G270" s="115" t="n"/>
      <c r="H270" s="11" t="inlineStr">
        <is>
          <t>CIP</t>
        </is>
      </c>
      <c r="I270" s="95" t="n"/>
      <c r="J270" s="93" t="inlineStr">
        <is>
          <t>Fresh</t>
        </is>
      </c>
      <c r="K270" s="116" t="n"/>
      <c r="L270" s="90" t="n">
        <v>130</v>
      </c>
      <c r="M270" s="189" t="n">
        <v>3</v>
      </c>
      <c r="N270" s="13" t="n">
        <v>1</v>
      </c>
      <c r="O270" s="13">
        <f>E270</f>
        <v/>
      </c>
      <c r="P270" s="13" t="inlineStr">
        <is>
          <t>grams</t>
        </is>
      </c>
      <c r="Q270" s="20" t="n"/>
      <c r="R270" s="5" t="n"/>
      <c r="S270" s="229">
        <f>M270*N270</f>
        <v/>
      </c>
      <c r="T270" s="230">
        <f>CONCATENATE(S270,Q270,P270)</f>
        <v/>
      </c>
      <c r="U270" s="206">
        <f>L270*M270</f>
        <v/>
      </c>
      <c r="V270" s="4" t="n"/>
      <c r="W270" s="4" t="n"/>
      <c r="X270" s="4" t="n"/>
    </row>
    <row r="271" ht="15.75" customHeight="1" thickBot="1">
      <c r="A271" s="183" t="n">
        <v>176</v>
      </c>
      <c r="B271" s="114" t="inlineStr">
        <is>
          <t>Giniling</t>
        </is>
      </c>
      <c r="C271" s="114" t="n"/>
      <c r="D271" s="115">
        <f>IFERROR(__xludf.DUMMYFUNCTION("IF(J271="""",""n/a"",IFERROR(SPLIT(J271,""/"")))"),"n/a")</f>
        <v/>
      </c>
      <c r="E271" s="114" t="n"/>
      <c r="F271" s="114" t="n"/>
      <c r="G271" s="114" t="n"/>
      <c r="H271" s="84" t="inlineStr">
        <is>
          <t>F1</t>
        </is>
      </c>
      <c r="I271" s="7" t="n"/>
      <c r="J271" s="19" t="n"/>
      <c r="K271" s="7" t="n"/>
      <c r="L271" s="12" t="n">
        <v>0.1664</v>
      </c>
      <c r="M271" s="191" t="n">
        <v>750</v>
      </c>
      <c r="N271" s="85" t="n">
        <v>250</v>
      </c>
      <c r="O271" s="13">
        <f>E271</f>
        <v/>
      </c>
      <c r="P271" s="130" t="inlineStr">
        <is>
          <t>grams</t>
        </is>
      </c>
      <c r="Q271" s="20" t="n"/>
      <c r="R271" s="5" t="n"/>
      <c r="S271" s="229">
        <f>M271*N271</f>
        <v/>
      </c>
      <c r="T271" s="230">
        <f>CONCATENATE(S271,Q271,P271)</f>
        <v/>
      </c>
      <c r="U271" s="206">
        <f>L271*M271</f>
        <v/>
      </c>
      <c r="V271" s="4" t="n"/>
      <c r="W271" s="4" t="n"/>
      <c r="X271" s="4" t="n"/>
    </row>
    <row r="272" ht="15.75" customHeight="1" thickBot="1">
      <c r="A272" s="183" t="n">
        <v>177</v>
      </c>
      <c r="B272" s="115" t="inlineStr">
        <is>
          <t>Glutinous Rice Flour</t>
        </is>
      </c>
      <c r="C272" s="115" t="n"/>
      <c r="D272" s="115">
        <f>IFERROR(__xludf.DUMMYFUNCTION("IF(J272="""",""n/a"",IFERROR(SPLIT(J272,""/"")))"),"Polar Bear")</f>
        <v/>
      </c>
      <c r="E272" s="115">
        <f>IFERROR(__xludf.DUMMYFUNCTION("""COMPUTED_VALUE"""),"pack")</f>
        <v/>
      </c>
      <c r="F272" s="115">
        <f>IFERROR(__xludf.DUMMYFUNCTION("""COMPUTED_VALUE"""),"500grams")</f>
        <v/>
      </c>
      <c r="G272" s="115" t="n"/>
      <c r="H272" s="11" t="inlineStr">
        <is>
          <t>Annex</t>
        </is>
      </c>
      <c r="I272" s="6" t="n"/>
      <c r="J272" s="19" t="inlineStr">
        <is>
          <t>Polar Bear/pack/500grams</t>
        </is>
      </c>
      <c r="K272" s="6" t="n"/>
      <c r="L272" s="8" t="n">
        <v>0.115</v>
      </c>
      <c r="M272" s="190" t="n">
        <v>2000</v>
      </c>
      <c r="N272" s="17" t="n">
        <v>500</v>
      </c>
      <c r="O272" s="13">
        <f>E272</f>
        <v/>
      </c>
      <c r="P272" s="9" t="inlineStr">
        <is>
          <t>grams</t>
        </is>
      </c>
      <c r="Q272" s="13" t="n"/>
      <c r="R272" s="78">
        <f>CONCATENATE(N272,P272)</f>
        <v/>
      </c>
      <c r="S272" s="229">
        <f>M272*N272</f>
        <v/>
      </c>
      <c r="T272" s="230">
        <f>CONCATENATE(S272,Q272,P272)</f>
        <v/>
      </c>
      <c r="U272" s="206">
        <f>L272*M272</f>
        <v/>
      </c>
      <c r="V272" s="231" t="n"/>
      <c r="W272" s="236" t="n"/>
      <c r="X272" s="71" t="n"/>
    </row>
    <row r="273" ht="15.75" customHeight="1" thickBot="1">
      <c r="A273" s="183" t="n">
        <v>177</v>
      </c>
      <c r="B273" s="115" t="inlineStr">
        <is>
          <t>Glutinous Rice Flour</t>
        </is>
      </c>
      <c r="C273" s="115" t="n"/>
      <c r="D273" s="115">
        <f>IFERROR(__xludf.DUMMYFUNCTION("IF(J273="""",""n/a"",IFERROR(SPLIT(J273,""/"")))"),"Kings")</f>
        <v/>
      </c>
      <c r="E273" s="115">
        <f>IFERROR(__xludf.DUMMYFUNCTION("""COMPUTED_VALUE"""),"pack")</f>
        <v/>
      </c>
      <c r="F273" s="115">
        <f>IFERROR(__xludf.DUMMYFUNCTION("""COMPUTED_VALUE"""),"500grams")</f>
        <v/>
      </c>
      <c r="G273" s="115" t="n"/>
      <c r="H273" s="11" t="inlineStr">
        <is>
          <t>Annex</t>
        </is>
      </c>
      <c r="I273" s="6" t="n"/>
      <c r="J273" s="19" t="inlineStr">
        <is>
          <t>Kings/pack/500grams</t>
        </is>
      </c>
      <c r="K273" s="6" t="n"/>
      <c r="L273" s="8" t="n">
        <v>0.19</v>
      </c>
      <c r="M273" s="190" t="n">
        <v>3000</v>
      </c>
      <c r="N273" s="17" t="n">
        <v>500</v>
      </c>
      <c r="O273" s="13">
        <f>E273</f>
        <v/>
      </c>
      <c r="P273" s="9" t="inlineStr">
        <is>
          <t>grams</t>
        </is>
      </c>
      <c r="Q273" s="13" t="n"/>
      <c r="R273" s="78">
        <f>CONCATENATE(N273,P273)</f>
        <v/>
      </c>
      <c r="S273" s="229">
        <f>M273*N273</f>
        <v/>
      </c>
      <c r="T273" s="230">
        <f>CONCATENATE(S273,Q273,P273)</f>
        <v/>
      </c>
      <c r="U273" s="206">
        <f>L273*M273</f>
        <v/>
      </c>
      <c r="V273" s="231" t="n"/>
      <c r="W273" s="236" t="n"/>
      <c r="X273" s="71" t="n"/>
    </row>
    <row r="274" ht="15.75" customHeight="1" thickBot="1">
      <c r="A274" s="183" t="n">
        <v>177</v>
      </c>
      <c r="B274" s="114" t="inlineStr">
        <is>
          <t>Glutinous Rice Flour</t>
        </is>
      </c>
      <c r="C274" s="114" t="n"/>
      <c r="D274" s="115">
        <f>IFERROR(__xludf.DUMMYFUNCTION("IF(J274="""",""n/a"",IFERROR(SPLIT(J274,""/"")))"),"Polar Bear")</f>
        <v/>
      </c>
      <c r="E274" s="114">
        <f>IFERROR(__xludf.DUMMYFUNCTION("""COMPUTED_VALUE"""),"pack")</f>
        <v/>
      </c>
      <c r="F274" s="114">
        <f>IFERROR(__xludf.DUMMYFUNCTION("""COMPUTED_VALUE"""),"500grams")</f>
        <v/>
      </c>
      <c r="G274" s="114" t="n"/>
      <c r="H274" s="11" t="inlineStr">
        <is>
          <t>CIP</t>
        </is>
      </c>
      <c r="I274" s="95" t="n"/>
      <c r="J274" s="19" t="inlineStr">
        <is>
          <t>Polar Bear/pack/500grams</t>
        </is>
      </c>
      <c r="K274" s="5" t="n"/>
      <c r="L274" s="90" t="n">
        <v>57.5</v>
      </c>
      <c r="M274" s="189" t="n">
        <v>2</v>
      </c>
      <c r="N274" s="13" t="n">
        <v>500</v>
      </c>
      <c r="O274" s="13">
        <f>E274</f>
        <v/>
      </c>
      <c r="P274" s="13" t="inlineStr">
        <is>
          <t>grams</t>
        </is>
      </c>
      <c r="Q274" s="20" t="n"/>
      <c r="R274" s="5" t="n"/>
      <c r="S274" s="229">
        <f>M274*N274</f>
        <v/>
      </c>
      <c r="T274" s="230">
        <f>CONCATENATE(S274,Q274,P274)</f>
        <v/>
      </c>
      <c r="U274" s="206">
        <f>L274*M274</f>
        <v/>
      </c>
      <c r="V274" s="4" t="n"/>
      <c r="W274" s="4" t="n"/>
      <c r="X274" s="4" t="n"/>
    </row>
    <row r="275" ht="15.75" customHeight="1" thickBot="1">
      <c r="A275" s="183" t="n">
        <v>178</v>
      </c>
      <c r="B275" s="115" t="inlineStr">
        <is>
          <t>Goto</t>
        </is>
      </c>
      <c r="C275" s="115" t="n"/>
      <c r="D275" s="115">
        <f>IFERROR(__xludf.DUMMYFUNCTION("IF(J275="""",""n/a"",IFERROR(SPLIT(J275,""/"")))"),"n/a")</f>
        <v/>
      </c>
      <c r="E275" s="115" t="n"/>
      <c r="F275" s="115" t="n"/>
      <c r="G275" s="115" t="n"/>
      <c r="H275" s="84" t="inlineStr">
        <is>
          <t>F1</t>
        </is>
      </c>
      <c r="I275" s="7" t="n"/>
      <c r="J275" s="19" t="n"/>
      <c r="K275" s="7" t="n"/>
      <c r="L275" s="12" t="n">
        <v>186</v>
      </c>
      <c r="M275" s="192" t="n">
        <v>20</v>
      </c>
      <c r="N275" s="89" t="n">
        <v>1</v>
      </c>
      <c r="O275" s="13">
        <f>E275</f>
        <v/>
      </c>
      <c r="P275" s="9" t="inlineStr">
        <is>
          <t>kilos</t>
        </is>
      </c>
      <c r="Q275" s="20" t="n"/>
      <c r="R275" s="5" t="n"/>
      <c r="S275" s="229">
        <f>M275*N275</f>
        <v/>
      </c>
      <c r="T275" s="230">
        <f>CONCATENATE(S275,Q275,P275)</f>
        <v/>
      </c>
      <c r="U275" s="206">
        <f>L275*M275</f>
        <v/>
      </c>
      <c r="V275" s="4" t="n"/>
      <c r="W275" s="4" t="n"/>
      <c r="X275" s="4" t="n"/>
    </row>
    <row r="276" ht="15.75" customHeight="1" thickBot="1">
      <c r="A276" s="183" t="n">
        <v>179</v>
      </c>
      <c r="B276" s="114" t="inlineStr">
        <is>
          <t>Goya Chocolate Big</t>
        </is>
      </c>
      <c r="C276" s="114" t="n"/>
      <c r="D276" s="115">
        <f>IFERROR(__xludf.DUMMYFUNCTION("IF(J276="""",""n/a"",IFERROR(SPLIT(J276,""/"")))"),"n/a")</f>
        <v/>
      </c>
      <c r="E276" s="114" t="n"/>
      <c r="F276" s="114" t="n"/>
      <c r="G276" s="114" t="n"/>
      <c r="H276" s="84" t="inlineStr">
        <is>
          <t>F1</t>
        </is>
      </c>
      <c r="I276" s="7" t="n"/>
      <c r="J276" s="19" t="n"/>
      <c r="K276" s="7" t="n"/>
      <c r="L276" s="12" t="n">
        <v>177.4</v>
      </c>
      <c r="M276" s="192" t="n">
        <v>2</v>
      </c>
      <c r="N276" s="85" t="n">
        <v>1</v>
      </c>
      <c r="O276" s="13">
        <f>E276</f>
        <v/>
      </c>
      <c r="P276" s="9" t="inlineStr">
        <is>
          <t>pieces</t>
        </is>
      </c>
      <c r="Q276" s="20" t="n"/>
      <c r="R276" s="5" t="n"/>
      <c r="S276" s="229">
        <f>M276*N276</f>
        <v/>
      </c>
      <c r="T276" s="230">
        <f>CONCATENATE(S276,Q276,P276)</f>
        <v/>
      </c>
      <c r="U276" s="206">
        <f>L276*M276</f>
        <v/>
      </c>
      <c r="V276" s="4" t="n"/>
      <c r="W276" s="4" t="n"/>
      <c r="X276" s="4" t="n"/>
    </row>
    <row r="277" ht="15.75" customHeight="1" thickBot="1">
      <c r="A277" s="183" t="n">
        <v>180</v>
      </c>
      <c r="B277" s="114" t="inlineStr">
        <is>
          <t>Goya Chocolate small</t>
        </is>
      </c>
      <c r="C277" s="114" t="n"/>
      <c r="D277" s="115">
        <f>IFERROR(__xludf.DUMMYFUNCTION("IF(J277="""",""n/a"",IFERROR(SPLIT(J277,""/"")))"),"n/a")</f>
        <v/>
      </c>
      <c r="E277" s="114" t="n"/>
      <c r="F277" s="114" t="n"/>
      <c r="G277" s="114" t="n"/>
      <c r="H277" s="84" t="inlineStr">
        <is>
          <t>F1</t>
        </is>
      </c>
      <c r="I277" s="7" t="n"/>
      <c r="J277" s="19" t="n"/>
      <c r="K277" s="7" t="n"/>
      <c r="L277" s="12" t="n">
        <v>118</v>
      </c>
      <c r="M277" s="192" t="n">
        <v>3</v>
      </c>
      <c r="N277" s="85" t="n">
        <v>1</v>
      </c>
      <c r="O277" s="13">
        <f>E277</f>
        <v/>
      </c>
      <c r="P277" s="9" t="inlineStr">
        <is>
          <t>pieces</t>
        </is>
      </c>
      <c r="Q277" s="20" t="n"/>
      <c r="R277" s="5" t="n"/>
      <c r="S277" s="229">
        <f>M277*N277</f>
        <v/>
      </c>
      <c r="T277" s="230">
        <f>CONCATENATE(S277,Q277,P277)</f>
        <v/>
      </c>
      <c r="U277" s="206">
        <f>L277*M277</f>
        <v/>
      </c>
      <c r="V277" s="4" t="n"/>
      <c r="W277" s="4" t="n"/>
      <c r="X277" s="4" t="n"/>
    </row>
    <row r="278" ht="15.75" customHeight="1" thickBot="1">
      <c r="A278" s="183" t="n">
        <v>181</v>
      </c>
      <c r="B278" s="115" t="inlineStr">
        <is>
          <t>Graham Crackers</t>
        </is>
      </c>
      <c r="C278" s="115" t="n"/>
      <c r="D278" s="115">
        <f>IFERROR(__xludf.DUMMYFUNCTION("IF(J278="""",""n/a"",IFERROR(SPLIT(J278,""/"")))"),"M.Y San")</f>
        <v/>
      </c>
      <c r="E278" s="115">
        <f>IFERROR(__xludf.DUMMYFUNCTION("""COMPUTED_VALUE"""),"pack (210grams)")</f>
        <v/>
      </c>
      <c r="F278" s="115" t="n"/>
      <c r="G278" s="115" t="n"/>
      <c r="H278" s="11" t="inlineStr">
        <is>
          <t>CIP</t>
        </is>
      </c>
      <c r="I278" s="95" t="n"/>
      <c r="J278" s="93" t="inlineStr">
        <is>
          <t>M.Y San/pack (210grams)</t>
        </is>
      </c>
      <c r="K278" s="116" t="n"/>
      <c r="L278" s="90" t="n">
        <v>41.9</v>
      </c>
      <c r="M278" s="189" t="n">
        <v>15</v>
      </c>
      <c r="N278" s="13" t="n">
        <v>1</v>
      </c>
      <c r="O278" s="13">
        <f>E278</f>
        <v/>
      </c>
      <c r="P278" s="13" t="inlineStr">
        <is>
          <t>pieces</t>
        </is>
      </c>
      <c r="Q278" s="20" t="n"/>
      <c r="R278" s="5" t="n"/>
      <c r="S278" s="229">
        <f>M278*N278</f>
        <v/>
      </c>
      <c r="T278" s="230">
        <f>CONCATENATE(S278,Q278,P278)</f>
        <v/>
      </c>
      <c r="U278" s="206">
        <f>L278*M278</f>
        <v/>
      </c>
      <c r="V278" s="4" t="n"/>
      <c r="W278" s="4" t="n"/>
      <c r="X278" s="4" t="n"/>
    </row>
    <row r="279" ht="15.75" customHeight="1" thickBot="1">
      <c r="A279" s="183" t="n">
        <v>181</v>
      </c>
      <c r="B279" s="114" t="inlineStr">
        <is>
          <t>Graham Crackers</t>
        </is>
      </c>
      <c r="C279" s="114" t="n"/>
      <c r="D279" s="115">
        <f>IFERROR(__xludf.DUMMYFUNCTION("IF(J279="""",""n/a"",IFERROR(SPLIT(J279,""/"")))"),"n/a")</f>
        <v/>
      </c>
      <c r="E279" s="114" t="n"/>
      <c r="F279" s="114" t="n"/>
      <c r="G279" s="114" t="n"/>
      <c r="H279" s="84" t="inlineStr">
        <is>
          <t>F1</t>
        </is>
      </c>
      <c r="I279" s="7" t="n"/>
      <c r="J279" s="19" t="n"/>
      <c r="K279" s="7" t="n"/>
      <c r="L279" s="12" t="n">
        <v>41.9</v>
      </c>
      <c r="M279" s="192" t="n">
        <v>9</v>
      </c>
      <c r="N279" s="85" t="n">
        <v>1</v>
      </c>
      <c r="O279" s="13">
        <f>E279</f>
        <v/>
      </c>
      <c r="P279" s="9" t="inlineStr">
        <is>
          <t>pieces</t>
        </is>
      </c>
      <c r="Q279" s="20" t="n"/>
      <c r="R279" s="5" t="n"/>
      <c r="S279" s="229">
        <f>M279*N279</f>
        <v/>
      </c>
      <c r="T279" s="230">
        <f>CONCATENATE(S279,Q279,P279)</f>
        <v/>
      </c>
      <c r="U279" s="206">
        <f>L279*M279</f>
        <v/>
      </c>
      <c r="V279" s="4" t="n"/>
      <c r="W279" s="4" t="n"/>
      <c r="X279" s="4" t="n"/>
    </row>
    <row r="280" ht="15.75" customHeight="1" thickBot="1">
      <c r="A280" s="183" t="n">
        <v>182</v>
      </c>
      <c r="B280" s="115" t="inlineStr">
        <is>
          <t>Graham Crushed</t>
        </is>
      </c>
      <c r="C280" s="115" t="n"/>
      <c r="D280" s="115">
        <f>IFERROR(__xludf.DUMMYFUNCTION("IF(J280="""",""n/a"",IFERROR(SPLIT(J280,""/"")))"),"M.Y San")</f>
        <v/>
      </c>
      <c r="E280" s="115">
        <f>IFERROR(__xludf.DUMMYFUNCTION("""COMPUTED_VALUE"""),"pack (200grams)")</f>
        <v/>
      </c>
      <c r="F280" s="115" t="n"/>
      <c r="G280" s="115" t="n"/>
      <c r="H280" s="11" t="inlineStr">
        <is>
          <t>Annex</t>
        </is>
      </c>
      <c r="I280" s="6" t="n"/>
      <c r="J280" s="19" t="inlineStr">
        <is>
          <t>M.Y San/pack (200grams)</t>
        </is>
      </c>
      <c r="K280" s="6" t="n"/>
      <c r="L280" s="8" t="n">
        <v>41.2</v>
      </c>
      <c r="M280" s="190" t="n">
        <v>1</v>
      </c>
      <c r="N280" s="17" t="n">
        <v>1</v>
      </c>
      <c r="O280" s="13">
        <f>E280</f>
        <v/>
      </c>
      <c r="P280" s="9" t="inlineStr">
        <is>
          <t>pieces</t>
        </is>
      </c>
      <c r="Q280" s="13" t="n"/>
      <c r="R280" s="78">
        <f>CONCATENATE(N280,P280)</f>
        <v/>
      </c>
      <c r="S280" s="229">
        <f>M280*N280</f>
        <v/>
      </c>
      <c r="T280" s="230">
        <f>CONCATENATE(S280,Q280,P280)</f>
        <v/>
      </c>
      <c r="U280" s="206">
        <f>L280*M280</f>
        <v/>
      </c>
      <c r="V280" s="34" t="n"/>
      <c r="W280" s="34" t="n"/>
      <c r="X280" s="34" t="n"/>
    </row>
    <row r="281" ht="15.75" customHeight="1" thickBot="1">
      <c r="A281" s="183" t="n">
        <v>182</v>
      </c>
      <c r="B281" s="115" t="inlineStr">
        <is>
          <t>Graham Crushed</t>
        </is>
      </c>
      <c r="C281" s="115" t="n"/>
      <c r="D281" s="115">
        <f>IFERROR(__xludf.DUMMYFUNCTION("IF(J281="""",""n/a"",IFERROR(SPLIT(J281,""/"")))"),"M.Y San")</f>
        <v/>
      </c>
      <c r="E281" s="115">
        <f>IFERROR(__xludf.DUMMYFUNCTION("""COMPUTED_VALUE"""),"pack (200grams)")</f>
        <v/>
      </c>
      <c r="F281" s="115" t="n"/>
      <c r="G281" s="115" t="n"/>
      <c r="H281" s="11" t="inlineStr">
        <is>
          <t>CIP</t>
        </is>
      </c>
      <c r="I281" s="95" t="n"/>
      <c r="J281" s="93" t="inlineStr">
        <is>
          <t>M.Y San/pack (200grams)</t>
        </is>
      </c>
      <c r="K281" s="116" t="n"/>
      <c r="L281" s="90" t="n">
        <v>47.3</v>
      </c>
      <c r="M281" s="189" t="n">
        <v>5</v>
      </c>
      <c r="N281" s="13" t="n">
        <v>1</v>
      </c>
      <c r="O281" s="13">
        <f>E281</f>
        <v/>
      </c>
      <c r="P281" s="13" t="inlineStr">
        <is>
          <t>pieces</t>
        </is>
      </c>
      <c r="Q281" s="20" t="n"/>
      <c r="R281" s="5" t="n"/>
      <c r="S281" s="229">
        <f>M281*N281</f>
        <v/>
      </c>
      <c r="T281" s="230">
        <f>CONCATENATE(S281,Q281,P281)</f>
        <v/>
      </c>
      <c r="U281" s="206">
        <f>L281*M281</f>
        <v/>
      </c>
      <c r="V281" s="4" t="n"/>
      <c r="W281" s="4" t="n"/>
      <c r="X281" s="4" t="n"/>
    </row>
    <row r="282" ht="15.75" customHeight="1" thickBot="1">
      <c r="A282" s="183" t="n">
        <v>183</v>
      </c>
      <c r="B282" s="115" t="inlineStr">
        <is>
          <t>Grass Jelly</t>
        </is>
      </c>
      <c r="C282" s="115" t="n"/>
      <c r="D282" s="115">
        <f>IFERROR(__xludf.DUMMYFUNCTION("IF(J282="""",""n/a"",IFERROR(SPLIT(J282,""/"")))"),"Jolly")</f>
        <v/>
      </c>
      <c r="E282" s="115">
        <f>IFERROR(__xludf.DUMMYFUNCTION("""COMPUTED_VALUE"""),"can")</f>
        <v/>
      </c>
      <c r="F282" s="115">
        <f>IFERROR(__xludf.DUMMYFUNCTION("""COMPUTED_VALUE"""),"540grams")</f>
        <v/>
      </c>
      <c r="G282" s="115" t="n"/>
      <c r="H282" s="11" t="inlineStr">
        <is>
          <t>Annex</t>
        </is>
      </c>
      <c r="I282" s="6" t="n"/>
      <c r="J282" s="19" t="inlineStr">
        <is>
          <t>Jolly/can/540grams</t>
        </is>
      </c>
      <c r="K282" s="6" t="n"/>
      <c r="L282" s="8" t="n">
        <v>0.09444444444444444</v>
      </c>
      <c r="M282" s="190" t="n">
        <v>1080</v>
      </c>
      <c r="N282" s="17" t="n">
        <v>540</v>
      </c>
      <c r="O282" s="13">
        <f>E282</f>
        <v/>
      </c>
      <c r="P282" s="9" t="inlineStr">
        <is>
          <t>grams</t>
        </is>
      </c>
      <c r="Q282" s="13" t="n"/>
      <c r="R282" s="78">
        <f>CONCATENATE(N282,P282)</f>
        <v/>
      </c>
      <c r="S282" s="229">
        <f>M282*N282</f>
        <v/>
      </c>
      <c r="T282" s="230">
        <f>CONCATENATE(S282,Q282,P282)</f>
        <v/>
      </c>
      <c r="U282" s="206">
        <f>L282*M282</f>
        <v/>
      </c>
      <c r="V282" s="231" t="n"/>
      <c r="W282" s="236" t="n"/>
      <c r="X282" s="71" t="n"/>
    </row>
    <row r="283" ht="15.75" customHeight="1" thickBot="1">
      <c r="A283" s="183" t="n">
        <v>183</v>
      </c>
      <c r="B283" s="114" t="inlineStr">
        <is>
          <t>Grass Jelly</t>
        </is>
      </c>
      <c r="C283" s="114" t="n"/>
      <c r="D283" s="115">
        <f>IFERROR(__xludf.DUMMYFUNCTION("IF(J283="""",""n/a"",IFERROR(SPLIT(J283,""/"")))"),"n/a")</f>
        <v/>
      </c>
      <c r="E283" s="114" t="n"/>
      <c r="F283" s="114" t="n"/>
      <c r="G283" s="114" t="n"/>
      <c r="H283" s="84" t="inlineStr">
        <is>
          <t>F1</t>
        </is>
      </c>
      <c r="I283" s="7" t="n"/>
      <c r="J283" s="19" t="n"/>
      <c r="K283" s="7" t="n"/>
      <c r="L283" s="12" t="n">
        <v>0.0962962962962963</v>
      </c>
      <c r="M283" s="191" t="n">
        <v>1620</v>
      </c>
      <c r="N283" s="85" t="n">
        <v>540</v>
      </c>
      <c r="O283" s="13">
        <f>E283</f>
        <v/>
      </c>
      <c r="P283" s="9" t="inlineStr">
        <is>
          <t>grams</t>
        </is>
      </c>
      <c r="Q283" s="20" t="n"/>
      <c r="R283" s="5" t="n"/>
      <c r="S283" s="229">
        <f>M283*N283</f>
        <v/>
      </c>
      <c r="T283" s="230">
        <f>CONCATENATE(S283,Q283,P283)</f>
        <v/>
      </c>
      <c r="U283" s="206">
        <f>L283*M283</f>
        <v/>
      </c>
      <c r="V283" s="4" t="n"/>
      <c r="W283" s="4" t="n"/>
      <c r="X283" s="4" t="n"/>
    </row>
    <row r="284" ht="15.75" customHeight="1" thickBot="1">
      <c r="A284" s="183" t="n">
        <v>184</v>
      </c>
      <c r="B284" s="115" t="inlineStr">
        <is>
          <t>Great taste - White</t>
        </is>
      </c>
      <c r="C284" s="115" t="n"/>
      <c r="D284" s="115">
        <f>IFERROR(__xludf.DUMMYFUNCTION("IF(J284="""",""n/a"",IFERROR(SPLIT(J284,""/"")))"),"Great Taste")</f>
        <v/>
      </c>
      <c r="E284" s="115">
        <f>IFERROR(__xludf.DUMMYFUNCTION("""COMPUTED_VALUE"""),"pack (10pcsx30grams)")</f>
        <v/>
      </c>
      <c r="F284" s="115" t="n"/>
      <c r="G284" s="115" t="n"/>
      <c r="H284" s="11" t="inlineStr">
        <is>
          <t>Annex</t>
        </is>
      </c>
      <c r="I284" s="6" t="n"/>
      <c r="J284" s="19" t="inlineStr">
        <is>
          <t>Great Taste/pack (10pcsx30grams)</t>
        </is>
      </c>
      <c r="K284" s="6" t="n"/>
      <c r="L284" s="14" t="n">
        <v>7.72</v>
      </c>
      <c r="M284" s="190" t="n">
        <v>314</v>
      </c>
      <c r="N284" s="17" t="n">
        <v>1</v>
      </c>
      <c r="O284" s="13">
        <f>E284</f>
        <v/>
      </c>
      <c r="P284" s="9" t="inlineStr">
        <is>
          <t>pieces</t>
        </is>
      </c>
      <c r="Q284" s="13" t="n"/>
      <c r="R284" s="78">
        <f>CONCATENATE(N284,P284)</f>
        <v/>
      </c>
      <c r="S284" s="229">
        <f>M284*N284</f>
        <v/>
      </c>
      <c r="T284" s="230">
        <f>CONCATENATE(S284,Q284,P284)</f>
        <v/>
      </c>
      <c r="U284" s="206">
        <f>L284*M284</f>
        <v/>
      </c>
      <c r="V284" s="231" t="n"/>
      <c r="W284" s="236" t="n"/>
      <c r="X284" s="71" t="n"/>
    </row>
    <row r="285" ht="15.75" customHeight="1" thickBot="1">
      <c r="A285" s="183" t="n">
        <v>184</v>
      </c>
      <c r="B285" s="114" t="inlineStr">
        <is>
          <t>Great Taste - White</t>
        </is>
      </c>
      <c r="C285" s="114" t="n"/>
      <c r="D285" s="115">
        <f>IFERROR(__xludf.DUMMYFUNCTION("IF(J285="""",""n/a"",IFERROR(SPLIT(J285,""/"")))"),"n/a")</f>
        <v/>
      </c>
      <c r="E285" s="114" t="n"/>
      <c r="F285" s="114" t="n"/>
      <c r="G285" s="114" t="n"/>
      <c r="H285" s="84" t="inlineStr">
        <is>
          <t>F1</t>
        </is>
      </c>
      <c r="I285" s="7" t="n"/>
      <c r="J285" s="19" t="n"/>
      <c r="K285" s="7" t="n"/>
      <c r="L285" s="12" t="n">
        <v>7.9</v>
      </c>
      <c r="M285" s="191" t="n">
        <v>30</v>
      </c>
      <c r="N285" s="85" t="n">
        <v>10</v>
      </c>
      <c r="O285" s="13">
        <f>E285</f>
        <v/>
      </c>
      <c r="P285" s="23" t="inlineStr">
        <is>
          <t>pieces</t>
        </is>
      </c>
      <c r="Q285" s="20" t="n"/>
      <c r="R285" s="5" t="n"/>
      <c r="S285" s="229">
        <f>M285*N285</f>
        <v/>
      </c>
      <c r="T285" s="230">
        <f>CONCATENATE(S285,Q285,P285)</f>
        <v/>
      </c>
      <c r="U285" s="206">
        <f>L285*M285</f>
        <v/>
      </c>
      <c r="V285" s="4" t="n"/>
      <c r="W285" s="4" t="n"/>
      <c r="X285" s="4" t="n"/>
    </row>
    <row r="286" ht="15.75" customHeight="1" thickBot="1">
      <c r="A286" s="183" t="n">
        <v>185</v>
      </c>
      <c r="B286" s="122" t="inlineStr">
        <is>
          <t>Green Tea</t>
        </is>
      </c>
      <c r="C286" s="122" t="n"/>
      <c r="D286" s="115">
        <f>IFERROR(__xludf.DUMMYFUNCTION("IF(J286="""",""n/a"",IFERROR(SPLIT(J286,""/"")))"),"Lipton")</f>
        <v/>
      </c>
      <c r="E286" s="122">
        <f>IFERROR(__xludf.DUMMYFUNCTION("""COMPUTED_VALUE"""),"box (pcsx1.5grams)")</f>
        <v/>
      </c>
      <c r="F286" s="122" t="n"/>
      <c r="G286" s="122" t="n"/>
      <c r="H286" s="11" t="inlineStr">
        <is>
          <t>CIP</t>
        </is>
      </c>
      <c r="I286" s="95" t="n"/>
      <c r="J286" s="19" t="inlineStr">
        <is>
          <t>Lipton/box (pcsx1.5grams)</t>
        </is>
      </c>
      <c r="K286" s="5" t="n"/>
      <c r="L286" s="90" t="n">
        <v>8.59</v>
      </c>
      <c r="M286" s="189" t="n">
        <v>12</v>
      </c>
      <c r="N286" s="13" t="n">
        <v>14</v>
      </c>
      <c r="O286" s="13">
        <f>E286</f>
        <v/>
      </c>
      <c r="P286" s="13" t="inlineStr">
        <is>
          <t>pieces</t>
        </is>
      </c>
      <c r="Q286" s="20" t="n"/>
      <c r="R286" s="5" t="n"/>
      <c r="S286" s="229">
        <f>M286*N286</f>
        <v/>
      </c>
      <c r="T286" s="230">
        <f>CONCATENATE(S286,Q286,P286)</f>
        <v/>
      </c>
      <c r="U286" s="206">
        <f>L286*M286</f>
        <v/>
      </c>
      <c r="V286" s="4" t="n"/>
      <c r="W286" s="4" t="n"/>
      <c r="X286" s="4" t="n"/>
    </row>
    <row r="287" ht="15.75" customHeight="1" thickBot="1">
      <c r="A287" s="183" t="n">
        <v>185</v>
      </c>
      <c r="B287" s="114" t="inlineStr">
        <is>
          <t>Green Tea</t>
        </is>
      </c>
      <c r="C287" s="114" t="n"/>
      <c r="D287" s="115">
        <f>IFERROR(__xludf.DUMMYFUNCTION("IF(J287="""",""n/a"",IFERROR(SPLIT(J287,""/"")))"),"n/a")</f>
        <v/>
      </c>
      <c r="E287" s="114" t="n"/>
      <c r="F287" s="114" t="n"/>
      <c r="G287" s="114" t="n"/>
      <c r="H287" s="84" t="inlineStr">
        <is>
          <t>F1</t>
        </is>
      </c>
      <c r="I287" s="7" t="n"/>
      <c r="J287" s="19" t="n"/>
      <c r="K287" s="7" t="n"/>
      <c r="L287" s="12" t="n">
        <v>34.05714285714286</v>
      </c>
      <c r="M287" s="191" t="n">
        <v>50</v>
      </c>
      <c r="N287" s="85" t="n">
        <v>14</v>
      </c>
      <c r="O287" s="13">
        <f>E287</f>
        <v/>
      </c>
      <c r="P287" s="23" t="inlineStr">
        <is>
          <t>pieces</t>
        </is>
      </c>
      <c r="Q287" s="20" t="n"/>
      <c r="R287" s="5" t="n"/>
      <c r="S287" s="229">
        <f>M287*N287</f>
        <v/>
      </c>
      <c r="T287" s="230">
        <f>CONCATENATE(S287,Q287,P287)</f>
        <v/>
      </c>
      <c r="U287" s="206">
        <f>L287*M287</f>
        <v/>
      </c>
      <c r="V287" s="4" t="n"/>
      <c r="W287" s="4" t="n"/>
      <c r="X287" s="4" t="n"/>
    </row>
    <row r="288" ht="15.75" customHeight="1" thickBot="1">
      <c r="A288" s="183" t="n">
        <v>186</v>
      </c>
      <c r="B288" s="115" t="inlineStr">
        <is>
          <t>Ground Pepper</t>
        </is>
      </c>
      <c r="C288" s="115" t="n"/>
      <c r="D288" s="115">
        <f>IFERROR(__xludf.DUMMYFUNCTION("IF(J288="""",""n/a"",IFERROR(SPLIT(J288,""/"")))"),"n/a")</f>
        <v/>
      </c>
      <c r="E288" s="115" t="n"/>
      <c r="F288" s="115" t="n"/>
      <c r="G288" s="115" t="n"/>
      <c r="H288" s="84" t="inlineStr">
        <is>
          <t>F1</t>
        </is>
      </c>
      <c r="I288" s="7" t="n"/>
      <c r="J288" s="19" t="n"/>
      <c r="K288" s="7" t="n"/>
      <c r="L288" s="12" t="n">
        <v>1.966666666666667</v>
      </c>
      <c r="M288" s="191" t="n">
        <v>30</v>
      </c>
      <c r="N288" s="85" t="n">
        <v>30</v>
      </c>
      <c r="O288" s="13">
        <f>E288</f>
        <v/>
      </c>
      <c r="P288" s="9" t="inlineStr">
        <is>
          <t>grams</t>
        </is>
      </c>
      <c r="Q288" s="20" t="n"/>
      <c r="R288" s="5" t="n"/>
      <c r="S288" s="229">
        <f>M288*N288</f>
        <v/>
      </c>
      <c r="T288" s="230">
        <f>CONCATENATE(S288,Q288,P288)</f>
        <v/>
      </c>
      <c r="U288" s="206">
        <f>L288*M288</f>
        <v/>
      </c>
      <c r="V288" s="4" t="n"/>
      <c r="W288" s="4" t="n"/>
      <c r="X288" s="4" t="n"/>
    </row>
    <row r="289" ht="15.75" customHeight="1" thickBot="1">
      <c r="A289" s="183" t="n">
        <v>187</v>
      </c>
      <c r="B289" s="115" t="inlineStr">
        <is>
          <t>Gulaman - Buko Pandan</t>
        </is>
      </c>
      <c r="C289" s="115" t="n"/>
      <c r="D289" s="115">
        <f>IFERROR(__xludf.DUMMYFUNCTION("IF(J289="""",""n/a"",IFERROR(SPLIT(J289,""/"")))"),"Mr Gulaman")</f>
        <v/>
      </c>
      <c r="E289" s="115">
        <f>IFERROR(__xludf.DUMMYFUNCTION("""COMPUTED_VALUE"""),"box")</f>
        <v/>
      </c>
      <c r="F289" s="115">
        <f>IFERROR(__xludf.DUMMYFUNCTION("""COMPUTED_VALUE"""),"(10sachetx25grams)")</f>
        <v/>
      </c>
      <c r="G289" s="115" t="n"/>
      <c r="H289" s="11" t="inlineStr">
        <is>
          <t>Annex</t>
        </is>
      </c>
      <c r="I289" s="6" t="n"/>
      <c r="J289" s="19" t="inlineStr">
        <is>
          <t>Mr Gulaman/box/(10sachetx25grams)</t>
        </is>
      </c>
      <c r="K289" s="6" t="n"/>
      <c r="L289" s="8" t="n">
        <v>0.5056</v>
      </c>
      <c r="M289" s="190" t="n">
        <v>600</v>
      </c>
      <c r="N289" s="17" t="n">
        <v>25</v>
      </c>
      <c r="O289" s="13">
        <f>E289</f>
        <v/>
      </c>
      <c r="P289" s="9" t="inlineStr">
        <is>
          <t>grams</t>
        </is>
      </c>
      <c r="Q289" s="13" t="n"/>
      <c r="R289" s="78">
        <f>CONCATENATE(N289,P289)</f>
        <v/>
      </c>
      <c r="S289" s="229">
        <f>M289*N289</f>
        <v/>
      </c>
      <c r="T289" s="230">
        <f>CONCATENATE(S289,Q289,P289)</f>
        <v/>
      </c>
      <c r="U289" s="206">
        <f>L289*M289</f>
        <v/>
      </c>
      <c r="V289" s="231" t="n"/>
      <c r="W289" s="236" t="n"/>
      <c r="X289" s="71" t="n"/>
    </row>
    <row r="290" ht="15.75" customHeight="1" thickBot="1">
      <c r="A290" s="183" t="n">
        <v>188</v>
      </c>
      <c r="B290" s="115" t="inlineStr">
        <is>
          <t>Gulaman - Coffee</t>
        </is>
      </c>
      <c r="C290" s="115" t="n"/>
      <c r="D290" s="115">
        <f>IFERROR(__xludf.DUMMYFUNCTION("IF(J290="""",""n/a"",IFERROR(SPLIT(J290,""/"")))"),"Mr Gulaman")</f>
        <v/>
      </c>
      <c r="E290" s="115">
        <f>IFERROR(__xludf.DUMMYFUNCTION("""COMPUTED_VALUE"""),"box")</f>
        <v/>
      </c>
      <c r="F290" s="115">
        <f>IFERROR(__xludf.DUMMYFUNCTION("""COMPUTED_VALUE"""),"(10sachetx25grams)")</f>
        <v/>
      </c>
      <c r="G290" s="115" t="n"/>
      <c r="H290" s="11" t="inlineStr">
        <is>
          <t>Annex</t>
        </is>
      </c>
      <c r="I290" s="6" t="n"/>
      <c r="J290" s="19" t="inlineStr">
        <is>
          <t>Mr Gulaman/box/(10sachetx25grams)</t>
        </is>
      </c>
      <c r="K290" s="6" t="n"/>
      <c r="L290" s="8" t="n">
        <v>0.5128</v>
      </c>
      <c r="M290" s="190" t="n">
        <v>200</v>
      </c>
      <c r="N290" s="17" t="n">
        <v>25</v>
      </c>
      <c r="O290" s="13">
        <f>E290</f>
        <v/>
      </c>
      <c r="P290" s="9" t="inlineStr">
        <is>
          <t>grams</t>
        </is>
      </c>
      <c r="Q290" s="13" t="n"/>
      <c r="R290" s="78">
        <f>CONCATENATE(N290,P290)</f>
        <v/>
      </c>
      <c r="S290" s="229">
        <f>M290*N290</f>
        <v/>
      </c>
      <c r="T290" s="230">
        <f>CONCATENATE(S290,Q290,P290)</f>
        <v/>
      </c>
      <c r="U290" s="206">
        <f>L290*M290</f>
        <v/>
      </c>
      <c r="V290" s="231" t="n"/>
      <c r="W290" s="236" t="n"/>
      <c r="X290" s="71" t="n"/>
    </row>
    <row r="291" ht="15.75" customHeight="1" thickBot="1">
      <c r="A291" s="183" t="n">
        <v>189</v>
      </c>
      <c r="B291" s="114" t="inlineStr">
        <is>
          <t>Gulaman - Green</t>
        </is>
      </c>
      <c r="C291" s="114" t="n"/>
      <c r="D291" s="115">
        <f>IFERROR(__xludf.DUMMYFUNCTION("IF(J291="""",""n/a"",IFERROR(SPLIT(J291,""/"")))"),"Mr Gulaman")</f>
        <v/>
      </c>
      <c r="E291" s="114">
        <f>IFERROR(__xludf.DUMMYFUNCTION("""COMPUTED_VALUE"""),"box")</f>
        <v/>
      </c>
      <c r="F291" s="114">
        <f>IFERROR(__xludf.DUMMYFUNCTION("""COMPUTED_VALUE"""),"(10sachetx25grams)")</f>
        <v/>
      </c>
      <c r="G291" s="114" t="n"/>
      <c r="H291" s="11" t="inlineStr">
        <is>
          <t>CIP</t>
        </is>
      </c>
      <c r="I291" s="95" t="n"/>
      <c r="J291" s="93" t="inlineStr">
        <is>
          <t>Mr Gulaman/box/(10sachetx25grams)</t>
        </is>
      </c>
      <c r="K291" s="5" t="n"/>
      <c r="L291" s="90" t="n">
        <v>14</v>
      </c>
      <c r="M291" s="189" t="n">
        <v>10</v>
      </c>
      <c r="N291" s="13" t="n">
        <v>25</v>
      </c>
      <c r="O291" s="13">
        <f>E291</f>
        <v/>
      </c>
      <c r="P291" s="13" t="inlineStr">
        <is>
          <t>grams</t>
        </is>
      </c>
      <c r="Q291" s="20" t="n"/>
      <c r="R291" s="5" t="n"/>
      <c r="S291" s="229">
        <f>M291*N291</f>
        <v/>
      </c>
      <c r="T291" s="230">
        <f>CONCATENATE(S291,Q291,P291)</f>
        <v/>
      </c>
      <c r="U291" s="206">
        <f>L291*M291</f>
        <v/>
      </c>
      <c r="V291" s="4" t="n"/>
      <c r="W291" s="4" t="n"/>
      <c r="X291" s="4" t="n"/>
    </row>
    <row r="292" ht="15.75" customHeight="1" thickBot="1">
      <c r="A292" s="183" t="n">
        <v>189</v>
      </c>
      <c r="B292" s="115" t="inlineStr">
        <is>
          <t>Gulaman - Green</t>
        </is>
      </c>
      <c r="C292" s="115" t="n"/>
      <c r="D292" s="115">
        <f>IFERROR(__xludf.DUMMYFUNCTION("IF(J292="""",""n/a"",IFERROR(SPLIT(J292,""/"")))"),"Mr Gulaman")</f>
        <v/>
      </c>
      <c r="E292" s="115">
        <f>IFERROR(__xludf.DUMMYFUNCTION("""COMPUTED_VALUE"""),"box")</f>
        <v/>
      </c>
      <c r="F292" s="115">
        <f>IFERROR(__xludf.DUMMYFUNCTION("""COMPUTED_VALUE"""),"(10sachetx25grams)")</f>
        <v/>
      </c>
      <c r="G292" s="115" t="n"/>
      <c r="H292" s="84" t="inlineStr">
        <is>
          <t>F1</t>
        </is>
      </c>
      <c r="I292" s="7" t="n"/>
      <c r="J292" s="19" t="inlineStr">
        <is>
          <t>Mr Gulaman/box/(10sachetx25grams)</t>
        </is>
      </c>
      <c r="K292" s="7" t="n"/>
      <c r="L292" s="12" t="n">
        <v>1.282</v>
      </c>
      <c r="M292" s="192" t="n">
        <v>24</v>
      </c>
      <c r="N292" s="85" t="n">
        <v>10</v>
      </c>
      <c r="O292" s="13">
        <f>E292</f>
        <v/>
      </c>
      <c r="P292" s="12" t="inlineStr">
        <is>
          <t>grams</t>
        </is>
      </c>
      <c r="Q292" s="20" t="n"/>
      <c r="R292" s="5" t="n"/>
      <c r="S292" s="229">
        <f>M292*N292</f>
        <v/>
      </c>
      <c r="T292" s="230">
        <f>CONCATENATE(S292,Q292,P292)</f>
        <v/>
      </c>
      <c r="U292" s="206">
        <f>L292*M292</f>
        <v/>
      </c>
      <c r="V292" s="4" t="n"/>
      <c r="W292" s="4" t="n"/>
      <c r="X292" s="4" t="n"/>
    </row>
    <row r="293" ht="15.75" customHeight="1" thickBot="1">
      <c r="A293" s="183" t="n">
        <v>190</v>
      </c>
      <c r="B293" s="114" t="inlineStr">
        <is>
          <t>Gulaman - Mango</t>
        </is>
      </c>
      <c r="C293" s="114" t="n"/>
      <c r="D293" s="115">
        <f>IFERROR(__xludf.DUMMYFUNCTION("IF(J293="""",""n/a"",IFERROR(SPLIT(J293,""/"")))"),"Mr Gulaman")</f>
        <v/>
      </c>
      <c r="E293" s="114">
        <f>IFERROR(__xludf.DUMMYFUNCTION("""COMPUTED_VALUE"""),"box")</f>
        <v/>
      </c>
      <c r="F293" s="114">
        <f>IFERROR(__xludf.DUMMYFUNCTION("""COMPUTED_VALUE"""),"(10sachetx25grams)")</f>
        <v/>
      </c>
      <c r="G293" s="114" t="n"/>
      <c r="H293" s="11" t="inlineStr">
        <is>
          <t>CIP</t>
        </is>
      </c>
      <c r="I293" s="95" t="n"/>
      <c r="J293" s="93" t="inlineStr">
        <is>
          <t>Mr Gulaman/box/(10sachetx25grams)</t>
        </is>
      </c>
      <c r="K293" s="5" t="n"/>
      <c r="L293" s="90" t="n">
        <v>14</v>
      </c>
      <c r="M293" s="189" t="n">
        <v>20</v>
      </c>
      <c r="N293" s="13" t="n">
        <v>25</v>
      </c>
      <c r="O293" s="13">
        <f>E293</f>
        <v/>
      </c>
      <c r="P293" s="13" t="inlineStr">
        <is>
          <t>grams</t>
        </is>
      </c>
      <c r="Q293" s="20" t="n"/>
      <c r="R293" s="5" t="n"/>
      <c r="S293" s="229">
        <f>M293*N293</f>
        <v/>
      </c>
      <c r="T293" s="230">
        <f>CONCATENATE(S293,Q293,P293)</f>
        <v/>
      </c>
      <c r="U293" s="206">
        <f>L293*M293</f>
        <v/>
      </c>
      <c r="V293" s="4" t="n"/>
      <c r="W293" s="4" t="n"/>
      <c r="X293" s="4" t="n"/>
    </row>
    <row r="294" ht="15.75" customHeight="1" thickBot="1">
      <c r="A294" s="183" t="n">
        <v>191</v>
      </c>
      <c r="B294" s="114" t="inlineStr">
        <is>
          <t>Gulaman - Red</t>
        </is>
      </c>
      <c r="C294" s="114" t="n"/>
      <c r="D294" s="115">
        <f>IFERROR(__xludf.DUMMYFUNCTION("IF(J294="""",""n/a"",IFERROR(SPLIT(J294,""/"")))"),"Mr Gulaman")</f>
        <v/>
      </c>
      <c r="E294" s="114">
        <f>IFERROR(__xludf.DUMMYFUNCTION("""COMPUTED_VALUE"""),"box")</f>
        <v/>
      </c>
      <c r="F294" s="114">
        <f>IFERROR(__xludf.DUMMYFUNCTION("""COMPUTED_VALUE"""),"(10sachetx25grams)")</f>
        <v/>
      </c>
      <c r="G294" s="114" t="n"/>
      <c r="H294" s="11" t="inlineStr">
        <is>
          <t>CIP</t>
        </is>
      </c>
      <c r="I294" s="95" t="n"/>
      <c r="J294" s="93" t="inlineStr">
        <is>
          <t>Mr Gulaman/box/(10sachetx25grams)</t>
        </is>
      </c>
      <c r="K294" s="5" t="n"/>
      <c r="L294" s="90" t="n">
        <v>14</v>
      </c>
      <c r="M294" s="189" t="n">
        <v>5</v>
      </c>
      <c r="N294" s="13" t="n">
        <v>25</v>
      </c>
      <c r="O294" s="13">
        <f>E294</f>
        <v/>
      </c>
      <c r="P294" s="13" t="inlineStr">
        <is>
          <t>grams</t>
        </is>
      </c>
      <c r="Q294" s="20" t="n"/>
      <c r="R294" s="5" t="n"/>
      <c r="S294" s="229">
        <f>M294*N294</f>
        <v/>
      </c>
      <c r="T294" s="230">
        <f>CONCATENATE(S294,Q294,P294)</f>
        <v/>
      </c>
      <c r="U294" s="206">
        <f>L294*M294</f>
        <v/>
      </c>
      <c r="V294" s="4" t="n"/>
      <c r="W294" s="4" t="n"/>
      <c r="X294" s="4" t="n"/>
    </row>
    <row r="295" ht="15.75" customHeight="1" thickBot="1">
      <c r="A295" s="183" t="n">
        <v>191</v>
      </c>
      <c r="B295" s="115" t="inlineStr">
        <is>
          <t>Gulaman - Red</t>
        </is>
      </c>
      <c r="C295" s="115" t="n"/>
      <c r="D295" s="115">
        <f>IFERROR(__xludf.DUMMYFUNCTION("IF(J295="""",""n/a"",IFERROR(SPLIT(J295,""/"")))"),"Mr Gulaman")</f>
        <v/>
      </c>
      <c r="E295" s="115">
        <f>IFERROR(__xludf.DUMMYFUNCTION("""COMPUTED_VALUE"""),"box")</f>
        <v/>
      </c>
      <c r="F295" s="115">
        <f>IFERROR(__xludf.DUMMYFUNCTION("""COMPUTED_VALUE"""),"(10sachetx25grams)")</f>
        <v/>
      </c>
      <c r="G295" s="115" t="n"/>
      <c r="H295" s="84" t="inlineStr">
        <is>
          <t>F1</t>
        </is>
      </c>
      <c r="I295" s="7" t="n"/>
      <c r="J295" s="19" t="inlineStr">
        <is>
          <t>Mr Gulaman/box/(10sachetx25grams)</t>
        </is>
      </c>
      <c r="K295" s="7" t="n"/>
      <c r="L295" s="12" t="n">
        <v>12.55</v>
      </c>
      <c r="M295" s="192" t="n">
        <v>10</v>
      </c>
      <c r="N295" s="85" t="n">
        <v>10</v>
      </c>
      <c r="O295" s="13">
        <f>E295</f>
        <v/>
      </c>
      <c r="P295" s="9" t="inlineStr">
        <is>
          <t>grams</t>
        </is>
      </c>
      <c r="Q295" s="20" t="n"/>
      <c r="R295" s="5" t="n"/>
      <c r="S295" s="229">
        <f>M295*N295</f>
        <v/>
      </c>
      <c r="T295" s="230">
        <f>CONCATENATE(S295,Q295,P295)</f>
        <v/>
      </c>
      <c r="U295" s="206">
        <f>L295*M295</f>
        <v/>
      </c>
      <c r="V295" s="4" t="n"/>
      <c r="W295" s="4" t="n"/>
      <c r="X295" s="4" t="n"/>
    </row>
    <row r="296" ht="15.75" customHeight="1" thickBot="1">
      <c r="A296" s="183" t="n">
        <v>192</v>
      </c>
      <c r="B296" s="114" t="inlineStr">
        <is>
          <t>Gulaman - White</t>
        </is>
      </c>
      <c r="C296" s="114" t="n"/>
      <c r="D296" s="115">
        <f>IFERROR(__xludf.DUMMYFUNCTION("IF(J296="""",""n/a"",IFERROR(SPLIT(J296,""/"")))"),"Mr Gulaman")</f>
        <v/>
      </c>
      <c r="E296" s="114">
        <f>IFERROR(__xludf.DUMMYFUNCTION("""COMPUTED_VALUE"""),"box")</f>
        <v/>
      </c>
      <c r="F296" s="114">
        <f>IFERROR(__xludf.DUMMYFUNCTION("""COMPUTED_VALUE"""),"(10sachetx25grams)")</f>
        <v/>
      </c>
      <c r="G296" s="114" t="n"/>
      <c r="H296" s="11" t="inlineStr">
        <is>
          <t>CIP</t>
        </is>
      </c>
      <c r="I296" s="95" t="n"/>
      <c r="J296" s="93" t="inlineStr">
        <is>
          <t>Mr Gulaman/box/(10sachetx25grams)</t>
        </is>
      </c>
      <c r="K296" s="5" t="n"/>
      <c r="L296" s="90" t="n">
        <v>14</v>
      </c>
      <c r="M296" s="189" t="n">
        <v>20</v>
      </c>
      <c r="N296" s="13" t="n">
        <v>25</v>
      </c>
      <c r="O296" s="13">
        <f>E296</f>
        <v/>
      </c>
      <c r="P296" s="13" t="inlineStr">
        <is>
          <t>grams</t>
        </is>
      </c>
      <c r="Q296" s="20" t="n"/>
      <c r="R296" s="5" t="n"/>
      <c r="S296" s="229">
        <f>M296*N296</f>
        <v/>
      </c>
      <c r="T296" s="230">
        <f>CONCATENATE(S296,Q296,P296)</f>
        <v/>
      </c>
      <c r="U296" s="206">
        <f>L296*M296</f>
        <v/>
      </c>
      <c r="V296" s="4" t="n"/>
      <c r="W296" s="4" t="n"/>
      <c r="X296" s="4" t="n"/>
    </row>
    <row r="297" ht="15.75" customHeight="1" thickBot="1">
      <c r="A297" s="183" t="n">
        <v>192</v>
      </c>
      <c r="B297" s="114" t="inlineStr">
        <is>
          <t>Gulaman - White</t>
        </is>
      </c>
      <c r="C297" s="114" t="n"/>
      <c r="D297" s="115">
        <f>IFERROR(__xludf.DUMMYFUNCTION("IF(J297="""",""n/a"",IFERROR(SPLIT(J297,""/"")))"),"Mr Gulaman")</f>
        <v/>
      </c>
      <c r="E297" s="114">
        <f>IFERROR(__xludf.DUMMYFUNCTION("""COMPUTED_VALUE"""),"box")</f>
        <v/>
      </c>
      <c r="F297" s="114">
        <f>IFERROR(__xludf.DUMMYFUNCTION("""COMPUTED_VALUE"""),"(10sachetx25grams)")</f>
        <v/>
      </c>
      <c r="G297" s="114" t="n"/>
      <c r="H297" s="84" t="inlineStr">
        <is>
          <t>F1</t>
        </is>
      </c>
      <c r="I297" s="7" t="n"/>
      <c r="J297" s="19" t="inlineStr">
        <is>
          <t>Mr Gulaman/box/(10sachetx25grams)</t>
        </is>
      </c>
      <c r="K297" s="7" t="n"/>
      <c r="L297" s="12" t="n">
        <v>12.55</v>
      </c>
      <c r="M297" s="192" t="n">
        <v>44</v>
      </c>
      <c r="N297" s="85" t="n">
        <v>10</v>
      </c>
      <c r="O297" s="13">
        <f>E297</f>
        <v/>
      </c>
      <c r="P297" s="9" t="inlineStr">
        <is>
          <t>grams</t>
        </is>
      </c>
      <c r="Q297" s="20" t="n"/>
      <c r="R297" s="5" t="n"/>
      <c r="S297" s="229">
        <f>M297*N297</f>
        <v/>
      </c>
      <c r="T297" s="230">
        <f>CONCATENATE(S297,Q297,P297)</f>
        <v/>
      </c>
      <c r="U297" s="206">
        <f>L297*M297</f>
        <v/>
      </c>
      <c r="V297" s="4" t="n"/>
      <c r="W297" s="4" t="n"/>
      <c r="X297" s="4" t="n"/>
    </row>
    <row r="298" ht="15.75" customHeight="1" thickBot="1">
      <c r="A298" s="183" t="n">
        <v>193</v>
      </c>
      <c r="B298" s="115" t="inlineStr">
        <is>
          <t>Gulaman - Yellow</t>
        </is>
      </c>
      <c r="C298" s="115" t="n"/>
      <c r="D298" s="115">
        <f>IFERROR(__xludf.DUMMYFUNCTION("IF(J298="""",""n/a"",IFERROR(SPLIT(J298,""/"")))"),"Mr Gulaman")</f>
        <v/>
      </c>
      <c r="E298" s="115">
        <f>IFERROR(__xludf.DUMMYFUNCTION("""COMPUTED_VALUE"""),"box")</f>
        <v/>
      </c>
      <c r="F298" s="115">
        <f>IFERROR(__xludf.DUMMYFUNCTION("""COMPUTED_VALUE"""),"(10sachetx25grams)")</f>
        <v/>
      </c>
      <c r="G298" s="115" t="n"/>
      <c r="H298" s="84" t="inlineStr">
        <is>
          <t>F1</t>
        </is>
      </c>
      <c r="I298" s="7" t="n"/>
      <c r="J298" s="19" t="inlineStr">
        <is>
          <t>Mr Gulaman/box/(10sachetx25grams)</t>
        </is>
      </c>
      <c r="K298" s="7" t="n"/>
      <c r="L298" s="12" t="n">
        <v>5.229166666666667</v>
      </c>
      <c r="M298" s="192" t="n">
        <v>12</v>
      </c>
      <c r="N298" s="85" t="n">
        <v>24</v>
      </c>
      <c r="O298" s="13">
        <f>E298</f>
        <v/>
      </c>
      <c r="P298" s="12" t="inlineStr">
        <is>
          <t>grams</t>
        </is>
      </c>
      <c r="Q298" s="20" t="n"/>
      <c r="R298" s="5" t="n"/>
      <c r="S298" s="229">
        <f>M298*N298</f>
        <v/>
      </c>
      <c r="T298" s="230">
        <f>CONCATENATE(S298,Q298,P298)</f>
        <v/>
      </c>
      <c r="U298" s="206">
        <f>L298*M298</f>
        <v/>
      </c>
      <c r="V298" s="4" t="n"/>
      <c r="W298" s="4" t="n"/>
      <c r="X298" s="4" t="n"/>
    </row>
    <row r="299" ht="15.75" customHeight="1" thickBot="1">
      <c r="A299" s="183" t="n">
        <v>194</v>
      </c>
      <c r="B299" s="114" t="inlineStr">
        <is>
          <t>Guyabano Juice</t>
        </is>
      </c>
      <c r="C299" s="114" t="n"/>
      <c r="D299" s="115">
        <f>IFERROR(__xludf.DUMMYFUNCTION("IF(J299="""",""n/a"",IFERROR(SPLIT(J299,""/"")))"),"ZEST-O Big 250")</f>
        <v/>
      </c>
      <c r="E299" s="114">
        <f>IFERROR(__xludf.DUMMYFUNCTION("""COMPUTED_VALUE"""),"box (10x250ml)")</f>
        <v/>
      </c>
      <c r="F299" s="114" t="n"/>
      <c r="G299" s="114" t="n"/>
      <c r="H299" s="11" t="inlineStr">
        <is>
          <t>CIP</t>
        </is>
      </c>
      <c r="I299" s="6" t="n"/>
      <c r="J299" s="19" t="inlineStr">
        <is>
          <t>ZEST-O Big 250/box (10x250ml)</t>
        </is>
      </c>
      <c r="K299" s="5" t="n"/>
      <c r="L299" s="90" t="n">
        <v>8.859999999999999</v>
      </c>
      <c r="M299" s="189" t="n">
        <v>190</v>
      </c>
      <c r="N299" s="13" t="n">
        <v>1</v>
      </c>
      <c r="O299" s="13">
        <f>E299</f>
        <v/>
      </c>
      <c r="P299" s="13" t="inlineStr">
        <is>
          <t>pieces</t>
        </is>
      </c>
      <c r="Q299" s="20" t="n"/>
      <c r="R299" s="5" t="n"/>
      <c r="S299" s="229">
        <f>M299*N299</f>
        <v/>
      </c>
      <c r="T299" s="230">
        <f>CONCATENATE(S299,Q299,P299)</f>
        <v/>
      </c>
      <c r="U299" s="206">
        <f>L299*M299</f>
        <v/>
      </c>
      <c r="V299" s="4" t="n"/>
      <c r="W299" s="4" t="n"/>
      <c r="X299" s="4" t="n"/>
    </row>
    <row r="300" ht="15.75" customHeight="1" thickBot="1">
      <c r="A300" s="183" t="n">
        <v>195</v>
      </c>
      <c r="B300" s="114" t="inlineStr">
        <is>
          <t>Hand Gloves</t>
        </is>
      </c>
      <c r="C300" s="114" t="n"/>
      <c r="D300" s="115">
        <f>IFERROR(__xludf.DUMMYFUNCTION("IF(J300="""",""n/a"",IFERROR(SPLIT(J300,""/"")))"),"My Eveyday ( 1 X 100 )")</f>
        <v/>
      </c>
      <c r="E300" s="114" t="n"/>
      <c r="F300" s="114" t="n"/>
      <c r="G300" s="114" t="n"/>
      <c r="H300" s="11" t="inlineStr">
        <is>
          <t>CIP</t>
        </is>
      </c>
      <c r="I300" s="95" t="n"/>
      <c r="J300" s="93" t="inlineStr">
        <is>
          <t>My Eveyday ( 1 X 100 )</t>
        </is>
      </c>
      <c r="K300" s="116" t="n"/>
      <c r="L300" s="90" t="n">
        <v>49</v>
      </c>
      <c r="M300" s="189" t="n">
        <v>20</v>
      </c>
      <c r="N300" s="13" t="n">
        <v>1</v>
      </c>
      <c r="O300" s="13">
        <f>E300</f>
        <v/>
      </c>
      <c r="P300" s="13" t="inlineStr">
        <is>
          <t>pieces</t>
        </is>
      </c>
      <c r="Q300" s="20" t="n"/>
      <c r="R300" s="5" t="n"/>
      <c r="S300" s="229">
        <f>M300*N300</f>
        <v/>
      </c>
      <c r="T300" s="230">
        <f>CONCATENATE(S300,Q300,P300)</f>
        <v/>
      </c>
      <c r="U300" s="206">
        <f>L300*M300</f>
        <v/>
      </c>
      <c r="V300" s="4" t="n"/>
      <c r="W300" s="4" t="n"/>
      <c r="X300" s="4" t="n"/>
    </row>
    <row r="301" ht="15.75" customHeight="1" thickBot="1">
      <c r="A301" s="183" t="n">
        <v>196</v>
      </c>
      <c r="B301" s="114" t="inlineStr">
        <is>
          <t>Hand Sanitizer</t>
        </is>
      </c>
      <c r="C301" s="114" t="n"/>
      <c r="D301" s="115">
        <f>IFERROR(__xludf.DUMMYFUNCTION("IF(J301="""",""n/a"",IFERROR(SPLIT(J301,""/"")))"),"n/a")</f>
        <v/>
      </c>
      <c r="E301" s="114" t="n"/>
      <c r="F301" s="114" t="n"/>
      <c r="G301" s="114" t="n"/>
      <c r="H301" s="84" t="inlineStr">
        <is>
          <t>F1</t>
        </is>
      </c>
      <c r="I301" s="7" t="n"/>
      <c r="J301" s="19" t="n"/>
      <c r="K301" s="7" t="n"/>
      <c r="L301" s="12" t="n">
        <v>607</v>
      </c>
      <c r="M301" s="191" t="n">
        <v>0.5</v>
      </c>
      <c r="N301" s="85" t="n">
        <v>1</v>
      </c>
      <c r="O301" s="13">
        <f>E301</f>
        <v/>
      </c>
      <c r="P301" s="9" t="inlineStr">
        <is>
          <t>gal</t>
        </is>
      </c>
      <c r="Q301" s="20" t="n"/>
      <c r="R301" s="5" t="n"/>
      <c r="S301" s="229">
        <f>M301*N301</f>
        <v/>
      </c>
      <c r="T301" s="230">
        <f>CONCATENATE(S301,Q301,P301)</f>
        <v/>
      </c>
      <c r="U301" s="206">
        <f>L301*M301</f>
        <v/>
      </c>
      <c r="V301" s="4" t="n"/>
      <c r="W301" s="4" t="n"/>
      <c r="X301" s="4" t="n"/>
    </row>
    <row r="302" ht="15.75" customHeight="1" thickBot="1">
      <c r="A302" s="183" t="n">
        <v>197</v>
      </c>
      <c r="B302" s="115" t="inlineStr">
        <is>
          <t>Hansel Cracker - Plain</t>
        </is>
      </c>
      <c r="C302" s="115" t="n"/>
      <c r="D302" s="115">
        <f>IFERROR(__xludf.DUMMYFUNCTION("IF(J302="""",""n/a"",IFERROR(SPLIT(J302,""/"")))"),"Rebisco")</f>
        <v/>
      </c>
      <c r="E302" s="115">
        <f>IFERROR(__xludf.DUMMYFUNCTION("""COMPUTED_VALUE"""),"pack (10pcsx32grams)")</f>
        <v/>
      </c>
      <c r="F302" s="115" t="n"/>
      <c r="G302" s="115" t="n"/>
      <c r="H302" s="11" t="inlineStr">
        <is>
          <t>CIP</t>
        </is>
      </c>
      <c r="I302" s="95" t="n"/>
      <c r="J302" s="93" t="inlineStr">
        <is>
          <t>Rebisco/pack (10pcsx32grams)</t>
        </is>
      </c>
      <c r="K302" s="116" t="n"/>
      <c r="L302" s="90" t="n">
        <v>5.8</v>
      </c>
      <c r="M302" s="189" t="n">
        <v>600</v>
      </c>
      <c r="N302" s="13" t="n">
        <v>1</v>
      </c>
      <c r="O302" s="13">
        <f>E302</f>
        <v/>
      </c>
      <c r="P302" s="13" t="inlineStr">
        <is>
          <t>pieces</t>
        </is>
      </c>
      <c r="Q302" s="20" t="n"/>
      <c r="R302" s="5" t="n"/>
      <c r="S302" s="229">
        <f>M302*N302</f>
        <v/>
      </c>
      <c r="T302" s="230">
        <f>CONCATENATE(S302,Q302,P302)</f>
        <v/>
      </c>
      <c r="U302" s="206">
        <f>L302*M302</f>
        <v/>
      </c>
      <c r="V302" s="4" t="n"/>
      <c r="W302" s="4" t="n"/>
      <c r="X302" s="4" t="n"/>
    </row>
    <row r="303" ht="15.75" customHeight="1" thickBot="1">
      <c r="A303" s="183" t="n">
        <v>198</v>
      </c>
      <c r="B303" s="115" t="inlineStr">
        <is>
          <t>Hansel Crackers - Milk</t>
        </is>
      </c>
      <c r="C303" s="115" t="n"/>
      <c r="D303" s="115">
        <f>IFERROR(__xludf.DUMMYFUNCTION("IF(J303="""",""n/a"",IFERROR(SPLIT(J303,""/"")))"),"Rebisco")</f>
        <v/>
      </c>
      <c r="E303" s="115">
        <f>IFERROR(__xludf.DUMMYFUNCTION("""COMPUTED_VALUE"""),"pack (10pcsx31grams)")</f>
        <v/>
      </c>
      <c r="F303" s="115" t="n"/>
      <c r="G303" s="115" t="n"/>
      <c r="H303" s="11" t="inlineStr">
        <is>
          <t>CIP</t>
        </is>
      </c>
      <c r="I303" s="95" t="n"/>
      <c r="J303" s="93" t="inlineStr">
        <is>
          <t>Rebisco/pack (10pcsx31grams)</t>
        </is>
      </c>
      <c r="K303" s="116" t="n"/>
      <c r="L303" s="90" t="n">
        <v>5.79</v>
      </c>
      <c r="M303" s="189" t="n">
        <v>200</v>
      </c>
      <c r="N303" s="13" t="n">
        <v>1</v>
      </c>
      <c r="O303" s="13">
        <f>E303</f>
        <v/>
      </c>
      <c r="P303" s="13" t="inlineStr">
        <is>
          <t>pieces</t>
        </is>
      </c>
      <c r="Q303" s="20" t="n"/>
      <c r="R303" s="5" t="n"/>
      <c r="S303" s="229">
        <f>M303*N303</f>
        <v/>
      </c>
      <c r="T303" s="230">
        <f>CONCATENATE(S303,Q303,P303)</f>
        <v/>
      </c>
      <c r="U303" s="206">
        <f>L303*M303</f>
        <v/>
      </c>
      <c r="V303" s="4" t="n"/>
      <c r="W303" s="4" t="n"/>
      <c r="X303" s="4" t="n"/>
    </row>
    <row r="304" ht="15.75" customHeight="1" thickBot="1">
      <c r="A304" s="183" t="n">
        <v>199</v>
      </c>
      <c r="B304" s="115" t="inlineStr">
        <is>
          <t>Hansel Crackers - Mocha</t>
        </is>
      </c>
      <c r="C304" s="115" t="n"/>
      <c r="D304" s="115">
        <f>IFERROR(__xludf.DUMMYFUNCTION("IF(J304="""",""n/a"",IFERROR(SPLIT(J304,""/"")))"),"Rebisco")</f>
        <v/>
      </c>
      <c r="E304" s="115">
        <f>IFERROR(__xludf.DUMMYFUNCTION("""COMPUTED_VALUE"""),"pack (10pcsx31grams)")</f>
        <v/>
      </c>
      <c r="F304" s="115" t="n"/>
      <c r="G304" s="115" t="n"/>
      <c r="H304" s="11" t="inlineStr">
        <is>
          <t>CIP</t>
        </is>
      </c>
      <c r="I304" s="95" t="n"/>
      <c r="J304" s="93" t="inlineStr">
        <is>
          <t>Rebisco/pack (10pcsx31grams)</t>
        </is>
      </c>
      <c r="K304" s="116" t="n"/>
      <c r="L304" s="90" t="n">
        <v>5.79</v>
      </c>
      <c r="M304" s="189" t="n">
        <v>220</v>
      </c>
      <c r="N304" s="13" t="n">
        <v>1</v>
      </c>
      <c r="O304" s="13">
        <f>E304</f>
        <v/>
      </c>
      <c r="P304" s="13" t="inlineStr">
        <is>
          <t>pieces</t>
        </is>
      </c>
      <c r="Q304" s="20" t="n"/>
      <c r="R304" s="5" t="n"/>
      <c r="S304" s="229">
        <f>M304*N304</f>
        <v/>
      </c>
      <c r="T304" s="230">
        <f>CONCATENATE(S304,Q304,P304)</f>
        <v/>
      </c>
      <c r="U304" s="206">
        <f>L304*M304</f>
        <v/>
      </c>
      <c r="V304" s="4" t="n"/>
      <c r="W304" s="4" t="n"/>
      <c r="X304" s="4" t="n"/>
    </row>
    <row r="305" ht="15.75" customHeight="1" thickBot="1">
      <c r="A305" s="183" t="n">
        <v>200</v>
      </c>
      <c r="B305" s="114" t="inlineStr">
        <is>
          <t>Hany Milk</t>
        </is>
      </c>
      <c r="C305" s="114" t="n"/>
      <c r="D305" s="115">
        <f>IFERROR(__xludf.DUMMYFUNCTION("IF(J305="""",""n/a"",IFERROR(SPLIT(J305,""/"")))"),"n/a")</f>
        <v/>
      </c>
      <c r="E305" s="114" t="n"/>
      <c r="F305" s="114" t="n"/>
      <c r="G305" s="114" t="n"/>
      <c r="H305" s="84" t="inlineStr">
        <is>
          <t>F1</t>
        </is>
      </c>
      <c r="I305" s="7" t="n"/>
      <c r="J305" s="19" t="n"/>
      <c r="K305" s="7" t="n"/>
      <c r="L305" s="12" t="n">
        <v>0.06416666666666666</v>
      </c>
      <c r="M305" s="191" t="n">
        <v>785</v>
      </c>
      <c r="N305" s="85" t="n">
        <v>24</v>
      </c>
      <c r="O305" s="13">
        <f>E305</f>
        <v/>
      </c>
      <c r="P305" s="9" t="inlineStr">
        <is>
          <t>packs</t>
        </is>
      </c>
      <c r="Q305" s="20" t="n"/>
      <c r="R305" s="5" t="n"/>
      <c r="S305" s="229">
        <f>M305*N305</f>
        <v/>
      </c>
      <c r="T305" s="230">
        <f>CONCATENATE(S305,Q305,P305)</f>
        <v/>
      </c>
      <c r="U305" s="206">
        <f>L305*M305</f>
        <v/>
      </c>
      <c r="V305" s="4" t="n"/>
      <c r="W305" s="4" t="n"/>
      <c r="X305" s="4" t="n"/>
    </row>
    <row r="306" ht="15.75" customHeight="1" thickBot="1">
      <c r="A306" s="183" t="n">
        <v>201</v>
      </c>
      <c r="B306" s="114" t="inlineStr">
        <is>
          <t>Hello Panda Caramel</t>
        </is>
      </c>
      <c r="C306" s="114" t="n"/>
      <c r="D306" s="115">
        <f>IFERROR(__xludf.DUMMYFUNCTION("IF(J306="""",""n/a"",IFERROR(SPLIT(J306,""/"")))"),"n/a")</f>
        <v/>
      </c>
      <c r="E306" s="114" t="n"/>
      <c r="F306" s="114" t="n"/>
      <c r="G306" s="114" t="n"/>
      <c r="H306" s="84" t="inlineStr">
        <is>
          <t>F1</t>
        </is>
      </c>
      <c r="I306" s="7" t="n"/>
      <c r="J306" s="19" t="n"/>
      <c r="K306" s="7" t="n"/>
      <c r="L306" s="12" t="n">
        <v>5.12</v>
      </c>
      <c r="M306" s="192" t="n">
        <v>5</v>
      </c>
      <c r="N306" s="85" t="n">
        <v>1</v>
      </c>
      <c r="O306" s="13">
        <f>E306</f>
        <v/>
      </c>
      <c r="P306" s="9" t="inlineStr">
        <is>
          <t>pieces</t>
        </is>
      </c>
      <c r="Q306" s="20" t="n"/>
      <c r="R306" s="5" t="n"/>
      <c r="S306" s="229">
        <f>M306*N306</f>
        <v/>
      </c>
      <c r="T306" s="230">
        <f>CONCATENATE(S306,Q306,P306)</f>
        <v/>
      </c>
      <c r="U306" s="206">
        <f>L306*M306</f>
        <v/>
      </c>
      <c r="V306" s="4" t="n"/>
      <c r="W306" s="4" t="n"/>
      <c r="X306" s="4" t="n"/>
    </row>
    <row r="307" ht="15.75" customHeight="1" thickBot="1">
      <c r="A307" s="183" t="n">
        <v>202</v>
      </c>
      <c r="B307" s="115" t="inlineStr">
        <is>
          <t>Hello Wafer Strawberry</t>
        </is>
      </c>
      <c r="C307" s="115" t="n"/>
      <c r="D307" s="115">
        <f>IFERROR(__xludf.DUMMYFUNCTION("IF(J307="""",""n/a"",IFERROR(SPLIT(J307,""/"")))"),"Jack n Jill")</f>
        <v/>
      </c>
      <c r="E307" s="115">
        <f>IFERROR(__xludf.DUMMYFUNCTION("""COMPUTED_VALUE"""),"pack (10pcsX15grams)")</f>
        <v/>
      </c>
      <c r="F307" s="115" t="n"/>
      <c r="G307" s="115" t="n"/>
      <c r="H307" s="11" t="inlineStr">
        <is>
          <t>CIP</t>
        </is>
      </c>
      <c r="I307" s="95" t="n"/>
      <c r="J307" s="93" t="inlineStr">
        <is>
          <t>Jack n Jill/pack (10pcsX15grams)</t>
        </is>
      </c>
      <c r="K307" s="116" t="n"/>
      <c r="L307" s="90" t="n">
        <v>6.56</v>
      </c>
      <c r="M307" s="189" t="n">
        <v>28</v>
      </c>
      <c r="N307" s="13" t="n">
        <v>1</v>
      </c>
      <c r="O307" s="13">
        <f>E307</f>
        <v/>
      </c>
      <c r="P307" s="13" t="inlineStr">
        <is>
          <t>pieces</t>
        </is>
      </c>
      <c r="Q307" s="20" t="n"/>
      <c r="R307" s="5" t="n"/>
      <c r="S307" s="229">
        <f>M307*N307</f>
        <v/>
      </c>
      <c r="T307" s="230">
        <f>CONCATENATE(S307,Q307,P307)</f>
        <v/>
      </c>
      <c r="U307" s="206">
        <f>L307*M307</f>
        <v/>
      </c>
      <c r="V307" s="4" t="n"/>
      <c r="W307" s="4" t="n"/>
      <c r="X307" s="4" t="n"/>
    </row>
    <row r="308" ht="15.75" customHeight="1" thickBot="1">
      <c r="A308" s="183" t="n">
        <v>203</v>
      </c>
      <c r="B308" s="114" t="inlineStr">
        <is>
          <t>Hi-ho</t>
        </is>
      </c>
      <c r="C308" s="114" t="n"/>
      <c r="D308" s="115">
        <f>IFERROR(__xludf.DUMMYFUNCTION("IF(J308="""",""n/a"",IFERROR(SPLIT(J308,""/"")))"),"n/a")</f>
        <v/>
      </c>
      <c r="E308" s="114" t="n"/>
      <c r="F308" s="114" t="n"/>
      <c r="G308" s="114" t="n"/>
      <c r="H308" s="84" t="inlineStr">
        <is>
          <t>F1</t>
        </is>
      </c>
      <c r="I308" s="7" t="n"/>
      <c r="J308" s="19" t="n"/>
      <c r="K308" s="7" t="n"/>
      <c r="L308" s="12" t="n">
        <v>14.203</v>
      </c>
      <c r="M308" s="191" t="n">
        <v>2</v>
      </c>
      <c r="N308" s="86" t="n">
        <v>50</v>
      </c>
      <c r="O308" s="13">
        <f>E308</f>
        <v/>
      </c>
      <c r="P308" s="23" t="inlineStr">
        <is>
          <t>pieces</t>
        </is>
      </c>
      <c r="Q308" s="20" t="n"/>
      <c r="R308" s="5" t="n"/>
      <c r="S308" s="229">
        <f>M308*N308</f>
        <v/>
      </c>
      <c r="T308" s="230">
        <f>CONCATENATE(S308,Q308,P308)</f>
        <v/>
      </c>
      <c r="U308" s="206">
        <f>L308*M308</f>
        <v/>
      </c>
      <c r="V308" s="4" t="n"/>
      <c r="W308" s="4" t="n"/>
      <c r="X308" s="4" t="n"/>
    </row>
    <row r="309" ht="15.75" customHeight="1" thickBot="1">
      <c r="A309" s="183" t="n">
        <v>204</v>
      </c>
      <c r="B309" s="114" t="inlineStr">
        <is>
          <t>Hipon ( 30 )</t>
        </is>
      </c>
      <c r="C309" s="114" t="n"/>
      <c r="D309" s="115">
        <f>IFERROR(__xludf.DUMMYFUNCTION("IF(J309="""",""n/a"",IFERROR(SPLIT(J309,""/"")))"),"n/a")</f>
        <v/>
      </c>
      <c r="E309" s="114" t="n"/>
      <c r="F309" s="114" t="n"/>
      <c r="G309" s="114" t="n"/>
      <c r="H309" s="84" t="inlineStr">
        <is>
          <t>F1</t>
        </is>
      </c>
      <c r="I309" s="7" t="n"/>
      <c r="J309" s="19" t="n"/>
      <c r="K309" s="7" t="n"/>
      <c r="L309" s="12" t="n">
        <v>0.52</v>
      </c>
      <c r="M309" s="192" t="n">
        <v>1000</v>
      </c>
      <c r="N309" s="85" t="n">
        <v>1000</v>
      </c>
      <c r="O309" s="13">
        <f>E309</f>
        <v/>
      </c>
      <c r="P309" s="9" t="inlineStr">
        <is>
          <t>grams</t>
        </is>
      </c>
      <c r="Q309" s="20" t="n"/>
      <c r="R309" s="5" t="n"/>
      <c r="S309" s="229">
        <f>M309*N309</f>
        <v/>
      </c>
      <c r="T309" s="230">
        <f>CONCATENATE(S309,Q309,P309)</f>
        <v/>
      </c>
      <c r="U309" s="206">
        <f>L309*M309</f>
        <v/>
      </c>
      <c r="V309" s="4" t="n"/>
      <c r="W309" s="4" t="n"/>
      <c r="X309" s="4" t="n"/>
    </row>
    <row r="310" ht="15.75" customHeight="1" thickBot="1">
      <c r="A310" s="183" t="n">
        <v>205</v>
      </c>
      <c r="B310" s="115" t="inlineStr">
        <is>
          <t>Hiro</t>
        </is>
      </c>
      <c r="C310" s="115" t="n"/>
      <c r="D310" s="115">
        <f>IFERROR(__xludf.DUMMYFUNCTION("IF(J310="""",""n/a"",IFERROR(SPLIT(J310,""/"")))"),"Fibisco")</f>
        <v/>
      </c>
      <c r="E310" s="115">
        <f>IFERROR(__xludf.DUMMYFUNCTION("""COMPUTED_VALUE"""),"pack (10pcsx33grams)")</f>
        <v/>
      </c>
      <c r="F310" s="115" t="n"/>
      <c r="G310" s="115" t="n"/>
      <c r="H310" s="11" t="inlineStr">
        <is>
          <t>Annex</t>
        </is>
      </c>
      <c r="I310" s="6" t="n"/>
      <c r="J310" s="19" t="inlineStr">
        <is>
          <t>Fibisco/pack (10pcsx33grams)</t>
        </is>
      </c>
      <c r="K310" s="6" t="n"/>
      <c r="L310" s="8" t="n">
        <v>6.06</v>
      </c>
      <c r="M310" s="190" t="n">
        <v>100</v>
      </c>
      <c r="N310" s="17" t="n">
        <v>1</v>
      </c>
      <c r="O310" s="13">
        <f>E310</f>
        <v/>
      </c>
      <c r="P310" s="9" t="inlineStr">
        <is>
          <t>pieces</t>
        </is>
      </c>
      <c r="Q310" s="13" t="n"/>
      <c r="R310" s="78">
        <f>CONCATENATE(N310,P310)</f>
        <v/>
      </c>
      <c r="S310" s="229">
        <f>M310*N310</f>
        <v/>
      </c>
      <c r="T310" s="230">
        <f>CONCATENATE(S310,Q310,P310)</f>
        <v/>
      </c>
      <c r="U310" s="206">
        <f>L310*M310</f>
        <v/>
      </c>
      <c r="V310" s="34" t="n"/>
      <c r="W310" s="34" t="n"/>
      <c r="X310" s="34" t="n"/>
    </row>
    <row r="311" ht="15.75" customHeight="1" thickBot="1">
      <c r="A311" s="183" t="n">
        <v>205</v>
      </c>
      <c r="B311" s="115" t="inlineStr">
        <is>
          <t>Hiro</t>
        </is>
      </c>
      <c r="C311" s="115" t="n"/>
      <c r="D311" s="115">
        <f>IFERROR(__xludf.DUMMYFUNCTION("IF(J311="""",""n/a"",IFERROR(SPLIT(J311,""/"")))"),"Fibisco")</f>
        <v/>
      </c>
      <c r="E311" s="115">
        <f>IFERROR(__xludf.DUMMYFUNCTION("""COMPUTED_VALUE"""),"pack (10pcsx33grams)")</f>
        <v/>
      </c>
      <c r="F311" s="115" t="n"/>
      <c r="G311" s="115" t="n"/>
      <c r="H311" s="11" t="inlineStr">
        <is>
          <t>CIP</t>
        </is>
      </c>
      <c r="I311" s="95" t="n"/>
      <c r="J311" s="93" t="inlineStr">
        <is>
          <t>Fibisco/pack (10pcsx33grams)</t>
        </is>
      </c>
      <c r="K311" s="116" t="n"/>
      <c r="L311" s="90" t="n">
        <v>6</v>
      </c>
      <c r="M311" s="189" t="n">
        <v>261</v>
      </c>
      <c r="N311" s="13" t="n">
        <v>1</v>
      </c>
      <c r="O311" s="13">
        <f>E311</f>
        <v/>
      </c>
      <c r="P311" s="13" t="inlineStr">
        <is>
          <t>pieces</t>
        </is>
      </c>
      <c r="Q311" s="20" t="n"/>
      <c r="R311" s="5" t="n"/>
      <c r="S311" s="229">
        <f>M311*N311</f>
        <v/>
      </c>
      <c r="T311" s="230">
        <f>CONCATENATE(S311,Q311,P311)</f>
        <v/>
      </c>
      <c r="U311" s="206">
        <f>L311*M311</f>
        <v/>
      </c>
      <c r="V311" s="4" t="n"/>
      <c r="W311" s="4" t="n"/>
      <c r="X311" s="4" t="n"/>
    </row>
    <row r="312" ht="15.75" customHeight="1" thickBot="1">
      <c r="A312" s="183" t="n">
        <v>205</v>
      </c>
      <c r="B312" s="114" t="inlineStr">
        <is>
          <t>Hiro</t>
        </is>
      </c>
      <c r="C312" s="114" t="n"/>
      <c r="D312" s="115">
        <f>IFERROR(__xludf.DUMMYFUNCTION("IF(J312="""",""n/a"",IFERROR(SPLIT(J312,""/"")))"),"n/a")</f>
        <v/>
      </c>
      <c r="E312" s="114" t="n"/>
      <c r="F312" s="114" t="n"/>
      <c r="G312" s="114" t="n"/>
      <c r="H312" s="84" t="inlineStr">
        <is>
          <t>F1</t>
        </is>
      </c>
      <c r="I312" s="7" t="n"/>
      <c r="J312" s="19" t="n"/>
      <c r="K312" s="7" t="n"/>
      <c r="L312" s="12" t="n">
        <v>6.19</v>
      </c>
      <c r="M312" s="191" t="n">
        <v>80</v>
      </c>
      <c r="N312" s="86" t="n">
        <v>10</v>
      </c>
      <c r="O312" s="13">
        <f>E312</f>
        <v/>
      </c>
      <c r="P312" s="23" t="inlineStr">
        <is>
          <t>pieces</t>
        </is>
      </c>
      <c r="Q312" s="20" t="n"/>
      <c r="R312" s="5" t="n"/>
      <c r="S312" s="229">
        <f>M312*N312</f>
        <v/>
      </c>
      <c r="T312" s="230">
        <f>CONCATENATE(S312,Q312,P312)</f>
        <v/>
      </c>
      <c r="U312" s="206">
        <f>L312*M312</f>
        <v/>
      </c>
      <c r="V312" s="4" t="n"/>
      <c r="W312" s="4" t="n"/>
      <c r="X312" s="4" t="n"/>
    </row>
    <row r="313" ht="15.75" customHeight="1" thickBot="1">
      <c r="A313" s="183" t="n">
        <v>206</v>
      </c>
      <c r="B313" s="115" t="inlineStr">
        <is>
          <t>Honey Butter</t>
        </is>
      </c>
      <c r="C313" s="115" t="n"/>
      <c r="D313" s="115">
        <f>IFERROR(__xludf.DUMMYFUNCTION("IF(J313="""",""n/a"",IFERROR(SPLIT(J313,""/"")))"),"Rebisco")</f>
        <v/>
      </c>
      <c r="E313" s="115">
        <f>IFERROR(__xludf.DUMMYFUNCTION("""COMPUTED_VALUE"""),"pack (10pcsx32grams)")</f>
        <v/>
      </c>
      <c r="F313" s="115" t="n"/>
      <c r="G313" s="115" t="n"/>
      <c r="H313" s="11" t="inlineStr">
        <is>
          <t>CIP</t>
        </is>
      </c>
      <c r="I313" s="95" t="n"/>
      <c r="J313" s="93" t="inlineStr">
        <is>
          <t>Rebisco/pack (10pcsx32grams)</t>
        </is>
      </c>
      <c r="K313" s="116" t="n"/>
      <c r="L313" s="90" t="n">
        <v>5.8</v>
      </c>
      <c r="M313" s="189" t="n">
        <v>200</v>
      </c>
      <c r="N313" s="13" t="n">
        <v>1</v>
      </c>
      <c r="O313" s="13">
        <f>E313</f>
        <v/>
      </c>
      <c r="P313" s="13" t="inlineStr">
        <is>
          <t>pieces</t>
        </is>
      </c>
      <c r="Q313" s="20" t="n"/>
      <c r="R313" s="5" t="n"/>
      <c r="S313" s="229">
        <f>M313*N313</f>
        <v/>
      </c>
      <c r="T313" s="230">
        <f>CONCATENATE(S313,Q313,P313)</f>
        <v/>
      </c>
      <c r="U313" s="206">
        <f>L313*M313</f>
        <v/>
      </c>
      <c r="V313" s="4" t="n"/>
      <c r="W313" s="4" t="n"/>
      <c r="X313" s="4" t="n"/>
    </row>
    <row r="314" ht="15.75" customHeight="1" thickBot="1">
      <c r="A314" s="183" t="n">
        <v>207</v>
      </c>
      <c r="B314" s="114" t="inlineStr">
        <is>
          <t>Hotcake Mix</t>
        </is>
      </c>
      <c r="C314" s="114" t="n"/>
      <c r="D314" s="115">
        <f>IFERROR(__xludf.DUMMYFUNCTION("IF(J314="""",""n/a"",IFERROR(SPLIT(J314,""/"")))"),"Maya")</f>
        <v/>
      </c>
      <c r="E314" s="114">
        <f>IFERROR(__xludf.DUMMYFUNCTION("""COMPUTED_VALUE"""),"box")</f>
        <v/>
      </c>
      <c r="F314" s="114">
        <f>IFERROR(__xludf.DUMMYFUNCTION("""COMPUTED_VALUE"""),"500grams")</f>
        <v/>
      </c>
      <c r="G314" s="114" t="n"/>
      <c r="H314" s="11" t="inlineStr">
        <is>
          <t>CIP</t>
        </is>
      </c>
      <c r="I314" s="95" t="n"/>
      <c r="J314" s="93" t="inlineStr">
        <is>
          <t>Maya/box/500grams</t>
        </is>
      </c>
      <c r="K314" s="5" t="n"/>
      <c r="L314" s="90" t="n">
        <v>56.2</v>
      </c>
      <c r="M314" s="189" t="n">
        <v>1</v>
      </c>
      <c r="N314" s="13" t="n">
        <v>500</v>
      </c>
      <c r="O314" s="13">
        <f>E314</f>
        <v/>
      </c>
      <c r="P314" s="13" t="inlineStr">
        <is>
          <t>grams</t>
        </is>
      </c>
      <c r="Q314" s="20" t="n"/>
      <c r="R314" s="5" t="n"/>
      <c r="S314" s="229">
        <f>M314*N314</f>
        <v/>
      </c>
      <c r="T314" s="230">
        <f>CONCATENATE(S314,Q314,P314)</f>
        <v/>
      </c>
      <c r="U314" s="206">
        <f>L314*M314</f>
        <v/>
      </c>
      <c r="V314" s="4" t="n"/>
      <c r="W314" s="4" t="n"/>
      <c r="X314" s="4" t="n"/>
    </row>
    <row r="315" ht="15.75" customHeight="1" thickBot="1">
      <c r="A315" s="183" t="n">
        <v>208</v>
      </c>
      <c r="B315" s="122" t="inlineStr">
        <is>
          <t>Hotdog Jumbo</t>
        </is>
      </c>
      <c r="C315" s="122" t="n"/>
      <c r="D315" s="115">
        <f>IFERROR(__xludf.DUMMYFUNCTION("IF(J315="""",""n/a"",IFERROR(SPLIT(J315,""/"")))"),"Purefoods")</f>
        <v/>
      </c>
      <c r="E315" s="122">
        <f>IFERROR(__xludf.DUMMYFUNCTION("""COMPUTED_VALUE"""),"pack")</f>
        <v/>
      </c>
      <c r="F315" s="122">
        <f>IFERROR(__xludf.DUMMYFUNCTION("""COMPUTED_VALUE"""),"1000grams")</f>
        <v/>
      </c>
      <c r="G315" s="122" t="n"/>
      <c r="H315" s="11" t="inlineStr">
        <is>
          <t>CIP</t>
        </is>
      </c>
      <c r="I315" s="95" t="n"/>
      <c r="J315" s="19" t="inlineStr">
        <is>
          <t>Purefoods/pack/1000grams</t>
        </is>
      </c>
      <c r="K315" s="116" t="n"/>
      <c r="L315" s="90" t="n">
        <v>181</v>
      </c>
      <c r="M315" s="189" t="n">
        <v>5.6</v>
      </c>
      <c r="N315" s="13" t="n">
        <v>1</v>
      </c>
      <c r="O315" s="13">
        <f>E315</f>
        <v/>
      </c>
      <c r="P315" s="13" t="inlineStr">
        <is>
          <t>grams</t>
        </is>
      </c>
      <c r="Q315" s="20" t="n"/>
      <c r="R315" s="5" t="n"/>
      <c r="S315" s="229">
        <f>M315*N315</f>
        <v/>
      </c>
      <c r="T315" s="230">
        <f>CONCATENATE(S315,Q315,P315)</f>
        <v/>
      </c>
      <c r="U315" s="206">
        <f>L315*M315</f>
        <v/>
      </c>
      <c r="V315" s="4" t="n"/>
      <c r="W315" s="4" t="n"/>
      <c r="X315" s="4" t="n"/>
    </row>
    <row r="316" ht="15.75" customHeight="1" thickBot="1">
      <c r="A316" s="183" t="n">
        <v>209</v>
      </c>
      <c r="B316" s="115" t="inlineStr">
        <is>
          <t>Hotdog King Size</t>
        </is>
      </c>
      <c r="C316" s="115" t="n"/>
      <c r="D316" s="115">
        <f>IFERROR(__xludf.DUMMYFUNCTION("IF(J316="""",""n/a"",IFERROR(SPLIT(J316,""/"")))"),"Purefoods")</f>
        <v/>
      </c>
      <c r="E316" s="115">
        <f>IFERROR(__xludf.DUMMYFUNCTION("""COMPUTED_VALUE"""),"pack")</f>
        <v/>
      </c>
      <c r="F316" s="115">
        <f>IFERROR(__xludf.DUMMYFUNCTION("""COMPUTED_VALUE"""),"1000grams")</f>
        <v/>
      </c>
      <c r="G316" s="115" t="n"/>
      <c r="H316" s="11" t="inlineStr">
        <is>
          <t>Annex</t>
        </is>
      </c>
      <c r="I316" s="6" t="n"/>
      <c r="J316" s="19" t="inlineStr">
        <is>
          <t>Purefoods/pack/1000grams</t>
        </is>
      </c>
      <c r="K316" s="6" t="n"/>
      <c r="L316" s="8" t="n">
        <v>0.171</v>
      </c>
      <c r="M316" s="190" t="n">
        <v>24000</v>
      </c>
      <c r="N316" s="80" t="n">
        <v>1000</v>
      </c>
      <c r="O316" s="13">
        <f>E316</f>
        <v/>
      </c>
      <c r="P316" s="15" t="inlineStr">
        <is>
          <t>grams</t>
        </is>
      </c>
      <c r="Q316" s="13" t="n"/>
      <c r="R316" s="78">
        <f>CONCATENATE(N316,P316)</f>
        <v/>
      </c>
      <c r="S316" s="229">
        <f>M316*N316</f>
        <v/>
      </c>
      <c r="T316" s="230">
        <f>CONCATENATE(S316,Q316,P316)</f>
        <v/>
      </c>
      <c r="U316" s="206">
        <f>L316*M316</f>
        <v/>
      </c>
      <c r="V316" s="231" t="n"/>
      <c r="W316" s="236" t="n"/>
      <c r="X316" s="71" t="n"/>
    </row>
    <row r="317" ht="15.75" customHeight="1" thickBot="1">
      <c r="A317" s="183" t="n">
        <v>210</v>
      </c>
      <c r="B317" s="115" t="inlineStr">
        <is>
          <t>Instant Oats</t>
        </is>
      </c>
      <c r="C317" s="115" t="n"/>
      <c r="D317" s="115">
        <f>IFERROR(__xludf.DUMMYFUNCTION("IF(J317="""",""n/a"",IFERROR(SPLIT(J317,""/"")))"),"Australia Harvest")</f>
        <v/>
      </c>
      <c r="E317" s="115">
        <f>IFERROR(__xludf.DUMMYFUNCTION("""COMPUTED_VALUE"""),"pack")</f>
        <v/>
      </c>
      <c r="F317" s="115">
        <f>IFERROR(__xludf.DUMMYFUNCTION("""COMPUTED_VALUE"""),"1000grams")</f>
        <v/>
      </c>
      <c r="G317" s="115" t="n"/>
      <c r="H317" s="84" t="inlineStr">
        <is>
          <t>F1</t>
        </is>
      </c>
      <c r="I317" s="7" t="n"/>
      <c r="J317" s="19" t="inlineStr">
        <is>
          <t>Australia Harvest/pack/1000grams</t>
        </is>
      </c>
      <c r="K317" s="7" t="n"/>
      <c r="L317" s="12" t="n">
        <v>0.14085</v>
      </c>
      <c r="M317" s="191" t="n">
        <v>600</v>
      </c>
      <c r="N317" s="85" t="n">
        <v>1000</v>
      </c>
      <c r="O317" s="13">
        <f>E317</f>
        <v/>
      </c>
      <c r="P317" s="9" t="inlineStr">
        <is>
          <t>grams</t>
        </is>
      </c>
      <c r="Q317" s="20" t="n"/>
      <c r="R317" s="5" t="n"/>
      <c r="S317" s="229">
        <f>M317*N317</f>
        <v/>
      </c>
      <c r="T317" s="230">
        <f>CONCATENATE(S317,Q317,P317)</f>
        <v/>
      </c>
      <c r="U317" s="206">
        <f>L317*M317</f>
        <v/>
      </c>
      <c r="V317" s="4" t="n"/>
      <c r="W317" s="4" t="n"/>
      <c r="X317" s="4" t="n"/>
    </row>
    <row r="318" ht="15.75" customHeight="1" thickBot="1">
      <c r="A318" s="183" t="n">
        <v>211</v>
      </c>
      <c r="B318" s="115" t="inlineStr">
        <is>
          <t>Italian Spaghetti Sauce</t>
        </is>
      </c>
      <c r="C318" s="115" t="n"/>
      <c r="D318" s="115">
        <f>IFERROR(__xludf.DUMMYFUNCTION("IF(J318="""",""n/a"",IFERROR(SPLIT(J318,""/"")))"),"Del Monte")</f>
        <v/>
      </c>
      <c r="E318" s="115">
        <f>IFERROR(__xludf.DUMMYFUNCTION("""COMPUTED_VALUE"""),"pack")</f>
        <v/>
      </c>
      <c r="F318" s="115">
        <f>IFERROR(__xludf.DUMMYFUNCTION("""COMPUTED_VALUE"""),"900grams")</f>
        <v/>
      </c>
      <c r="G318" s="115" t="n"/>
      <c r="H318" s="11" t="inlineStr">
        <is>
          <t>Annex</t>
        </is>
      </c>
      <c r="I318" s="6" t="n"/>
      <c r="J318" s="19" t="inlineStr">
        <is>
          <t>Del Monte/pack/900grams</t>
        </is>
      </c>
      <c r="K318" s="18" t="n"/>
      <c r="L318" s="12" t="n">
        <v>0.1003333333333333</v>
      </c>
      <c r="M318" s="190" t="n">
        <v>1800</v>
      </c>
      <c r="N318" s="17" t="n">
        <v>900</v>
      </c>
      <c r="O318" s="13">
        <f>E318</f>
        <v/>
      </c>
      <c r="P318" s="9" t="inlineStr">
        <is>
          <t>grams</t>
        </is>
      </c>
      <c r="Q318" s="13" t="n"/>
      <c r="R318" s="78">
        <f>CONCATENATE(N318,P318)</f>
        <v/>
      </c>
      <c r="S318" s="229">
        <f>M318*N318</f>
        <v/>
      </c>
      <c r="T318" s="230">
        <f>CONCATENATE(S318,Q318,P318)</f>
        <v/>
      </c>
      <c r="U318" s="206">
        <f>L318*M318</f>
        <v/>
      </c>
      <c r="V318" s="231" t="n"/>
      <c r="W318" s="236" t="n"/>
      <c r="X318" s="71" t="n"/>
    </row>
    <row r="319" ht="15.75" customHeight="1" thickBot="1">
      <c r="A319" s="183" t="n">
        <v>212</v>
      </c>
      <c r="B319" s="115" t="inlineStr">
        <is>
          <t>Jamonila</t>
        </is>
      </c>
      <c r="C319" s="115" t="n"/>
      <c r="D319" s="115">
        <f>IFERROR(__xludf.DUMMYFUNCTION("IF(J319="""",""n/a"",IFERROR(SPLIT(J319,""/"")))"),"Tulip")</f>
        <v/>
      </c>
      <c r="E319" s="115">
        <f>IFERROR(__xludf.DUMMYFUNCTION("""COMPUTED_VALUE"""),"can")</f>
        <v/>
      </c>
      <c r="F319" s="115">
        <f>IFERROR(__xludf.DUMMYFUNCTION("""COMPUTED_VALUE"""),"24pcsx340 grams")</f>
        <v/>
      </c>
      <c r="G319" s="115" t="n"/>
      <c r="H319" s="11" t="inlineStr">
        <is>
          <t>Annex</t>
        </is>
      </c>
      <c r="I319" s="6" t="n"/>
      <c r="J319" s="19" t="inlineStr">
        <is>
          <t>Tulip/can/24pcsx340 grams</t>
        </is>
      </c>
      <c r="K319" s="6" t="n"/>
      <c r="L319" s="8" t="n">
        <v>0.484735294117647</v>
      </c>
      <c r="M319" s="190" t="n">
        <v>11560</v>
      </c>
      <c r="N319" s="17" t="n">
        <v>340</v>
      </c>
      <c r="O319" s="13">
        <f>E319</f>
        <v/>
      </c>
      <c r="P319" s="9" t="inlineStr">
        <is>
          <t>grams</t>
        </is>
      </c>
      <c r="Q319" s="13" t="n"/>
      <c r="R319" s="78">
        <f>CONCATENATE(N319,P319)</f>
        <v/>
      </c>
      <c r="S319" s="229">
        <f>M319*N319</f>
        <v/>
      </c>
      <c r="T319" s="230">
        <f>CONCATENATE(S319,Q319,P319)</f>
        <v/>
      </c>
      <c r="U319" s="206">
        <f>L319*M319</f>
        <v/>
      </c>
      <c r="V319" s="231" t="n"/>
      <c r="W319" s="236" t="n"/>
      <c r="X319" s="71" t="n"/>
    </row>
    <row r="320" ht="15.75" customHeight="1" thickBot="1">
      <c r="A320" s="183" t="n">
        <v>212</v>
      </c>
      <c r="B320" s="125" t="inlineStr">
        <is>
          <t>Jamonila</t>
        </is>
      </c>
      <c r="C320" s="125" t="n"/>
      <c r="D320" s="115">
        <f>IFERROR(__xludf.DUMMYFUNCTION("IF(J320="""",""n/a"",IFERROR(SPLIT(J320,""/"")))"),"Tulip")</f>
        <v/>
      </c>
      <c r="E320" s="125">
        <f>IFERROR(__xludf.DUMMYFUNCTION("""COMPUTED_VALUE"""),"can24pcs")</f>
        <v/>
      </c>
      <c r="F320" s="125">
        <f>IFERROR(__xludf.DUMMYFUNCTION("""COMPUTED_VALUE"""),"340 grams")</f>
        <v/>
      </c>
      <c r="G320" s="125" t="n"/>
      <c r="H320" s="11" t="inlineStr">
        <is>
          <t>CIP</t>
        </is>
      </c>
      <c r="I320" s="95" t="n"/>
      <c r="J320" s="93" t="inlineStr">
        <is>
          <t>Tulip/can24pcs/340 grams</t>
        </is>
      </c>
      <c r="K320" s="116" t="n"/>
      <c r="L320" s="90" t="n">
        <v>166.43</v>
      </c>
      <c r="M320" s="189" t="n">
        <v>29</v>
      </c>
      <c r="N320" s="13" t="n">
        <v>1</v>
      </c>
      <c r="O320" s="13">
        <f>E320</f>
        <v/>
      </c>
      <c r="P320" s="13" t="inlineStr">
        <is>
          <t>grams</t>
        </is>
      </c>
      <c r="Q320" s="20" t="n"/>
      <c r="R320" s="5" t="n"/>
      <c r="S320" s="229">
        <f>M320*N320</f>
        <v/>
      </c>
      <c r="T320" s="230">
        <f>CONCATENATE(S320,Q320,P320)</f>
        <v/>
      </c>
      <c r="U320" s="206">
        <f>L320*M320</f>
        <v/>
      </c>
      <c r="V320" s="4" t="n"/>
      <c r="W320" s="4" t="n"/>
      <c r="X320" s="4" t="n"/>
    </row>
    <row r="321" ht="15.75" customHeight="1" thickBot="1">
      <c r="A321" s="183" t="n">
        <v>212</v>
      </c>
      <c r="B321" s="114" t="inlineStr">
        <is>
          <t>Jamonila</t>
        </is>
      </c>
      <c r="C321" s="114" t="n"/>
      <c r="D321" s="115">
        <f>IFERROR(__xludf.DUMMYFUNCTION("IF(J321="""",""n/a"",IFERROR(SPLIT(J321,""/"")))"),"n/a")</f>
        <v/>
      </c>
      <c r="E321" s="114" t="n"/>
      <c r="F321" s="114" t="n"/>
      <c r="G321" s="114" t="n"/>
      <c r="H321" s="84" t="inlineStr">
        <is>
          <t>F1</t>
        </is>
      </c>
      <c r="I321" s="7" t="n"/>
      <c r="J321" s="19" t="n"/>
      <c r="K321" s="7" t="n"/>
      <c r="L321" s="12" t="n">
        <v>0.4406764705882353</v>
      </c>
      <c r="M321" s="192" t="n">
        <v>8160</v>
      </c>
      <c r="N321" s="88" t="n">
        <v>340</v>
      </c>
      <c r="O321" s="13">
        <f>E321</f>
        <v/>
      </c>
      <c r="P321" s="131" t="inlineStr">
        <is>
          <t>grams</t>
        </is>
      </c>
      <c r="Q321" s="20" t="n"/>
      <c r="R321" s="5" t="n"/>
      <c r="S321" s="229">
        <f>M321*N321</f>
        <v/>
      </c>
      <c r="T321" s="230">
        <f>CONCATENATE(S321,Q321,P321)</f>
        <v/>
      </c>
      <c r="U321" s="206">
        <f>L321*M321</f>
        <v/>
      </c>
      <c r="V321" s="4" t="n"/>
      <c r="W321" s="4" t="n"/>
      <c r="X321" s="4" t="n"/>
    </row>
    <row r="322" ht="15.75" customHeight="1" thickBot="1">
      <c r="A322" s="183" t="n">
        <v>213</v>
      </c>
      <c r="B322" s="115" t="inlineStr">
        <is>
          <t>Japanese Cake</t>
        </is>
      </c>
      <c r="C322" s="115" t="n"/>
      <c r="D322" s="115">
        <f>IFERROR(__xludf.DUMMYFUNCTION("IF(J322="""",""n/a"",IFERROR(SPLIT(J322,""/"")))"),"Regent")</f>
        <v/>
      </c>
      <c r="E322" s="115">
        <f>IFERROR(__xludf.DUMMYFUNCTION("""COMPUTED_VALUE"""),"pack (10pcsx34grams)")</f>
        <v/>
      </c>
      <c r="F322" s="115" t="n"/>
      <c r="G322" s="115" t="n"/>
      <c r="H322" s="11" t="inlineStr">
        <is>
          <t>CIP</t>
        </is>
      </c>
      <c r="I322" s="95" t="n"/>
      <c r="J322" s="93" t="inlineStr">
        <is>
          <t>Regent/pack (10pcsx34grams)</t>
        </is>
      </c>
      <c r="K322" s="116" t="n"/>
      <c r="L322" s="90" t="n">
        <v>8.699999999999999</v>
      </c>
      <c r="M322" s="189" t="n">
        <v>201</v>
      </c>
      <c r="N322" s="13" t="n">
        <v>1</v>
      </c>
      <c r="O322" s="13">
        <f>E322</f>
        <v/>
      </c>
      <c r="P322" s="13" t="inlineStr">
        <is>
          <t>pieces</t>
        </is>
      </c>
      <c r="Q322" s="20" t="n"/>
      <c r="R322" s="5" t="n"/>
      <c r="S322" s="229">
        <f>M322*N322</f>
        <v/>
      </c>
      <c r="T322" s="230">
        <f>CONCATENATE(S322,Q322,P322)</f>
        <v/>
      </c>
      <c r="U322" s="206">
        <f>L322*M322</f>
        <v/>
      </c>
      <c r="V322" s="4" t="n"/>
      <c r="W322" s="4" t="n"/>
      <c r="X322" s="4" t="n"/>
    </row>
    <row r="323" ht="15.75" customHeight="1" thickBot="1">
      <c r="A323" s="183" t="n">
        <v>214</v>
      </c>
      <c r="B323" s="114" t="inlineStr">
        <is>
          <t>Japanese Cake-ube</t>
        </is>
      </c>
      <c r="C323" s="114" t="n"/>
      <c r="D323" s="115">
        <f>IFERROR(__xludf.DUMMYFUNCTION("IF(J323="""",""n/a"",IFERROR(SPLIT(J323,""/"")))"),"n/a")</f>
        <v/>
      </c>
      <c r="E323" s="114" t="n"/>
      <c r="F323" s="114" t="n"/>
      <c r="G323" s="114" t="n"/>
      <c r="H323" s="84" t="inlineStr">
        <is>
          <t>F1</t>
        </is>
      </c>
      <c r="I323" s="7" t="n"/>
      <c r="J323" s="19" t="n"/>
      <c r="K323" s="7" t="n"/>
      <c r="L323" s="12" t="n">
        <v>8.699999999999999</v>
      </c>
      <c r="M323" s="192" t="n">
        <v>30</v>
      </c>
      <c r="N323" s="85" t="n">
        <v>10</v>
      </c>
      <c r="O323" s="13">
        <f>E323</f>
        <v/>
      </c>
      <c r="P323" s="9" t="inlineStr">
        <is>
          <t>pieces</t>
        </is>
      </c>
      <c r="Q323" s="20" t="n"/>
      <c r="R323" s="5" t="n"/>
      <c r="S323" s="229">
        <f>M323*N323</f>
        <v/>
      </c>
      <c r="T323" s="230">
        <f>CONCATENATE(S323,Q323,P323)</f>
        <v/>
      </c>
      <c r="U323" s="206">
        <f>L323*M323</f>
        <v/>
      </c>
      <c r="V323" s="4" t="n"/>
      <c r="W323" s="4" t="n"/>
      <c r="X323" s="4" t="n"/>
    </row>
    <row r="324" ht="15.75" customHeight="1" thickBot="1">
      <c r="A324" s="183" t="n">
        <v>215</v>
      </c>
      <c r="B324" s="115" t="inlineStr">
        <is>
          <t>Japanese Mayonaise</t>
        </is>
      </c>
      <c r="C324" s="115" t="n"/>
      <c r="D324" s="115">
        <f>IFERROR(__xludf.DUMMYFUNCTION("IF(J324="""",""n/a"",IFERROR(SPLIT(J324,""/"")))"),"n/a")</f>
        <v/>
      </c>
      <c r="E324" s="115" t="n"/>
      <c r="F324" s="115" t="n"/>
      <c r="G324" s="115" t="n"/>
      <c r="H324" s="84" t="inlineStr">
        <is>
          <t>F1</t>
        </is>
      </c>
      <c r="I324" s="7" t="n"/>
      <c r="J324" s="19" t="n"/>
      <c r="K324" s="7" t="n"/>
      <c r="L324" s="12" t="n">
        <v>0.4188</v>
      </c>
      <c r="M324" s="192" t="n">
        <v>6500</v>
      </c>
      <c r="N324" s="85" t="n">
        <v>500</v>
      </c>
      <c r="O324" s="13">
        <f>E324</f>
        <v/>
      </c>
      <c r="P324" s="9" t="inlineStr">
        <is>
          <t>ml</t>
        </is>
      </c>
      <c r="Q324" s="20" t="n"/>
      <c r="R324" s="5" t="n"/>
      <c r="S324" s="229">
        <f>M324*N324</f>
        <v/>
      </c>
      <c r="T324" s="230">
        <f>CONCATENATE(S324,Q324,P324)</f>
        <v/>
      </c>
      <c r="U324" s="206">
        <f>L324*M324</f>
        <v/>
      </c>
      <c r="V324" s="4" t="n"/>
      <c r="W324" s="4" t="n"/>
      <c r="X324" s="4" t="n"/>
    </row>
    <row r="325" ht="15.75" customHeight="1" thickBot="1">
      <c r="A325" s="183" t="n">
        <v>216</v>
      </c>
      <c r="B325" s="115" t="inlineStr">
        <is>
          <t>Japanese Mayonnaise</t>
        </is>
      </c>
      <c r="C325" s="115" t="n"/>
      <c r="D325" s="115">
        <f>IFERROR(__xludf.DUMMYFUNCTION("IF(J325="""",""n/a"",IFERROR(SPLIT(J325,""/"")))"),"Kewpie")</f>
        <v/>
      </c>
      <c r="E325" s="115">
        <f>IFERROR(__xludf.DUMMYFUNCTION("""COMPUTED_VALUE"""),"bottle")</f>
        <v/>
      </c>
      <c r="F325" s="115">
        <f>IFERROR(__xludf.DUMMYFUNCTION("""COMPUTED_VALUE"""),"1000ml")</f>
        <v/>
      </c>
      <c r="G325" s="115" t="n"/>
      <c r="H325" s="11" t="inlineStr">
        <is>
          <t>CIP</t>
        </is>
      </c>
      <c r="I325" s="95" t="n"/>
      <c r="J325" s="93" t="inlineStr">
        <is>
          <t>Kewpie/bottle/1000ml</t>
        </is>
      </c>
      <c r="K325" s="116" t="n"/>
      <c r="L325" s="90" t="n">
        <v>390</v>
      </c>
      <c r="M325" s="189" t="n">
        <v>0.7</v>
      </c>
      <c r="N325" s="13" t="n">
        <v>1</v>
      </c>
      <c r="O325" s="13">
        <f>E325</f>
        <v/>
      </c>
      <c r="P325" s="13" t="inlineStr">
        <is>
          <t>ml</t>
        </is>
      </c>
      <c r="Q325" s="20" t="n"/>
      <c r="R325" s="5" t="n"/>
      <c r="S325" s="229">
        <f>M325*N325</f>
        <v/>
      </c>
      <c r="T325" s="230">
        <f>CONCATENATE(S325,Q325,P325)</f>
        <v/>
      </c>
      <c r="U325" s="206">
        <f>L325*M325</f>
        <v/>
      </c>
      <c r="V325" s="4" t="n"/>
      <c r="W325" s="4" t="n"/>
      <c r="X325" s="4" t="n"/>
    </row>
    <row r="326" ht="15.75" customHeight="1" thickBot="1">
      <c r="A326" s="183" t="n">
        <v>217</v>
      </c>
      <c r="B326" s="115" t="inlineStr">
        <is>
          <t>Japanese Motchi</t>
        </is>
      </c>
      <c r="C326" s="115" t="n"/>
      <c r="D326" s="115">
        <f>IFERROR(__xludf.DUMMYFUNCTION("IF(J326="""",""n/a"",IFERROR(SPLIT(J326,""/"")))"),"Regent")</f>
        <v/>
      </c>
      <c r="E326" s="115">
        <f>IFERROR(__xludf.DUMMYFUNCTION("""COMPUTED_VALUE"""),"pack (10pcsx34grams)")</f>
        <v/>
      </c>
      <c r="F326" s="115" t="n"/>
      <c r="G326" s="115" t="n"/>
      <c r="H326" s="11" t="inlineStr">
        <is>
          <t>CIP</t>
        </is>
      </c>
      <c r="I326" s="95" t="n"/>
      <c r="J326" s="93" t="inlineStr">
        <is>
          <t>Regent/pack (10pcsx34grams)</t>
        </is>
      </c>
      <c r="K326" s="116" t="n"/>
      <c r="L326" s="90" t="n">
        <v>64</v>
      </c>
      <c r="M326" s="189" t="n">
        <v>8</v>
      </c>
      <c r="N326" s="13" t="n">
        <v>1</v>
      </c>
      <c r="O326" s="13">
        <f>E326</f>
        <v/>
      </c>
      <c r="P326" s="13" t="inlineStr">
        <is>
          <t>pieces</t>
        </is>
      </c>
      <c r="Q326" s="20" t="n"/>
      <c r="R326" s="5" t="n"/>
      <c r="S326" s="229">
        <f>M326*N326</f>
        <v/>
      </c>
      <c r="T326" s="230">
        <f>CONCATENATE(S326,Q326,P326)</f>
        <v/>
      </c>
      <c r="U326" s="206">
        <f>L326*M326</f>
        <v/>
      </c>
      <c r="V326" s="4" t="n"/>
      <c r="W326" s="4" t="n"/>
      <c r="X326" s="4" t="n"/>
    </row>
    <row r="327" ht="15.75" customHeight="1" thickBot="1">
      <c r="A327" s="183" t="n">
        <v>218</v>
      </c>
      <c r="B327" s="115" t="inlineStr">
        <is>
          <t>Japanese Rice</t>
        </is>
      </c>
      <c r="C327" s="115" t="n"/>
      <c r="D327" s="115">
        <f>IFERROR(__xludf.DUMMYFUNCTION("IF(J327="""",""n/a"",IFERROR(SPLIT(J327,""/"")))"),"n/a")</f>
        <v/>
      </c>
      <c r="E327" s="115" t="n"/>
      <c r="F327" s="115" t="n"/>
      <c r="G327" s="115" t="n"/>
      <c r="H327" s="11" t="inlineStr">
        <is>
          <t>Annex</t>
        </is>
      </c>
      <c r="I327" s="6" t="n"/>
      <c r="J327" s="19" t="n"/>
      <c r="K327" s="6" t="n"/>
      <c r="L327" s="8" t="n">
        <v>330</v>
      </c>
      <c r="M327" s="190" t="n">
        <v>14</v>
      </c>
      <c r="N327" s="17" t="n">
        <v>1</v>
      </c>
      <c r="O327" s="13">
        <f>E327</f>
        <v/>
      </c>
      <c r="P327" s="9" t="inlineStr">
        <is>
          <t>kilos</t>
        </is>
      </c>
      <c r="Q327" s="13" t="n"/>
      <c r="R327" s="78">
        <f>CONCATENATE(N327,P327)</f>
        <v/>
      </c>
      <c r="S327" s="229">
        <f>M327*N327</f>
        <v/>
      </c>
      <c r="T327" s="230">
        <f>CONCATENATE(S327,Q327,P327)</f>
        <v/>
      </c>
      <c r="U327" s="206">
        <f>L327*M327</f>
        <v/>
      </c>
      <c r="V327" s="231" t="n"/>
      <c r="W327" s="236" t="n"/>
      <c r="X327" s="71" t="n"/>
    </row>
    <row r="328" ht="15.75" customHeight="1" thickBot="1">
      <c r="A328" s="183" t="n">
        <v>218</v>
      </c>
      <c r="B328" s="115" t="inlineStr">
        <is>
          <t>Japanese Rice</t>
        </is>
      </c>
      <c r="C328" s="115" t="n"/>
      <c r="D328" s="115">
        <f>IFERROR(__xludf.DUMMYFUNCTION("IF(J328="""",""n/a"",IFERROR(SPLIT(J328,""/"")))"),"Mt. Fuji")</f>
        <v/>
      </c>
      <c r="E328" s="115">
        <f>IFERROR(__xludf.DUMMYFUNCTION("""COMPUTED_VALUE"""),"sack")</f>
        <v/>
      </c>
      <c r="F328" s="115">
        <f>IFERROR(__xludf.DUMMYFUNCTION("""COMPUTED_VALUE"""),"25kilos")</f>
        <v/>
      </c>
      <c r="G328" s="115" t="n"/>
      <c r="H328" s="11" t="inlineStr">
        <is>
          <t>Annex</t>
        </is>
      </c>
      <c r="I328" s="6" t="n"/>
      <c r="J328" s="19" t="inlineStr">
        <is>
          <t>Mt. Fuji/sack/25kilos</t>
        </is>
      </c>
      <c r="K328" s="6" t="n"/>
      <c r="L328" s="22" t="n">
        <v>189</v>
      </c>
      <c r="M328" s="190" t="n">
        <v>1</v>
      </c>
      <c r="N328" s="17" t="n">
        <v>1</v>
      </c>
      <c r="O328" s="13">
        <f>E328</f>
        <v/>
      </c>
      <c r="P328" s="9" t="inlineStr">
        <is>
          <t>kilos</t>
        </is>
      </c>
      <c r="Q328" s="13" t="n"/>
      <c r="R328" s="78">
        <f>CONCATENATE(N328,P328)</f>
        <v/>
      </c>
      <c r="S328" s="229">
        <f>M328*N328</f>
        <v/>
      </c>
      <c r="T328" s="230">
        <f>CONCATENATE(S328,Q328,P328)</f>
        <v/>
      </c>
      <c r="U328" s="206">
        <f>L328*M328</f>
        <v/>
      </c>
      <c r="V328" s="34" t="n"/>
      <c r="W328" s="34" t="n"/>
      <c r="X328" s="34" t="n"/>
    </row>
    <row r="329" ht="15.75" customHeight="1" thickBot="1">
      <c r="A329" s="183" t="n">
        <v>218</v>
      </c>
      <c r="B329" s="115" t="inlineStr">
        <is>
          <t>Japanese Rice</t>
        </is>
      </c>
      <c r="C329" s="115" t="n"/>
      <c r="D329" s="115">
        <f>IFERROR(__xludf.DUMMYFUNCTION("IF(J329="""",""n/a"",IFERROR(SPLIT(J329,""/"")))"),"n/a")</f>
        <v/>
      </c>
      <c r="E329" s="115" t="n"/>
      <c r="F329" s="115" t="n"/>
      <c r="G329" s="115" t="n"/>
      <c r="H329" s="84" t="inlineStr">
        <is>
          <t>F1</t>
        </is>
      </c>
      <c r="I329" s="7" t="n"/>
      <c r="J329" s="19" t="n"/>
      <c r="K329" s="7" t="n"/>
      <c r="L329" s="12" t="n">
        <v>103</v>
      </c>
      <c r="M329" s="192" t="n">
        <v>2</v>
      </c>
      <c r="N329" s="85" t="n">
        <v>1</v>
      </c>
      <c r="O329" s="13">
        <f>E329</f>
        <v/>
      </c>
      <c r="P329" s="9" t="inlineStr">
        <is>
          <t>kilos</t>
        </is>
      </c>
      <c r="Q329" s="20" t="n"/>
      <c r="R329" s="5" t="n"/>
      <c r="S329" s="229">
        <f>M329*N329</f>
        <v/>
      </c>
      <c r="T329" s="230">
        <f>CONCATENATE(S329,Q329,P329)</f>
        <v/>
      </c>
      <c r="U329" s="206">
        <f>L329*M329</f>
        <v/>
      </c>
      <c r="V329" s="4" t="n"/>
      <c r="W329" s="4" t="n"/>
      <c r="X329" s="4" t="n"/>
    </row>
    <row r="330" ht="15.75" customHeight="1" thickBot="1">
      <c r="A330" s="183" t="n">
        <v>219</v>
      </c>
      <c r="B330" s="115" t="inlineStr">
        <is>
          <t>Japanesemayonnaise</t>
        </is>
      </c>
      <c r="C330" s="115" t="n"/>
      <c r="D330" s="115">
        <f>IFERROR(__xludf.DUMMYFUNCTION("IF(J330="""",""n/a"",IFERROR(SPLIT(J330,""/"")))"),"kewpien")</f>
        <v/>
      </c>
      <c r="E330" s="115">
        <f>IFERROR(__xludf.DUMMYFUNCTION("""COMPUTED_VALUE"""),"500ml")</f>
        <v/>
      </c>
      <c r="F330" s="115" t="n"/>
      <c r="G330" s="115" t="n"/>
      <c r="H330" s="11" t="inlineStr">
        <is>
          <t>Annex</t>
        </is>
      </c>
      <c r="I330" s="6" t="n"/>
      <c r="J330" s="19" t="inlineStr">
        <is>
          <t>kewpien/500ml</t>
        </is>
      </c>
      <c r="K330" s="6" t="n"/>
      <c r="L330" s="22" t="n">
        <v>0.5600000000000001</v>
      </c>
      <c r="M330" s="190" t="n">
        <v>1500</v>
      </c>
      <c r="N330" s="17" t="n">
        <v>500</v>
      </c>
      <c r="O330" s="13">
        <f>E330</f>
        <v/>
      </c>
      <c r="P330" s="9" t="inlineStr">
        <is>
          <t>ml</t>
        </is>
      </c>
      <c r="Q330" s="13" t="n"/>
      <c r="R330" s="78">
        <f>CONCATENATE(N330,P330)</f>
        <v/>
      </c>
      <c r="S330" s="229">
        <f>M330*N330</f>
        <v/>
      </c>
      <c r="T330" s="230">
        <f>CONCATENATE(S330,Q330,P330)</f>
        <v/>
      </c>
      <c r="U330" s="206">
        <f>L330*M330</f>
        <v/>
      </c>
      <c r="V330" s="34" t="n"/>
      <c r="W330" s="34" t="n"/>
      <c r="X330" s="34" t="n"/>
    </row>
    <row r="331" ht="15.75" customHeight="1" thickBot="1">
      <c r="A331" s="183" t="n">
        <v>220</v>
      </c>
      <c r="B331" s="115" t="inlineStr">
        <is>
          <t>Jasmine Rice</t>
        </is>
      </c>
      <c r="C331" s="115" t="n"/>
      <c r="D331" s="115">
        <f>IFERROR(__xludf.DUMMYFUNCTION("IF(J331="""",""n/a"",IFERROR(SPLIT(J331,""/"")))"),"Thai Jasmine")</f>
        <v/>
      </c>
      <c r="E331" s="115">
        <f>IFERROR(__xludf.DUMMYFUNCTION("""COMPUTED_VALUE"""),"sack")</f>
        <v/>
      </c>
      <c r="F331" s="115">
        <f>IFERROR(__xludf.DUMMYFUNCTION("""COMPUTED_VALUE"""),"25kilos")</f>
        <v/>
      </c>
      <c r="G331" s="115" t="n"/>
      <c r="H331" s="11" t="inlineStr">
        <is>
          <t>CIP</t>
        </is>
      </c>
      <c r="I331" s="95" t="n"/>
      <c r="J331" s="93" t="inlineStr">
        <is>
          <t>Thai Jasmine/sack/25kilos</t>
        </is>
      </c>
      <c r="K331" s="116" t="n"/>
      <c r="L331" s="90" t="n">
        <v>48.8</v>
      </c>
      <c r="M331" s="189" t="n">
        <v>405</v>
      </c>
      <c r="N331" s="13" t="n">
        <v>1</v>
      </c>
      <c r="O331" s="13">
        <f>E331</f>
        <v/>
      </c>
      <c r="P331" s="13" t="inlineStr">
        <is>
          <t>kilos</t>
        </is>
      </c>
      <c r="Q331" s="20" t="n"/>
      <c r="R331" s="5" t="n"/>
      <c r="S331" s="229">
        <f>M331*N331</f>
        <v/>
      </c>
      <c r="T331" s="230">
        <f>CONCATENATE(S331,Q331,P331)</f>
        <v/>
      </c>
      <c r="U331" s="206">
        <f>L331*M331</f>
        <v/>
      </c>
      <c r="V331" s="4" t="n"/>
      <c r="W331" s="4" t="n"/>
      <c r="X331" s="4" t="n"/>
    </row>
    <row r="332" ht="15.75" customHeight="1" thickBot="1">
      <c r="A332" s="183" t="n">
        <v>221</v>
      </c>
      <c r="B332" s="114" t="inlineStr">
        <is>
          <t>Jet Dry</t>
        </is>
      </c>
      <c r="C332" s="114" t="n"/>
      <c r="D332" s="115">
        <f>IFERROR(__xludf.DUMMYFUNCTION("IF(J332="""",""n/a"",IFERROR(SPLIT(J332,""/"")))"),"n/a")</f>
        <v/>
      </c>
      <c r="E332" s="114" t="n"/>
      <c r="F332" s="114" t="n"/>
      <c r="G332" s="114" t="n"/>
      <c r="H332" s="84" t="inlineStr">
        <is>
          <t>F1</t>
        </is>
      </c>
      <c r="I332" s="7" t="n"/>
      <c r="J332" s="19" t="n"/>
      <c r="K332" s="7" t="n"/>
      <c r="L332" s="12" t="n">
        <v>1860</v>
      </c>
      <c r="M332" s="192" t="n">
        <v>0.5</v>
      </c>
      <c r="N332" s="85" t="n">
        <v>1</v>
      </c>
      <c r="O332" s="13">
        <f>E332</f>
        <v/>
      </c>
      <c r="P332" s="9" t="inlineStr">
        <is>
          <t>gal</t>
        </is>
      </c>
      <c r="Q332" s="20" t="n"/>
      <c r="R332" s="5" t="n"/>
      <c r="S332" s="229">
        <f>M332*N332</f>
        <v/>
      </c>
      <c r="T332" s="230">
        <f>CONCATENATE(S332,Q332,P332)</f>
        <v/>
      </c>
      <c r="U332" s="206">
        <f>L332*M332</f>
        <v/>
      </c>
      <c r="V332" s="4" t="n"/>
      <c r="W332" s="4" t="n"/>
      <c r="X332" s="4" t="n"/>
    </row>
    <row r="333" ht="15.75" customHeight="1" thickBot="1">
      <c r="A333" s="183" t="n">
        <v>222</v>
      </c>
      <c r="B333" s="114" t="inlineStr">
        <is>
          <t>Jolly Biscuit</t>
        </is>
      </c>
      <c r="C333" s="114" t="n"/>
      <c r="D333" s="115">
        <f>IFERROR(__xludf.DUMMYFUNCTION("IF(J333="""",""n/a"",IFERROR(SPLIT(J333,""/"")))"),"n/a")</f>
        <v/>
      </c>
      <c r="E333" s="114" t="n"/>
      <c r="F333" s="114" t="n"/>
      <c r="G333" s="114" t="n"/>
      <c r="H333" s="84" t="inlineStr">
        <is>
          <t>F1</t>
        </is>
      </c>
      <c r="I333" s="7" t="n"/>
      <c r="J333" s="19" t="n"/>
      <c r="K333" s="7" t="n"/>
      <c r="L333" s="12" t="n">
        <v>6.48</v>
      </c>
      <c r="M333" s="192" t="n">
        <v>4</v>
      </c>
      <c r="N333" s="85" t="n">
        <v>10</v>
      </c>
      <c r="O333" s="13">
        <f>E333</f>
        <v/>
      </c>
      <c r="P333" s="9" t="inlineStr">
        <is>
          <t>pieces</t>
        </is>
      </c>
      <c r="Q333" s="20" t="n"/>
      <c r="R333" s="5" t="n"/>
      <c r="S333" s="229">
        <f>M333*N333</f>
        <v/>
      </c>
      <c r="T333" s="230">
        <f>CONCATENATE(S333,Q333,P333)</f>
        <v/>
      </c>
      <c r="U333" s="206">
        <f>L333*M333</f>
        <v/>
      </c>
      <c r="V333" s="4" t="n"/>
      <c r="W333" s="4" t="n"/>
      <c r="X333" s="4" t="n"/>
    </row>
    <row r="334" ht="15.75" customHeight="1" thickBot="1">
      <c r="A334" s="183" t="n">
        <v>223</v>
      </c>
      <c r="B334" s="115" t="inlineStr">
        <is>
          <t>Kernel Corn Whole</t>
        </is>
      </c>
      <c r="C334" s="115" t="n"/>
      <c r="D334" s="115">
        <f>IFERROR(__xludf.DUMMYFUNCTION("IF(J334="""",""n/a"",IFERROR(SPLIT(J334,""/"")))"),"J em J")</f>
        <v/>
      </c>
      <c r="E334" s="115">
        <f>IFERROR(__xludf.DUMMYFUNCTION("""COMPUTED_VALUE"""),"can")</f>
        <v/>
      </c>
      <c r="F334" s="115">
        <f>IFERROR(__xludf.DUMMYFUNCTION("""COMPUTED_VALUE"""),"425grams")</f>
        <v/>
      </c>
      <c r="G334" s="115" t="n"/>
      <c r="H334" s="11" t="inlineStr">
        <is>
          <t>CIP</t>
        </is>
      </c>
      <c r="I334" s="108" t="n"/>
      <c r="J334" s="19" t="inlineStr">
        <is>
          <t>J em J/can/425grams</t>
        </is>
      </c>
      <c r="K334" s="116" t="n"/>
      <c r="L334" s="90" t="n">
        <v>42</v>
      </c>
      <c r="M334" s="189" t="n">
        <v>22.47</v>
      </c>
      <c r="N334" s="13" t="n">
        <v>1</v>
      </c>
      <c r="O334" s="13">
        <f>E334</f>
        <v/>
      </c>
      <c r="P334" s="13" t="inlineStr">
        <is>
          <t>grams</t>
        </is>
      </c>
      <c r="Q334" s="20" t="n"/>
      <c r="R334" s="5" t="n"/>
      <c r="S334" s="229">
        <f>M334*N334</f>
        <v/>
      </c>
      <c r="T334" s="230">
        <f>CONCATENATE(S334,Q334,P334)</f>
        <v/>
      </c>
      <c r="U334" s="206">
        <f>L334*M334</f>
        <v/>
      </c>
      <c r="V334" s="4" t="n"/>
      <c r="W334" s="4" t="n"/>
      <c r="X334" s="4" t="n"/>
    </row>
    <row r="335" ht="15.75" customHeight="1" thickBot="1">
      <c r="A335" s="183" t="n">
        <v>223</v>
      </c>
      <c r="B335" s="114" t="inlineStr">
        <is>
          <t>Kernel Corn Whole</t>
        </is>
      </c>
      <c r="C335" s="114" t="n"/>
      <c r="D335" s="115">
        <f>IFERROR(__xludf.DUMMYFUNCTION("IF(J335="""",""n/a"",IFERROR(SPLIT(J335,""/"")))"),"n/a")</f>
        <v/>
      </c>
      <c r="E335" s="114" t="n"/>
      <c r="F335" s="114" t="n"/>
      <c r="G335" s="114" t="n"/>
      <c r="H335" s="84" t="inlineStr">
        <is>
          <t>F1</t>
        </is>
      </c>
      <c r="I335" s="7" t="n"/>
      <c r="J335" s="19" t="n"/>
      <c r="K335" s="7" t="n"/>
      <c r="L335" s="12" t="n">
        <v>0.17208</v>
      </c>
      <c r="M335" s="192" t="n">
        <v>250</v>
      </c>
      <c r="N335" s="85" t="n">
        <v>250</v>
      </c>
      <c r="O335" s="13">
        <f>E335</f>
        <v/>
      </c>
      <c r="P335" s="130" t="inlineStr">
        <is>
          <t>grams</t>
        </is>
      </c>
      <c r="Q335" s="20" t="n"/>
      <c r="R335" s="5" t="n"/>
      <c r="S335" s="229">
        <f>M335*N335</f>
        <v/>
      </c>
      <c r="T335" s="230">
        <f>CONCATENATE(S335,Q335,P335)</f>
        <v/>
      </c>
      <c r="U335" s="206">
        <f>L335*M335</f>
        <v/>
      </c>
      <c r="V335" s="4" t="n"/>
      <c r="W335" s="4" t="n"/>
      <c r="X335" s="4" t="n"/>
    </row>
    <row r="336" ht="15.75" customHeight="1" thickBot="1">
      <c r="A336" s="183" t="n">
        <v>224</v>
      </c>
      <c r="B336" s="115" t="inlineStr">
        <is>
          <t>Kikiam</t>
        </is>
      </c>
      <c r="C336" s="115" t="n"/>
      <c r="D336" s="115">
        <f>IFERROR(__xludf.DUMMYFUNCTION("IF(J336="""",""n/a"",IFERROR(SPLIT(J336,""/"")))"),"Shanghai")</f>
        <v/>
      </c>
      <c r="E336" s="115">
        <f>IFERROR(__xludf.DUMMYFUNCTION("""COMPUTED_VALUE"""),"pack")</f>
        <v/>
      </c>
      <c r="F336" s="115">
        <f>IFERROR(__xludf.DUMMYFUNCTION("""COMPUTED_VALUE"""),"1000grams")</f>
        <v/>
      </c>
      <c r="G336" s="115" t="n"/>
      <c r="H336" s="11" t="inlineStr">
        <is>
          <t>CIP</t>
        </is>
      </c>
      <c r="I336" s="95" t="n"/>
      <c r="J336" s="19" t="inlineStr">
        <is>
          <t>Shanghai/pack/1000grams</t>
        </is>
      </c>
      <c r="K336" s="116" t="n"/>
      <c r="L336" s="90" t="n">
        <v>115</v>
      </c>
      <c r="M336" s="189" t="n">
        <v>0.5</v>
      </c>
      <c r="N336" s="13" t="n">
        <v>1</v>
      </c>
      <c r="O336" s="13">
        <f>E336</f>
        <v/>
      </c>
      <c r="P336" s="13" t="inlineStr">
        <is>
          <t>grams</t>
        </is>
      </c>
      <c r="Q336" s="20" t="n"/>
      <c r="R336" s="5" t="n"/>
      <c r="S336" s="229">
        <f>M336*N336</f>
        <v/>
      </c>
      <c r="T336" s="230">
        <f>CONCATENATE(S336,Q336,P336)</f>
        <v/>
      </c>
      <c r="U336" s="206">
        <f>L336*M336</f>
        <v/>
      </c>
      <c r="V336" s="4" t="n"/>
      <c r="W336" s="4" t="n"/>
      <c r="X336" s="4" t="n"/>
    </row>
    <row r="337" ht="15.75" customHeight="1" thickBot="1">
      <c r="A337" s="183" t="n">
        <v>225</v>
      </c>
      <c r="B337" s="115" t="inlineStr">
        <is>
          <t>Kopiko Black</t>
        </is>
      </c>
      <c r="C337" s="115" t="n"/>
      <c r="D337" s="115">
        <f>IFERROR(__xludf.DUMMYFUNCTION("IF(J337="""",""n/a"",IFERROR(SPLIT(J337,""/"")))"),"Kopiko")</f>
        <v/>
      </c>
      <c r="E337" s="115">
        <f>IFERROR(__xludf.DUMMYFUNCTION("""COMPUTED_VALUE"""),"pack (30x30grams)")</f>
        <v/>
      </c>
      <c r="F337" s="115" t="n"/>
      <c r="G337" s="115" t="n"/>
      <c r="H337" s="11" t="inlineStr">
        <is>
          <t>Annex</t>
        </is>
      </c>
      <c r="I337" s="6" t="n"/>
      <c r="J337" s="19" t="inlineStr">
        <is>
          <t>Kopiko/pack (30x30grams)</t>
        </is>
      </c>
      <c r="K337" s="6" t="n"/>
      <c r="L337" s="14" t="n">
        <v>7.37</v>
      </c>
      <c r="M337" s="190" t="n">
        <v>139</v>
      </c>
      <c r="N337" s="17" t="n">
        <v>1</v>
      </c>
      <c r="O337" s="13">
        <f>E337</f>
        <v/>
      </c>
      <c r="P337" s="9" t="inlineStr">
        <is>
          <t>pieces</t>
        </is>
      </c>
      <c r="Q337" s="13" t="n"/>
      <c r="R337" s="78">
        <f>CONCATENATE(N337,P337)</f>
        <v/>
      </c>
      <c r="S337" s="229">
        <f>M337*N337</f>
        <v/>
      </c>
      <c r="T337" s="230">
        <f>CONCATENATE(S337,Q337,P337)</f>
        <v/>
      </c>
      <c r="U337" s="206">
        <f>L337*M337</f>
        <v/>
      </c>
      <c r="V337" s="231" t="n"/>
      <c r="W337" s="236" t="n"/>
      <c r="X337" s="71" t="n"/>
    </row>
    <row r="338" ht="15.75" customHeight="1" thickBot="1">
      <c r="A338" s="183" t="n">
        <v>225</v>
      </c>
      <c r="B338" s="114" t="inlineStr">
        <is>
          <t>Kopiko Black</t>
        </is>
      </c>
      <c r="C338" s="114" t="n"/>
      <c r="D338" s="115">
        <f>IFERROR(__xludf.DUMMYFUNCTION("IF(J338="""",""n/a"",IFERROR(SPLIT(J338,""/"")))"),"Kopiko")</f>
        <v/>
      </c>
      <c r="E338" s="114">
        <f>IFERROR(__xludf.DUMMYFUNCTION("""COMPUTED_VALUE"""),"pack (10x30grams)")</f>
        <v/>
      </c>
      <c r="F338" s="114" t="n"/>
      <c r="G338" s="114" t="n"/>
      <c r="H338" s="11" t="inlineStr">
        <is>
          <t>CIP</t>
        </is>
      </c>
      <c r="I338" s="95" t="n"/>
      <c r="J338" s="93" t="inlineStr">
        <is>
          <t>Kopiko/pack (10x30grams)</t>
        </is>
      </c>
      <c r="K338" s="5" t="n"/>
      <c r="L338" s="90" t="n">
        <v>7</v>
      </c>
      <c r="M338" s="189" t="n">
        <v>240</v>
      </c>
      <c r="N338" s="13" t="n">
        <v>1</v>
      </c>
      <c r="O338" s="13">
        <f>E338</f>
        <v/>
      </c>
      <c r="P338" s="13" t="inlineStr">
        <is>
          <t>pieces</t>
        </is>
      </c>
      <c r="Q338" s="20" t="n"/>
      <c r="R338" s="5" t="n"/>
      <c r="S338" s="229">
        <f>M338*N338</f>
        <v/>
      </c>
      <c r="T338" s="230">
        <f>CONCATENATE(S338,Q338,P338)</f>
        <v/>
      </c>
      <c r="U338" s="206">
        <f>L338*M338</f>
        <v/>
      </c>
      <c r="V338" s="4" t="n"/>
      <c r="W338" s="4" t="n"/>
      <c r="X338" s="4" t="n"/>
    </row>
    <row r="339" ht="15.75" customHeight="1" thickBot="1">
      <c r="A339" s="183" t="n">
        <v>225</v>
      </c>
      <c r="B339" s="114" t="inlineStr">
        <is>
          <t>Kopiko Black</t>
        </is>
      </c>
      <c r="C339" s="114" t="n"/>
      <c r="D339" s="115">
        <f>IFERROR(__xludf.DUMMYFUNCTION("IF(J339="""",""n/a"",IFERROR(SPLIT(J339,""/"")))"),"n/a")</f>
        <v/>
      </c>
      <c r="E339" s="114" t="n"/>
      <c r="F339" s="114" t="n"/>
      <c r="G339" s="114" t="n"/>
      <c r="H339" s="84" t="inlineStr">
        <is>
          <t>F1</t>
        </is>
      </c>
      <c r="I339" s="7" t="n"/>
      <c r="J339" s="19" t="n"/>
      <c r="K339" s="7" t="n"/>
      <c r="L339" s="12" t="n">
        <v>7.74</v>
      </c>
      <c r="M339" s="191" t="n">
        <v>489</v>
      </c>
      <c r="N339" s="85" t="n">
        <v>10</v>
      </c>
      <c r="O339" s="13">
        <f>E339</f>
        <v/>
      </c>
      <c r="P339" s="23" t="inlineStr">
        <is>
          <t>pieces</t>
        </is>
      </c>
      <c r="Q339" s="20" t="n"/>
      <c r="R339" s="5" t="n"/>
      <c r="S339" s="229">
        <f>M339*N339</f>
        <v/>
      </c>
      <c r="T339" s="230">
        <f>CONCATENATE(S339,Q339,P339)</f>
        <v/>
      </c>
      <c r="U339" s="206">
        <f>L339*M339</f>
        <v/>
      </c>
      <c r="V339" s="4" t="n"/>
      <c r="W339" s="4" t="n"/>
      <c r="X339" s="4" t="n"/>
    </row>
    <row r="340" ht="15.75" customHeight="1" thickBot="1">
      <c r="A340" s="183" t="n">
        <v>226</v>
      </c>
      <c r="B340" s="115" t="inlineStr">
        <is>
          <t>Kopiko Blanca</t>
        </is>
      </c>
      <c r="C340" s="115" t="n"/>
      <c r="D340" s="115">
        <f>IFERROR(__xludf.DUMMYFUNCTION("IF(J340="""",""n/a"",IFERROR(SPLIT(J340,""/"")))"),"Kopiko")</f>
        <v/>
      </c>
      <c r="E340" s="115">
        <f>IFERROR(__xludf.DUMMYFUNCTION("""COMPUTED_VALUE"""),"pack (30x30grams)")</f>
        <v/>
      </c>
      <c r="F340" s="115" t="n"/>
      <c r="G340" s="115" t="n"/>
      <c r="H340" s="11" t="inlineStr">
        <is>
          <t>Annex</t>
        </is>
      </c>
      <c r="I340" s="6" t="n"/>
      <c r="J340" s="19" t="inlineStr">
        <is>
          <t>Kopiko/pack (30x30grams)</t>
        </is>
      </c>
      <c r="K340" s="6" t="n"/>
      <c r="L340" s="14" t="n">
        <v>8.199999999999999</v>
      </c>
      <c r="M340" s="190" t="n">
        <v>170</v>
      </c>
      <c r="N340" s="17" t="n">
        <v>1</v>
      </c>
      <c r="O340" s="13">
        <f>E340</f>
        <v/>
      </c>
      <c r="P340" s="9" t="inlineStr">
        <is>
          <t>pieces</t>
        </is>
      </c>
      <c r="Q340" s="13" t="n"/>
      <c r="R340" s="78">
        <f>CONCATENATE(N340,P340)</f>
        <v/>
      </c>
      <c r="S340" s="229">
        <f>M340*N340</f>
        <v/>
      </c>
      <c r="T340" s="230">
        <f>CONCATENATE(S340,Q340,P340)</f>
        <v/>
      </c>
      <c r="U340" s="206">
        <f>L340*M340</f>
        <v/>
      </c>
      <c r="V340" s="231" t="n"/>
      <c r="W340" s="236" t="n"/>
      <c r="X340" s="71" t="n"/>
    </row>
    <row r="341" ht="15.75" customHeight="1" thickBot="1">
      <c r="A341" s="183" t="n">
        <v>226</v>
      </c>
      <c r="B341" s="114" t="inlineStr">
        <is>
          <t>Kopiko Blanca</t>
        </is>
      </c>
      <c r="C341" s="114" t="n"/>
      <c r="D341" s="115">
        <f>IFERROR(__xludf.DUMMYFUNCTION("IF(J341="""",""n/a"",IFERROR(SPLIT(J341,""/"")))"),"n/a")</f>
        <v/>
      </c>
      <c r="E341" s="114" t="n"/>
      <c r="F341" s="114" t="n"/>
      <c r="G341" s="114" t="n"/>
      <c r="H341" s="84" t="inlineStr">
        <is>
          <t>F1</t>
        </is>
      </c>
      <c r="I341" s="7" t="n"/>
      <c r="J341" s="19" t="n"/>
      <c r="K341" s="7" t="n"/>
      <c r="L341" s="12" t="n">
        <v>8.75</v>
      </c>
      <c r="M341" s="191" t="n">
        <v>4</v>
      </c>
      <c r="N341" s="85" t="n">
        <v>10</v>
      </c>
      <c r="O341" s="13">
        <f>E341</f>
        <v/>
      </c>
      <c r="P341" s="23" t="inlineStr">
        <is>
          <t>pieces</t>
        </is>
      </c>
      <c r="Q341" s="20" t="n"/>
      <c r="R341" s="5" t="n"/>
      <c r="S341" s="229">
        <f>M341*N341</f>
        <v/>
      </c>
      <c r="T341" s="230">
        <f>CONCATENATE(S341,Q341,P341)</f>
        <v/>
      </c>
      <c r="U341" s="206">
        <f>L341*M341</f>
        <v/>
      </c>
      <c r="V341" s="4" t="n"/>
      <c r="W341" s="4" t="n"/>
      <c r="X341" s="4" t="n"/>
    </row>
    <row r="342" ht="15.75" customHeight="1" thickBot="1">
      <c r="A342" s="183" t="n">
        <v>227</v>
      </c>
      <c r="B342" s="115" t="inlineStr">
        <is>
          <t>Kopiko Brown</t>
        </is>
      </c>
      <c r="C342" s="115" t="n"/>
      <c r="D342" s="115">
        <f>IFERROR(__xludf.DUMMYFUNCTION("IF(J342="""",""n/a"",IFERROR(SPLIT(J342,""/"")))"),"Kopiko")</f>
        <v/>
      </c>
      <c r="E342" s="115">
        <f>IFERROR(__xludf.DUMMYFUNCTION("""COMPUTED_VALUE"""),"pack (10x27.5grams)")</f>
        <v/>
      </c>
      <c r="F342" s="115" t="n"/>
      <c r="G342" s="115" t="n"/>
      <c r="H342" s="11" t="inlineStr">
        <is>
          <t>CIP</t>
        </is>
      </c>
      <c r="I342" s="95" t="n"/>
      <c r="J342" s="93" t="inlineStr">
        <is>
          <t>Kopiko/pack (10x27.5grams)</t>
        </is>
      </c>
      <c r="K342" s="5" t="n"/>
      <c r="L342" s="90" t="n">
        <v>7</v>
      </c>
      <c r="M342" s="189" t="n">
        <v>351</v>
      </c>
      <c r="N342" s="13" t="n">
        <v>1</v>
      </c>
      <c r="O342" s="13">
        <f>E342</f>
        <v/>
      </c>
      <c r="P342" s="13" t="inlineStr">
        <is>
          <t>pieces</t>
        </is>
      </c>
      <c r="Q342" s="20" t="n"/>
      <c r="R342" s="5" t="n"/>
      <c r="S342" s="229">
        <f>M342*N342</f>
        <v/>
      </c>
      <c r="T342" s="230">
        <f>CONCATENATE(S342,Q342,P342)</f>
        <v/>
      </c>
      <c r="U342" s="206">
        <f>L342*M342</f>
        <v/>
      </c>
      <c r="V342" s="4" t="n"/>
      <c r="W342" s="4" t="n"/>
      <c r="X342" s="4" t="n"/>
    </row>
    <row r="343" ht="15.75" customHeight="1" thickBot="1">
      <c r="A343" s="183" t="n">
        <v>227</v>
      </c>
      <c r="B343" s="114" t="inlineStr">
        <is>
          <t>Kopiko Brown</t>
        </is>
      </c>
      <c r="C343" s="114" t="n"/>
      <c r="D343" s="115">
        <f>IFERROR(__xludf.DUMMYFUNCTION("IF(J343="""",""n/a"",IFERROR(SPLIT(J343,""/"")))"),"n/a")</f>
        <v/>
      </c>
      <c r="E343" s="114" t="n"/>
      <c r="F343" s="114" t="n"/>
      <c r="G343" s="114" t="n"/>
      <c r="H343" s="84" t="inlineStr">
        <is>
          <t>F1</t>
        </is>
      </c>
      <c r="I343" s="7" t="n"/>
      <c r="J343" s="19" t="n"/>
      <c r="K343" s="7" t="n"/>
      <c r="L343" s="12" t="n">
        <v>7.7</v>
      </c>
      <c r="M343" s="191" t="n">
        <v>311</v>
      </c>
      <c r="N343" s="85" t="n">
        <v>10</v>
      </c>
      <c r="O343" s="13">
        <f>E343</f>
        <v/>
      </c>
      <c r="P343" s="23" t="inlineStr">
        <is>
          <t>pieces</t>
        </is>
      </c>
      <c r="Q343" s="20" t="n"/>
      <c r="R343" s="5" t="n"/>
      <c r="S343" s="229">
        <f>M343*N343</f>
        <v/>
      </c>
      <c r="T343" s="230">
        <f>CONCATENATE(S343,Q343,P343)</f>
        <v/>
      </c>
      <c r="U343" s="206">
        <f>L343*M343</f>
        <v/>
      </c>
      <c r="V343" s="4" t="n"/>
      <c r="W343" s="4" t="n"/>
      <c r="X343" s="4" t="n"/>
    </row>
    <row r="344" ht="15.75" customHeight="1" thickBot="1">
      <c r="A344" s="183" t="n">
        <v>228</v>
      </c>
      <c r="B344" s="115" t="inlineStr">
        <is>
          <t>Kopiko L.A</t>
        </is>
      </c>
      <c r="C344" s="115" t="n"/>
      <c r="D344" s="115">
        <f>IFERROR(__xludf.DUMMYFUNCTION("IF(J344="""",""n/a"",IFERROR(SPLIT(J344,""/"")))"),"Kopikopack (20pcsx")</f>
        <v/>
      </c>
      <c r="E344" s="115">
        <f>IFERROR(__xludf.DUMMYFUNCTION("""COMPUTED_VALUE"""),"25grams)")</f>
        <v/>
      </c>
      <c r="F344" s="115" t="n"/>
      <c r="G344" s="115" t="n"/>
      <c r="H344" s="11" t="inlineStr">
        <is>
          <t>Annex</t>
        </is>
      </c>
      <c r="I344" s="6" t="n"/>
      <c r="J344" s="19" t="inlineStr">
        <is>
          <t>Kopikopack (20pcsx/25grams)</t>
        </is>
      </c>
      <c r="K344" s="6" t="n"/>
      <c r="L344" s="14" t="n">
        <v>7.72</v>
      </c>
      <c r="M344" s="190" t="n">
        <v>60</v>
      </c>
      <c r="N344" s="17" t="n">
        <v>1</v>
      </c>
      <c r="O344" s="13">
        <f>E344</f>
        <v/>
      </c>
      <c r="P344" s="9" t="inlineStr">
        <is>
          <t>pieces</t>
        </is>
      </c>
      <c r="Q344" s="13" t="n"/>
      <c r="R344" s="78">
        <f>CONCATENATE(N344,P344)</f>
        <v/>
      </c>
      <c r="S344" s="229">
        <f>M344*N344</f>
        <v/>
      </c>
      <c r="T344" s="230">
        <f>CONCATENATE(S344,Q344,P344)</f>
        <v/>
      </c>
      <c r="U344" s="206">
        <f>L344*M344</f>
        <v/>
      </c>
      <c r="V344" s="231" t="n"/>
      <c r="W344" s="236" t="n"/>
      <c r="X344" s="71" t="n"/>
    </row>
    <row r="345" ht="15.75" customHeight="1" thickBot="1">
      <c r="A345" s="183" t="n">
        <v>228</v>
      </c>
      <c r="B345" s="122" t="inlineStr">
        <is>
          <t>Kopiko L.A</t>
        </is>
      </c>
      <c r="C345" s="122" t="n"/>
      <c r="D345" s="115">
        <f>IFERROR(__xludf.DUMMYFUNCTION("IF(J345="""",""n/a"",IFERROR(SPLIT(J345,""/"")))"),"Kopikopack (20pcsx")</f>
        <v/>
      </c>
      <c r="E345" s="122">
        <f>IFERROR(__xludf.DUMMYFUNCTION("""COMPUTED_VALUE"""),"25grams)")</f>
        <v/>
      </c>
      <c r="F345" s="122" t="n"/>
      <c r="G345" s="122" t="n"/>
      <c r="H345" s="11" t="inlineStr">
        <is>
          <t>CIP</t>
        </is>
      </c>
      <c r="I345" s="95" t="n"/>
      <c r="J345" s="19" t="inlineStr">
        <is>
          <t>Kopikopack (20pcsx/25grams)</t>
        </is>
      </c>
      <c r="K345" s="5" t="n"/>
      <c r="L345" s="90" t="n">
        <v>7.77</v>
      </c>
      <c r="M345" s="189" t="n">
        <v>116</v>
      </c>
      <c r="N345" s="13" t="n">
        <v>1</v>
      </c>
      <c r="O345" s="13">
        <f>E345</f>
        <v/>
      </c>
      <c r="P345" s="13" t="inlineStr">
        <is>
          <t>pieces</t>
        </is>
      </c>
      <c r="Q345" s="20" t="n"/>
      <c r="R345" s="5" t="n"/>
      <c r="S345" s="229">
        <f>M345*N345</f>
        <v/>
      </c>
      <c r="T345" s="230">
        <f>CONCATENATE(S345,Q345,P345)</f>
        <v/>
      </c>
      <c r="U345" s="206">
        <f>L345*M345</f>
        <v/>
      </c>
      <c r="V345" s="4" t="n"/>
      <c r="W345" s="4" t="n"/>
      <c r="X345" s="4" t="n"/>
    </row>
    <row r="346" ht="15.75" customHeight="1" thickBot="1">
      <c r="A346" s="183" t="n">
        <v>229</v>
      </c>
      <c r="B346" s="114" t="inlineStr">
        <is>
          <t>Lala Tempura</t>
        </is>
      </c>
      <c r="C346" s="114" t="n"/>
      <c r="D346" s="115">
        <f>IFERROR(__xludf.DUMMYFUNCTION("IF(J346="""",""n/a"",IFERROR(SPLIT(J346,""/"")))"),"n/a")</f>
        <v/>
      </c>
      <c r="E346" s="114" t="n"/>
      <c r="F346" s="114" t="n"/>
      <c r="G346" s="114" t="n"/>
      <c r="H346" s="84" t="inlineStr">
        <is>
          <t>F1</t>
        </is>
      </c>
      <c r="I346" s="7" t="n"/>
      <c r="J346" s="19" t="n"/>
      <c r="K346" s="7" t="n"/>
      <c r="L346" s="12" t="n">
        <v>33.6125</v>
      </c>
      <c r="M346" s="191" t="n">
        <v>24</v>
      </c>
      <c r="N346" s="85" t="n">
        <v>24</v>
      </c>
      <c r="O346" s="13">
        <f>E346</f>
        <v/>
      </c>
      <c r="P346" s="9" t="inlineStr">
        <is>
          <t>pieces</t>
        </is>
      </c>
      <c r="Q346" s="20" t="n"/>
      <c r="R346" s="5" t="n"/>
      <c r="S346" s="229">
        <f>M346*N346</f>
        <v/>
      </c>
      <c r="T346" s="230">
        <f>CONCATENATE(S346,Q346,P346)</f>
        <v/>
      </c>
      <c r="U346" s="206">
        <f>L346*M346</f>
        <v/>
      </c>
      <c r="V346" s="4" t="n"/>
      <c r="W346" s="4" t="n"/>
      <c r="X346" s="4" t="n"/>
    </row>
    <row r="347" ht="15.75" customHeight="1" thickBot="1">
      <c r="A347" s="183" t="n">
        <v>230</v>
      </c>
      <c r="B347" s="114" t="inlineStr">
        <is>
          <t>Lard</t>
        </is>
      </c>
      <c r="C347" s="114" t="n"/>
      <c r="D347" s="115">
        <f>IFERROR(__xludf.DUMMYFUNCTION("IF(J347="""",""n/a"",IFERROR(SPLIT(J347,""/"")))"),"Spring Shortening")</f>
        <v/>
      </c>
      <c r="E347" s="114">
        <f>IFERROR(__xludf.DUMMYFUNCTION("""COMPUTED_VALUE"""),"pail")</f>
        <v/>
      </c>
      <c r="F347" s="114">
        <f>IFERROR(__xludf.DUMMYFUNCTION("""COMPUTED_VALUE"""),"11000grams")</f>
        <v/>
      </c>
      <c r="G347" s="114" t="n"/>
      <c r="H347" s="11" t="inlineStr">
        <is>
          <t>CIP</t>
        </is>
      </c>
      <c r="I347" s="95" t="n"/>
      <c r="J347" s="93" t="inlineStr">
        <is>
          <t>Spring Shortening/pail/11000grams</t>
        </is>
      </c>
      <c r="K347" s="5" t="n"/>
      <c r="L347" s="90" t="n">
        <v>1440</v>
      </c>
      <c r="M347" s="189" t="n">
        <v>0.14</v>
      </c>
      <c r="N347" s="13" t="n">
        <v>11000</v>
      </c>
      <c r="O347" s="13">
        <f>E347</f>
        <v/>
      </c>
      <c r="P347" s="13" t="inlineStr">
        <is>
          <t>grams</t>
        </is>
      </c>
      <c r="Q347" s="20" t="n"/>
      <c r="R347" s="5" t="n"/>
      <c r="S347" s="229">
        <f>M347*N347</f>
        <v/>
      </c>
      <c r="T347" s="230">
        <f>CONCATENATE(S347,Q347,P347)</f>
        <v/>
      </c>
      <c r="U347" s="206">
        <f>L347*M347</f>
        <v/>
      </c>
      <c r="V347" s="4" t="n"/>
      <c r="W347" s="4" t="n"/>
      <c r="X347" s="4" t="n"/>
    </row>
    <row r="348" ht="15.75" customHeight="1" thickBot="1">
      <c r="A348" s="183" t="n">
        <v>231</v>
      </c>
      <c r="B348" s="115" t="inlineStr">
        <is>
          <t>Lasagna Noodles</t>
        </is>
      </c>
      <c r="C348" s="115" t="n"/>
      <c r="D348" s="115">
        <f>IFERROR(__xludf.DUMMYFUNCTION("IF(J348="""",""n/a"",IFERROR(SPLIT(J348,""/"")))"),"Ideal")</f>
        <v/>
      </c>
      <c r="E348" s="115">
        <f>IFERROR(__xludf.DUMMYFUNCTION("""COMPUTED_VALUE"""),"box")</f>
        <v/>
      </c>
      <c r="F348" s="115">
        <f>IFERROR(__xludf.DUMMYFUNCTION("""COMPUTED_VALUE"""),"500grams")</f>
        <v/>
      </c>
      <c r="G348" s="115" t="n"/>
      <c r="H348" s="11" t="inlineStr">
        <is>
          <t>Annex</t>
        </is>
      </c>
      <c r="I348" s="6" t="n"/>
      <c r="J348" s="19" t="inlineStr">
        <is>
          <t>Ideal/box/500grams</t>
        </is>
      </c>
      <c r="K348" s="6" t="n"/>
      <c r="L348" s="22" t="n">
        <v>0.2883259911894273</v>
      </c>
      <c r="M348" s="190" t="n">
        <v>1816</v>
      </c>
      <c r="N348" s="17" t="n">
        <v>454</v>
      </c>
      <c r="O348" s="13">
        <f>E348</f>
        <v/>
      </c>
      <c r="P348" s="9" t="inlineStr">
        <is>
          <t>grams</t>
        </is>
      </c>
      <c r="Q348" s="13" t="n"/>
      <c r="R348" s="78">
        <f>CONCATENATE(N348,P348)</f>
        <v/>
      </c>
      <c r="S348" s="229">
        <f>M348*N348</f>
        <v/>
      </c>
      <c r="T348" s="230">
        <f>CONCATENATE(S348,Q348,P348)</f>
        <v/>
      </c>
      <c r="U348" s="206">
        <f>L348*M348</f>
        <v/>
      </c>
      <c r="V348" s="34" t="n"/>
      <c r="W348" s="34" t="n"/>
      <c r="X348" s="34" t="n"/>
    </row>
    <row r="349" ht="15.75" customHeight="1" thickBot="1">
      <c r="A349" s="183" t="n">
        <v>232</v>
      </c>
      <c r="B349" s="114" t="inlineStr">
        <is>
          <t>Laurel Leaves</t>
        </is>
      </c>
      <c r="C349" s="114" t="n"/>
      <c r="D349" s="115">
        <f>IFERROR(__xludf.DUMMYFUNCTION("IF(J349="""",""n/a"",IFERROR(SPLIT(J349,""/"")))"),"n/a")</f>
        <v/>
      </c>
      <c r="E349" s="114" t="n"/>
      <c r="F349" s="114" t="n"/>
      <c r="G349" s="114" t="n"/>
      <c r="H349" s="84" t="inlineStr">
        <is>
          <t>F1</t>
        </is>
      </c>
      <c r="I349" s="7" t="n"/>
      <c r="J349" s="19" t="n"/>
      <c r="K349" s="7" t="n"/>
      <c r="L349" s="12" t="n">
        <v>0.39</v>
      </c>
      <c r="M349" s="192" t="n">
        <v>750</v>
      </c>
      <c r="N349" s="85" t="n">
        <v>1000</v>
      </c>
      <c r="O349" s="13">
        <f>E349</f>
        <v/>
      </c>
      <c r="P349" s="9" t="inlineStr">
        <is>
          <t>grams</t>
        </is>
      </c>
      <c r="Q349" s="20" t="n"/>
      <c r="R349" s="5" t="n"/>
      <c r="S349" s="229">
        <f>M349*N349</f>
        <v/>
      </c>
      <c r="T349" s="230">
        <f>CONCATENATE(S349,Q349,P349)</f>
        <v/>
      </c>
      <c r="U349" s="206">
        <f>L349*M349</f>
        <v/>
      </c>
      <c r="V349" s="4" t="n"/>
      <c r="W349" s="4" t="n"/>
      <c r="X349" s="4" t="n"/>
    </row>
    <row r="350" ht="15.75" customHeight="1" thickBot="1">
      <c r="A350" s="183" t="n">
        <v>233</v>
      </c>
      <c r="B350" s="115" t="inlineStr">
        <is>
          <t>Lechon Sauce</t>
        </is>
      </c>
      <c r="C350" s="115" t="n"/>
      <c r="D350" s="115">
        <f>IFERROR(__xludf.DUMMYFUNCTION("IF(J350="""",""n/a"",IFERROR(SPLIT(J350,""/"")))"),"Mang Tomas")</f>
        <v/>
      </c>
      <c r="E350" s="115">
        <f>IFERROR(__xludf.DUMMYFUNCTION("""COMPUTED_VALUE"""),"bottle")</f>
        <v/>
      </c>
      <c r="F350" s="115">
        <f>IFERROR(__xludf.DUMMYFUNCTION("""COMPUTED_VALUE"""),"550grams")</f>
        <v/>
      </c>
      <c r="G350" s="115" t="n"/>
      <c r="H350" s="11" t="inlineStr">
        <is>
          <t>Annex</t>
        </is>
      </c>
      <c r="I350" s="6" t="n"/>
      <c r="J350" s="19" t="inlineStr">
        <is>
          <t>Mang Tomas/bottle/550grams</t>
        </is>
      </c>
      <c r="K350" s="18" t="n"/>
      <c r="L350" s="12" t="n">
        <v>0.08854545454545455</v>
      </c>
      <c r="M350" s="190" t="n">
        <v>1650</v>
      </c>
      <c r="N350" s="17" t="n">
        <v>550</v>
      </c>
      <c r="O350" s="13">
        <f>E350</f>
        <v/>
      </c>
      <c r="P350" s="9" t="inlineStr">
        <is>
          <t>grams</t>
        </is>
      </c>
      <c r="Q350" s="13" t="n"/>
      <c r="R350" s="78">
        <f>CONCATENATE(N350,P350)</f>
        <v/>
      </c>
      <c r="S350" s="229">
        <f>M350*N350</f>
        <v/>
      </c>
      <c r="T350" s="230">
        <f>CONCATENATE(S350,Q350,P350)</f>
        <v/>
      </c>
      <c r="U350" s="206">
        <f>L350*M350</f>
        <v/>
      </c>
      <c r="V350" s="231" t="n"/>
      <c r="W350" s="236" t="n"/>
      <c r="X350" s="71" t="n"/>
    </row>
    <row r="351" ht="15.75" customHeight="1" thickBot="1">
      <c r="A351" s="183" t="n">
        <v>233</v>
      </c>
      <c r="B351" s="115" t="inlineStr">
        <is>
          <t>Lechon Sauce</t>
        </is>
      </c>
      <c r="C351" s="115" t="n"/>
      <c r="D351" s="115">
        <f>IFERROR(__xludf.DUMMYFUNCTION("IF(J351="""",""n/a"",IFERROR(SPLIT(J351,""/"")))"),"Mang Tomas")</f>
        <v/>
      </c>
      <c r="E351" s="115">
        <f>IFERROR(__xludf.DUMMYFUNCTION("""COMPUTED_VALUE"""),"bottle")</f>
        <v/>
      </c>
      <c r="F351" s="115">
        <f>IFERROR(__xludf.DUMMYFUNCTION("""COMPUTED_VALUE"""),"550grams")</f>
        <v/>
      </c>
      <c r="G351" s="115" t="n"/>
      <c r="H351" s="11" t="inlineStr">
        <is>
          <t>CIP</t>
        </is>
      </c>
      <c r="I351" s="95" t="n"/>
      <c r="J351" s="93" t="inlineStr">
        <is>
          <t>Mang Tomas/bottle/550grams</t>
        </is>
      </c>
      <c r="K351" s="116" t="n"/>
      <c r="L351" s="90" t="n">
        <v>48.7</v>
      </c>
      <c r="M351" s="189" t="n">
        <v>20</v>
      </c>
      <c r="N351" s="110" t="n">
        <v>1</v>
      </c>
      <c r="O351" s="13">
        <f>E351</f>
        <v/>
      </c>
      <c r="P351" s="105" t="inlineStr">
        <is>
          <t>grams</t>
        </is>
      </c>
      <c r="Q351" s="20" t="n"/>
      <c r="R351" s="5" t="n"/>
      <c r="S351" s="229">
        <f>M351*N351</f>
        <v/>
      </c>
      <c r="T351" s="230">
        <f>CONCATENATE(S351,Q351,P351)</f>
        <v/>
      </c>
      <c r="U351" s="206">
        <f>L351*M351</f>
        <v/>
      </c>
      <c r="V351" s="4" t="n"/>
      <c r="W351" s="4" t="n"/>
      <c r="X351" s="4" t="n"/>
    </row>
    <row r="352" ht="15.75" customHeight="1" thickBot="1">
      <c r="A352" s="183" t="n">
        <v>234</v>
      </c>
      <c r="B352" s="114" t="inlineStr">
        <is>
          <t>Lihia</t>
        </is>
      </c>
      <c r="C352" s="114" t="n"/>
      <c r="D352" s="115">
        <f>IFERROR(__xludf.DUMMYFUNCTION("IF(J352="""",""n/a"",IFERROR(SPLIT(J352,""/"")))"),"Mr. Brown")</f>
        <v/>
      </c>
      <c r="E352" s="114">
        <f>IFERROR(__xludf.DUMMYFUNCTION("""COMPUTED_VALUE"""),"bottle")</f>
        <v/>
      </c>
      <c r="F352" s="114">
        <f>IFERROR(__xludf.DUMMYFUNCTION("""COMPUTED_VALUE"""),"350ml")</f>
        <v/>
      </c>
      <c r="G352" s="114" t="n"/>
      <c r="H352" s="11" t="inlineStr">
        <is>
          <t>CIP</t>
        </is>
      </c>
      <c r="I352" s="95" t="n"/>
      <c r="J352" s="93" t="inlineStr">
        <is>
          <t>Mr. Brown/bottle/350ml</t>
        </is>
      </c>
      <c r="K352" s="5" t="n"/>
      <c r="L352" s="90" t="n">
        <v>55</v>
      </c>
      <c r="M352" s="189" t="n">
        <v>3</v>
      </c>
      <c r="N352" s="13" t="n">
        <v>350</v>
      </c>
      <c r="O352" s="13">
        <f>E352</f>
        <v/>
      </c>
      <c r="P352" s="13" t="inlineStr">
        <is>
          <t>ml</t>
        </is>
      </c>
      <c r="Q352" s="20" t="n"/>
      <c r="R352" s="5" t="n"/>
      <c r="S352" s="229">
        <f>M352*N352</f>
        <v/>
      </c>
      <c r="T352" s="230">
        <f>CONCATENATE(S352,Q352,P352)</f>
        <v/>
      </c>
      <c r="U352" s="206">
        <f>L352*M352</f>
        <v/>
      </c>
      <c r="V352" s="4" t="n"/>
      <c r="W352" s="4" t="n"/>
      <c r="X352" s="4" t="n"/>
    </row>
    <row r="353" ht="15.75" customHeight="1" thickBot="1">
      <c r="A353" s="183" t="n">
        <v>235</v>
      </c>
      <c r="B353" s="115" t="inlineStr">
        <is>
          <t>Lihia/Lye Water</t>
        </is>
      </c>
      <c r="C353" s="115" t="n"/>
      <c r="D353" s="115">
        <f>IFERROR(__xludf.DUMMYFUNCTION("IF(J353="""",""n/a"",IFERROR(SPLIT(J353,""/"")))"),"Green Leaves")</f>
        <v/>
      </c>
      <c r="E353" s="115">
        <f>IFERROR(__xludf.DUMMYFUNCTION("""COMPUTED_VALUE"""),"bottle")</f>
        <v/>
      </c>
      <c r="F353" s="115">
        <f>IFERROR(__xludf.DUMMYFUNCTION("""COMPUTED_VALUE"""),"375ml")</f>
        <v/>
      </c>
      <c r="G353" s="115" t="n"/>
      <c r="H353" s="84" t="inlineStr">
        <is>
          <t>F1</t>
        </is>
      </c>
      <c r="I353" s="7" t="n"/>
      <c r="J353" s="19" t="inlineStr">
        <is>
          <t>Green Leaves/bottle/375ml</t>
        </is>
      </c>
      <c r="K353" s="7" t="n"/>
      <c r="L353" s="12" t="n">
        <v>0.1333333333333333</v>
      </c>
      <c r="M353" s="191" t="n">
        <v>1125</v>
      </c>
      <c r="N353" s="85" t="n">
        <v>375</v>
      </c>
      <c r="O353" s="13">
        <f>E353</f>
        <v/>
      </c>
      <c r="P353" s="9" t="inlineStr">
        <is>
          <t>ml</t>
        </is>
      </c>
      <c r="Q353" s="20" t="n"/>
      <c r="R353" s="5" t="n"/>
      <c r="S353" s="229">
        <f>M353*N353</f>
        <v/>
      </c>
      <c r="T353" s="230">
        <f>CONCATENATE(S353,Q353,P353)</f>
        <v/>
      </c>
      <c r="U353" s="206">
        <f>L353*M353</f>
        <v/>
      </c>
      <c r="V353" s="4" t="n"/>
      <c r="W353" s="4" t="n"/>
      <c r="X353" s="4" t="n"/>
    </row>
    <row r="354" ht="15.75" customHeight="1" thickBot="1">
      <c r="A354" s="183" t="n">
        <v>236</v>
      </c>
      <c r="B354" s="114" t="inlineStr">
        <is>
          <t>Lime Away</t>
        </is>
      </c>
      <c r="C354" s="114" t="n"/>
      <c r="D354" s="115">
        <f>IFERROR(__xludf.DUMMYFUNCTION("IF(J354="""",""n/a"",IFERROR(SPLIT(J354,""/"")))"),"n/a")</f>
        <v/>
      </c>
      <c r="E354" s="114" t="n"/>
      <c r="F354" s="114" t="n"/>
      <c r="G354" s="114" t="n"/>
      <c r="H354" s="84" t="inlineStr">
        <is>
          <t>F1</t>
        </is>
      </c>
      <c r="I354" s="7" t="n"/>
      <c r="J354" s="19" t="n"/>
      <c r="K354" s="7" t="n"/>
      <c r="L354" s="12" t="n">
        <v>4721.11</v>
      </c>
      <c r="M354" s="192" t="n">
        <v>1.5</v>
      </c>
      <c r="N354" s="85" t="n">
        <v>1</v>
      </c>
      <c r="O354" s="13">
        <f>E354</f>
        <v/>
      </c>
      <c r="P354" s="9" t="inlineStr">
        <is>
          <t>gal</t>
        </is>
      </c>
      <c r="Q354" s="20" t="n"/>
      <c r="R354" s="5" t="n"/>
      <c r="S354" s="229">
        <f>M354*N354</f>
        <v/>
      </c>
      <c r="T354" s="230">
        <f>CONCATENATE(S354,Q354,P354)</f>
        <v/>
      </c>
      <c r="U354" s="206">
        <f>L354*M354</f>
        <v/>
      </c>
      <c r="V354" s="4" t="n"/>
      <c r="W354" s="4" t="n"/>
      <c r="X354" s="4" t="n"/>
    </row>
    <row r="355" ht="15.75" customHeight="1" thickBot="1">
      <c r="A355" s="183" t="n">
        <v>237</v>
      </c>
      <c r="B355" s="115" t="inlineStr">
        <is>
          <t>Liquid Seasoning</t>
        </is>
      </c>
      <c r="C355" s="115" t="n"/>
      <c r="D355" s="115">
        <f>IFERROR(__xludf.DUMMYFUNCTION("IF(J355="""",""n/a"",IFERROR(SPLIT(J355,""/"")))"),"Knorr")</f>
        <v/>
      </c>
      <c r="E355" s="115">
        <f>IFERROR(__xludf.DUMMYFUNCTION("""COMPUTED_VALUE"""),"bottle")</f>
        <v/>
      </c>
      <c r="F355" s="115">
        <f>IFERROR(__xludf.DUMMYFUNCTION("""COMPUTED_VALUE"""),"500ml")</f>
        <v/>
      </c>
      <c r="G355" s="115" t="n"/>
      <c r="H355" s="11" t="inlineStr">
        <is>
          <t>Annex</t>
        </is>
      </c>
      <c r="I355" s="6" t="n"/>
      <c r="J355" s="19" t="inlineStr">
        <is>
          <t>Knorr/bottle/500ml</t>
        </is>
      </c>
      <c r="K355" s="18" t="n"/>
      <c r="L355" s="12" t="n">
        <v>0.3166</v>
      </c>
      <c r="M355" s="190" t="n">
        <v>1000</v>
      </c>
      <c r="N355" s="17" t="n">
        <v>500</v>
      </c>
      <c r="O355" s="13">
        <f>E355</f>
        <v/>
      </c>
      <c r="P355" s="9" t="inlineStr">
        <is>
          <t>ml</t>
        </is>
      </c>
      <c r="Q355" s="13" t="n"/>
      <c r="R355" s="78">
        <f>CONCATENATE(N355,P355)</f>
        <v/>
      </c>
      <c r="S355" s="229">
        <f>M355*N355</f>
        <v/>
      </c>
      <c r="T355" s="230">
        <f>CONCATENATE(S355,Q355,P355)</f>
        <v/>
      </c>
      <c r="U355" s="206">
        <f>L355*M355</f>
        <v/>
      </c>
      <c r="V355" s="231" t="n"/>
      <c r="W355" s="236" t="n"/>
      <c r="X355" s="71" t="n"/>
    </row>
    <row r="356" ht="15.75" customHeight="1" thickBot="1">
      <c r="A356" s="183" t="n">
        <v>237</v>
      </c>
      <c r="B356" s="114" t="inlineStr">
        <is>
          <t>Liquid Seasoning</t>
        </is>
      </c>
      <c r="C356" s="114" t="n"/>
      <c r="D356" s="115">
        <f>IFERROR(__xludf.DUMMYFUNCTION("IF(J356="""",""n/a"",IFERROR(SPLIT(J356,""/"")))"),"Knorr")</f>
        <v/>
      </c>
      <c r="E356" s="114">
        <f>IFERROR(__xludf.DUMMYFUNCTION("""COMPUTED_VALUE"""),"bottle")</f>
        <v/>
      </c>
      <c r="F356" s="114">
        <f>IFERROR(__xludf.DUMMYFUNCTION("""COMPUTED_VALUE"""),"1000ml")</f>
        <v/>
      </c>
      <c r="G356" s="114" t="n"/>
      <c r="H356" s="11" t="inlineStr">
        <is>
          <t>CIP</t>
        </is>
      </c>
      <c r="I356" s="111" t="n"/>
      <c r="J356" s="93" t="inlineStr">
        <is>
          <t>Knorr/bottle/1000ml</t>
        </is>
      </c>
      <c r="K356" s="116" t="n"/>
      <c r="L356" s="90" t="n">
        <v>301.8</v>
      </c>
      <c r="M356" s="189" t="n">
        <v>2</v>
      </c>
      <c r="N356" s="13" t="n">
        <v>1</v>
      </c>
      <c r="O356" s="13">
        <f>E356</f>
        <v/>
      </c>
      <c r="P356" s="13" t="inlineStr">
        <is>
          <t>ml</t>
        </is>
      </c>
      <c r="Q356" s="20" t="n"/>
      <c r="R356" s="5" t="n"/>
      <c r="S356" s="229">
        <f>M356*N356</f>
        <v/>
      </c>
      <c r="T356" s="230">
        <f>CONCATENATE(S356,Q356,P356)</f>
        <v/>
      </c>
      <c r="U356" s="206">
        <f>L356*M356</f>
        <v/>
      </c>
      <c r="V356" s="4" t="n"/>
      <c r="W356" s="4" t="n"/>
      <c r="X356" s="4" t="n"/>
    </row>
    <row r="357" ht="15.75" customHeight="1" thickBot="1">
      <c r="A357" s="183" t="n">
        <v>238</v>
      </c>
      <c r="B357" s="122" t="inlineStr">
        <is>
          <t>Liver Spread</t>
        </is>
      </c>
      <c r="C357" s="122" t="n"/>
      <c r="D357" s="115">
        <f>IFERROR(__xludf.DUMMYFUNCTION("IF(J357="""",""n/a"",IFERROR(SPLIT(J357,""/"")))"),"CDO")</f>
        <v/>
      </c>
      <c r="E357" s="122">
        <f>IFERROR(__xludf.DUMMYFUNCTION("""COMPUTED_VALUE"""),"can")</f>
        <v/>
      </c>
      <c r="F357" s="122">
        <f>IFERROR(__xludf.DUMMYFUNCTION("""COMPUTED_VALUE"""),"85grams")</f>
        <v/>
      </c>
      <c r="G357" s="122" t="n"/>
      <c r="H357" s="11" t="inlineStr">
        <is>
          <t>CIP</t>
        </is>
      </c>
      <c r="I357" s="108" t="n"/>
      <c r="J357" s="93" t="inlineStr">
        <is>
          <t>CDO/can/85grams</t>
        </is>
      </c>
      <c r="K357" s="116" t="n"/>
      <c r="L357" s="90" t="n">
        <v>22.82</v>
      </c>
      <c r="M357" s="189" t="n">
        <v>12</v>
      </c>
      <c r="N357" s="13" t="n">
        <v>1</v>
      </c>
      <c r="O357" s="13">
        <f>E357</f>
        <v/>
      </c>
      <c r="P357" s="13" t="inlineStr">
        <is>
          <t>grams</t>
        </is>
      </c>
      <c r="Q357" s="20" t="n"/>
      <c r="R357" s="5" t="n"/>
      <c r="S357" s="229">
        <f>M357*N357</f>
        <v/>
      </c>
      <c r="T357" s="230">
        <f>CONCATENATE(S357,Q357,P357)</f>
        <v/>
      </c>
      <c r="U357" s="206">
        <f>L357*M357</f>
        <v/>
      </c>
      <c r="V357" s="4" t="n"/>
      <c r="W357" s="4" t="n"/>
      <c r="X357" s="4" t="n"/>
    </row>
    <row r="358" ht="15.75" customHeight="1" thickBot="1">
      <c r="A358" s="183" t="n">
        <v>238</v>
      </c>
      <c r="B358" s="114" t="inlineStr">
        <is>
          <t>Liver Spread</t>
        </is>
      </c>
      <c r="C358" s="114" t="n"/>
      <c r="D358" s="115">
        <f>IFERROR(__xludf.DUMMYFUNCTION("IF(J358="""",""n/a"",IFERROR(SPLIT(J358,""/"")))"),"n/a")</f>
        <v/>
      </c>
      <c r="E358" s="114" t="n"/>
      <c r="F358" s="114" t="n"/>
      <c r="G358" s="114" t="n"/>
      <c r="H358" s="84" t="inlineStr">
        <is>
          <t>F1</t>
        </is>
      </c>
      <c r="I358" s="7" t="n"/>
      <c r="J358" s="19" t="n"/>
      <c r="K358" s="7" t="n"/>
      <c r="L358" s="12" t="n">
        <v>0.267764705882353</v>
      </c>
      <c r="M358" s="191" t="n">
        <v>4080</v>
      </c>
      <c r="N358" s="85" t="n">
        <v>85</v>
      </c>
      <c r="O358" s="13">
        <f>E358</f>
        <v/>
      </c>
      <c r="P358" s="9" t="inlineStr">
        <is>
          <t>grams</t>
        </is>
      </c>
      <c r="Q358" s="20" t="n"/>
      <c r="R358" s="5" t="n"/>
      <c r="S358" s="229">
        <f>M358*N358</f>
        <v/>
      </c>
      <c r="T358" s="230">
        <f>CONCATENATE(S358,Q358,P358)</f>
        <v/>
      </c>
      <c r="U358" s="206">
        <f>L358*M358</f>
        <v/>
      </c>
      <c r="V358" s="4" t="n"/>
      <c r="W358" s="4" t="n"/>
      <c r="X358" s="4" t="n"/>
    </row>
    <row r="359" ht="15.75" customHeight="1" thickBot="1">
      <c r="A359" s="183" t="n">
        <v>239</v>
      </c>
      <c r="B359" s="114" t="inlineStr">
        <is>
          <t>Luncheon Meat</t>
        </is>
      </c>
      <c r="C359" s="114" t="n"/>
      <c r="D359" s="115">
        <f>IFERROR(__xludf.DUMMYFUNCTION("IF(J359="""",""n/a"",IFERROR(SPLIT(J359,""/"")))"),"Purefoods")</f>
        <v/>
      </c>
      <c r="E359" s="114">
        <f>IFERROR(__xludf.DUMMYFUNCTION("""COMPUTED_VALUE"""),"can")</f>
        <v/>
      </c>
      <c r="F359" s="114">
        <f>IFERROR(__xludf.DUMMYFUNCTION("""COMPUTED_VALUE"""),"340grams")</f>
        <v/>
      </c>
      <c r="G359" s="114" t="n"/>
      <c r="H359" s="11" t="inlineStr">
        <is>
          <t>CIP</t>
        </is>
      </c>
      <c r="I359" s="108" t="n"/>
      <c r="J359" s="93" t="inlineStr">
        <is>
          <t>Purefoods/can/340grams</t>
        </is>
      </c>
      <c r="K359" s="116" t="n"/>
      <c r="L359" s="90" t="n">
        <v>79</v>
      </c>
      <c r="M359" s="189" t="n">
        <v>37.382</v>
      </c>
      <c r="N359" s="13" t="n">
        <v>1</v>
      </c>
      <c r="O359" s="13">
        <f>E359</f>
        <v/>
      </c>
      <c r="P359" s="13" t="inlineStr">
        <is>
          <t>grams</t>
        </is>
      </c>
      <c r="Q359" s="20" t="n"/>
      <c r="R359" s="5" t="n"/>
      <c r="S359" s="229">
        <f>M359*N359</f>
        <v/>
      </c>
      <c r="T359" s="230">
        <f>CONCATENATE(S359,Q359,P359)</f>
        <v/>
      </c>
      <c r="U359" s="206">
        <f>L359*M359</f>
        <v/>
      </c>
      <c r="V359" s="4" t="n"/>
      <c r="W359" s="4" t="n"/>
      <c r="X359" s="4" t="n"/>
    </row>
    <row r="360" ht="15.75" customHeight="1" thickBot="1">
      <c r="A360" s="183" t="n">
        <v>240</v>
      </c>
      <c r="B360" s="115" t="inlineStr">
        <is>
          <t>Luncheon Meat - Chicken</t>
        </is>
      </c>
      <c r="C360" s="115" t="n"/>
      <c r="D360" s="115">
        <f>IFERROR(__xludf.DUMMYFUNCTION("IF(J360="""",""n/a"",IFERROR(SPLIT(J360,""/"")))"),"n/a")</f>
        <v/>
      </c>
      <c r="E360" s="115" t="n"/>
      <c r="F360" s="115" t="n"/>
      <c r="G360" s="115" t="n"/>
      <c r="H360" s="84" t="inlineStr">
        <is>
          <t>F1</t>
        </is>
      </c>
      <c r="I360" s="7" t="n"/>
      <c r="J360" s="19" t="n"/>
      <c r="K360" s="7" t="n"/>
      <c r="L360" s="12" t="n">
        <v>0.2033055555555555</v>
      </c>
      <c r="M360" s="192" t="n">
        <v>9360</v>
      </c>
      <c r="N360" s="85" t="n">
        <v>360</v>
      </c>
      <c r="O360" s="13">
        <f>E360</f>
        <v/>
      </c>
      <c r="P360" s="9" t="inlineStr">
        <is>
          <t>grams</t>
        </is>
      </c>
      <c r="Q360" s="20" t="n"/>
      <c r="R360" s="5" t="n"/>
      <c r="S360" s="229">
        <f>M360*N360</f>
        <v/>
      </c>
      <c r="T360" s="230">
        <f>CONCATENATE(S360,Q360,P360)</f>
        <v/>
      </c>
      <c r="U360" s="206">
        <f>L360*M360</f>
        <v/>
      </c>
      <c r="V360" s="4" t="n"/>
      <c r="W360" s="4" t="n"/>
      <c r="X360" s="4" t="n"/>
    </row>
    <row r="361" ht="15.75" customHeight="1" thickBot="1">
      <c r="A361" s="183" t="n">
        <v>241</v>
      </c>
      <c r="B361" s="115" t="inlineStr">
        <is>
          <t>Luncheon Meat- Chicken</t>
        </is>
      </c>
      <c r="C361" s="115" t="n"/>
      <c r="D361" s="115">
        <f>IFERROR(__xludf.DUMMYFUNCTION("IF(J361="""",""n/a"",IFERROR(SPLIT(J361,""/"")))"),"Purefoods")</f>
        <v/>
      </c>
      <c r="E361" s="115">
        <f>IFERROR(__xludf.DUMMYFUNCTION("""COMPUTED_VALUE"""),"can")</f>
        <v/>
      </c>
      <c r="F361" s="115">
        <f>IFERROR(__xludf.DUMMYFUNCTION("""COMPUTED_VALUE"""),"340grams")</f>
        <v/>
      </c>
      <c r="G361" s="115" t="n"/>
      <c r="H361" s="11" t="inlineStr">
        <is>
          <t>Annex</t>
        </is>
      </c>
      <c r="I361" s="6" t="n"/>
      <c r="J361" s="19" t="inlineStr">
        <is>
          <t>Purefoods/can/340grams</t>
        </is>
      </c>
      <c r="K361" s="6" t="n"/>
      <c r="L361" s="8" t="n">
        <v>0.2033055555555555</v>
      </c>
      <c r="M361" s="190" t="n">
        <v>11160</v>
      </c>
      <c r="N361" s="17" t="n">
        <v>360</v>
      </c>
      <c r="O361" s="13">
        <f>E361</f>
        <v/>
      </c>
      <c r="P361" s="9" t="inlineStr">
        <is>
          <t>grams</t>
        </is>
      </c>
      <c r="Q361" s="13" t="n"/>
      <c r="R361" s="78">
        <f>CONCATENATE(N361,P361)</f>
        <v/>
      </c>
      <c r="S361" s="229">
        <f>M361*N361</f>
        <v/>
      </c>
      <c r="T361" s="230">
        <f>CONCATENATE(S361,Q361,P361)</f>
        <v/>
      </c>
      <c r="U361" s="206">
        <f>L361*M361</f>
        <v/>
      </c>
      <c r="V361" s="231" t="n"/>
      <c r="W361" s="236" t="n"/>
      <c r="X361" s="71" t="n"/>
    </row>
    <row r="362" ht="15.75" customHeight="1" thickBot="1">
      <c r="A362" s="183" t="n">
        <v>242</v>
      </c>
      <c r="B362" s="115" t="inlineStr">
        <is>
          <t>Luya</t>
        </is>
      </c>
      <c r="C362" s="115" t="n"/>
      <c r="D362" s="115">
        <f>IFERROR(__xludf.DUMMYFUNCTION("IF(J362="""",""n/a"",IFERROR(SPLIT(J362,""/"")))"),"Fresh")</f>
        <v/>
      </c>
      <c r="E362" s="115" t="n"/>
      <c r="F362" s="115" t="n"/>
      <c r="G362" s="115" t="n"/>
      <c r="H362" s="11" t="inlineStr">
        <is>
          <t>Annex</t>
        </is>
      </c>
      <c r="I362" s="6" t="n"/>
      <c r="J362" s="19" t="inlineStr">
        <is>
          <t>Fresh</t>
        </is>
      </c>
      <c r="K362" s="18" t="n"/>
      <c r="L362" s="82" t="n">
        <v>0.095</v>
      </c>
      <c r="M362" s="190" t="n">
        <v>1000</v>
      </c>
      <c r="N362" s="17" t="n">
        <v>1000</v>
      </c>
      <c r="O362" s="13">
        <f>E362</f>
        <v/>
      </c>
      <c r="P362" s="9" t="inlineStr">
        <is>
          <t>grams</t>
        </is>
      </c>
      <c r="Q362" s="13" t="n"/>
      <c r="R362" s="78">
        <f>CONCATENATE(N362,P362)</f>
        <v/>
      </c>
      <c r="S362" s="229">
        <f>M362*N362</f>
        <v/>
      </c>
      <c r="T362" s="230">
        <f>CONCATENATE(S362,Q362,P362)</f>
        <v/>
      </c>
      <c r="U362" s="206">
        <f>L362*M362</f>
        <v/>
      </c>
      <c r="V362" s="34" t="n"/>
      <c r="W362" s="34" t="n"/>
      <c r="X362" s="34" t="n"/>
    </row>
    <row r="363" ht="15.75" customHeight="1" thickBot="1">
      <c r="A363" s="183" t="n">
        <v>243</v>
      </c>
      <c r="B363" s="115" t="inlineStr">
        <is>
          <t>Lychees</t>
        </is>
      </c>
      <c r="C363" s="115" t="n"/>
      <c r="D363" s="115">
        <f>IFERROR(__xludf.DUMMYFUNCTION("IF(J363="""",""n/a"",IFERROR(SPLIT(J363,""/"")))"),"n/a")</f>
        <v/>
      </c>
      <c r="E363" s="115" t="n"/>
      <c r="F363" s="115" t="n"/>
      <c r="G363" s="115" t="n"/>
      <c r="H363" s="84" t="inlineStr">
        <is>
          <t>F1</t>
        </is>
      </c>
      <c r="I363" s="7" t="n"/>
      <c r="J363" s="19" t="n"/>
      <c r="K363" s="7" t="n"/>
      <c r="L363" s="12" t="n">
        <v>0.1884955752212389</v>
      </c>
      <c r="M363" s="192" t="n">
        <v>690</v>
      </c>
      <c r="N363" s="85" t="n">
        <v>565</v>
      </c>
      <c r="O363" s="13">
        <f>E363</f>
        <v/>
      </c>
      <c r="P363" s="9" t="inlineStr">
        <is>
          <t>grams</t>
        </is>
      </c>
      <c r="Q363" s="20" t="n"/>
      <c r="R363" s="5" t="n"/>
      <c r="S363" s="229">
        <f>M363*N363</f>
        <v/>
      </c>
      <c r="T363" s="230">
        <f>CONCATENATE(S363,Q363,P363)</f>
        <v/>
      </c>
      <c r="U363" s="206">
        <f>L363*M363</f>
        <v/>
      </c>
      <c r="V363" s="4" t="n"/>
      <c r="W363" s="4" t="n"/>
      <c r="X363" s="4" t="n"/>
    </row>
    <row r="364" ht="15.75" customHeight="1" thickBot="1">
      <c r="A364" s="183" t="n">
        <v>244</v>
      </c>
      <c r="B364" s="115" t="inlineStr">
        <is>
          <t>Macaroni (Elbow)</t>
        </is>
      </c>
      <c r="C364" s="115" t="n"/>
      <c r="D364" s="115">
        <f>IFERROR(__xludf.DUMMYFUNCTION("IF(J364="""",""n/a"",IFERROR(SPLIT(J364,""/"")))"),"White king")</f>
        <v/>
      </c>
      <c r="E364" s="115">
        <f>IFERROR(__xludf.DUMMYFUNCTION("""COMPUTED_VALUE"""),"pack")</f>
        <v/>
      </c>
      <c r="F364" s="115">
        <f>IFERROR(__xludf.DUMMYFUNCTION("""COMPUTED_VALUE"""),"1000grams")</f>
        <v/>
      </c>
      <c r="G364" s="115" t="n"/>
      <c r="H364" s="11" t="inlineStr">
        <is>
          <t>Annex</t>
        </is>
      </c>
      <c r="I364" s="6" t="n"/>
      <c r="J364" s="19" t="inlineStr">
        <is>
          <t>White king/pack/1000grams</t>
        </is>
      </c>
      <c r="K364" s="6" t="n"/>
      <c r="L364" s="22" t="n">
        <v>0.05961</v>
      </c>
      <c r="M364" s="190" t="n">
        <v>1000</v>
      </c>
      <c r="N364" s="17" t="n">
        <v>1000</v>
      </c>
      <c r="O364" s="13">
        <f>E364</f>
        <v/>
      </c>
      <c r="P364" s="9" t="inlineStr">
        <is>
          <t>grams</t>
        </is>
      </c>
      <c r="Q364" s="13" t="n"/>
      <c r="R364" s="78">
        <f>CONCATENATE(N364,P364)</f>
        <v/>
      </c>
      <c r="S364" s="229">
        <f>M364*N364</f>
        <v/>
      </c>
      <c r="T364" s="230">
        <f>CONCATENATE(S364,Q364,P364)</f>
        <v/>
      </c>
      <c r="U364" s="206">
        <f>L364*M364</f>
        <v/>
      </c>
      <c r="V364" s="34" t="n"/>
      <c r="W364" s="34" t="n"/>
      <c r="X364" s="34" t="n"/>
    </row>
    <row r="365" ht="15.75" customHeight="1" thickBot="1">
      <c r="A365" s="183" t="n">
        <v>244</v>
      </c>
      <c r="B365" s="114" t="inlineStr">
        <is>
          <t>Macaroni (Elbow)</t>
        </is>
      </c>
      <c r="C365" s="114" t="n"/>
      <c r="D365" s="115">
        <f>IFERROR(__xludf.DUMMYFUNCTION("IF(J365="""",""n/a"",IFERROR(SPLIT(J365,""/"")))"),"n/a")</f>
        <v/>
      </c>
      <c r="E365" s="114" t="n"/>
      <c r="F365" s="114" t="n"/>
      <c r="G365" s="114" t="n"/>
      <c r="H365" s="84" t="inlineStr">
        <is>
          <t>F1</t>
        </is>
      </c>
      <c r="I365" s="7" t="n"/>
      <c r="J365" s="19" t="n"/>
      <c r="K365" s="7" t="n"/>
      <c r="L365" s="12" t="n">
        <v>0.05961</v>
      </c>
      <c r="M365" s="192" t="n">
        <v>15600</v>
      </c>
      <c r="N365" s="85" t="n">
        <v>5000</v>
      </c>
      <c r="O365" s="13">
        <f>E365</f>
        <v/>
      </c>
      <c r="P365" s="9" t="inlineStr">
        <is>
          <t>grams</t>
        </is>
      </c>
      <c r="Q365" s="20" t="n"/>
      <c r="R365" s="5" t="n"/>
      <c r="S365" s="229">
        <f>M365*N365</f>
        <v/>
      </c>
      <c r="T365" s="230">
        <f>CONCATENATE(S365,Q365,P365)</f>
        <v/>
      </c>
      <c r="U365" s="206">
        <f>L365*M365</f>
        <v/>
      </c>
      <c r="V365" s="4" t="n"/>
      <c r="W365" s="4" t="n"/>
      <c r="X365" s="4" t="n"/>
    </row>
    <row r="366" ht="15.75" customHeight="1" thickBot="1">
      <c r="A366" s="183" t="n">
        <v>245</v>
      </c>
      <c r="B366" s="115" t="inlineStr">
        <is>
          <t>Macaroni Noodles</t>
        </is>
      </c>
      <c r="C366" s="115" t="n"/>
      <c r="D366" s="115">
        <f>IFERROR(__xludf.DUMMYFUNCTION("IF(J366="""",""n/a"",IFERROR(SPLIT(J366,""/"")))"),"Ideal")</f>
        <v/>
      </c>
      <c r="E366" s="115">
        <f>IFERROR(__xludf.DUMMYFUNCTION("""COMPUTED_VALUE"""),"pack")</f>
        <v/>
      </c>
      <c r="F366" s="115">
        <f>IFERROR(__xludf.DUMMYFUNCTION("""COMPUTED_VALUE"""),"1000grams")</f>
        <v/>
      </c>
      <c r="G366" s="115" t="n"/>
      <c r="H366" s="11" t="inlineStr">
        <is>
          <t>CIP</t>
        </is>
      </c>
      <c r="I366" s="95" t="n"/>
      <c r="J366" s="93" t="inlineStr">
        <is>
          <t>Ideal/pack/1000grams</t>
        </is>
      </c>
      <c r="K366" s="116" t="n"/>
      <c r="L366" s="90" t="n">
        <v>59.3</v>
      </c>
      <c r="M366" s="189" t="n">
        <v>7</v>
      </c>
      <c r="N366" s="13" t="n"/>
      <c r="O366" s="13">
        <f>E366</f>
        <v/>
      </c>
      <c r="P366" s="13" t="inlineStr">
        <is>
          <t>grams</t>
        </is>
      </c>
      <c r="Q366" s="20" t="n"/>
      <c r="R366" s="5" t="n"/>
      <c r="S366" s="229">
        <f>M366*N366</f>
        <v/>
      </c>
      <c r="T366" s="230">
        <f>CONCATENATE(S366,Q366,P366)</f>
        <v/>
      </c>
      <c r="U366" s="206">
        <f>L366*M366</f>
        <v/>
      </c>
      <c r="V366" s="4" t="n"/>
      <c r="W366" s="4" t="n"/>
      <c r="X366" s="4" t="n"/>
    </row>
    <row r="367" ht="15.75" customHeight="1" thickBot="1">
      <c r="A367" s="183" t="n">
        <v>246</v>
      </c>
      <c r="B367" s="115" t="inlineStr">
        <is>
          <t>Mackerel in Natural Oil</t>
        </is>
      </c>
      <c r="C367" s="115" t="n"/>
      <c r="D367" s="115">
        <f>IFERROR(__xludf.DUMMYFUNCTION("IF(J367="""",""n/a"",IFERROR(SPLIT(J367,""/"")))"),"Unipack")</f>
        <v/>
      </c>
      <c r="E367" s="115">
        <f>IFERROR(__xludf.DUMMYFUNCTION("""COMPUTED_VALUE"""),"can")</f>
        <v/>
      </c>
      <c r="F367" s="115">
        <f>IFERROR(__xludf.DUMMYFUNCTION("""COMPUTED_VALUE"""),"425grams")</f>
        <v/>
      </c>
      <c r="G367" s="115" t="n"/>
      <c r="H367" s="11" t="inlineStr">
        <is>
          <t>Annex</t>
        </is>
      </c>
      <c r="I367" s="6" t="n"/>
      <c r="J367" s="19" t="inlineStr">
        <is>
          <t>Unipack/can/425grams</t>
        </is>
      </c>
      <c r="K367" s="6" t="n"/>
      <c r="L367" s="8" t="n">
        <v>0.172</v>
      </c>
      <c r="M367" s="190" t="n">
        <v>14450</v>
      </c>
      <c r="N367" s="17" t="n">
        <v>425</v>
      </c>
      <c r="O367" s="13">
        <f>E367</f>
        <v/>
      </c>
      <c r="P367" s="9" t="inlineStr">
        <is>
          <t>grams</t>
        </is>
      </c>
      <c r="Q367" s="13" t="n"/>
      <c r="R367" s="78">
        <f>CONCATENATE(N367,P367)</f>
        <v/>
      </c>
      <c r="S367" s="229">
        <f>M367*N367</f>
        <v/>
      </c>
      <c r="T367" s="230">
        <f>CONCATENATE(S367,Q367,P367)</f>
        <v/>
      </c>
      <c r="U367" s="206">
        <f>L367*M367</f>
        <v/>
      </c>
      <c r="V367" s="231" t="n"/>
      <c r="W367" s="231" t="n"/>
      <c r="X367" s="71" t="n"/>
    </row>
    <row r="368" ht="15.75" customHeight="1" thickBot="1">
      <c r="A368" s="183" t="n">
        <v>246</v>
      </c>
      <c r="B368" s="114" t="inlineStr">
        <is>
          <t>Mackerel in Natural Oil</t>
        </is>
      </c>
      <c r="C368" s="114" t="n"/>
      <c r="D368" s="115">
        <f>IFERROR(__xludf.DUMMYFUNCTION("IF(J368="""",""n/a"",IFERROR(SPLIT(J368,""/"")))"),"Unipack")</f>
        <v/>
      </c>
      <c r="E368" s="114">
        <f>IFERROR(__xludf.DUMMYFUNCTION("""COMPUTED_VALUE"""),"can")</f>
        <v/>
      </c>
      <c r="F368" s="114">
        <f>IFERROR(__xludf.DUMMYFUNCTION("""COMPUTED_VALUE"""),"425grams")</f>
        <v/>
      </c>
      <c r="G368" s="114" t="n"/>
      <c r="H368" s="11" t="inlineStr">
        <is>
          <t>CIP</t>
        </is>
      </c>
      <c r="I368" s="108" t="n"/>
      <c r="J368" s="93" t="inlineStr">
        <is>
          <t>Unipack/can/425grams</t>
        </is>
      </c>
      <c r="K368" s="116" t="n"/>
      <c r="L368" s="90" t="n">
        <v>71.09</v>
      </c>
      <c r="M368" s="189" t="n">
        <v>80</v>
      </c>
      <c r="N368" s="13" t="n">
        <v>1</v>
      </c>
      <c r="O368" s="13">
        <f>E368</f>
        <v/>
      </c>
      <c r="P368" s="13" t="inlineStr">
        <is>
          <t>grams</t>
        </is>
      </c>
      <c r="Q368" s="20" t="n"/>
      <c r="R368" s="5" t="n"/>
      <c r="S368" s="229">
        <f>M368*N368</f>
        <v/>
      </c>
      <c r="T368" s="230">
        <f>CONCATENATE(S368,Q368,P368)</f>
        <v/>
      </c>
      <c r="U368" s="206">
        <f>L368*M368</f>
        <v/>
      </c>
      <c r="V368" s="4" t="n"/>
      <c r="W368" s="4" t="n"/>
      <c r="X368" s="4" t="n"/>
    </row>
    <row r="369" ht="15.75" customHeight="1" thickBot="1">
      <c r="A369" s="183" t="n">
        <v>247</v>
      </c>
      <c r="B369" s="115" t="inlineStr">
        <is>
          <t>Magic Creams Butter</t>
        </is>
      </c>
      <c r="C369" s="115" t="n"/>
      <c r="D369" s="115">
        <f>IFERROR(__xludf.DUMMYFUNCTION("IF(J369="""",""n/a"",IFERROR(SPLIT(J369,""/"")))"),"Rebisco")</f>
        <v/>
      </c>
      <c r="E369" s="115">
        <f>IFERROR(__xludf.DUMMYFUNCTION("""COMPUTED_VALUE"""),"box (10pcsx28grams)")</f>
        <v/>
      </c>
      <c r="F369" s="115" t="n"/>
      <c r="G369" s="115" t="n"/>
      <c r="H369" s="11" t="inlineStr">
        <is>
          <t>CIP</t>
        </is>
      </c>
      <c r="I369" s="95" t="n"/>
      <c r="J369" s="93" t="inlineStr">
        <is>
          <t>Rebisco/box (10pcsx28grams)</t>
        </is>
      </c>
      <c r="K369" s="116" t="n"/>
      <c r="L369" s="90" t="n">
        <v>5.59</v>
      </c>
      <c r="M369" s="189" t="n">
        <v>400</v>
      </c>
      <c r="N369" s="13" t="n">
        <v>1</v>
      </c>
      <c r="O369" s="13">
        <f>E369</f>
        <v/>
      </c>
      <c r="P369" s="13" t="inlineStr">
        <is>
          <t>pieces</t>
        </is>
      </c>
      <c r="Q369" s="20" t="n"/>
      <c r="R369" s="5" t="n"/>
      <c r="S369" s="229">
        <f>M369*N369</f>
        <v/>
      </c>
      <c r="T369" s="230">
        <f>CONCATENATE(S369,Q369,P369)</f>
        <v/>
      </c>
      <c r="U369" s="206">
        <f>L369*M369</f>
        <v/>
      </c>
      <c r="V369" s="4" t="n"/>
      <c r="W369" s="4" t="n"/>
      <c r="X369" s="4" t="n"/>
    </row>
    <row r="370" ht="15.75" customHeight="1" thickBot="1">
      <c r="A370" s="183" t="n">
        <v>248</v>
      </c>
      <c r="B370" s="114" t="inlineStr">
        <is>
          <t>Magic Creams Peanut Butter</t>
        </is>
      </c>
      <c r="C370" s="114" t="n"/>
      <c r="D370" s="115">
        <f>IFERROR(__xludf.DUMMYFUNCTION("IF(J370="""",""n/a"",IFERROR(SPLIT(J370,""/"")))"),"n/a")</f>
        <v/>
      </c>
      <c r="E370" s="114" t="n"/>
      <c r="F370" s="114" t="n"/>
      <c r="G370" s="114" t="n"/>
      <c r="H370" s="84" t="inlineStr">
        <is>
          <t>F1</t>
        </is>
      </c>
      <c r="I370" s="7" t="n"/>
      <c r="J370" s="19" t="n"/>
      <c r="K370" s="7" t="n"/>
      <c r="L370" s="12" t="n">
        <v>6.9</v>
      </c>
      <c r="M370" s="192" t="n">
        <v>20</v>
      </c>
      <c r="N370" s="85" t="n">
        <v>10</v>
      </c>
      <c r="O370" s="13">
        <f>E370</f>
        <v/>
      </c>
      <c r="P370" s="9" t="inlineStr">
        <is>
          <t>pieces</t>
        </is>
      </c>
      <c r="Q370" s="20" t="n"/>
      <c r="R370" s="5" t="n"/>
      <c r="S370" s="229">
        <f>M370*N370</f>
        <v/>
      </c>
      <c r="T370" s="230">
        <f>CONCATENATE(S370,Q370,P370)</f>
        <v/>
      </c>
      <c r="U370" s="206">
        <f>L370*M370</f>
        <v/>
      </c>
      <c r="V370" s="4" t="n"/>
      <c r="W370" s="4" t="n"/>
      <c r="X370" s="4" t="n"/>
    </row>
    <row r="371" ht="15.75" customHeight="1" thickBot="1">
      <c r="A371" s="183" t="n">
        <v>249</v>
      </c>
      <c r="B371" s="133" t="inlineStr">
        <is>
          <t>Magic Flakes Plain Crackers</t>
        </is>
      </c>
      <c r="C371" s="134" t="n"/>
      <c r="D371" s="115">
        <f>IFERROR(__xludf.DUMMYFUNCTION("IF(J371="""",""n/a"",IFERROR(SPLIT(J371,""/"")))"),"Jack n jill")</f>
        <v/>
      </c>
      <c r="E371" s="134">
        <f>IFERROR(__xludf.DUMMYFUNCTION("""COMPUTED_VALUE"""),"pack (10pcsx28grams)")</f>
        <v/>
      </c>
      <c r="F371" s="134" t="n"/>
      <c r="G371" s="134" t="n"/>
      <c r="H371" s="11" t="inlineStr">
        <is>
          <t>CIP</t>
        </is>
      </c>
      <c r="I371" s="95" t="n"/>
      <c r="J371" s="93" t="inlineStr">
        <is>
          <t>Jack n jill/pack (10pcsx28grams)</t>
        </is>
      </c>
      <c r="K371" s="116" t="n"/>
      <c r="L371" s="90" t="n">
        <v>5.5</v>
      </c>
      <c r="M371" s="196" t="n">
        <v>300</v>
      </c>
      <c r="N371" s="135" t="n">
        <v>1</v>
      </c>
      <c r="O371" s="13">
        <f>E371</f>
        <v/>
      </c>
      <c r="P371" s="136" t="inlineStr">
        <is>
          <t>pieces</t>
        </is>
      </c>
      <c r="Q371" s="20" t="n"/>
      <c r="R371" s="5" t="n"/>
      <c r="S371" s="229">
        <f>M371*N371</f>
        <v/>
      </c>
      <c r="T371" s="230">
        <f>CONCATENATE(S371,Q371,P371)</f>
        <v/>
      </c>
      <c r="U371" s="206">
        <f>L371*M371</f>
        <v/>
      </c>
      <c r="V371" s="4" t="n"/>
      <c r="W371" s="4" t="n"/>
      <c r="X371" s="4" t="n"/>
    </row>
    <row r="372" ht="15.75" customHeight="1" thickBot="1">
      <c r="A372" s="183" t="n">
        <v>250</v>
      </c>
      <c r="B372" s="115" t="inlineStr">
        <is>
          <t>Magic Sarap</t>
        </is>
      </c>
      <c r="C372" s="115" t="n"/>
      <c r="D372" s="115">
        <f>IFERROR(__xludf.DUMMYFUNCTION("IF(J372="""",""n/a"",IFERROR(SPLIT(J372,""/"")))"),"Maggi")</f>
        <v/>
      </c>
      <c r="E372" s="115">
        <f>IFERROR(__xludf.DUMMYFUNCTION("""COMPUTED_VALUE"""),"sachet")</f>
        <v/>
      </c>
      <c r="F372" s="115">
        <f>IFERROR(__xludf.DUMMYFUNCTION("""COMPUTED_VALUE"""),"8grams")</f>
        <v/>
      </c>
      <c r="G372" s="115" t="n"/>
      <c r="H372" s="11" t="inlineStr">
        <is>
          <t>Annex</t>
        </is>
      </c>
      <c r="I372" s="6" t="n"/>
      <c r="J372" s="19" t="inlineStr">
        <is>
          <t>Maggi/sachet/8grams</t>
        </is>
      </c>
      <c r="K372" s="18" t="n"/>
      <c r="L372" s="12" t="n">
        <v>0.6025</v>
      </c>
      <c r="M372" s="195" t="n">
        <v>7920</v>
      </c>
      <c r="N372" s="17" t="n">
        <v>8</v>
      </c>
      <c r="O372" s="13">
        <f>E372</f>
        <v/>
      </c>
      <c r="P372" s="131" t="inlineStr">
        <is>
          <t>grams</t>
        </is>
      </c>
      <c r="Q372" s="13" t="n"/>
      <c r="R372" s="78">
        <f>CONCATENATE(N372,P372)</f>
        <v/>
      </c>
      <c r="S372" s="229">
        <f>M372*N372</f>
        <v/>
      </c>
      <c r="T372" s="230">
        <f>CONCATENATE(S372,Q372,P372)</f>
        <v/>
      </c>
      <c r="U372" s="206">
        <f>L372*M372</f>
        <v/>
      </c>
      <c r="V372" s="231" t="n"/>
      <c r="W372" s="237" t="n"/>
      <c r="X372" s="71" t="n"/>
    </row>
    <row r="373" ht="15.75" customHeight="1" thickBot="1">
      <c r="A373" s="183" t="n">
        <v>250</v>
      </c>
      <c r="B373" s="114" t="inlineStr">
        <is>
          <t>Magic Sarap</t>
        </is>
      </c>
      <c r="C373" s="114" t="n"/>
      <c r="D373" s="115">
        <f>IFERROR(__xludf.DUMMYFUNCTION("IF(J373="""",""n/a"",IFERROR(SPLIT(J373,""/"")))"),"Maggi")</f>
        <v/>
      </c>
      <c r="E373" s="114">
        <f>IFERROR(__xludf.DUMMYFUNCTION("""COMPUTED_VALUE"""),"sachet")</f>
        <v/>
      </c>
      <c r="F373" s="114">
        <f>IFERROR(__xludf.DUMMYFUNCTION("""COMPUTED_VALUE"""),"8grams")</f>
        <v/>
      </c>
      <c r="G373" s="114" t="n"/>
      <c r="H373" s="11" t="inlineStr">
        <is>
          <t>CIP</t>
        </is>
      </c>
      <c r="I373" s="95" t="n"/>
      <c r="J373" s="93" t="inlineStr">
        <is>
          <t>Maggi/sachet/8grams</t>
        </is>
      </c>
      <c r="K373" s="116" t="n"/>
      <c r="L373" s="90" t="n">
        <v>4.82</v>
      </c>
      <c r="M373" s="197" t="n">
        <v>2676</v>
      </c>
      <c r="N373" s="13" t="n">
        <v>1</v>
      </c>
      <c r="O373" s="13">
        <f>E373</f>
        <v/>
      </c>
      <c r="P373" s="137" t="inlineStr">
        <is>
          <t>grams</t>
        </is>
      </c>
      <c r="Q373" s="20" t="n"/>
      <c r="R373" s="5" t="n"/>
      <c r="S373" s="229">
        <f>M373*N373</f>
        <v/>
      </c>
      <c r="T373" s="230">
        <f>CONCATENATE(S373,Q373,P373)</f>
        <v/>
      </c>
      <c r="U373" s="206">
        <f>L373*M373</f>
        <v/>
      </c>
      <c r="V373" s="4" t="n"/>
      <c r="W373" s="4" t="n"/>
      <c r="X373" s="4" t="n"/>
    </row>
    <row r="374" ht="15.75" customHeight="1" thickBot="1">
      <c r="A374" s="183" t="n">
        <v>250</v>
      </c>
      <c r="B374" s="115" t="inlineStr">
        <is>
          <t>Magic Sarap</t>
        </is>
      </c>
      <c r="C374" s="115" t="n"/>
      <c r="D374" s="115">
        <f>IFERROR(__xludf.DUMMYFUNCTION("IF(J374="""",""n/a"",IFERROR(SPLIT(J374,""/"")))"),"n/a")</f>
        <v/>
      </c>
      <c r="E374" s="115" t="n"/>
      <c r="F374" s="115" t="n"/>
      <c r="G374" s="115" t="n"/>
      <c r="H374" s="84" t="inlineStr">
        <is>
          <t>F1</t>
        </is>
      </c>
      <c r="I374" s="7" t="n"/>
      <c r="J374" s="19" t="n"/>
      <c r="K374" s="7" t="n"/>
      <c r="L374" s="12" t="n">
        <v>0.6025</v>
      </c>
      <c r="M374" s="192" t="n">
        <v>2432</v>
      </c>
      <c r="N374" s="85" t="n">
        <v>8</v>
      </c>
      <c r="O374" s="13">
        <f>E374</f>
        <v/>
      </c>
      <c r="P374" s="9" t="inlineStr">
        <is>
          <t>grams</t>
        </is>
      </c>
      <c r="Q374" s="20" t="n"/>
      <c r="R374" s="5" t="n"/>
      <c r="S374" s="229">
        <f>M374*N374</f>
        <v/>
      </c>
      <c r="T374" s="230">
        <f>CONCATENATE(S374,Q374,P374)</f>
        <v/>
      </c>
      <c r="U374" s="206">
        <f>L374*M374</f>
        <v/>
      </c>
      <c r="V374" s="4" t="n"/>
      <c r="W374" s="4" t="n"/>
      <c r="X374" s="4" t="n"/>
    </row>
    <row r="375" ht="15.75" customHeight="1" thickBot="1">
      <c r="A375" s="183" t="n">
        <v>251</v>
      </c>
      <c r="B375" s="115" t="inlineStr">
        <is>
          <t>Malagkit na Bigas</t>
        </is>
      </c>
      <c r="C375" s="115" t="n"/>
      <c r="D375" s="115">
        <f>IFERROR(__xludf.DUMMYFUNCTION("IF(J375="""",""n/a"",IFERROR(SPLIT(J375,""/"")))"),"Amparos")</f>
        <v/>
      </c>
      <c r="E375" s="115">
        <f>IFERROR(__xludf.DUMMYFUNCTION("""COMPUTED_VALUE"""),"pack")</f>
        <v/>
      </c>
      <c r="F375" s="115">
        <f>IFERROR(__xludf.DUMMYFUNCTION("""COMPUTED_VALUE"""),"1kilos")</f>
        <v/>
      </c>
      <c r="G375" s="115" t="n"/>
      <c r="H375" s="11" t="inlineStr">
        <is>
          <t>Annex</t>
        </is>
      </c>
      <c r="I375" s="6" t="n"/>
      <c r="J375" s="19" t="inlineStr">
        <is>
          <t>Amparos/pack/1kilos</t>
        </is>
      </c>
      <c r="K375" s="6" t="n"/>
      <c r="L375" s="8" t="n">
        <v>85</v>
      </c>
      <c r="M375" s="190" t="n">
        <v>3</v>
      </c>
      <c r="N375" s="17" t="n">
        <v>1</v>
      </c>
      <c r="O375" s="13">
        <f>E375</f>
        <v/>
      </c>
      <c r="P375" s="9" t="inlineStr">
        <is>
          <t>kilos</t>
        </is>
      </c>
      <c r="Q375" s="13" t="n"/>
      <c r="R375" s="78">
        <f>CONCATENATE(N375,P375)</f>
        <v/>
      </c>
      <c r="S375" s="229">
        <f>M375*N375</f>
        <v/>
      </c>
      <c r="T375" s="230">
        <f>CONCATENATE(S375,Q375,P375)</f>
        <v/>
      </c>
      <c r="U375" s="206">
        <f>L375*M375</f>
        <v/>
      </c>
      <c r="V375" s="34" t="n"/>
      <c r="W375" s="34" t="n"/>
      <c r="X375" s="34" t="n"/>
    </row>
    <row r="376" ht="15.75" customHeight="1" thickBot="1">
      <c r="A376" s="183" t="n">
        <v>251</v>
      </c>
      <c r="B376" s="115" t="inlineStr">
        <is>
          <t>Malagkit na Bigas</t>
        </is>
      </c>
      <c r="C376" s="115" t="n"/>
      <c r="D376" s="115">
        <f>IFERROR(__xludf.DUMMYFUNCTION("IF(J376="""",""n/a"",IFERROR(SPLIT(J376,""/"")))"),"Amparos")</f>
        <v/>
      </c>
      <c r="E376" s="115">
        <f>IFERROR(__xludf.DUMMYFUNCTION("""COMPUTED_VALUE"""),"pack")</f>
        <v/>
      </c>
      <c r="F376" s="115">
        <f>IFERROR(__xludf.DUMMYFUNCTION("""COMPUTED_VALUE"""),"1kilos")</f>
        <v/>
      </c>
      <c r="G376" s="115" t="n"/>
      <c r="H376" s="11" t="inlineStr">
        <is>
          <t>CIP</t>
        </is>
      </c>
      <c r="I376" s="95" t="n"/>
      <c r="J376" s="93" t="inlineStr">
        <is>
          <t>Amparos/pack/1kilos</t>
        </is>
      </c>
      <c r="K376" s="116" t="n"/>
      <c r="L376" s="90" t="n">
        <v>85</v>
      </c>
      <c r="M376" s="189" t="n">
        <v>10</v>
      </c>
      <c r="N376" s="13" t="n">
        <v>1</v>
      </c>
      <c r="O376" s="13">
        <f>E376</f>
        <v/>
      </c>
      <c r="P376" s="13" t="inlineStr">
        <is>
          <t>kilos</t>
        </is>
      </c>
      <c r="Q376" s="20" t="n"/>
      <c r="R376" s="5" t="n"/>
      <c r="S376" s="229">
        <f>M376*N376</f>
        <v/>
      </c>
      <c r="T376" s="230">
        <f>CONCATENATE(S376,Q376,P376)</f>
        <v/>
      </c>
      <c r="U376" s="206">
        <f>L376*M376</f>
        <v/>
      </c>
      <c r="V376" s="4" t="n"/>
      <c r="W376" s="4" t="n"/>
      <c r="X376" s="4" t="n"/>
    </row>
    <row r="377" ht="15.75" customHeight="1" thickBot="1">
      <c r="A377" s="183" t="n">
        <v>251</v>
      </c>
      <c r="B377" s="115" t="inlineStr">
        <is>
          <t>Malagkit na Bigas</t>
        </is>
      </c>
      <c r="C377" s="115" t="n"/>
      <c r="D377" s="115">
        <f>IFERROR(__xludf.DUMMYFUNCTION("IF(J377="""",""n/a"",IFERROR(SPLIT(J377,""/"")))"),"n/a")</f>
        <v/>
      </c>
      <c r="E377" s="115" t="n"/>
      <c r="F377" s="115" t="n"/>
      <c r="G377" s="115" t="n"/>
      <c r="H377" s="84" t="inlineStr">
        <is>
          <t>F1</t>
        </is>
      </c>
      <c r="I377" s="7" t="n"/>
      <c r="J377" s="19" t="n"/>
      <c r="K377" s="7" t="n"/>
      <c r="L377" s="12" t="n">
        <v>85</v>
      </c>
      <c r="M377" s="192" t="n">
        <v>19.5</v>
      </c>
      <c r="N377" s="85" t="n">
        <v>1</v>
      </c>
      <c r="O377" s="13">
        <f>E377</f>
        <v/>
      </c>
      <c r="P377" s="9" t="inlineStr">
        <is>
          <t>kilos</t>
        </is>
      </c>
      <c r="Q377" s="20" t="n"/>
      <c r="R377" s="5" t="n"/>
      <c r="S377" s="229">
        <f>M377*N377</f>
        <v/>
      </c>
      <c r="T377" s="230">
        <f>CONCATENATE(S377,Q377,P377)</f>
        <v/>
      </c>
      <c r="U377" s="206">
        <f>L377*M377</f>
        <v/>
      </c>
      <c r="V377" s="4" t="n"/>
      <c r="W377" s="4" t="n"/>
      <c r="X377" s="4" t="n"/>
    </row>
    <row r="378" ht="15.75" customHeight="1" thickBot="1">
      <c r="A378" s="183" t="n">
        <v>252</v>
      </c>
      <c r="B378" s="115" t="inlineStr">
        <is>
          <t>Mang Juan Chix &amp; Skin</t>
        </is>
      </c>
      <c r="C378" s="115" t="n"/>
      <c r="D378" s="115">
        <f>IFERROR(__xludf.DUMMYFUNCTION("IF(J378="""",""n/a"",IFERROR(SPLIT(J378,""/"")))"),"n/a")</f>
        <v/>
      </c>
      <c r="E378" s="115" t="n"/>
      <c r="F378" s="115" t="n"/>
      <c r="G378" s="115" t="n"/>
      <c r="H378" s="84" t="inlineStr">
        <is>
          <t>F1</t>
        </is>
      </c>
      <c r="I378" s="7" t="n"/>
      <c r="J378" s="19" t="n"/>
      <c r="K378" s="7" t="n"/>
      <c r="L378" s="12" t="n">
        <v>18.583</v>
      </c>
      <c r="M378" s="191" t="n">
        <v>50</v>
      </c>
      <c r="N378" s="85" t="n">
        <v>50</v>
      </c>
      <c r="O378" s="13">
        <f>E378</f>
        <v/>
      </c>
      <c r="P378" s="9" t="inlineStr">
        <is>
          <t>pieces</t>
        </is>
      </c>
      <c r="Q378" s="20" t="n"/>
      <c r="R378" s="5" t="n"/>
      <c r="S378" s="229">
        <f>M378*N378</f>
        <v/>
      </c>
      <c r="T378" s="230">
        <f>CONCATENATE(S378,Q378,P378)</f>
        <v/>
      </c>
      <c r="U378" s="206">
        <f>L378*M378</f>
        <v/>
      </c>
      <c r="V378" s="4" t="n"/>
      <c r="W378" s="4" t="n"/>
      <c r="X378" s="4" t="n"/>
    </row>
    <row r="379" ht="15.75" customHeight="1" thickBot="1">
      <c r="A379" s="183" t="n">
        <v>253</v>
      </c>
      <c r="B379" s="115" t="inlineStr">
        <is>
          <t>Mang Juan Sukang Paombong</t>
        </is>
      </c>
      <c r="C379" s="115" t="n"/>
      <c r="D379" s="115">
        <f>IFERROR(__xludf.DUMMYFUNCTION("IF(J379="""",""n/a"",IFERROR(SPLIT(J379,""/"")))"),"Jack n Jill")</f>
        <v/>
      </c>
      <c r="E379" s="115">
        <f>IFERROR(__xludf.DUMMYFUNCTION("""COMPUTED_VALUE"""),"bundle (18x90grams)")</f>
        <v/>
      </c>
      <c r="F379" s="115" t="n"/>
      <c r="G379" s="115" t="n"/>
      <c r="H379" s="11" t="inlineStr">
        <is>
          <t>CIP</t>
        </is>
      </c>
      <c r="I379" s="95" t="n"/>
      <c r="J379" s="93" t="inlineStr">
        <is>
          <t>Jack n Jill/bundle (18x90grams)</t>
        </is>
      </c>
      <c r="K379" s="116" t="n"/>
      <c r="L379" s="90" t="n">
        <v>21.69</v>
      </c>
      <c r="M379" s="189" t="n">
        <v>40</v>
      </c>
      <c r="N379" s="13" t="n">
        <v>1</v>
      </c>
      <c r="O379" s="13">
        <f>E379</f>
        <v/>
      </c>
      <c r="P379" s="13" t="inlineStr">
        <is>
          <t>pieces</t>
        </is>
      </c>
      <c r="Q379" s="20" t="n"/>
      <c r="R379" s="5" t="n"/>
      <c r="S379" s="229">
        <f>M379*N379</f>
        <v/>
      </c>
      <c r="T379" s="230">
        <f>CONCATENATE(S379,Q379,P379)</f>
        <v/>
      </c>
      <c r="U379" s="206">
        <f>L379*M379</f>
        <v/>
      </c>
      <c r="V379" s="4" t="n"/>
      <c r="W379" s="4" t="n"/>
      <c r="X379" s="4" t="n"/>
    </row>
    <row r="380" ht="15.75" customHeight="1" thickBot="1">
      <c r="A380" s="183" t="n">
        <v>254</v>
      </c>
      <c r="B380" s="114" t="inlineStr">
        <is>
          <t>Mango Juice</t>
        </is>
      </c>
      <c r="C380" s="114" t="n"/>
      <c r="D380" s="115">
        <f>IFERROR(__xludf.DUMMYFUNCTION("IF(J380="""",""n/a"",IFERROR(SPLIT(J380,""/"")))"),"n/a")</f>
        <v/>
      </c>
      <c r="E380" s="114" t="n"/>
      <c r="F380" s="114" t="n"/>
      <c r="G380" s="114" t="n"/>
      <c r="H380" s="84" t="inlineStr">
        <is>
          <t>F1</t>
        </is>
      </c>
      <c r="I380" s="7" t="n"/>
      <c r="J380" s="19" t="n"/>
      <c r="K380" s="7" t="n"/>
      <c r="L380" s="12" t="n">
        <v>6.958333333333333</v>
      </c>
      <c r="M380" s="191" t="n">
        <v>1</v>
      </c>
      <c r="N380" s="85" t="n">
        <v>6</v>
      </c>
      <c r="O380" s="13">
        <f>E380</f>
        <v/>
      </c>
      <c r="P380" s="23" t="inlineStr">
        <is>
          <t>pieces</t>
        </is>
      </c>
      <c r="Q380" s="20" t="n"/>
      <c r="R380" s="5" t="n"/>
      <c r="S380" s="229">
        <f>M380*N380</f>
        <v/>
      </c>
      <c r="T380" s="230">
        <f>CONCATENATE(S380,Q380,P380)</f>
        <v/>
      </c>
      <c r="U380" s="206">
        <f>L380*M380</f>
        <v/>
      </c>
      <c r="V380" s="4" t="n"/>
      <c r="W380" s="4" t="n"/>
      <c r="X380" s="4" t="n"/>
    </row>
    <row r="381" ht="15.75" customHeight="1" thickBot="1">
      <c r="A381" s="183" t="n">
        <v>255</v>
      </c>
      <c r="B381" s="114" t="inlineStr">
        <is>
          <t>Margarine</t>
        </is>
      </c>
      <c r="C381" s="114" t="n"/>
      <c r="D381" s="115">
        <f>IFERROR(__xludf.DUMMYFUNCTION("IF(J381="""",""n/a"",IFERROR(SPLIT(J381,""/"")))"),"Freeto")</f>
        <v/>
      </c>
      <c r="E381" s="114">
        <f>IFERROR(__xludf.DUMMYFUNCTION("""COMPUTED_VALUE"""),"pail")</f>
        <v/>
      </c>
      <c r="F381" s="114">
        <f>IFERROR(__xludf.DUMMYFUNCTION("""COMPUTED_VALUE"""),"11000grams")</f>
        <v/>
      </c>
      <c r="G381" s="114" t="n"/>
      <c r="H381" s="11" t="inlineStr">
        <is>
          <t>CIP</t>
        </is>
      </c>
      <c r="I381" s="95" t="n"/>
      <c r="J381" s="93" t="inlineStr">
        <is>
          <t>Freeto/pail/11000grams</t>
        </is>
      </c>
      <c r="K381" s="5" t="n"/>
      <c r="L381" s="90" t="n">
        <v>1120</v>
      </c>
      <c r="M381" s="189" t="n">
        <v>1</v>
      </c>
      <c r="N381" s="13" t="n">
        <v>11000</v>
      </c>
      <c r="O381" s="13">
        <f>E381</f>
        <v/>
      </c>
      <c r="P381" s="13" t="inlineStr">
        <is>
          <t>grams</t>
        </is>
      </c>
      <c r="Q381" s="20" t="n"/>
      <c r="R381" s="5" t="n"/>
      <c r="S381" s="229">
        <f>M381*N381</f>
        <v/>
      </c>
      <c r="T381" s="230">
        <f>CONCATENATE(S381,Q381,P381)</f>
        <v/>
      </c>
      <c r="U381" s="206">
        <f>L381*M381</f>
        <v/>
      </c>
      <c r="V381" s="4" t="n"/>
      <c r="W381" s="4" t="n"/>
      <c r="X381" s="4" t="n"/>
    </row>
    <row r="382" ht="15.75" customHeight="1" thickBot="1">
      <c r="A382" s="183" t="n">
        <v>256</v>
      </c>
      <c r="B382" s="114" t="inlineStr">
        <is>
          <t>Marsmallow</t>
        </is>
      </c>
      <c r="C382" s="114" t="n"/>
      <c r="D382" s="115">
        <f>IFERROR(__xludf.DUMMYFUNCTION("IF(J382="""",""n/a"",IFERROR(SPLIT(J382,""/"")))"),"Mello")</f>
        <v/>
      </c>
      <c r="E382" s="114">
        <f>IFERROR(__xludf.DUMMYFUNCTION("""COMPUTED_VALUE"""),680)</f>
        <v/>
      </c>
      <c r="F382" s="114" t="n"/>
      <c r="G382" s="114" t="n"/>
      <c r="H382" s="84" t="inlineStr">
        <is>
          <t>F1</t>
        </is>
      </c>
      <c r="I382" s="7" t="n"/>
      <c r="J382" s="19" t="inlineStr">
        <is>
          <t>Mello/680</t>
        </is>
      </c>
      <c r="K382" s="7" t="n"/>
      <c r="L382" s="12" t="n">
        <v>0.1764705882352941</v>
      </c>
      <c r="M382" s="192" t="n">
        <v>680</v>
      </c>
      <c r="N382" s="85" t="n">
        <v>680</v>
      </c>
      <c r="O382" s="13">
        <f>E382</f>
        <v/>
      </c>
      <c r="P382" s="9" t="inlineStr">
        <is>
          <t>grams</t>
        </is>
      </c>
      <c r="Q382" s="20" t="n"/>
      <c r="R382" s="5" t="n"/>
      <c r="S382" s="229">
        <f>M382*N382</f>
        <v/>
      </c>
      <c r="T382" s="230">
        <f>CONCATENATE(S382,Q382,P382)</f>
        <v/>
      </c>
      <c r="U382" s="206">
        <f>L382*M382</f>
        <v/>
      </c>
      <c r="V382" s="4" t="n"/>
      <c r="W382" s="4" t="n"/>
      <c r="X382" s="4" t="n"/>
    </row>
    <row r="383" ht="15.75" customHeight="1" thickBot="1">
      <c r="A383" s="183" t="n">
        <v>257</v>
      </c>
      <c r="B383" s="115" t="inlineStr">
        <is>
          <t>Mayo Sandwich Spread</t>
        </is>
      </c>
      <c r="C383" s="115" t="n"/>
      <c r="D383" s="115">
        <f>IFERROR(__xludf.DUMMYFUNCTION("IF(J383="""",""n/a"",IFERROR(SPLIT(J383,""/"")))"),"Best Foods")</f>
        <v/>
      </c>
      <c r="E383" s="115">
        <f>IFERROR(__xludf.DUMMYFUNCTION("""COMPUTED_VALUE"""),"gallon")</f>
        <v/>
      </c>
      <c r="F383" s="115">
        <f>IFERROR(__xludf.DUMMYFUNCTION("""COMPUTED_VALUE"""),"3500ml")</f>
        <v/>
      </c>
      <c r="G383" s="115" t="n"/>
      <c r="H383" s="11" t="inlineStr">
        <is>
          <t>Annex</t>
        </is>
      </c>
      <c r="I383" s="6" t="n"/>
      <c r="J383" s="19" t="inlineStr">
        <is>
          <t>Best Foods/gallon/3500ml</t>
        </is>
      </c>
      <c r="K383" s="18" t="n"/>
      <c r="L383" s="12" t="n">
        <v>420.6</v>
      </c>
      <c r="M383" s="190" t="n">
        <v>3</v>
      </c>
      <c r="N383" s="17" t="n">
        <v>1</v>
      </c>
      <c r="O383" s="13">
        <f>E383</f>
        <v/>
      </c>
      <c r="P383" s="9" t="inlineStr">
        <is>
          <t>ml</t>
        </is>
      </c>
      <c r="Q383" s="13" t="n"/>
      <c r="R383" s="78">
        <f>CONCATENATE(N383,P383)</f>
        <v/>
      </c>
      <c r="S383" s="229">
        <f>M383*N383</f>
        <v/>
      </c>
      <c r="T383" s="230">
        <f>CONCATENATE(S383,Q383,P383)</f>
        <v/>
      </c>
      <c r="U383" s="206">
        <f>L383*M383</f>
        <v/>
      </c>
      <c r="V383" s="231" t="n"/>
      <c r="W383" s="236" t="n"/>
      <c r="X383" s="71" t="n"/>
    </row>
    <row r="384" ht="15.75" customHeight="1" thickBot="1">
      <c r="A384" s="183" t="n">
        <v>258</v>
      </c>
      <c r="B384" s="114" t="inlineStr">
        <is>
          <t>Mc Cormick - Chili Powder</t>
        </is>
      </c>
      <c r="C384" s="114" t="n"/>
      <c r="D384" s="115">
        <f>IFERROR(__xludf.DUMMYFUNCTION("IF(J384="""",""n/a"",IFERROR(SPLIT(J384,""/"")))"),"Mc Cormik")</f>
        <v/>
      </c>
      <c r="E384" s="114">
        <f>IFERROR(__xludf.DUMMYFUNCTION("""COMPUTED_VALUE"""),"bottle")</f>
        <v/>
      </c>
      <c r="F384" s="114">
        <f>IFERROR(__xludf.DUMMYFUNCTION("""COMPUTED_VALUE"""),"35grams")</f>
        <v/>
      </c>
      <c r="G384" s="114" t="n"/>
      <c r="H384" s="11" t="inlineStr">
        <is>
          <t>CIP</t>
        </is>
      </c>
      <c r="I384" s="95" t="n"/>
      <c r="J384" s="93" t="inlineStr">
        <is>
          <t>Mc Cormik/bottle/35grams</t>
        </is>
      </c>
      <c r="K384" s="116" t="n"/>
      <c r="L384" s="90" t="n">
        <v>87.5</v>
      </c>
      <c r="M384" s="189" t="n">
        <v>1.43</v>
      </c>
      <c r="N384" s="13" t="n">
        <v>1</v>
      </c>
      <c r="O384" s="13">
        <f>E384</f>
        <v/>
      </c>
      <c r="P384" s="13" t="inlineStr">
        <is>
          <t>grams</t>
        </is>
      </c>
      <c r="Q384" s="20" t="n"/>
      <c r="R384" s="5" t="n"/>
      <c r="S384" s="229">
        <f>M384*N384</f>
        <v/>
      </c>
      <c r="T384" s="230">
        <f>CONCATENATE(S384,Q384,P384)</f>
        <v/>
      </c>
      <c r="U384" s="206">
        <f>L384*M384</f>
        <v/>
      </c>
      <c r="V384" s="4" t="n"/>
      <c r="W384" s="4" t="n"/>
      <c r="X384" s="4" t="n"/>
    </row>
    <row r="385" ht="15.75" customHeight="1" thickBot="1">
      <c r="A385" s="183" t="n">
        <v>259</v>
      </c>
      <c r="B385" s="115" t="inlineStr">
        <is>
          <t>Mc Cormick - Cream of tartar</t>
        </is>
      </c>
      <c r="C385" s="115" t="n"/>
      <c r="D385" s="115">
        <f>IFERROR(__xludf.DUMMYFUNCTION("IF(J385="""",""n/a"",IFERROR(SPLIT(J385,""/"")))"),"Mc Cormick")</f>
        <v/>
      </c>
      <c r="E385" s="115">
        <f>IFERROR(__xludf.DUMMYFUNCTION("""COMPUTED_VALUE"""),"bottle")</f>
        <v/>
      </c>
      <c r="F385" s="115">
        <f>IFERROR(__xludf.DUMMYFUNCTION("""COMPUTED_VALUE"""),"45grams")</f>
        <v/>
      </c>
      <c r="G385" s="115" t="n"/>
      <c r="H385" s="11" t="inlineStr">
        <is>
          <t>CIP</t>
        </is>
      </c>
      <c r="I385" s="95" t="n"/>
      <c r="J385" s="93" t="inlineStr">
        <is>
          <t>Mc Cormick/bottle/45grams</t>
        </is>
      </c>
      <c r="K385" s="116" t="n"/>
      <c r="L385" s="90" t="n">
        <v>102.5</v>
      </c>
      <c r="M385" s="189" t="n">
        <v>1.67</v>
      </c>
      <c r="N385" s="13" t="n">
        <v>1</v>
      </c>
      <c r="O385" s="13">
        <f>E385</f>
        <v/>
      </c>
      <c r="P385" s="13" t="inlineStr">
        <is>
          <t>grams</t>
        </is>
      </c>
      <c r="Q385" s="20" t="n"/>
      <c r="R385" s="5" t="n"/>
      <c r="S385" s="229">
        <f>M385*N385</f>
        <v/>
      </c>
      <c r="T385" s="230">
        <f>CONCATENATE(S385,Q385,P385)</f>
        <v/>
      </c>
      <c r="U385" s="206">
        <f>L385*M385</f>
        <v/>
      </c>
      <c r="V385" s="4" t="n"/>
      <c r="W385" s="4" t="n"/>
      <c r="X385" s="4" t="n"/>
    </row>
    <row r="386" ht="15.75" customHeight="1" thickBot="1">
      <c r="A386" s="183" t="n">
        <v>260</v>
      </c>
      <c r="B386" s="115" t="inlineStr">
        <is>
          <t>Mc Cormick - Cumin Ground</t>
        </is>
      </c>
      <c r="C386" s="115" t="n"/>
      <c r="D386" s="115">
        <f>IFERROR(__xludf.DUMMYFUNCTION("IF(J386="""",""n/a"",IFERROR(SPLIT(J386,""/"")))"),"Mc Cormick")</f>
        <v/>
      </c>
      <c r="E386" s="115">
        <f>IFERROR(__xludf.DUMMYFUNCTION("""COMPUTED_VALUE"""),"bottle")</f>
        <v/>
      </c>
      <c r="F386" s="115">
        <f>IFERROR(__xludf.DUMMYFUNCTION("""COMPUTED_VALUE"""),"30grams")</f>
        <v/>
      </c>
      <c r="G386" s="115" t="n"/>
      <c r="H386" s="11" t="inlineStr">
        <is>
          <t>Annex</t>
        </is>
      </c>
      <c r="I386" s="6" t="n"/>
      <c r="J386" s="19" t="inlineStr">
        <is>
          <t>Mc Cormick/bottle/30grams</t>
        </is>
      </c>
      <c r="K386" s="18" t="n"/>
      <c r="L386" s="12" t="n">
        <v>2.71</v>
      </c>
      <c r="M386" s="190" t="n">
        <v>30</v>
      </c>
      <c r="N386" s="17" t="n">
        <v>30</v>
      </c>
      <c r="O386" s="13">
        <f>E386</f>
        <v/>
      </c>
      <c r="P386" s="9" t="inlineStr">
        <is>
          <t>grams</t>
        </is>
      </c>
      <c r="Q386" s="13" t="n"/>
      <c r="R386" s="78">
        <f>CONCATENATE(N386,P386)</f>
        <v/>
      </c>
      <c r="S386" s="229">
        <f>M386*N386</f>
        <v/>
      </c>
      <c r="T386" s="230">
        <f>CONCATENATE(S386,Q386,P386)</f>
        <v/>
      </c>
      <c r="U386" s="206">
        <f>L386*M386</f>
        <v/>
      </c>
      <c r="V386" s="231" t="n"/>
      <c r="W386" s="236" t="n"/>
      <c r="X386" s="71" t="n"/>
    </row>
    <row r="387" ht="15.75" customHeight="1" thickBot="1">
      <c r="A387" s="183" t="n">
        <v>261</v>
      </c>
      <c r="B387" s="115" t="inlineStr">
        <is>
          <t>Mc Cormick - Dry Mustard</t>
        </is>
      </c>
      <c r="C387" s="115" t="n"/>
      <c r="D387" s="115">
        <f>IFERROR(__xludf.DUMMYFUNCTION("IF(J387="""",""n/a"",IFERROR(SPLIT(J387,""/"")))"),"n/a")</f>
        <v/>
      </c>
      <c r="E387" s="115" t="n"/>
      <c r="F387" s="115" t="n"/>
      <c r="G387" s="115" t="n"/>
      <c r="H387" s="84" t="inlineStr">
        <is>
          <t>F1</t>
        </is>
      </c>
      <c r="I387" s="7" t="n"/>
      <c r="J387" s="19" t="n"/>
      <c r="K387" s="7" t="n"/>
      <c r="L387" s="12" t="n">
        <v>0.50025</v>
      </c>
      <c r="M387" s="192" t="n">
        <v>400</v>
      </c>
      <c r="N387" s="85" t="n">
        <v>200</v>
      </c>
      <c r="O387" s="13">
        <f>E387</f>
        <v/>
      </c>
      <c r="P387" s="9" t="inlineStr">
        <is>
          <t>grams</t>
        </is>
      </c>
      <c r="Q387" s="20" t="n"/>
      <c r="R387" s="5" t="n"/>
      <c r="S387" s="229">
        <f>M387*N387</f>
        <v/>
      </c>
      <c r="T387" s="230">
        <f>CONCATENATE(S387,Q387,P387)</f>
        <v/>
      </c>
      <c r="U387" s="206">
        <f>L387*M387</f>
        <v/>
      </c>
      <c r="V387" s="4" t="n"/>
      <c r="W387" s="4" t="n"/>
      <c r="X387" s="4" t="n"/>
    </row>
    <row r="388" ht="15.75" customHeight="1" thickBot="1">
      <c r="A388" s="183" t="n">
        <v>262</v>
      </c>
      <c r="B388" s="115" t="inlineStr">
        <is>
          <t>Mc Cormick - Marjoram</t>
        </is>
      </c>
      <c r="C388" s="115" t="n"/>
      <c r="D388" s="115">
        <f>IFERROR(__xludf.DUMMYFUNCTION("IF(J388="""",""n/a"",IFERROR(SPLIT(J388,""/"")))"),"n/a")</f>
        <v/>
      </c>
      <c r="E388" s="115" t="n"/>
      <c r="F388" s="115" t="n"/>
      <c r="G388" s="115" t="n"/>
      <c r="H388" s="84" t="inlineStr">
        <is>
          <t>F1</t>
        </is>
      </c>
      <c r="I388" s="7" t="n"/>
      <c r="J388" s="19" t="n"/>
      <c r="K388" s="7" t="n"/>
      <c r="L388" s="12" t="n">
        <v>8.464285714285714</v>
      </c>
      <c r="M388" s="192" t="n">
        <v>7</v>
      </c>
      <c r="N388" s="85" t="n">
        <v>7</v>
      </c>
      <c r="O388" s="13">
        <f>E388</f>
        <v/>
      </c>
      <c r="P388" s="9" t="inlineStr">
        <is>
          <t>grams</t>
        </is>
      </c>
      <c r="Q388" s="20" t="n"/>
      <c r="R388" s="5" t="n"/>
      <c r="S388" s="229">
        <f>M388*N388</f>
        <v/>
      </c>
      <c r="T388" s="230">
        <f>CONCATENATE(S388,Q388,P388)</f>
        <v/>
      </c>
      <c r="U388" s="206">
        <f>L388*M388</f>
        <v/>
      </c>
      <c r="V388" s="4" t="n"/>
      <c r="W388" s="4" t="n"/>
      <c r="X388" s="4" t="n"/>
    </row>
    <row r="389" ht="15.75" customHeight="1" thickBot="1">
      <c r="A389" s="183" t="n">
        <v>263</v>
      </c>
      <c r="B389" s="115" t="inlineStr">
        <is>
          <t>Mc Cormick - Oregano Ground</t>
        </is>
      </c>
      <c r="C389" s="115" t="n"/>
      <c r="D389" s="115">
        <f>IFERROR(__xludf.DUMMYFUNCTION("IF(J389="""",""n/a"",IFERROR(SPLIT(J389,""/"")))"),"Mc Cormick")</f>
        <v/>
      </c>
      <c r="E389" s="115">
        <f>IFERROR(__xludf.DUMMYFUNCTION("""COMPUTED_VALUE"""),"bottle")</f>
        <v/>
      </c>
      <c r="F389" s="115">
        <f>IFERROR(__xludf.DUMMYFUNCTION("""COMPUTED_VALUE"""),"23grams")</f>
        <v/>
      </c>
      <c r="G389" s="115" t="n"/>
      <c r="H389" s="11" t="inlineStr">
        <is>
          <t>CIP</t>
        </is>
      </c>
      <c r="I389" s="95" t="n"/>
      <c r="J389" s="93" t="inlineStr">
        <is>
          <t>Mc Cormick/bottle/23grams</t>
        </is>
      </c>
      <c r="K389" s="116" t="n"/>
      <c r="L389" s="90" t="n">
        <v>110.25</v>
      </c>
      <c r="M389" s="189" t="n">
        <v>0.87</v>
      </c>
      <c r="N389" s="13" t="n">
        <v>1</v>
      </c>
      <c r="O389" s="13">
        <f>E389</f>
        <v/>
      </c>
      <c r="P389" s="13" t="inlineStr">
        <is>
          <t>grams</t>
        </is>
      </c>
      <c r="Q389" s="20" t="n"/>
      <c r="R389" s="5" t="n"/>
      <c r="S389" s="229">
        <f>M389*N389</f>
        <v/>
      </c>
      <c r="T389" s="230">
        <f>CONCATENATE(S389,Q389,P389)</f>
        <v/>
      </c>
      <c r="U389" s="206">
        <f>L389*M389</f>
        <v/>
      </c>
      <c r="V389" s="4" t="n"/>
      <c r="W389" s="4" t="n"/>
      <c r="X389" s="4" t="n"/>
    </row>
    <row r="390" ht="15.75" customHeight="1" thickBot="1">
      <c r="A390" s="183" t="n">
        <v>264</v>
      </c>
      <c r="B390" s="114" t="inlineStr">
        <is>
          <t>Mc Cormick - Rosemary Leaves</t>
        </is>
      </c>
      <c r="C390" s="114" t="n"/>
      <c r="D390" s="115">
        <f>IFERROR(__xludf.DUMMYFUNCTION("IF(J390="""",""n/a"",IFERROR(SPLIT(J390,""/"")))"),"Mc Cormick")</f>
        <v/>
      </c>
      <c r="E390" s="114">
        <f>IFERROR(__xludf.DUMMYFUNCTION("""COMPUTED_VALUE"""),"bottle")</f>
        <v/>
      </c>
      <c r="F390" s="114">
        <f>IFERROR(__xludf.DUMMYFUNCTION("""COMPUTED_VALUE"""),"11grams")</f>
        <v/>
      </c>
      <c r="G390" s="114" t="n"/>
      <c r="H390" s="11" t="inlineStr">
        <is>
          <t>CIP</t>
        </is>
      </c>
      <c r="I390" s="95" t="n"/>
      <c r="J390" s="93" t="inlineStr">
        <is>
          <t>Mc Cormick/bottle/11grams</t>
        </is>
      </c>
      <c r="K390" s="116" t="n"/>
      <c r="L390" s="90" t="n">
        <v>67.5</v>
      </c>
      <c r="M390" s="189" t="n">
        <v>2</v>
      </c>
      <c r="N390" s="13" t="n">
        <v>1</v>
      </c>
      <c r="O390" s="13">
        <f>E390</f>
        <v/>
      </c>
      <c r="P390" s="13" t="inlineStr">
        <is>
          <t>grams</t>
        </is>
      </c>
      <c r="Q390" s="20" t="n"/>
      <c r="R390" s="5" t="n"/>
      <c r="S390" s="229">
        <f>M390*N390</f>
        <v/>
      </c>
      <c r="T390" s="230">
        <f>CONCATENATE(S390,Q390,P390)</f>
        <v/>
      </c>
      <c r="U390" s="206">
        <f>L390*M390</f>
        <v/>
      </c>
      <c r="V390" s="4" t="n"/>
      <c r="W390" s="4" t="n"/>
      <c r="X390" s="4" t="n"/>
    </row>
    <row r="391" ht="15.75" customHeight="1" thickBot="1">
      <c r="A391" s="183" t="n">
        <v>265</v>
      </c>
      <c r="B391" s="115" t="inlineStr">
        <is>
          <t>Mc Cormick - Taco Seasoning</t>
        </is>
      </c>
      <c r="C391" s="115" t="n"/>
      <c r="D391" s="115">
        <f>IFERROR(__xludf.DUMMYFUNCTION("IF(J391="""",""n/a"",IFERROR(SPLIT(J391,""/"")))"),"n/a")</f>
        <v/>
      </c>
      <c r="E391" s="115" t="n"/>
      <c r="F391" s="115" t="n"/>
      <c r="G391" s="115" t="n"/>
      <c r="H391" s="84" t="inlineStr">
        <is>
          <t>F1</t>
        </is>
      </c>
      <c r="I391" s="7" t="n"/>
      <c r="J391" s="19" t="n"/>
      <c r="K391" s="7" t="n"/>
      <c r="L391" s="12" t="n">
        <v>1.325</v>
      </c>
      <c r="M391" s="192" t="n">
        <v>200</v>
      </c>
      <c r="N391" s="85" t="n">
        <v>40</v>
      </c>
      <c r="O391" s="13">
        <f>E391</f>
        <v/>
      </c>
      <c r="P391" s="9" t="inlineStr">
        <is>
          <t>grams</t>
        </is>
      </c>
      <c r="Q391" s="20" t="n"/>
      <c r="R391" s="5" t="n"/>
      <c r="S391" s="229">
        <f>M391*N391</f>
        <v/>
      </c>
      <c r="T391" s="230">
        <f>CONCATENATE(S391,Q391,P391)</f>
        <v/>
      </c>
      <c r="U391" s="206">
        <f>L391*M391</f>
        <v/>
      </c>
      <c r="V391" s="4" t="n"/>
      <c r="W391" s="4" t="n"/>
      <c r="X391" s="4" t="n"/>
    </row>
    <row r="392" ht="15.75" customHeight="1" thickBot="1">
      <c r="A392" s="183" t="n">
        <v>266</v>
      </c>
      <c r="B392" s="114" t="inlineStr">
        <is>
          <t>Mc Cormick - Thyme Leaves Whole</t>
        </is>
      </c>
      <c r="C392" s="114" t="n"/>
      <c r="D392" s="115">
        <f>IFERROR(__xludf.DUMMYFUNCTION("IF(J392="""",""n/a"",IFERROR(SPLIT(J392,""/"")))"),"Mc Cormick")</f>
        <v/>
      </c>
      <c r="E392" s="114">
        <f>IFERROR(__xludf.DUMMYFUNCTION("""COMPUTED_VALUE"""),"bottle")</f>
        <v/>
      </c>
      <c r="F392" s="114">
        <f>IFERROR(__xludf.DUMMYFUNCTION("""COMPUTED_VALUE"""),"14grams")</f>
        <v/>
      </c>
      <c r="G392" s="114" t="n"/>
      <c r="H392" s="11" t="inlineStr">
        <is>
          <t>CIP</t>
        </is>
      </c>
      <c r="I392" s="95" t="n"/>
      <c r="J392" s="93" t="inlineStr">
        <is>
          <t>Mc Cormick/bottle/14grams</t>
        </is>
      </c>
      <c r="K392" s="116" t="n"/>
      <c r="L392" s="90" t="n">
        <v>69.5</v>
      </c>
      <c r="M392" s="189" t="n">
        <v>2.57</v>
      </c>
      <c r="N392" s="13" t="n">
        <v>1</v>
      </c>
      <c r="O392" s="13">
        <f>E392</f>
        <v/>
      </c>
      <c r="P392" s="13" t="inlineStr">
        <is>
          <t>grams</t>
        </is>
      </c>
      <c r="Q392" s="20" t="n"/>
      <c r="R392" s="5" t="n"/>
      <c r="S392" s="229">
        <f>M392*N392</f>
        <v/>
      </c>
      <c r="T392" s="230">
        <f>CONCATENATE(S392,Q392,P392)</f>
        <v/>
      </c>
      <c r="U392" s="206">
        <f>L392*M392</f>
        <v/>
      </c>
      <c r="V392" s="4" t="n"/>
      <c r="W392" s="4" t="n"/>
      <c r="X392" s="4" t="n"/>
    </row>
    <row r="393" ht="15.75" customHeight="1" thickBot="1">
      <c r="A393" s="183" t="n">
        <v>267</v>
      </c>
      <c r="B393" s="114" t="inlineStr">
        <is>
          <t>Mc Cormick - White Pepper</t>
        </is>
      </c>
      <c r="C393" s="114" t="n"/>
      <c r="D393" s="115">
        <f>IFERROR(__xludf.DUMMYFUNCTION("IF(J393="""",""n/a"",IFERROR(SPLIT(J393,""/"")))"),"Mc Cormick")</f>
        <v/>
      </c>
      <c r="E393" s="114">
        <f>IFERROR(__xludf.DUMMYFUNCTION("""COMPUTED_VALUE"""),"bottle")</f>
        <v/>
      </c>
      <c r="F393" s="114">
        <f>IFERROR(__xludf.DUMMYFUNCTION("""COMPUTED_VALUE"""),"31grams")</f>
        <v/>
      </c>
      <c r="G393" s="114" t="n"/>
      <c r="H393" s="11" t="inlineStr">
        <is>
          <t>CIP</t>
        </is>
      </c>
      <c r="I393" s="95" t="n"/>
      <c r="J393" s="93" t="inlineStr">
        <is>
          <t>Mc Cormick/bottle/31grams</t>
        </is>
      </c>
      <c r="K393" s="116" t="n"/>
      <c r="L393" s="90" t="n">
        <v>99</v>
      </c>
      <c r="M393" s="189" t="n">
        <v>0.806</v>
      </c>
      <c r="N393" s="13" t="n">
        <v>1</v>
      </c>
      <c r="O393" s="13">
        <f>E393</f>
        <v/>
      </c>
      <c r="P393" s="13" t="inlineStr">
        <is>
          <t>grams</t>
        </is>
      </c>
      <c r="Q393" s="20" t="n"/>
      <c r="R393" s="5" t="n"/>
      <c r="S393" s="229">
        <f>M393*N393</f>
        <v/>
      </c>
      <c r="T393" s="230">
        <f>CONCATENATE(S393,Q393,P393)</f>
        <v/>
      </c>
      <c r="U393" s="206">
        <f>L393*M393</f>
        <v/>
      </c>
      <c r="V393" s="4" t="n"/>
      <c r="W393" s="4" t="n"/>
      <c r="X393" s="4" t="n"/>
    </row>
    <row r="394" ht="15.75" customHeight="1" thickBot="1">
      <c r="A394" s="183" t="n">
        <v>268</v>
      </c>
      <c r="B394" s="114" t="inlineStr">
        <is>
          <t>Meat loaf</t>
        </is>
      </c>
      <c r="C394" s="114" t="n"/>
      <c r="D394" s="115">
        <f>IFERROR(__xludf.DUMMYFUNCTION("IF(J394="""",""n/a"",IFERROR(SPLIT(J394,""/"")))"),"n/a")</f>
        <v/>
      </c>
      <c r="E394" s="114" t="n"/>
      <c r="F394" s="114" t="n"/>
      <c r="G394" s="114" t="n"/>
      <c r="H394" s="84" t="inlineStr">
        <is>
          <t>F1</t>
        </is>
      </c>
      <c r="I394" s="7" t="n"/>
      <c r="J394" s="19" t="n"/>
      <c r="K394" s="7" t="n"/>
      <c r="L394" s="12" t="n">
        <v>0.1248</v>
      </c>
      <c r="M394" s="192" t="n">
        <v>15100</v>
      </c>
      <c r="N394" s="85" t="n">
        <v>250</v>
      </c>
      <c r="O394" s="13">
        <f>E394</f>
        <v/>
      </c>
      <c r="P394" s="9" t="inlineStr">
        <is>
          <t>grams</t>
        </is>
      </c>
      <c r="Q394" s="20" t="n"/>
      <c r="R394" s="5" t="n"/>
      <c r="S394" s="229">
        <f>M394*N394</f>
        <v/>
      </c>
      <c r="T394" s="230">
        <f>CONCATENATE(S394,Q394,P394)</f>
        <v/>
      </c>
      <c r="U394" s="206">
        <f>L394*M394</f>
        <v/>
      </c>
      <c r="V394" s="4" t="n"/>
      <c r="W394" s="4" t="n"/>
      <c r="X394" s="4" t="n"/>
    </row>
    <row r="395" ht="15.75" customHeight="1" thickBot="1">
      <c r="A395" s="183" t="n">
        <v>269</v>
      </c>
      <c r="B395" s="115" t="inlineStr">
        <is>
          <t>Microwavable - Rectangular 500ml</t>
        </is>
      </c>
      <c r="C395" s="115" t="n"/>
      <c r="D395" s="115">
        <f>IFERROR(__xludf.DUMMYFUNCTION("IF(J395="""",""n/a"",IFERROR(SPLIT(J395,""/"")))"),"Bestbuy")</f>
        <v/>
      </c>
      <c r="E395" s="115">
        <f>IFERROR(__xludf.DUMMYFUNCTION("""COMPUTED_VALUE"""),"pack by 10s'")</f>
        <v/>
      </c>
      <c r="F395" s="115" t="n"/>
      <c r="G395" s="115" t="n"/>
      <c r="H395" s="11" t="inlineStr">
        <is>
          <t>CIP</t>
        </is>
      </c>
      <c r="I395" s="95" t="n"/>
      <c r="J395" s="93" t="inlineStr">
        <is>
          <t>Bestbuy/pack by 10s'</t>
        </is>
      </c>
      <c r="K395" s="116" t="n"/>
      <c r="L395" s="90" t="n">
        <v>77</v>
      </c>
      <c r="M395" s="189" t="n">
        <v>18</v>
      </c>
      <c r="N395" s="13" t="n">
        <v>1</v>
      </c>
      <c r="O395" s="13">
        <f>E395</f>
        <v/>
      </c>
      <c r="P395" s="13" t="inlineStr">
        <is>
          <t>pieces</t>
        </is>
      </c>
      <c r="Q395" s="20" t="n"/>
      <c r="R395" s="5" t="n"/>
      <c r="S395" s="229">
        <f>M395*N395</f>
        <v/>
      </c>
      <c r="T395" s="230">
        <f>CONCATENATE(S395,Q395,P395)</f>
        <v/>
      </c>
      <c r="U395" s="206">
        <f>L395*M395</f>
        <v/>
      </c>
      <c r="V395" s="4" t="n"/>
      <c r="W395" s="4" t="n"/>
      <c r="X395" s="4" t="n"/>
    </row>
    <row r="396" ht="15.75" customHeight="1" thickBot="1">
      <c r="A396" s="183" t="n">
        <v>270</v>
      </c>
      <c r="B396" s="115" t="inlineStr">
        <is>
          <t>Microwavable - Rectangular 750ml</t>
        </is>
      </c>
      <c r="C396" s="115" t="n"/>
      <c r="D396" s="115">
        <f>IFERROR(__xludf.DUMMYFUNCTION("IF(J396="""",""n/a"",IFERROR(SPLIT(J396,""/"")))"),"Gold Label")</f>
        <v/>
      </c>
      <c r="E396" s="115">
        <f>IFERROR(__xludf.DUMMYFUNCTION("""COMPUTED_VALUE"""),"pack by 10s'")</f>
        <v/>
      </c>
      <c r="F396" s="115" t="n"/>
      <c r="G396" s="115" t="n"/>
      <c r="H396" s="11" t="inlineStr">
        <is>
          <t>Annex</t>
        </is>
      </c>
      <c r="I396" s="6" t="n"/>
      <c r="J396" s="19" t="inlineStr">
        <is>
          <t>Gold Label/pack by 10s'</t>
        </is>
      </c>
      <c r="K396" s="6" t="n"/>
      <c r="L396" s="22" t="n">
        <v>6.8</v>
      </c>
      <c r="M396" s="190" t="n">
        <v>8</v>
      </c>
      <c r="N396" s="17" t="n">
        <v>1</v>
      </c>
      <c r="O396" s="13">
        <f>E396</f>
        <v/>
      </c>
      <c r="P396" s="9" t="inlineStr">
        <is>
          <t>pieces</t>
        </is>
      </c>
      <c r="Q396" s="13" t="n"/>
      <c r="R396" s="78">
        <f>CONCATENATE(N396,P396)</f>
        <v/>
      </c>
      <c r="S396" s="229">
        <f>M396*N396</f>
        <v/>
      </c>
      <c r="T396" s="230">
        <f>CONCATENATE(S396,Q396,P396)</f>
        <v/>
      </c>
      <c r="U396" s="206">
        <f>L396*M396</f>
        <v/>
      </c>
      <c r="V396" s="34" t="n"/>
      <c r="W396" s="34" t="n"/>
      <c r="X396" s="34" t="n"/>
    </row>
    <row r="397" ht="15.75" customHeight="1" thickBot="1">
      <c r="A397" s="183" t="n">
        <v>270</v>
      </c>
      <c r="B397" s="115" t="inlineStr">
        <is>
          <t>Microwavable - Rectangular 750ml</t>
        </is>
      </c>
      <c r="C397" s="115" t="n"/>
      <c r="D397" s="115">
        <f>IFERROR(__xludf.DUMMYFUNCTION("IF(J397="""",""n/a"",IFERROR(SPLIT(J397,""/"")))"),"Gold Label")</f>
        <v/>
      </c>
      <c r="E397" s="115">
        <f>IFERROR(__xludf.DUMMYFUNCTION("""COMPUTED_VALUE"""),"pack by 10s'")</f>
        <v/>
      </c>
      <c r="F397" s="115" t="n"/>
      <c r="G397" s="115" t="n"/>
      <c r="H397" s="11" t="inlineStr">
        <is>
          <t>CIP</t>
        </is>
      </c>
      <c r="I397" s="95" t="n"/>
      <c r="J397" s="93" t="inlineStr">
        <is>
          <t>Gold Label/pack by 10s'</t>
        </is>
      </c>
      <c r="K397" s="116" t="n"/>
      <c r="L397" s="90" t="n">
        <v>51.9</v>
      </c>
      <c r="M397" s="189" t="n">
        <v>5.19</v>
      </c>
      <c r="N397" s="13" t="n">
        <v>1</v>
      </c>
      <c r="O397" s="13">
        <f>E397</f>
        <v/>
      </c>
      <c r="P397" s="13" t="inlineStr">
        <is>
          <t>pieces</t>
        </is>
      </c>
      <c r="Q397" s="20" t="n"/>
      <c r="R397" s="5" t="n"/>
      <c r="S397" s="229">
        <f>M397*N397</f>
        <v/>
      </c>
      <c r="T397" s="230">
        <f>CONCATENATE(S397,Q397,P397)</f>
        <v/>
      </c>
      <c r="U397" s="206">
        <f>L397*M397</f>
        <v/>
      </c>
      <c r="V397" s="4" t="n"/>
      <c r="W397" s="4" t="n"/>
      <c r="X397" s="4" t="n"/>
    </row>
    <row r="398" ht="15.75" customHeight="1" thickBot="1">
      <c r="A398" s="183" t="n">
        <v>271</v>
      </c>
      <c r="B398" s="114" t="inlineStr">
        <is>
          <t>Milk Shake</t>
        </is>
      </c>
      <c r="C398" s="114" t="n"/>
      <c r="D398" s="115">
        <f>IFERROR(__xludf.DUMMYFUNCTION("IF(J398="""",""n/a"",IFERROR(SPLIT(J398,""/"")))"),"Milk Shake")</f>
        <v/>
      </c>
      <c r="E398" s="114">
        <f>IFERROR(__xludf.DUMMYFUNCTION("""COMPUTED_VALUE"""),"Injoy")</f>
        <v/>
      </c>
      <c r="F398" s="114">
        <f>IFERROR(__xludf.DUMMYFUNCTION("""COMPUTED_VALUE"""),1000)</f>
        <v/>
      </c>
      <c r="G398" s="114" t="n"/>
      <c r="H398" s="84" t="inlineStr">
        <is>
          <t>F1</t>
        </is>
      </c>
      <c r="I398" s="7" t="n"/>
      <c r="J398" s="19" t="inlineStr">
        <is>
          <t>Milk Shake/Injoy/1000</t>
        </is>
      </c>
      <c r="K398" s="7" t="n"/>
      <c r="L398" s="12" t="n">
        <v>0.15</v>
      </c>
      <c r="M398" s="192" t="n">
        <v>1000</v>
      </c>
      <c r="N398" s="85" t="n">
        <v>1000</v>
      </c>
      <c r="O398" s="13">
        <f>E398</f>
        <v/>
      </c>
      <c r="P398" s="9" t="inlineStr">
        <is>
          <t>grams</t>
        </is>
      </c>
      <c r="Q398" s="20" t="n"/>
      <c r="R398" s="5" t="n"/>
      <c r="S398" s="229">
        <f>M398*N398</f>
        <v/>
      </c>
      <c r="T398" s="230">
        <f>CONCATENATE(S398,Q398,P398)</f>
        <v/>
      </c>
      <c r="U398" s="206">
        <f>L398*M398</f>
        <v/>
      </c>
      <c r="V398" s="4" t="n"/>
      <c r="W398" s="4" t="n"/>
      <c r="X398" s="4" t="n"/>
    </row>
    <row r="399" ht="15.75" customHeight="1" thickBot="1">
      <c r="A399" s="183" t="n">
        <v>272</v>
      </c>
      <c r="B399" s="114" t="inlineStr">
        <is>
          <t>Milky Knots Choco (100x25g)</t>
        </is>
      </c>
      <c r="C399" s="114" t="n"/>
      <c r="D399" s="115">
        <f>IFERROR(__xludf.DUMMYFUNCTION("IF(J399="""",""n/a"",IFERROR(SPLIT(J399,""/"")))"),"n/a")</f>
        <v/>
      </c>
      <c r="E399" s="114" t="n"/>
      <c r="F399" s="114" t="n"/>
      <c r="G399" s="114" t="n"/>
      <c r="H399" s="84" t="inlineStr">
        <is>
          <t>F1</t>
        </is>
      </c>
      <c r="I399" s="7" t="n"/>
      <c r="J399" s="19" t="n"/>
      <c r="K399" s="7" t="n"/>
      <c r="L399" s="12" t="n">
        <v>7.13</v>
      </c>
      <c r="M399" s="191" t="n">
        <v>101</v>
      </c>
      <c r="N399" s="85" t="n">
        <v>100</v>
      </c>
      <c r="O399" s="13">
        <f>E399</f>
        <v/>
      </c>
      <c r="P399" s="9" t="inlineStr">
        <is>
          <t>pieces</t>
        </is>
      </c>
      <c r="Q399" s="20" t="n"/>
      <c r="R399" s="5" t="n"/>
      <c r="S399" s="229">
        <f>M399*N399</f>
        <v/>
      </c>
      <c r="T399" s="230">
        <f>CONCATENATE(S399,Q399,P399)</f>
        <v/>
      </c>
      <c r="U399" s="206">
        <f>L399*M399</f>
        <v/>
      </c>
      <c r="V399" s="4" t="n"/>
      <c r="W399" s="4" t="n"/>
      <c r="X399" s="4" t="n"/>
    </row>
    <row r="400" ht="15.75" customHeight="1" thickBot="1">
      <c r="A400" s="183" t="n">
        <v>273</v>
      </c>
      <c r="B400" s="115" t="inlineStr">
        <is>
          <t>Milo</t>
        </is>
      </c>
      <c r="C400" s="115" t="n"/>
      <c r="D400" s="115">
        <f>IFERROR(__xludf.DUMMYFUNCTION("IF(J400="""",""n/a"",IFERROR(SPLIT(J400,""/"")))"),"Nestle")</f>
        <v/>
      </c>
      <c r="E400" s="115">
        <f>IFERROR(__xludf.DUMMYFUNCTION("""COMPUTED_VALUE"""),"pack (12x24grams)")</f>
        <v/>
      </c>
      <c r="F400" s="115" t="n"/>
      <c r="G400" s="115" t="n"/>
      <c r="H400" s="11" t="inlineStr">
        <is>
          <t>Annex</t>
        </is>
      </c>
      <c r="I400" s="6" t="n"/>
      <c r="J400" s="19" t="inlineStr">
        <is>
          <t>Nestle/pack (12x24grams)</t>
        </is>
      </c>
      <c r="K400" s="6" t="n"/>
      <c r="L400" s="14" t="n">
        <v>8.720000000000001</v>
      </c>
      <c r="M400" s="190" t="n">
        <v>537</v>
      </c>
      <c r="N400" s="17" t="n">
        <v>1</v>
      </c>
      <c r="O400" s="13">
        <f>E400</f>
        <v/>
      </c>
      <c r="P400" s="9" t="inlineStr">
        <is>
          <t>pieces</t>
        </is>
      </c>
      <c r="Q400" s="13" t="n"/>
      <c r="R400" s="78">
        <f>CONCATENATE(N400,P400)</f>
        <v/>
      </c>
      <c r="S400" s="229">
        <f>M400*N400</f>
        <v/>
      </c>
      <c r="T400" s="230">
        <f>CONCATENATE(S400,Q400,P400)</f>
        <v/>
      </c>
      <c r="U400" s="206">
        <f>L400*M400</f>
        <v/>
      </c>
      <c r="V400" s="231" t="n"/>
      <c r="W400" s="236" t="n"/>
      <c r="X400" s="71" t="n"/>
    </row>
    <row r="401" ht="15.75" customHeight="1" thickBot="1">
      <c r="A401" s="183" t="n">
        <v>273</v>
      </c>
      <c r="B401" s="114" t="inlineStr">
        <is>
          <t>Milo</t>
        </is>
      </c>
      <c r="C401" s="114" t="n"/>
      <c r="D401" s="115">
        <f>IFERROR(__xludf.DUMMYFUNCTION("IF(J401="""",""n/a"",IFERROR(SPLIT(J401,""/"")))"),"Nestle")</f>
        <v/>
      </c>
      <c r="E401" s="114">
        <f>IFERROR(__xludf.DUMMYFUNCTION("""COMPUTED_VALUE"""),"pack (12x24grams)")</f>
        <v/>
      </c>
      <c r="F401" s="114" t="n"/>
      <c r="G401" s="114" t="n"/>
      <c r="H401" s="11" t="inlineStr">
        <is>
          <t>CIP</t>
        </is>
      </c>
      <c r="I401" s="95" t="n"/>
      <c r="J401" s="93" t="inlineStr">
        <is>
          <t>Nestle/pack (12x24grams)</t>
        </is>
      </c>
      <c r="K401" s="5" t="n"/>
      <c r="L401" s="90" t="n">
        <v>8.720000000000001</v>
      </c>
      <c r="M401" s="189" t="n">
        <v>624</v>
      </c>
      <c r="N401" s="13" t="n">
        <v>1</v>
      </c>
      <c r="O401" s="13">
        <f>E401</f>
        <v/>
      </c>
      <c r="P401" s="13" t="inlineStr">
        <is>
          <t>pieces</t>
        </is>
      </c>
      <c r="Q401" s="20" t="n"/>
      <c r="R401" s="5" t="n"/>
      <c r="S401" s="229">
        <f>M401*N401</f>
        <v/>
      </c>
      <c r="T401" s="230">
        <f>CONCATENATE(S401,Q401,P401)</f>
        <v/>
      </c>
      <c r="U401" s="206">
        <f>L401*M401</f>
        <v/>
      </c>
      <c r="V401" s="4" t="n"/>
      <c r="W401" s="4" t="n"/>
      <c r="X401" s="4" t="n"/>
    </row>
    <row r="402" ht="15.75" customHeight="1" thickBot="1">
      <c r="A402" s="183" t="n">
        <v>273</v>
      </c>
      <c r="B402" s="114" t="inlineStr">
        <is>
          <t>Milo</t>
        </is>
      </c>
      <c r="C402" s="114" t="n"/>
      <c r="D402" s="115">
        <f>IFERROR(__xludf.DUMMYFUNCTION("IF(J402="""",""n/a"",IFERROR(SPLIT(J402,""/"")))"),"n/a")</f>
        <v/>
      </c>
      <c r="E402" s="114" t="n"/>
      <c r="F402" s="114" t="n"/>
      <c r="G402" s="114" t="n"/>
      <c r="H402" s="84" t="inlineStr">
        <is>
          <t>F1</t>
        </is>
      </c>
      <c r="I402" s="7" t="n"/>
      <c r="J402" s="19" t="n"/>
      <c r="K402" s="7" t="n"/>
      <c r="L402" s="12" t="n">
        <v>8.25</v>
      </c>
      <c r="M402" s="191" t="n">
        <v>655</v>
      </c>
      <c r="N402" s="85" t="n">
        <v>12</v>
      </c>
      <c r="O402" s="13">
        <f>E402</f>
        <v/>
      </c>
      <c r="P402" s="23" t="inlineStr">
        <is>
          <t>pieces</t>
        </is>
      </c>
      <c r="Q402" s="20" t="n"/>
      <c r="R402" s="5" t="n"/>
      <c r="S402" s="229">
        <f>M402*N402</f>
        <v/>
      </c>
      <c r="T402" s="230">
        <f>CONCATENATE(S402,Q402,P402)</f>
        <v/>
      </c>
      <c r="U402" s="206">
        <f>L402*M402</f>
        <v/>
      </c>
      <c r="V402" s="4" t="n"/>
      <c r="W402" s="4" t="n"/>
      <c r="X402" s="4" t="n"/>
    </row>
    <row r="403" ht="15.75" customHeight="1" thickBot="1">
      <c r="A403" s="183" t="n">
        <v>274</v>
      </c>
      <c r="B403" s="114" t="inlineStr">
        <is>
          <t>Mineral Water</t>
        </is>
      </c>
      <c r="C403" s="114" t="n"/>
      <c r="D403" s="115">
        <f>IFERROR(__xludf.DUMMYFUNCTION("IF(J403="""",""n/a"",IFERROR(SPLIT(J403,""/"")))"),"Below Zero")</f>
        <v/>
      </c>
      <c r="E403" s="114">
        <f>IFERROR(__xludf.DUMMYFUNCTION("""COMPUTED_VALUE"""),"box (24pcsx500ml)")</f>
        <v/>
      </c>
      <c r="F403" s="114" t="n"/>
      <c r="G403" s="114" t="n"/>
      <c r="H403" s="11" t="inlineStr">
        <is>
          <t>CIP</t>
        </is>
      </c>
      <c r="I403" s="6" t="n"/>
      <c r="J403" s="19" t="inlineStr">
        <is>
          <t>Below Zero/box (24pcsx500ml)</t>
        </is>
      </c>
      <c r="K403" s="5" t="n"/>
      <c r="L403" s="90" t="n">
        <v>7.5</v>
      </c>
      <c r="M403" s="189" t="n">
        <v>3519</v>
      </c>
      <c r="N403" s="13" t="n">
        <v>1</v>
      </c>
      <c r="O403" s="13">
        <f>E403</f>
        <v/>
      </c>
      <c r="P403" s="13" t="inlineStr">
        <is>
          <t>pieces</t>
        </is>
      </c>
      <c r="Q403" s="20" t="n"/>
      <c r="R403" s="5" t="n"/>
      <c r="S403" s="229">
        <f>M403*N403</f>
        <v/>
      </c>
      <c r="T403" s="230">
        <f>CONCATENATE(S403,Q403,P403)</f>
        <v/>
      </c>
      <c r="U403" s="206">
        <f>L403*M403</f>
        <v/>
      </c>
      <c r="V403" s="4" t="n"/>
      <c r="W403" s="4" t="n"/>
      <c r="X403" s="4" t="n"/>
    </row>
    <row r="404" ht="15.75" customHeight="1" thickBot="1">
      <c r="A404" s="183" t="n">
        <v>274</v>
      </c>
      <c r="B404" s="115" t="inlineStr">
        <is>
          <t>Mineral Water</t>
        </is>
      </c>
      <c r="C404" s="115" t="n"/>
      <c r="D404" s="115">
        <f>IFERROR(__xludf.DUMMYFUNCTION("IF(J404="""",""n/a"",IFERROR(SPLIT(J404,""/"")))"),"n/a")</f>
        <v/>
      </c>
      <c r="E404" s="115" t="n"/>
      <c r="F404" s="115" t="n"/>
      <c r="G404" s="115" t="n"/>
      <c r="H404" s="84" t="inlineStr">
        <is>
          <t>F1</t>
        </is>
      </c>
      <c r="I404" s="7" t="n"/>
      <c r="J404" s="19" t="n"/>
      <c r="K404" s="7" t="n"/>
      <c r="L404" s="12" t="n">
        <v>7.5</v>
      </c>
      <c r="M404" s="191">
        <f>24+23</f>
        <v/>
      </c>
      <c r="N404" s="85" t="n">
        <v>24</v>
      </c>
      <c r="O404" s="13">
        <f>E404</f>
        <v/>
      </c>
      <c r="P404" s="23" t="inlineStr">
        <is>
          <t>pieces</t>
        </is>
      </c>
      <c r="Q404" s="20" t="n"/>
      <c r="R404" s="5" t="n"/>
      <c r="S404" s="229">
        <f>M404*N404</f>
        <v/>
      </c>
      <c r="T404" s="230">
        <f>CONCATENATE(S404,Q404,P404)</f>
        <v/>
      </c>
      <c r="U404" s="206">
        <f>L404*M404</f>
        <v/>
      </c>
      <c r="V404" s="4" t="n"/>
      <c r="W404" s="4" t="n"/>
      <c r="X404" s="4" t="n"/>
    </row>
    <row r="405" ht="15.75" customHeight="1" thickBot="1">
      <c r="A405" s="183" t="n">
        <v>275</v>
      </c>
      <c r="B405" s="114" t="inlineStr">
        <is>
          <t>Minute Maid Fresh</t>
        </is>
      </c>
      <c r="C405" s="114" t="n"/>
      <c r="D405" s="115">
        <f>IFERROR(__xludf.DUMMYFUNCTION("IF(J405="""",""n/a"",IFERROR(SPLIT(J405,""/"")))"),"Coca-Cola (pcsx250ml)")</f>
        <v/>
      </c>
      <c r="E405" s="114" t="n"/>
      <c r="F405" s="114" t="n"/>
      <c r="G405" s="114" t="n"/>
      <c r="H405" s="11" t="inlineStr">
        <is>
          <t>CIP</t>
        </is>
      </c>
      <c r="I405" s="6" t="n"/>
      <c r="J405" s="19" t="inlineStr">
        <is>
          <t>Coca-Cola (pcsx250ml)</t>
        </is>
      </c>
      <c r="K405" s="5" t="n"/>
      <c r="L405" s="90" t="n">
        <v>14.35</v>
      </c>
      <c r="M405" s="189" t="n">
        <v>240</v>
      </c>
      <c r="N405" s="13" t="n">
        <v>1</v>
      </c>
      <c r="O405" s="13">
        <f>E405</f>
        <v/>
      </c>
      <c r="P405" s="13" t="inlineStr">
        <is>
          <t>pieces</t>
        </is>
      </c>
      <c r="Q405" s="20" t="n"/>
      <c r="R405" s="5" t="n"/>
      <c r="S405" s="229">
        <f>M405*N405</f>
        <v/>
      </c>
      <c r="T405" s="230">
        <f>CONCATENATE(S405,Q405,P405)</f>
        <v/>
      </c>
      <c r="U405" s="206">
        <f>L405*M405</f>
        <v/>
      </c>
      <c r="V405" s="4" t="n"/>
      <c r="W405" s="4" t="n"/>
      <c r="X405" s="4" t="n"/>
    </row>
    <row r="406" ht="15.75" customHeight="1" thickBot="1">
      <c r="A406" s="184" t="n">
        <v>276</v>
      </c>
      <c r="B406" s="115" t="inlineStr">
        <is>
          <t>Mirin</t>
        </is>
      </c>
      <c r="C406" s="115" t="n"/>
      <c r="D406" s="115">
        <f>IFERROR(__xludf.DUMMYFUNCTION("IF(J406="""",""n/a"",IFERROR(SPLIT(J406,""/"")))"),"n/a")</f>
        <v/>
      </c>
      <c r="E406" s="115" t="n"/>
      <c r="F406" s="115" t="n"/>
      <c r="G406" s="115" t="n"/>
      <c r="H406" s="84" t="inlineStr">
        <is>
          <t>F1</t>
        </is>
      </c>
      <c r="I406" s="7" t="n"/>
      <c r="J406" s="19" t="n"/>
      <c r="K406" s="7" t="n"/>
      <c r="L406" s="12" t="n">
        <v>0.1922222222222222</v>
      </c>
      <c r="M406" s="192" t="n">
        <v>400</v>
      </c>
      <c r="N406" s="85" t="n">
        <v>1800</v>
      </c>
      <c r="O406" s="13">
        <f>E406</f>
        <v/>
      </c>
      <c r="P406" s="9" t="inlineStr">
        <is>
          <t>grams</t>
        </is>
      </c>
      <c r="Q406" s="20" t="n"/>
      <c r="R406" s="5" t="n"/>
      <c r="S406" s="229">
        <f>M406*N406</f>
        <v/>
      </c>
      <c r="T406" s="230">
        <f>CONCATENATE(S406,Q406,P406)</f>
        <v/>
      </c>
      <c r="U406" s="206">
        <f>L406*M406</f>
        <v/>
      </c>
      <c r="V406" s="4" t="n"/>
      <c r="W406" s="4" t="n"/>
      <c r="X406" s="4" t="n"/>
    </row>
    <row r="407" ht="15.75" customHeight="1" thickBot="1">
      <c r="A407" s="183" t="n">
        <v>277</v>
      </c>
      <c r="B407" s="115" t="inlineStr">
        <is>
          <t>Miso</t>
        </is>
      </c>
      <c r="C407" s="115" t="n"/>
      <c r="D407" s="115">
        <f>IFERROR(__xludf.DUMMYFUNCTION("IF(J407="""",""n/a"",IFERROR(SPLIT(J407,""/"")))"),"n/a")</f>
        <v/>
      </c>
      <c r="E407" s="115" t="n"/>
      <c r="F407" s="115" t="n"/>
      <c r="G407" s="115" t="n"/>
      <c r="H407" s="84" t="inlineStr">
        <is>
          <t>F1</t>
        </is>
      </c>
      <c r="I407" s="7" t="n"/>
      <c r="J407" s="19" t="n"/>
      <c r="K407" s="7" t="n"/>
      <c r="L407" s="12" t="n">
        <v>0.159</v>
      </c>
      <c r="M407" s="192" t="n">
        <v>150</v>
      </c>
      <c r="N407" s="85" t="n">
        <v>1000</v>
      </c>
      <c r="O407" s="13">
        <f>E407</f>
        <v/>
      </c>
      <c r="P407" s="9" t="inlineStr">
        <is>
          <t>grams</t>
        </is>
      </c>
      <c r="Q407" s="20" t="n"/>
      <c r="R407" s="5" t="n"/>
      <c r="S407" s="229">
        <f>M407*N407</f>
        <v/>
      </c>
      <c r="T407" s="230">
        <f>CONCATENATE(S407,Q407,P407)</f>
        <v/>
      </c>
      <c r="U407" s="206">
        <f>L407*M407</f>
        <v/>
      </c>
      <c r="V407" s="4" t="n"/>
      <c r="W407" s="4" t="n"/>
      <c r="X407" s="4" t="n"/>
    </row>
    <row r="408" ht="15.75" customHeight="1" thickBot="1">
      <c r="A408" s="183" t="n">
        <v>278</v>
      </c>
      <c r="B408" s="115" t="inlineStr">
        <is>
          <t>Miso Paste</t>
        </is>
      </c>
      <c r="C408" s="115" t="n"/>
      <c r="D408" s="115">
        <f>IFERROR(__xludf.DUMMYFUNCTION("IF(J408="""",""n/a"",IFERROR(SPLIT(J408,""/"")))"),"marukume")</f>
        <v/>
      </c>
      <c r="E408" s="115" t="n"/>
      <c r="F408" s="115" t="n"/>
      <c r="G408" s="115" t="n"/>
      <c r="H408" s="11" t="inlineStr">
        <is>
          <t>CIP</t>
        </is>
      </c>
      <c r="I408" s="95" t="n"/>
      <c r="J408" s="93" t="inlineStr">
        <is>
          <t>marukume</t>
        </is>
      </c>
      <c r="K408" s="116" t="n"/>
      <c r="L408" s="90" t="n">
        <v>198</v>
      </c>
      <c r="M408" s="189" t="n">
        <v>2</v>
      </c>
      <c r="N408" s="13" t="n">
        <v>1</v>
      </c>
      <c r="O408" s="13">
        <f>E408</f>
        <v/>
      </c>
      <c r="P408" s="13" t="inlineStr">
        <is>
          <t>grams</t>
        </is>
      </c>
      <c r="Q408" s="20" t="n"/>
      <c r="R408" s="5" t="n"/>
      <c r="S408" s="229">
        <f>M408*N408</f>
        <v/>
      </c>
      <c r="T408" s="230">
        <f>CONCATENATE(S408,Q408,P408)</f>
        <v/>
      </c>
      <c r="U408" s="206">
        <f>L408*M408</f>
        <v/>
      </c>
      <c r="V408" s="4" t="n"/>
      <c r="W408" s="4" t="n"/>
      <c r="X408" s="4" t="n"/>
    </row>
    <row r="409" ht="15.75" customHeight="1" thickBot="1">
      <c r="A409" s="183" t="n">
        <v>279</v>
      </c>
      <c r="B409" s="115" t="inlineStr">
        <is>
          <t>Misua</t>
        </is>
      </c>
      <c r="C409" s="115" t="n"/>
      <c r="D409" s="115">
        <f>IFERROR(__xludf.DUMMYFUNCTION("IF(J409="""",""n/a"",IFERROR(SPLIT(J409,""/"")))"),"Excellent")</f>
        <v/>
      </c>
      <c r="E409" s="115">
        <f>IFERROR(__xludf.DUMMYFUNCTION("""COMPUTED_VALUE"""),"pack")</f>
        <v/>
      </c>
      <c r="F409" s="115">
        <f>IFERROR(__xludf.DUMMYFUNCTION("""COMPUTED_VALUE"""),"10x100grams")</f>
        <v/>
      </c>
      <c r="G409" s="115" t="n"/>
      <c r="H409" s="11" t="inlineStr">
        <is>
          <t>CIP</t>
        </is>
      </c>
      <c r="I409" s="95" t="n"/>
      <c r="J409" s="93" t="inlineStr">
        <is>
          <t>Excellent/pack/10x100grams</t>
        </is>
      </c>
      <c r="K409" s="116" t="n"/>
      <c r="L409" s="90" t="n">
        <v>236.7</v>
      </c>
      <c r="M409" s="189" t="n">
        <v>4</v>
      </c>
      <c r="N409" s="13" t="n">
        <v>1</v>
      </c>
      <c r="O409" s="13">
        <f>E409</f>
        <v/>
      </c>
      <c r="P409" s="13" t="inlineStr">
        <is>
          <t>grams</t>
        </is>
      </c>
      <c r="Q409" s="20" t="n"/>
      <c r="R409" s="5" t="n"/>
      <c r="S409" s="229">
        <f>M409*N409</f>
        <v/>
      </c>
      <c r="T409" s="230">
        <f>CONCATENATE(S409,Q409,P409)</f>
        <v/>
      </c>
      <c r="U409" s="206">
        <f>L409*M409</f>
        <v/>
      </c>
      <c r="V409" s="4" t="n"/>
      <c r="W409" s="4" t="n"/>
      <c r="X409" s="4" t="n"/>
    </row>
    <row r="410" ht="15.75" customHeight="1" thickBot="1">
      <c r="A410" s="183" t="n">
        <v>279</v>
      </c>
      <c r="B410" s="114" t="inlineStr">
        <is>
          <t>Misua</t>
        </is>
      </c>
      <c r="C410" s="114" t="n"/>
      <c r="D410" s="115">
        <f>IFERROR(__xludf.DUMMYFUNCTION("IF(J410="""",""n/a"",IFERROR(SPLIT(J410,""/"")))"),"n/a")</f>
        <v/>
      </c>
      <c r="E410" s="114" t="n"/>
      <c r="F410" s="114" t="n"/>
      <c r="G410" s="114" t="n"/>
      <c r="H410" s="84" t="inlineStr">
        <is>
          <t>F1</t>
        </is>
      </c>
      <c r="I410" s="7" t="n"/>
      <c r="J410" s="19" t="n"/>
      <c r="K410" s="7" t="n"/>
      <c r="L410" s="12" t="n">
        <v>0.2367</v>
      </c>
      <c r="M410" s="192" t="n">
        <v>2800</v>
      </c>
      <c r="N410" s="85" t="n">
        <v>1000</v>
      </c>
      <c r="O410" s="13">
        <f>E410</f>
        <v/>
      </c>
      <c r="P410" s="9" t="inlineStr">
        <is>
          <t>grams</t>
        </is>
      </c>
      <c r="Q410" s="20" t="n"/>
      <c r="R410" s="5" t="n"/>
      <c r="S410" s="229">
        <f>M410*N410</f>
        <v/>
      </c>
      <c r="T410" s="230">
        <f>CONCATENATE(S410,Q410,P410)</f>
        <v/>
      </c>
      <c r="U410" s="206">
        <f>L410*M410</f>
        <v/>
      </c>
      <c r="V410" s="4" t="n"/>
      <c r="W410" s="4" t="n"/>
      <c r="X410" s="4" t="n"/>
    </row>
    <row r="411" ht="15.75" customHeight="1" thickBot="1">
      <c r="A411" s="183" t="n">
        <v>280</v>
      </c>
      <c r="B411" s="115" t="inlineStr">
        <is>
          <t>Miswa</t>
        </is>
      </c>
      <c r="C411" s="115" t="n"/>
      <c r="D411" s="115">
        <f>IFERROR(__xludf.DUMMYFUNCTION("IF(J411="""",""n/a"",IFERROR(SPLIT(J411,""/"")))"),"Unicorn")</f>
        <v/>
      </c>
      <c r="E411" s="115">
        <f>IFERROR(__xludf.DUMMYFUNCTION("""COMPUTED_VALUE"""),"pack")</f>
        <v/>
      </c>
      <c r="F411" s="115">
        <f>IFERROR(__xludf.DUMMYFUNCTION("""COMPUTED_VALUE"""),"1000grams")</f>
        <v/>
      </c>
      <c r="G411" s="115" t="n"/>
      <c r="H411" s="11" t="inlineStr">
        <is>
          <t>Annex</t>
        </is>
      </c>
      <c r="I411" s="6" t="n"/>
      <c r="J411" s="19" t="inlineStr">
        <is>
          <t>Unicorn/pack/1000grams</t>
        </is>
      </c>
      <c r="K411" s="6" t="n"/>
      <c r="L411" s="22" t="n">
        <v>0.125</v>
      </c>
      <c r="M411" s="190" t="n">
        <v>3000</v>
      </c>
      <c r="N411" s="17" t="n">
        <v>1000</v>
      </c>
      <c r="O411" s="13">
        <f>E411</f>
        <v/>
      </c>
      <c r="P411" s="9" t="inlineStr">
        <is>
          <t>grams</t>
        </is>
      </c>
      <c r="Q411" s="13" t="n"/>
      <c r="R411" s="78">
        <f>CONCATENATE(N411,P411)</f>
        <v/>
      </c>
      <c r="S411" s="229">
        <f>M411*N411</f>
        <v/>
      </c>
      <c r="T411" s="230">
        <f>CONCATENATE(S411,Q411,P411)</f>
        <v/>
      </c>
      <c r="U411" s="206">
        <f>L411*M411</f>
        <v/>
      </c>
      <c r="V411" s="34" t="n"/>
      <c r="W411" s="34" t="n"/>
      <c r="X411" s="34" t="n"/>
    </row>
    <row r="412" ht="15.75" customHeight="1" thickBot="1">
      <c r="A412" s="183" t="n">
        <v>281</v>
      </c>
      <c r="B412" s="115" t="inlineStr">
        <is>
          <t>Moby</t>
        </is>
      </c>
      <c r="C412" s="115" t="n"/>
      <c r="D412" s="115">
        <f>IFERROR(__xludf.DUMMYFUNCTION("IF(J412="""",""n/a"",IFERROR(SPLIT(J412,""/"")))"),"Oishi")</f>
        <v/>
      </c>
      <c r="E412" s="115">
        <f>IFERROR(__xludf.DUMMYFUNCTION("""COMPUTED_VALUE"""),"pack")</f>
        <v/>
      </c>
      <c r="F412" s="115">
        <f>IFERROR(__xludf.DUMMYFUNCTION("""COMPUTED_VALUE"""),"pc")</f>
        <v/>
      </c>
      <c r="G412" s="115">
        <f>IFERROR(__xludf.DUMMYFUNCTION("""COMPUTED_VALUE"""),"60grams")</f>
        <v/>
      </c>
      <c r="H412" s="11" t="inlineStr">
        <is>
          <t>CIP</t>
        </is>
      </c>
      <c r="I412" s="95" t="n"/>
      <c r="J412" s="93" t="inlineStr">
        <is>
          <t>Oishi/pack/pc/60grams</t>
        </is>
      </c>
      <c r="K412" s="116" t="n"/>
      <c r="L412" s="90" t="n">
        <v>16.33</v>
      </c>
      <c r="M412" s="189" t="n">
        <v>50</v>
      </c>
      <c r="N412" s="13" t="n">
        <v>1</v>
      </c>
      <c r="O412" s="13">
        <f>E412</f>
        <v/>
      </c>
      <c r="P412" s="13" t="inlineStr">
        <is>
          <t>pieces</t>
        </is>
      </c>
      <c r="Q412" s="20" t="n"/>
      <c r="R412" s="5" t="n"/>
      <c r="S412" s="229">
        <f>M412*N412</f>
        <v/>
      </c>
      <c r="T412" s="230">
        <f>CONCATENATE(S412,Q412,P412)</f>
        <v/>
      </c>
      <c r="U412" s="206">
        <f>L412*M412</f>
        <v/>
      </c>
      <c r="V412" s="4" t="n"/>
      <c r="W412" s="4" t="n"/>
      <c r="X412" s="4" t="n"/>
    </row>
    <row r="413" ht="15.75" customHeight="1" thickBot="1">
      <c r="A413" s="183" t="n">
        <v>282</v>
      </c>
      <c r="B413" s="114" t="inlineStr">
        <is>
          <t>Moby-Caramel puff</t>
        </is>
      </c>
      <c r="C413" s="114" t="n"/>
      <c r="D413" s="115">
        <f>IFERROR(__xludf.DUMMYFUNCTION("IF(J413="""",""n/a"",IFERROR(SPLIT(J413,""/"")))"),"n/a")</f>
        <v/>
      </c>
      <c r="E413" s="114" t="n"/>
      <c r="F413" s="114" t="n"/>
      <c r="G413" s="114" t="n"/>
      <c r="H413" s="84" t="inlineStr">
        <is>
          <t>F1</t>
        </is>
      </c>
      <c r="I413" s="7" t="n"/>
      <c r="J413" s="19" t="n"/>
      <c r="K413" s="7" t="n"/>
      <c r="L413" s="12" t="n">
        <v>15.04</v>
      </c>
      <c r="M413" s="192" t="n">
        <v>113</v>
      </c>
      <c r="N413" s="85" t="n">
        <v>1</v>
      </c>
      <c r="O413" s="13">
        <f>E413</f>
        <v/>
      </c>
      <c r="P413" s="9" t="inlineStr">
        <is>
          <t>pieces</t>
        </is>
      </c>
      <c r="Q413" s="20" t="n"/>
      <c r="R413" s="5" t="n"/>
      <c r="S413" s="229">
        <f>M413*N413</f>
        <v/>
      </c>
      <c r="T413" s="230">
        <f>CONCATENATE(S413,Q413,P413)</f>
        <v/>
      </c>
      <c r="U413" s="206">
        <f>L413*M413</f>
        <v/>
      </c>
      <c r="V413" s="4" t="n"/>
      <c r="W413" s="4" t="n"/>
      <c r="X413" s="4" t="n"/>
    </row>
    <row r="414" ht="15.75" customHeight="1" thickBot="1">
      <c r="A414" s="183" t="n">
        <v>283</v>
      </c>
      <c r="B414" s="115" t="inlineStr">
        <is>
          <t>Monggo</t>
        </is>
      </c>
      <c r="C414" s="115" t="n"/>
      <c r="D414" s="115">
        <f>IFERROR(__xludf.DUMMYFUNCTION("IF(J414="""",""n/a"",IFERROR(SPLIT(J414,""/"")))"),"Fresh")</f>
        <v/>
      </c>
      <c r="E414" s="115" t="n"/>
      <c r="F414" s="115" t="n"/>
      <c r="G414" s="115" t="n"/>
      <c r="H414" s="11" t="inlineStr">
        <is>
          <t>Annex</t>
        </is>
      </c>
      <c r="I414" s="6" t="n"/>
      <c r="J414" s="19" t="inlineStr">
        <is>
          <t>Fresh</t>
        </is>
      </c>
      <c r="K414" s="18" t="n"/>
      <c r="L414" s="82" t="n">
        <v>0.14</v>
      </c>
      <c r="M414" s="190" t="n">
        <v>5000</v>
      </c>
      <c r="N414" s="17" t="n">
        <v>1000</v>
      </c>
      <c r="O414" s="13">
        <f>E414</f>
        <v/>
      </c>
      <c r="P414" s="9" t="inlineStr">
        <is>
          <t>grams</t>
        </is>
      </c>
      <c r="Q414" s="13" t="n"/>
      <c r="R414" s="78">
        <f>CONCATENATE(N414,P414)</f>
        <v/>
      </c>
      <c r="S414" s="229">
        <f>M414*N414</f>
        <v/>
      </c>
      <c r="T414" s="230">
        <f>CONCATENATE(S414,Q414,P414)</f>
        <v/>
      </c>
      <c r="U414" s="206">
        <f>L414*M414</f>
        <v/>
      </c>
      <c r="V414" s="34" t="n"/>
      <c r="W414" s="34" t="n"/>
      <c r="X414" s="34" t="n"/>
    </row>
    <row r="415" ht="15.75" customHeight="1" thickBot="1">
      <c r="A415" s="183" t="n">
        <v>283</v>
      </c>
      <c r="B415" s="115" t="inlineStr">
        <is>
          <t>Monggo</t>
        </is>
      </c>
      <c r="C415" s="115" t="n"/>
      <c r="D415" s="115">
        <f>IFERROR(__xludf.DUMMYFUNCTION("IF(J415="""",""n/a"",IFERROR(SPLIT(J415,""/"")))"),"Fresh")</f>
        <v/>
      </c>
      <c r="E415" s="115" t="n"/>
      <c r="F415" s="115" t="n"/>
      <c r="G415" s="115" t="n"/>
      <c r="H415" s="11" t="inlineStr">
        <is>
          <t>CIP</t>
        </is>
      </c>
      <c r="I415" s="95" t="n"/>
      <c r="J415" s="93" t="inlineStr">
        <is>
          <t>Fresh</t>
        </is>
      </c>
      <c r="K415" s="116" t="n"/>
      <c r="L415" s="90" t="n">
        <v>120</v>
      </c>
      <c r="M415" s="189" t="n">
        <v>15</v>
      </c>
      <c r="N415" s="13" t="n">
        <v>1</v>
      </c>
      <c r="O415" s="13">
        <f>E415</f>
        <v/>
      </c>
      <c r="P415" s="13" t="inlineStr">
        <is>
          <t>grams</t>
        </is>
      </c>
      <c r="Q415" s="20" t="n"/>
      <c r="R415" s="5" t="n"/>
      <c r="S415" s="229">
        <f>M415*N415</f>
        <v/>
      </c>
      <c r="T415" s="230">
        <f>CONCATENATE(S415,Q415,P415)</f>
        <v/>
      </c>
      <c r="U415" s="206">
        <f>L415*M415</f>
        <v/>
      </c>
      <c r="V415" s="4" t="n"/>
      <c r="W415" s="4" t="n"/>
      <c r="X415" s="4" t="n"/>
    </row>
    <row r="416" ht="15.75" customHeight="1" thickBot="1">
      <c r="A416" s="183" t="n">
        <v>283</v>
      </c>
      <c r="B416" s="115" t="inlineStr">
        <is>
          <t>Monggo</t>
        </is>
      </c>
      <c r="C416" s="115" t="n"/>
      <c r="D416" s="115">
        <f>IFERROR(__xludf.DUMMYFUNCTION("IF(J416="""",""n/a"",IFERROR(SPLIT(J416,""/"")))"),"n/a")</f>
        <v/>
      </c>
      <c r="E416" s="115" t="n"/>
      <c r="F416" s="115" t="n"/>
      <c r="G416" s="115" t="n"/>
      <c r="H416" s="84" t="inlineStr">
        <is>
          <t>F1</t>
        </is>
      </c>
      <c r="I416" s="7" t="n"/>
      <c r="J416" s="19" t="n"/>
      <c r="K416" s="7" t="n"/>
      <c r="L416" s="12" t="n">
        <v>0.14</v>
      </c>
      <c r="M416" s="192" t="n">
        <v>9000</v>
      </c>
      <c r="N416" s="85" t="n">
        <v>1000</v>
      </c>
      <c r="O416" s="13">
        <f>E416</f>
        <v/>
      </c>
      <c r="P416" s="9" t="inlineStr">
        <is>
          <t>grams</t>
        </is>
      </c>
      <c r="Q416" s="20" t="n"/>
      <c r="R416" s="5" t="n"/>
      <c r="S416" s="229">
        <f>M416*N416</f>
        <v/>
      </c>
      <c r="T416" s="230">
        <f>CONCATENATE(S416,Q416,P416)</f>
        <v/>
      </c>
      <c r="U416" s="206">
        <f>L416*M416</f>
        <v/>
      </c>
      <c r="V416" s="4" t="n"/>
      <c r="W416" s="4" t="n"/>
      <c r="X416" s="4" t="n"/>
    </row>
    <row r="417" ht="15.75" customHeight="1" thickBot="1">
      <c r="A417" s="183" t="n">
        <v>284</v>
      </c>
      <c r="B417" s="115" t="inlineStr">
        <is>
          <t>Mop Head</t>
        </is>
      </c>
      <c r="C417" s="115" t="n"/>
      <c r="D417" s="115">
        <f>IFERROR(__xludf.DUMMYFUNCTION("IF(J417="""",""n/a"",IFERROR(SPLIT(J417,""/"")))"),"Universal")</f>
        <v/>
      </c>
      <c r="E417" s="115">
        <f>IFERROR(__xludf.DUMMYFUNCTION("""COMPUTED_VALUE"""),"large")</f>
        <v/>
      </c>
      <c r="F417" s="115">
        <f>IFERROR(__xludf.DUMMYFUNCTION("""COMPUTED_VALUE"""),"piece")</f>
        <v/>
      </c>
      <c r="G417" s="115" t="n"/>
      <c r="H417" s="11" t="inlineStr">
        <is>
          <t>Annex</t>
        </is>
      </c>
      <c r="I417" s="6" t="n"/>
      <c r="J417" s="19" t="inlineStr">
        <is>
          <t>Universal/large/piece</t>
        </is>
      </c>
      <c r="K417" s="6" t="n"/>
      <c r="L417" s="8" t="n">
        <v>125</v>
      </c>
      <c r="M417" s="190" t="n">
        <v>4</v>
      </c>
      <c r="N417" s="17" t="n">
        <v>1</v>
      </c>
      <c r="O417" s="13">
        <f>E417</f>
        <v/>
      </c>
      <c r="P417" s="9" t="inlineStr">
        <is>
          <t>pieces</t>
        </is>
      </c>
      <c r="Q417" s="13" t="n"/>
      <c r="R417" s="78">
        <f>CONCATENATE(N417,P417)</f>
        <v/>
      </c>
      <c r="S417" s="229">
        <f>M417*N417</f>
        <v/>
      </c>
      <c r="T417" s="230">
        <f>CONCATENATE(S417,Q417,P417)</f>
        <v/>
      </c>
      <c r="U417" s="206">
        <f>L417*M417</f>
        <v/>
      </c>
      <c r="V417" s="231" t="n"/>
      <c r="W417" s="236" t="n"/>
      <c r="X417" s="71" t="n"/>
    </row>
    <row r="418" ht="15.75" customHeight="1" thickBot="1">
      <c r="A418" s="183" t="n">
        <v>284</v>
      </c>
      <c r="B418" s="114" t="inlineStr">
        <is>
          <t>Mop Head</t>
        </is>
      </c>
      <c r="C418" s="114" t="n"/>
      <c r="D418" s="115">
        <f>IFERROR(__xludf.DUMMYFUNCTION("IF(J418="""",""n/a"",IFERROR(SPLIT(J418,""/"")))"),"Universal")</f>
        <v/>
      </c>
      <c r="E418" s="114">
        <f>IFERROR(__xludf.DUMMYFUNCTION("""COMPUTED_VALUE"""),"large")</f>
        <v/>
      </c>
      <c r="F418" s="114">
        <f>IFERROR(__xludf.DUMMYFUNCTION("""COMPUTED_VALUE"""),"piece")</f>
        <v/>
      </c>
      <c r="G418" s="114" t="n"/>
      <c r="H418" s="11" t="inlineStr">
        <is>
          <t>CIP</t>
        </is>
      </c>
      <c r="I418" s="95" t="n"/>
      <c r="J418" s="93" t="inlineStr">
        <is>
          <t>Universal/large/piece</t>
        </is>
      </c>
      <c r="K418" s="116" t="n"/>
      <c r="L418" s="90" t="n">
        <v>77</v>
      </c>
      <c r="M418" s="189" t="n">
        <v>6</v>
      </c>
      <c r="N418" s="13" t="n">
        <v>1</v>
      </c>
      <c r="O418" s="13">
        <f>E418</f>
        <v/>
      </c>
      <c r="P418" s="13" t="inlineStr">
        <is>
          <t>pieces</t>
        </is>
      </c>
      <c r="Q418" s="20" t="n"/>
      <c r="R418" s="5" t="n"/>
      <c r="S418" s="229">
        <f>M418*N418</f>
        <v/>
      </c>
      <c r="T418" s="230">
        <f>CONCATENATE(S418,Q418,P418)</f>
        <v/>
      </c>
      <c r="U418" s="206">
        <f>L418*M418</f>
        <v/>
      </c>
      <c r="V418" s="4" t="n"/>
      <c r="W418" s="4" t="n"/>
      <c r="X418" s="4" t="n"/>
    </row>
    <row r="419" ht="15.75" customHeight="1" thickBot="1">
      <c r="A419" s="183" t="n">
        <v>285</v>
      </c>
      <c r="B419" s="115" t="inlineStr">
        <is>
          <t>Mountain Dew</t>
        </is>
      </c>
      <c r="C419" s="115" t="n"/>
      <c r="D419" s="115">
        <f>IFERROR(__xludf.DUMMYFUNCTION("IF(J419="""",""n/a"",IFERROR(SPLIT(J419,""/"")))"),"Pepsi (12x290ml)")</f>
        <v/>
      </c>
      <c r="E419" s="115" t="n"/>
      <c r="F419" s="115" t="n"/>
      <c r="G419" s="115" t="n"/>
      <c r="H419" s="11" t="inlineStr">
        <is>
          <t>CIP</t>
        </is>
      </c>
      <c r="I419" s="6" t="n"/>
      <c r="J419" s="19" t="inlineStr">
        <is>
          <t>Pepsi (12x290ml)</t>
        </is>
      </c>
      <c r="K419" s="5" t="n"/>
      <c r="L419" s="90" t="n">
        <v>16.08</v>
      </c>
      <c r="M419" s="189" t="n">
        <v>125</v>
      </c>
      <c r="N419" s="13" t="n">
        <v>1</v>
      </c>
      <c r="O419" s="13">
        <f>E419</f>
        <v/>
      </c>
      <c r="P419" s="13" t="inlineStr">
        <is>
          <t>pieces</t>
        </is>
      </c>
      <c r="Q419" s="20" t="n"/>
      <c r="R419" s="5" t="n"/>
      <c r="S419" s="229">
        <f>M419*N419</f>
        <v/>
      </c>
      <c r="T419" s="230">
        <f>CONCATENATE(S419,Q419,P419)</f>
        <v/>
      </c>
      <c r="U419" s="206">
        <f>L419*M419</f>
        <v/>
      </c>
      <c r="V419" s="4" t="n"/>
      <c r="W419" s="4" t="n"/>
      <c r="X419" s="4" t="n"/>
    </row>
    <row r="420" ht="15.75" customHeight="1" thickBot="1">
      <c r="A420" s="183" t="n">
        <v>286</v>
      </c>
      <c r="B420" s="115" t="inlineStr">
        <is>
          <t>Mountaindew</t>
        </is>
      </c>
      <c r="C420" s="115" t="n"/>
      <c r="D420" s="115">
        <f>IFERROR(__xludf.DUMMYFUNCTION("IF(J420="""",""n/a"",IFERROR(SPLIT(J420,""/"")))"),"pepsi")</f>
        <v/>
      </c>
      <c r="E420" s="115">
        <f>IFERROR(__xludf.DUMMYFUNCTION("""COMPUTED_VALUE"""),"290ml")</f>
        <v/>
      </c>
      <c r="F420" s="115" t="n"/>
      <c r="G420" s="115" t="n"/>
      <c r="H420" s="11" t="inlineStr">
        <is>
          <t>Annex</t>
        </is>
      </c>
      <c r="I420" s="6" t="n"/>
      <c r="J420" s="19" t="inlineStr">
        <is>
          <t>pepsi/290ml</t>
        </is>
      </c>
      <c r="K420" s="6" t="n"/>
      <c r="L420" s="14" t="n">
        <v>16.14</v>
      </c>
      <c r="M420" s="190" t="n">
        <v>48</v>
      </c>
      <c r="N420" s="17" t="n">
        <v>1</v>
      </c>
      <c r="O420" s="13">
        <f>E420</f>
        <v/>
      </c>
      <c r="P420" s="9" t="inlineStr">
        <is>
          <t>pieces</t>
        </is>
      </c>
      <c r="Q420" s="13" t="n"/>
      <c r="R420" s="78">
        <f>CONCATENATE(N420,P420)</f>
        <v/>
      </c>
      <c r="S420" s="229">
        <f>M420*N420</f>
        <v/>
      </c>
      <c r="T420" s="230">
        <f>CONCATENATE(S420,Q420,P420)</f>
        <v/>
      </c>
      <c r="U420" s="206">
        <f>L420*M420</f>
        <v/>
      </c>
      <c r="V420" s="231" t="n"/>
      <c r="W420" s="236" t="n"/>
      <c r="X420" s="71" t="n"/>
    </row>
    <row r="421" ht="15.75" customHeight="1" thickBot="1">
      <c r="A421" s="183" t="n">
        <v>287</v>
      </c>
      <c r="B421" s="115" t="inlineStr">
        <is>
          <t>Mr Chips Sweet Corn</t>
        </is>
      </c>
      <c r="C421" s="115" t="n"/>
      <c r="D421" s="115">
        <f>IFERROR(__xludf.DUMMYFUNCTION("IF(J421="""",""n/a"",IFERROR(SPLIT(J421,""/"")))"),"n/a")</f>
        <v/>
      </c>
      <c r="E421" s="115" t="n"/>
      <c r="F421" s="115" t="n"/>
      <c r="G421" s="115" t="n"/>
      <c r="H421" s="84" t="inlineStr">
        <is>
          <t>F1</t>
        </is>
      </c>
      <c r="I421" s="7" t="n"/>
      <c r="J421" s="19" t="n"/>
      <c r="K421" s="7" t="n"/>
      <c r="L421" s="12" t="n">
        <v>17.81</v>
      </c>
      <c r="M421" s="191" t="n">
        <v>48</v>
      </c>
      <c r="N421" s="85" t="n">
        <v>48</v>
      </c>
      <c r="O421" s="13">
        <f>E421</f>
        <v/>
      </c>
      <c r="P421" s="9" t="inlineStr">
        <is>
          <t>pieces</t>
        </is>
      </c>
      <c r="Q421" s="20" t="n"/>
      <c r="R421" s="5" t="n"/>
      <c r="S421" s="229">
        <f>M421*N421</f>
        <v/>
      </c>
      <c r="T421" s="230">
        <f>CONCATENATE(S421,Q421,P421)</f>
        <v/>
      </c>
      <c r="U421" s="206">
        <f>L421*M421</f>
        <v/>
      </c>
      <c r="V421" s="4" t="n"/>
      <c r="W421" s="4" t="n"/>
      <c r="X421" s="4" t="n"/>
    </row>
    <row r="422" ht="15.75" customHeight="1" thickBot="1">
      <c r="A422" s="183" t="n">
        <v>288</v>
      </c>
      <c r="B422" s="114" t="inlineStr">
        <is>
          <t>Mug Rootbeer - Can</t>
        </is>
      </c>
      <c r="C422" s="114" t="n"/>
      <c r="D422" s="115">
        <f>IFERROR(__xludf.DUMMYFUNCTION("IF(J422="""",""n/a"",IFERROR(SPLIT(J422,""/"")))"),"Pepsi")</f>
        <v/>
      </c>
      <c r="E422" s="114">
        <f>IFERROR(__xludf.DUMMYFUNCTION("""COMPUTED_VALUE"""),"case (24x330ml)")</f>
        <v/>
      </c>
      <c r="F422" s="114" t="n"/>
      <c r="G422" s="114" t="n"/>
      <c r="H422" s="11" t="inlineStr">
        <is>
          <t>CIP</t>
        </is>
      </c>
      <c r="I422" s="6" t="n"/>
      <c r="J422" s="93" t="inlineStr">
        <is>
          <t>Pepsi/case (24x330ml)</t>
        </is>
      </c>
      <c r="K422" s="5" t="n"/>
      <c r="L422" s="90" t="n">
        <v>30.07</v>
      </c>
      <c r="M422" s="189" t="n">
        <v>71</v>
      </c>
      <c r="N422" s="13" t="n">
        <v>1</v>
      </c>
      <c r="O422" s="13">
        <f>E422</f>
        <v/>
      </c>
      <c r="P422" s="13" t="inlineStr">
        <is>
          <t>pieces</t>
        </is>
      </c>
      <c r="Q422" s="20" t="n"/>
      <c r="R422" s="5" t="n"/>
      <c r="S422" s="229">
        <f>M422*N422</f>
        <v/>
      </c>
      <c r="T422" s="230">
        <f>CONCATENATE(S422,Q422,P422)</f>
        <v/>
      </c>
      <c r="U422" s="206">
        <f>L422*M422</f>
        <v/>
      </c>
      <c r="V422" s="4" t="n"/>
      <c r="W422" s="4" t="n"/>
      <c r="X422" s="4" t="n"/>
    </row>
    <row r="423" ht="15.75" customHeight="1" thickBot="1">
      <c r="A423" s="183" t="n">
        <v>289</v>
      </c>
      <c r="B423" s="114" t="inlineStr">
        <is>
          <t>Multi-Purpse Cleaner ( MPC)</t>
        </is>
      </c>
      <c r="C423" s="114" t="n"/>
      <c r="D423" s="115">
        <f>IFERROR(__xludf.DUMMYFUNCTION("IF(J423="""",""n/a"",IFERROR(SPLIT(J423,""/"")))"),"n/a")</f>
        <v/>
      </c>
      <c r="E423" s="114" t="n"/>
      <c r="F423" s="114" t="n"/>
      <c r="G423" s="114" t="n"/>
      <c r="H423" s="84" t="inlineStr">
        <is>
          <t>F1</t>
        </is>
      </c>
      <c r="I423" s="7" t="n"/>
      <c r="J423" s="19" t="n"/>
      <c r="K423" s="7" t="n"/>
      <c r="L423" s="12" t="n">
        <v>309</v>
      </c>
      <c r="M423" s="192" t="n">
        <v>7</v>
      </c>
      <c r="N423" s="85" t="n">
        <v>1</v>
      </c>
      <c r="O423" s="13">
        <f>E423</f>
        <v/>
      </c>
      <c r="P423" s="9" t="inlineStr">
        <is>
          <t>gal</t>
        </is>
      </c>
      <c r="Q423" s="20" t="n"/>
      <c r="R423" s="5" t="n"/>
      <c r="S423" s="229">
        <f>M423*N423</f>
        <v/>
      </c>
      <c r="T423" s="230">
        <f>CONCATENATE(S423,Q423,P423)</f>
        <v/>
      </c>
      <c r="U423" s="206">
        <f>L423*M423</f>
        <v/>
      </c>
      <c r="V423" s="4" t="n"/>
      <c r="W423" s="4" t="n"/>
      <c r="X423" s="4" t="n"/>
    </row>
    <row r="424" ht="15.75" customHeight="1" thickBot="1">
      <c r="A424" s="183" t="n">
        <v>290</v>
      </c>
      <c r="B424" s="115" t="inlineStr">
        <is>
          <t>Multipurpose Cleaner</t>
        </is>
      </c>
      <c r="C424" s="115" t="n"/>
      <c r="D424" s="115">
        <f>IFERROR(__xludf.DUMMYFUNCTION("IF(J424="""",""n/a"",IFERROR(SPLIT(J424,""/"")))"),"Quinriv")</f>
        <v/>
      </c>
      <c r="E424" s="115">
        <f>IFERROR(__xludf.DUMMYFUNCTION("""COMPUTED_VALUE"""),"gallon")</f>
        <v/>
      </c>
      <c r="F424" s="115" t="n"/>
      <c r="G424" s="115" t="n"/>
      <c r="H424" s="11" t="inlineStr">
        <is>
          <t>Annex</t>
        </is>
      </c>
      <c r="I424" s="6" t="n"/>
      <c r="J424" s="19" t="inlineStr">
        <is>
          <t>Quinriv/gallon</t>
        </is>
      </c>
      <c r="K424" s="6" t="n"/>
      <c r="L424" s="8" t="n">
        <v>309</v>
      </c>
      <c r="M424" s="190" t="n">
        <v>3</v>
      </c>
      <c r="N424" s="17" t="n">
        <v>1</v>
      </c>
      <c r="O424" s="13">
        <f>E424</f>
        <v/>
      </c>
      <c r="P424" s="9" t="inlineStr">
        <is>
          <t>gal</t>
        </is>
      </c>
      <c r="Q424" s="13" t="n"/>
      <c r="R424" s="78">
        <f>CONCATENATE(N424,P424)</f>
        <v/>
      </c>
      <c r="S424" s="229">
        <f>M424*N424</f>
        <v/>
      </c>
      <c r="T424" s="230">
        <f>CONCATENATE(S424,Q424,P424)</f>
        <v/>
      </c>
      <c r="U424" s="206">
        <f>L424*M424</f>
        <v/>
      </c>
      <c r="V424" s="231" t="n"/>
      <c r="W424" s="236" t="n"/>
      <c r="X424" s="71" t="n"/>
    </row>
    <row r="425" ht="15.75" customHeight="1" thickBot="1">
      <c r="A425" s="183" t="n">
        <v>291</v>
      </c>
      <c r="B425" s="115" t="inlineStr">
        <is>
          <t>Mushroom Pieces &amp; Stem</t>
        </is>
      </c>
      <c r="C425" s="115" t="n"/>
      <c r="D425" s="115">
        <f>IFERROR(__xludf.DUMMYFUNCTION("IF(J425="""",""n/a"",IFERROR(SPLIT(J425,""/"")))"),"Mr Gulaman")</f>
        <v/>
      </c>
      <c r="E425" s="115">
        <f>IFERROR(__xludf.DUMMYFUNCTION("""COMPUTED_VALUE"""),"box")</f>
        <v/>
      </c>
      <c r="F425" s="115">
        <f>IFERROR(__xludf.DUMMYFUNCTION("""COMPUTED_VALUE"""),"(10sachetx25grams)")</f>
        <v/>
      </c>
      <c r="G425" s="115" t="n"/>
      <c r="H425" s="11" t="inlineStr">
        <is>
          <t>Annex</t>
        </is>
      </c>
      <c r="I425" s="6" t="n"/>
      <c r="J425" s="19" t="inlineStr">
        <is>
          <t>Mr Gulaman/box/(10sachetx25grams)</t>
        </is>
      </c>
      <c r="K425" s="6" t="n"/>
      <c r="L425" s="8" t="n">
        <v>0.4488</v>
      </c>
      <c r="M425" s="190" t="n">
        <v>300</v>
      </c>
      <c r="N425" s="22" t="n">
        <v>25</v>
      </c>
      <c r="O425" s="13">
        <f>E425</f>
        <v/>
      </c>
      <c r="P425" s="12" t="inlineStr">
        <is>
          <t>grams</t>
        </is>
      </c>
      <c r="Q425" s="13" t="n"/>
      <c r="R425" s="78">
        <f>CONCATENATE(N425,P425)</f>
        <v/>
      </c>
      <c r="S425" s="229">
        <f>M425*N425</f>
        <v/>
      </c>
      <c r="T425" s="230">
        <f>CONCATENATE(S425,Q425,P425)</f>
        <v/>
      </c>
      <c r="U425" s="206">
        <f>L425*M425</f>
        <v/>
      </c>
      <c r="V425" s="231" t="n"/>
      <c r="W425" s="236" t="n"/>
      <c r="X425" s="71" t="n"/>
    </row>
    <row r="426" ht="15.75" customHeight="1" thickBot="1">
      <c r="A426" s="183" t="n">
        <v>291</v>
      </c>
      <c r="B426" s="114" t="inlineStr">
        <is>
          <t>Mushroom Pieces &amp; Stem</t>
        </is>
      </c>
      <c r="C426" s="114" t="n"/>
      <c r="D426" s="115">
        <f>IFERROR(__xludf.DUMMYFUNCTION("IF(J426="""",""n/a"",IFERROR(SPLIT(J426,""/"")))"),"n/a")</f>
        <v/>
      </c>
      <c r="E426" s="114" t="n"/>
      <c r="F426" s="114" t="n"/>
      <c r="G426" s="114" t="n"/>
      <c r="H426" s="84" t="inlineStr">
        <is>
          <t>F1</t>
        </is>
      </c>
      <c r="I426" s="7" t="n"/>
      <c r="J426" s="19" t="n"/>
      <c r="K426" s="7" t="n"/>
      <c r="L426" s="12" t="n">
        <v>0.2634782608695652</v>
      </c>
      <c r="M426" s="191" t="n">
        <v>460</v>
      </c>
      <c r="N426" s="85" t="n">
        <v>230</v>
      </c>
      <c r="O426" s="13">
        <f>E426</f>
        <v/>
      </c>
      <c r="P426" s="9" t="inlineStr">
        <is>
          <t>grams</t>
        </is>
      </c>
      <c r="Q426" s="20" t="n"/>
      <c r="R426" s="5" t="n"/>
      <c r="S426" s="229">
        <f>M426*N426</f>
        <v/>
      </c>
      <c r="T426" s="230">
        <f>CONCATENATE(S426,Q426,P426)</f>
        <v/>
      </c>
      <c r="U426" s="206">
        <f>L426*M426</f>
        <v/>
      </c>
      <c r="V426" s="4" t="n"/>
      <c r="W426" s="4" t="n"/>
      <c r="X426" s="4" t="n"/>
    </row>
    <row r="427" ht="15.75" customHeight="1" thickBot="1">
      <c r="A427" s="183" t="n">
        <v>292</v>
      </c>
      <c r="B427" s="115" t="inlineStr">
        <is>
          <t>Mushroom Whole</t>
        </is>
      </c>
      <c r="C427" s="115" t="n"/>
      <c r="D427" s="115">
        <f>IFERROR(__xludf.DUMMYFUNCTION("IF(J427="""",""n/a"",IFERROR(SPLIT(J427,""/"")))"),"Jolly")</f>
        <v/>
      </c>
      <c r="E427" s="115">
        <f>IFERROR(__xludf.DUMMYFUNCTION("""COMPUTED_VALUE"""),"can")</f>
        <v/>
      </c>
      <c r="F427" s="115">
        <f>IFERROR(__xludf.DUMMYFUNCTION("""COMPUTED_VALUE"""),"284grams")</f>
        <v/>
      </c>
      <c r="G427" s="115">
        <f>IFERROR(__xludf.DUMMYFUNCTION("""COMPUTED_VALUE"""),"156 drained weight")</f>
        <v/>
      </c>
      <c r="H427" s="11" t="inlineStr">
        <is>
          <t>Annex</t>
        </is>
      </c>
      <c r="I427" s="6" t="n"/>
      <c r="J427" s="19" t="inlineStr">
        <is>
          <t>Jolly/can/284grams/156 drained weight</t>
        </is>
      </c>
      <c r="K427" s="6" t="n"/>
      <c r="L427" s="8" t="n">
        <v>0.3064102564102564</v>
      </c>
      <c r="M427" s="190" t="n">
        <v>780</v>
      </c>
      <c r="N427" s="17" t="n">
        <v>156</v>
      </c>
      <c r="O427" s="13">
        <f>E427</f>
        <v/>
      </c>
      <c r="P427" s="129" t="inlineStr">
        <is>
          <t>drained weight grams</t>
        </is>
      </c>
      <c r="Q427" s="13" t="n"/>
      <c r="R427" s="78">
        <f>CONCATENATE(N427,P427)</f>
        <v/>
      </c>
      <c r="S427" s="229">
        <f>M427*N427</f>
        <v/>
      </c>
      <c r="T427" s="230">
        <f>CONCATENATE(S427,Q427,P427)</f>
        <v/>
      </c>
      <c r="U427" s="206">
        <f>L427*M427</f>
        <v/>
      </c>
      <c r="V427" s="231" t="n"/>
      <c r="W427" s="236" t="n"/>
      <c r="X427" s="71" t="n"/>
    </row>
    <row r="428" ht="15.75" customHeight="1" thickBot="1">
      <c r="A428" s="183" t="n">
        <v>292</v>
      </c>
      <c r="B428" s="114" t="inlineStr">
        <is>
          <t>Mushroom Whole</t>
        </is>
      </c>
      <c r="C428" s="114" t="n"/>
      <c r="D428" s="115">
        <f>IFERROR(__xludf.DUMMYFUNCTION("IF(J428="""",""n/a"",IFERROR(SPLIT(J428,""/"")))"),"n/a")</f>
        <v/>
      </c>
      <c r="E428" s="114" t="n"/>
      <c r="F428" s="114" t="n"/>
      <c r="G428" s="114" t="n"/>
      <c r="H428" s="84" t="inlineStr">
        <is>
          <t>F1</t>
        </is>
      </c>
      <c r="I428" s="7" t="n"/>
      <c r="J428" s="19" t="n"/>
      <c r="K428" s="7" t="n"/>
      <c r="L428" s="12" t="n">
        <v>0.3653846153846154</v>
      </c>
      <c r="M428" s="192" t="n">
        <v>156</v>
      </c>
      <c r="N428" s="85" t="n">
        <v>156</v>
      </c>
      <c r="O428" s="13">
        <f>E428</f>
        <v/>
      </c>
      <c r="P428" s="12" t="inlineStr">
        <is>
          <t>grams</t>
        </is>
      </c>
      <c r="Q428" s="20" t="n"/>
      <c r="R428" s="5" t="n"/>
      <c r="S428" s="229">
        <f>M428*N428</f>
        <v/>
      </c>
      <c r="T428" s="230">
        <f>CONCATENATE(S428,Q428,P428)</f>
        <v/>
      </c>
      <c r="U428" s="206">
        <f>L428*M428</f>
        <v/>
      </c>
      <c r="V428" s="4" t="n"/>
      <c r="W428" s="4" t="n"/>
      <c r="X428" s="4" t="n"/>
    </row>
    <row r="429" ht="15.75" customHeight="1" thickBot="1">
      <c r="A429" s="183" t="n">
        <v>293</v>
      </c>
      <c r="B429" s="115" t="inlineStr">
        <is>
          <t>Nachos</t>
        </is>
      </c>
      <c r="C429" s="115" t="n"/>
      <c r="D429" s="115">
        <f>IFERROR(__xludf.DUMMYFUNCTION("IF(J429="""",""n/a"",IFERROR(SPLIT(J429,""/"")))"),"n/a")</f>
        <v/>
      </c>
      <c r="E429" s="115" t="n"/>
      <c r="F429" s="115" t="n"/>
      <c r="G429" s="115" t="n"/>
      <c r="H429" s="84" t="inlineStr">
        <is>
          <t>F1</t>
        </is>
      </c>
      <c r="I429" s="7" t="n"/>
      <c r="J429" s="19" t="n"/>
      <c r="K429" s="7" t="n"/>
      <c r="L429" s="12" t="n">
        <v>0.0890625</v>
      </c>
      <c r="M429" s="191" t="n">
        <v>600</v>
      </c>
      <c r="N429" s="85" t="n">
        <v>800</v>
      </c>
      <c r="O429" s="13">
        <f>E429</f>
        <v/>
      </c>
      <c r="P429" s="9" t="inlineStr">
        <is>
          <t>grams</t>
        </is>
      </c>
      <c r="Q429" s="20" t="n"/>
      <c r="R429" s="5" t="n"/>
      <c r="S429" s="229">
        <f>M429*N429</f>
        <v/>
      </c>
      <c r="T429" s="230">
        <f>CONCATENATE(S429,Q429,P429)</f>
        <v/>
      </c>
      <c r="U429" s="206">
        <f>L429*M429</f>
        <v/>
      </c>
      <c r="V429" s="4" t="n"/>
      <c r="W429" s="4" t="n"/>
      <c r="X429" s="4" t="n"/>
    </row>
    <row r="430" ht="15.75" customHeight="1" thickBot="1">
      <c r="A430" s="183" t="n">
        <v>294</v>
      </c>
      <c r="B430" s="115" t="inlineStr">
        <is>
          <t>Nescafe Coffee Original</t>
        </is>
      </c>
      <c r="C430" s="115" t="n"/>
      <c r="D430" s="115">
        <f>IFERROR(__xludf.DUMMYFUNCTION("IF(J430="""",""n/a"",IFERROR(SPLIT(J430,""/"")))"),"Nescafe")</f>
        <v/>
      </c>
      <c r="E430" s="115">
        <f>IFERROR(__xludf.DUMMYFUNCTION("""COMPUTED_VALUE"""),"pack (30pcsx26grams)")</f>
        <v/>
      </c>
      <c r="F430" s="115" t="n"/>
      <c r="G430" s="115" t="n"/>
      <c r="H430" s="11" t="inlineStr">
        <is>
          <t>Annex</t>
        </is>
      </c>
      <c r="I430" s="6" t="n"/>
      <c r="J430" s="19" t="inlineStr">
        <is>
          <t>Nescafe/pack (30pcsx26grams)</t>
        </is>
      </c>
      <c r="K430" s="6" t="n"/>
      <c r="L430" s="14" t="n">
        <v>7.49</v>
      </c>
      <c r="M430" s="190" t="n">
        <v>443</v>
      </c>
      <c r="N430" s="17" t="n">
        <v>1</v>
      </c>
      <c r="O430" s="13">
        <f>E430</f>
        <v/>
      </c>
      <c r="P430" s="9" t="inlineStr">
        <is>
          <t>pieces</t>
        </is>
      </c>
      <c r="Q430" s="13" t="n"/>
      <c r="R430" s="78">
        <f>CONCATENATE(N430,P430)</f>
        <v/>
      </c>
      <c r="S430" s="229">
        <f>M430*N430</f>
        <v/>
      </c>
      <c r="T430" s="230">
        <f>CONCATENATE(S430,Q430,P430)</f>
        <v/>
      </c>
      <c r="U430" s="206">
        <f>L430*M430</f>
        <v/>
      </c>
      <c r="V430" s="231" t="n"/>
      <c r="W430" s="236" t="n"/>
      <c r="X430" s="71" t="n"/>
    </row>
    <row r="431" ht="15.75" customHeight="1" thickBot="1">
      <c r="A431" s="183" t="n">
        <v>294</v>
      </c>
      <c r="B431" s="115" t="inlineStr">
        <is>
          <t>Nescafe Coffee Original</t>
        </is>
      </c>
      <c r="C431" s="115" t="n"/>
      <c r="D431" s="115">
        <f>IFERROR(__xludf.DUMMYFUNCTION("IF(J431="""",""n/a"",IFERROR(SPLIT(J431,""/"")))"),"Nescafe")</f>
        <v/>
      </c>
      <c r="E431" s="115">
        <f>IFERROR(__xludf.DUMMYFUNCTION("""COMPUTED_VALUE"""),"pack (30pcsx26grams)")</f>
        <v/>
      </c>
      <c r="F431" s="115" t="n"/>
      <c r="G431" s="115" t="n"/>
      <c r="H431" s="11" t="inlineStr">
        <is>
          <t>CIP</t>
        </is>
      </c>
      <c r="I431" s="95" t="n"/>
      <c r="J431" s="19" t="inlineStr">
        <is>
          <t>Nescafe/pack (30pcsx26grams)</t>
        </is>
      </c>
      <c r="K431" s="116" t="n"/>
      <c r="L431" s="94" t="n">
        <v>7.5</v>
      </c>
      <c r="M431" s="193" t="n">
        <v>1411</v>
      </c>
      <c r="N431" s="9" t="n">
        <v>1</v>
      </c>
      <c r="O431" s="13">
        <f>E431</f>
        <v/>
      </c>
      <c r="P431" s="13" t="inlineStr">
        <is>
          <t>pieces</t>
        </is>
      </c>
      <c r="Q431" s="20" t="n"/>
      <c r="R431" s="5" t="n"/>
      <c r="S431" s="229">
        <f>M431*N431</f>
        <v/>
      </c>
      <c r="T431" s="230">
        <f>CONCATENATE(S431,Q431,P431)</f>
        <v/>
      </c>
      <c r="U431" s="206">
        <f>L431*M431</f>
        <v/>
      </c>
      <c r="V431" s="4" t="n"/>
      <c r="W431" s="4" t="n"/>
      <c r="X431" s="4" t="n"/>
    </row>
    <row r="432" ht="15.75" customHeight="1" thickBot="1">
      <c r="A432" s="183" t="n">
        <v>294</v>
      </c>
      <c r="B432" s="114" t="inlineStr">
        <is>
          <t>Nescafe Coffee Original</t>
        </is>
      </c>
      <c r="C432" s="114" t="n"/>
      <c r="D432" s="115">
        <f>IFERROR(__xludf.DUMMYFUNCTION("IF(J432="""",""n/a"",IFERROR(SPLIT(J432,""/"")))"),"n/a")</f>
        <v/>
      </c>
      <c r="E432" s="114" t="n"/>
      <c r="F432" s="114" t="n"/>
      <c r="G432" s="114" t="n"/>
      <c r="H432" s="84" t="inlineStr">
        <is>
          <t>F1</t>
        </is>
      </c>
      <c r="I432" s="7" t="n"/>
      <c r="J432" s="19" t="n"/>
      <c r="K432" s="7" t="n"/>
      <c r="L432" s="12" t="n">
        <v>7.65</v>
      </c>
      <c r="M432" s="191" t="n">
        <v>379</v>
      </c>
      <c r="N432" s="85" t="n">
        <v>10</v>
      </c>
      <c r="O432" s="13">
        <f>E432</f>
        <v/>
      </c>
      <c r="P432" s="23" t="inlineStr">
        <is>
          <t>pieces</t>
        </is>
      </c>
      <c r="Q432" s="20" t="n"/>
      <c r="R432" s="5" t="n"/>
      <c r="S432" s="229">
        <f>M432*N432</f>
        <v/>
      </c>
      <c r="T432" s="230">
        <f>CONCATENATE(S432,Q432,P432)</f>
        <v/>
      </c>
      <c r="U432" s="206">
        <f>L432*M432</f>
        <v/>
      </c>
      <c r="V432" s="4" t="n"/>
      <c r="W432" s="4" t="n"/>
      <c r="X432" s="4" t="n"/>
    </row>
    <row r="433" ht="15.75" customHeight="1" thickBot="1">
      <c r="A433" s="183" t="n">
        <v>295</v>
      </c>
      <c r="B433" s="114" t="inlineStr">
        <is>
          <t>Nescafe Creamy Latte</t>
        </is>
      </c>
      <c r="C433" s="114" t="n"/>
      <c r="D433" s="115">
        <f>IFERROR(__xludf.DUMMYFUNCTION("IF(J433="""",""n/a"",IFERROR(SPLIT(J433,""/"")))"),"n/a")</f>
        <v/>
      </c>
      <c r="E433" s="114" t="n"/>
      <c r="F433" s="114" t="n"/>
      <c r="G433" s="114" t="n"/>
      <c r="H433" s="84" t="inlineStr">
        <is>
          <t>F1</t>
        </is>
      </c>
      <c r="I433" s="7" t="n"/>
      <c r="J433" s="19" t="n"/>
      <c r="K433" s="7" t="n"/>
      <c r="L433" s="12" t="n">
        <v>8.51</v>
      </c>
      <c r="M433" s="191" t="n">
        <v>100</v>
      </c>
      <c r="N433" s="85" t="n">
        <v>10</v>
      </c>
      <c r="O433" s="13">
        <f>E433</f>
        <v/>
      </c>
      <c r="P433" s="23" t="inlineStr">
        <is>
          <t>pieces</t>
        </is>
      </c>
      <c r="Q433" s="20" t="n"/>
      <c r="R433" s="5" t="n"/>
      <c r="S433" s="229">
        <f>M433*N433</f>
        <v/>
      </c>
      <c r="T433" s="230">
        <f>CONCATENATE(S433,Q433,P433)</f>
        <v/>
      </c>
      <c r="U433" s="206">
        <f>L433*M433</f>
        <v/>
      </c>
      <c r="V433" s="4" t="n"/>
      <c r="W433" s="4" t="n"/>
      <c r="X433" s="4" t="n"/>
    </row>
    <row r="434" ht="15.75" customHeight="1" thickBot="1">
      <c r="A434" s="183" t="n">
        <v>296</v>
      </c>
      <c r="B434" s="115" t="inlineStr">
        <is>
          <t>Nescafe Creamy White</t>
        </is>
      </c>
      <c r="C434" s="115" t="n"/>
      <c r="D434" s="115">
        <f>IFERROR(__xludf.DUMMYFUNCTION("IF(J434="""",""n/a"",IFERROR(SPLIT(J434,""/"")))"),"Nestle ")</f>
        <v/>
      </c>
      <c r="E434" s="115">
        <f>IFERROR(__xludf.DUMMYFUNCTION("""COMPUTED_VALUE"""),"(pcsx25.5grams)")</f>
        <v/>
      </c>
      <c r="F434" s="115" t="n"/>
      <c r="G434" s="115" t="n"/>
      <c r="H434" s="11" t="inlineStr">
        <is>
          <t>Annex</t>
        </is>
      </c>
      <c r="I434" s="6" t="n"/>
      <c r="J434" s="19" t="inlineStr">
        <is>
          <t>Nestle /(pcsx25.5grams)</t>
        </is>
      </c>
      <c r="K434" s="6" t="n"/>
      <c r="L434" s="14" t="n">
        <v>8.34</v>
      </c>
      <c r="M434" s="190" t="n">
        <v>249</v>
      </c>
      <c r="N434" s="17" t="n">
        <v>1</v>
      </c>
      <c r="O434" s="13">
        <f>E434</f>
        <v/>
      </c>
      <c r="P434" s="9" t="inlineStr">
        <is>
          <t>pieces</t>
        </is>
      </c>
      <c r="Q434" s="13" t="n"/>
      <c r="R434" s="78">
        <f>CONCATENATE(N434,P434)</f>
        <v/>
      </c>
      <c r="S434" s="229">
        <f>M434*N434</f>
        <v/>
      </c>
      <c r="T434" s="230">
        <f>CONCATENATE(S434,Q434,P434)</f>
        <v/>
      </c>
      <c r="U434" s="206">
        <f>L434*M434</f>
        <v/>
      </c>
      <c r="V434" s="231" t="n"/>
      <c r="W434" s="236" t="n"/>
      <c r="X434" s="71" t="n"/>
    </row>
    <row r="435" ht="15.75" customHeight="1" thickBot="1">
      <c r="A435" s="183" t="n">
        <v>297</v>
      </c>
      <c r="B435" s="122" t="inlineStr">
        <is>
          <t>Nescafe Creamy White Coffee</t>
        </is>
      </c>
      <c r="C435" s="122" t="n"/>
      <c r="D435" s="115">
        <f>IFERROR(__xludf.DUMMYFUNCTION("IF(J435="""",""n/a"",IFERROR(SPLIT(J435,""/"")))"),"Nescafe")</f>
        <v/>
      </c>
      <c r="E435" s="122">
        <f>IFERROR(__xludf.DUMMYFUNCTION("""COMPUTED_VALUE""")," (pcsx")</f>
        <v/>
      </c>
      <c r="F435" s="122">
        <f>IFERROR(__xludf.DUMMYFUNCTION("""COMPUTED_VALUE"""),"25.5grams)")</f>
        <v/>
      </c>
      <c r="G435" s="122" t="n"/>
      <c r="H435" s="11" t="inlineStr">
        <is>
          <t>CIP</t>
        </is>
      </c>
      <c r="I435" s="95" t="n"/>
      <c r="J435" s="19" t="inlineStr">
        <is>
          <t>Nescafe/ (pcsx/25.5grams)</t>
        </is>
      </c>
      <c r="K435" s="116" t="n"/>
      <c r="L435" s="90" t="n">
        <v>8.34</v>
      </c>
      <c r="M435" s="189" t="n">
        <v>166</v>
      </c>
      <c r="N435" s="138" t="n">
        <v>1</v>
      </c>
      <c r="O435" s="13">
        <f>E435</f>
        <v/>
      </c>
      <c r="P435" s="13" t="inlineStr">
        <is>
          <t>pieces</t>
        </is>
      </c>
      <c r="Q435" s="20" t="n"/>
      <c r="R435" s="5" t="n"/>
      <c r="S435" s="229">
        <f>M435*N435</f>
        <v/>
      </c>
      <c r="T435" s="230">
        <f>CONCATENATE(S435,Q435,P435)</f>
        <v/>
      </c>
      <c r="U435" s="206">
        <f>L435*M435</f>
        <v/>
      </c>
      <c r="V435" s="4" t="n"/>
      <c r="W435" s="4" t="n"/>
      <c r="X435" s="4" t="n"/>
    </row>
    <row r="436" ht="15.75" customHeight="1" thickBot="1">
      <c r="A436" s="183" t="n">
        <v>297</v>
      </c>
      <c r="B436" s="114" t="inlineStr">
        <is>
          <t>Nescafe Creamy White Coffee</t>
        </is>
      </c>
      <c r="C436" s="114" t="n"/>
      <c r="D436" s="115">
        <f>IFERROR(__xludf.DUMMYFUNCTION("IF(J436="""",""n/a"",IFERROR(SPLIT(J436,""/"")))"),"n/a")</f>
        <v/>
      </c>
      <c r="E436" s="114" t="n"/>
      <c r="F436" s="114" t="n"/>
      <c r="G436" s="114" t="n"/>
      <c r="H436" s="84" t="inlineStr">
        <is>
          <t>F1</t>
        </is>
      </c>
      <c r="I436" s="7" t="n"/>
      <c r="J436" s="19" t="n"/>
      <c r="K436" s="7" t="n"/>
      <c r="L436" s="12" t="n">
        <v>8.5</v>
      </c>
      <c r="M436" s="191" t="n">
        <v>428</v>
      </c>
      <c r="N436" s="85" t="n">
        <v>1</v>
      </c>
      <c r="O436" s="13">
        <f>E436</f>
        <v/>
      </c>
      <c r="P436" s="23" t="inlineStr">
        <is>
          <t>pieces</t>
        </is>
      </c>
      <c r="Q436" s="20" t="n"/>
      <c r="R436" s="5" t="n"/>
      <c r="S436" s="229">
        <f>M436*N436</f>
        <v/>
      </c>
      <c r="T436" s="230">
        <f>CONCATENATE(S436,Q436,P436)</f>
        <v/>
      </c>
      <c r="U436" s="206">
        <f>L436*M436</f>
        <v/>
      </c>
      <c r="V436" s="4" t="n"/>
      <c r="W436" s="4" t="n"/>
      <c r="X436" s="4" t="n"/>
    </row>
    <row r="437" ht="15.75" customHeight="1" thickBot="1">
      <c r="A437" s="183" t="n">
        <v>298</v>
      </c>
      <c r="B437" s="115" t="inlineStr">
        <is>
          <t>Nido Oriental Style</t>
        </is>
      </c>
      <c r="C437" s="115" t="n"/>
      <c r="D437" s="115">
        <f>IFERROR(__xludf.DUMMYFUNCTION("IF(J437="""",""n/a"",IFERROR(SPLIT(J437,""/"")))"),"Knorr")</f>
        <v/>
      </c>
      <c r="E437" s="115">
        <f>IFERROR(__xludf.DUMMYFUNCTION("""COMPUTED_VALUE"""),"sachet")</f>
        <v/>
      </c>
      <c r="F437" s="115">
        <f>IFERROR(__xludf.DUMMYFUNCTION("""COMPUTED_VALUE"""),"53grams")</f>
        <v/>
      </c>
      <c r="G437" s="115" t="n"/>
      <c r="H437" s="11" t="inlineStr">
        <is>
          <t>CIP</t>
        </is>
      </c>
      <c r="I437" s="95" t="n"/>
      <c r="J437" s="93" t="inlineStr">
        <is>
          <t>Knorr/sachet/53grams</t>
        </is>
      </c>
      <c r="K437" s="116" t="n"/>
      <c r="L437" s="90" t="n">
        <v>52.6</v>
      </c>
      <c r="M437" s="189" t="n">
        <v>9.339</v>
      </c>
      <c r="N437" s="13" t="n">
        <v>1</v>
      </c>
      <c r="O437" s="13">
        <f>E437</f>
        <v/>
      </c>
      <c r="P437" s="13" t="inlineStr">
        <is>
          <t>grams</t>
        </is>
      </c>
      <c r="Q437" s="20" t="n"/>
      <c r="R437" s="5" t="n"/>
      <c r="S437" s="229">
        <f>M437*N437</f>
        <v/>
      </c>
      <c r="T437" s="230">
        <f>CONCATENATE(S437,Q437,P437)</f>
        <v/>
      </c>
      <c r="U437" s="206">
        <f>L437*M437</f>
        <v/>
      </c>
      <c r="V437" s="4" t="n"/>
      <c r="W437" s="4" t="n"/>
      <c r="X437" s="4" t="n"/>
    </row>
    <row r="438" ht="15.75" customHeight="1" thickBot="1">
      <c r="A438" s="183" t="n">
        <v>299</v>
      </c>
      <c r="B438" s="115" t="inlineStr">
        <is>
          <t>Nova Cheddar</t>
        </is>
      </c>
      <c r="C438" s="115" t="n"/>
      <c r="D438" s="115">
        <f>IFERROR(__xludf.DUMMYFUNCTION("IF(J438="""",""n/a"",IFERROR(SPLIT(J438,""/"")))"),"Jack &amp; Jill")</f>
        <v/>
      </c>
      <c r="E438" s="115">
        <f>IFERROR(__xludf.DUMMYFUNCTION("""COMPUTED_VALUE"""),"box")</f>
        <v/>
      </c>
      <c r="F438" s="115">
        <f>IFERROR(__xludf.DUMMYFUNCTION("""COMPUTED_VALUE""")," (80pcsx 38grams)")</f>
        <v/>
      </c>
      <c r="G438" s="115" t="n"/>
      <c r="H438" s="11" t="inlineStr">
        <is>
          <t>CIP</t>
        </is>
      </c>
      <c r="I438" s="95" t="n"/>
      <c r="J438" s="93" t="inlineStr">
        <is>
          <t>Jack &amp; Jill/box/ (80pcsx 38grams)</t>
        </is>
      </c>
      <c r="K438" s="116" t="n"/>
      <c r="L438" s="90" t="n">
        <v>15.51</v>
      </c>
      <c r="M438" s="189" t="n">
        <v>160</v>
      </c>
      <c r="N438" s="13" t="n">
        <v>1</v>
      </c>
      <c r="O438" s="13">
        <f>E438</f>
        <v/>
      </c>
      <c r="P438" s="13" t="inlineStr">
        <is>
          <t>pieces</t>
        </is>
      </c>
      <c r="Q438" s="20" t="n"/>
      <c r="R438" s="5" t="n"/>
      <c r="S438" s="229">
        <f>M438*N438</f>
        <v/>
      </c>
      <c r="T438" s="230">
        <f>CONCATENATE(S438,Q438,P438)</f>
        <v/>
      </c>
      <c r="U438" s="206">
        <f>L438*M438</f>
        <v/>
      </c>
      <c r="V438" s="4" t="n"/>
      <c r="W438" s="4" t="n"/>
      <c r="X438" s="4" t="n"/>
    </row>
    <row r="439" ht="15.75" customHeight="1" thickBot="1">
      <c r="A439" s="183" t="n">
        <v>299</v>
      </c>
      <c r="B439" s="115" t="inlineStr">
        <is>
          <t>Nova Cheddar</t>
        </is>
      </c>
      <c r="C439" s="115" t="n"/>
      <c r="D439" s="115">
        <f>IFERROR(__xludf.DUMMYFUNCTION("IF(J439="""",""n/a"",IFERROR(SPLIT(J439,""/"")))"),"n/a")</f>
        <v/>
      </c>
      <c r="E439" s="115" t="n"/>
      <c r="F439" s="115" t="n"/>
      <c r="G439" s="115" t="n"/>
      <c r="H439" s="84" t="inlineStr">
        <is>
          <t>F1</t>
        </is>
      </c>
      <c r="I439" s="24" t="n"/>
      <c r="J439" s="19" t="n"/>
      <c r="K439" s="7" t="n"/>
      <c r="L439" s="12" t="n">
        <v>66.11666666666666</v>
      </c>
      <c r="M439" s="191" t="n">
        <v>18</v>
      </c>
      <c r="N439" s="86" t="n">
        <v>18</v>
      </c>
      <c r="O439" s="13">
        <f>E439</f>
        <v/>
      </c>
      <c r="P439" s="139" t="inlineStr">
        <is>
          <t>pieces</t>
        </is>
      </c>
      <c r="Q439" s="20" t="n"/>
      <c r="R439" s="5" t="n"/>
      <c r="S439" s="229">
        <f>M439*N439</f>
        <v/>
      </c>
      <c r="T439" s="230">
        <f>CONCATENATE(S439,Q439,P439)</f>
        <v/>
      </c>
      <c r="U439" s="206">
        <f>L439*M439</f>
        <v/>
      </c>
      <c r="V439" s="4" t="n"/>
      <c r="W439" s="4" t="n"/>
      <c r="X439" s="4" t="n"/>
    </row>
    <row r="440" ht="15.75" customHeight="1" thickBot="1">
      <c r="A440" s="183" t="n">
        <v>300</v>
      </c>
      <c r="B440" s="115" t="inlineStr">
        <is>
          <t>O-Pusit</t>
        </is>
      </c>
      <c r="C440" s="115" t="n"/>
      <c r="D440" s="115">
        <f>IFERROR(__xludf.DUMMYFUNCTION("IF(J440="""",""n/a"",IFERROR(SPLIT(J440,""/"")))"),"Oishi")</f>
        <v/>
      </c>
      <c r="E440" s="115">
        <f>IFERROR(__xludf.DUMMYFUNCTION("""COMPUTED_VALUE"""),"80grams")</f>
        <v/>
      </c>
      <c r="F440" s="115" t="n"/>
      <c r="G440" s="115" t="n"/>
      <c r="H440" s="11" t="inlineStr">
        <is>
          <t>Annex</t>
        </is>
      </c>
      <c r="I440" s="27" t="n"/>
      <c r="J440" s="19" t="inlineStr">
        <is>
          <t>Oishi/80grams</t>
        </is>
      </c>
      <c r="K440" s="18" t="n"/>
      <c r="L440" s="82" t="n">
        <v>22.38</v>
      </c>
      <c r="M440" s="194" t="n">
        <v>34</v>
      </c>
      <c r="N440" s="17" t="n">
        <v>1</v>
      </c>
      <c r="O440" s="13">
        <f>E440</f>
        <v/>
      </c>
      <c r="P440" s="25" t="inlineStr">
        <is>
          <t>pieces</t>
        </is>
      </c>
      <c r="Q440" s="13" t="n"/>
      <c r="R440" s="78">
        <f>CONCATENATE(N440,P440)</f>
        <v/>
      </c>
      <c r="S440" s="229">
        <f>M440*N440</f>
        <v/>
      </c>
      <c r="T440" s="230">
        <f>CONCATENATE(S440,Q440,P440)</f>
        <v/>
      </c>
      <c r="U440" s="206">
        <f>L440*M440</f>
        <v/>
      </c>
      <c r="V440" s="34" t="n"/>
      <c r="W440" s="34" t="n"/>
      <c r="X440" s="34" t="n"/>
    </row>
    <row r="441" ht="15.75" customHeight="1" thickBot="1">
      <c r="A441" s="183" t="n">
        <v>300</v>
      </c>
      <c r="B441" s="114" t="inlineStr">
        <is>
          <t>O-Pusit</t>
        </is>
      </c>
      <c r="C441" s="114" t="n"/>
      <c r="D441" s="115">
        <f>IFERROR(__xludf.DUMMYFUNCTION("IF(J441="""",""n/a"",IFERROR(SPLIT(J441,""/"")))"),"n/a")</f>
        <v/>
      </c>
      <c r="E441" s="114" t="n"/>
      <c r="F441" s="114" t="n"/>
      <c r="G441" s="114" t="n"/>
      <c r="H441" s="84" t="inlineStr">
        <is>
          <t>F1</t>
        </is>
      </c>
      <c r="I441" s="26" t="n"/>
      <c r="J441" s="19" t="n"/>
      <c r="K441" s="7" t="n"/>
      <c r="L441" s="12" t="n">
        <v>22.37833333333333</v>
      </c>
      <c r="M441" s="192" t="n">
        <v>16</v>
      </c>
      <c r="N441" s="85" t="n">
        <v>30</v>
      </c>
      <c r="O441" s="13">
        <f>E441</f>
        <v/>
      </c>
      <c r="P441" s="139" t="inlineStr">
        <is>
          <t>packs</t>
        </is>
      </c>
      <c r="Q441" s="20" t="n"/>
      <c r="R441" s="5" t="n"/>
      <c r="S441" s="229">
        <f>M441*N441</f>
        <v/>
      </c>
      <c r="T441" s="230">
        <f>CONCATENATE(S441,Q441,P441)</f>
        <v/>
      </c>
      <c r="U441" s="206">
        <f>L441*M441</f>
        <v/>
      </c>
      <c r="V441" s="4" t="n"/>
      <c r="W441" s="4" t="n"/>
      <c r="X441" s="4" t="n"/>
    </row>
    <row r="442" ht="15.75" customHeight="1" thickBot="1">
      <c r="A442" s="183" t="n">
        <v>301</v>
      </c>
      <c r="B442" s="115" t="inlineStr">
        <is>
          <t>Olive Oil - Pure</t>
        </is>
      </c>
      <c r="C442" s="115" t="n"/>
      <c r="D442" s="115">
        <f>IFERROR(__xludf.DUMMYFUNCTION("IF(J442="""",""n/a"",IFERROR(SPLIT(J442,""/"")))"),"Dona Elena")</f>
        <v/>
      </c>
      <c r="E442" s="115">
        <f>IFERROR(__xludf.DUMMYFUNCTION("""COMPUTED_VALUE"""),"bottle")</f>
        <v/>
      </c>
      <c r="F442" s="115">
        <f>IFERROR(__xludf.DUMMYFUNCTION("""COMPUTED_VALUE"""),"250ml")</f>
        <v/>
      </c>
      <c r="G442" s="115" t="n"/>
      <c r="H442" s="11" t="inlineStr">
        <is>
          <t>Annex</t>
        </is>
      </c>
      <c r="I442" s="6" t="n"/>
      <c r="J442" s="19" t="inlineStr">
        <is>
          <t>Dona Elena/bottle/250ml</t>
        </is>
      </c>
      <c r="K442" s="18" t="n"/>
      <c r="L442" s="140" t="n">
        <v>1.1164</v>
      </c>
      <c r="M442" s="198" t="n">
        <v>250</v>
      </c>
      <c r="N442" s="141" t="n">
        <v>250</v>
      </c>
      <c r="O442" s="13">
        <f>E442</f>
        <v/>
      </c>
      <c r="P442" s="25" t="inlineStr">
        <is>
          <t>ml</t>
        </is>
      </c>
      <c r="Q442" s="13" t="n"/>
      <c r="R442" s="78">
        <f>CONCATENATE(N442,P442)</f>
        <v/>
      </c>
      <c r="S442" s="229">
        <f>M442*N442</f>
        <v/>
      </c>
      <c r="T442" s="230">
        <f>CONCATENATE(S442,Q442,P442)</f>
        <v/>
      </c>
      <c r="U442" s="206">
        <f>L442*M442</f>
        <v/>
      </c>
      <c r="V442" s="231" t="n"/>
      <c r="W442" s="236" t="n"/>
      <c r="X442" s="71" t="n"/>
    </row>
    <row r="443" ht="15.75" customHeight="1" thickBot="1">
      <c r="A443" s="183" t="n">
        <v>302</v>
      </c>
      <c r="B443" s="115" t="inlineStr">
        <is>
          <t>Onion White</t>
        </is>
      </c>
      <c r="C443" s="115" t="n"/>
      <c r="D443" s="115">
        <f>IFERROR(__xludf.DUMMYFUNCTION("IF(J443="""",""n/a"",IFERROR(SPLIT(J443,""/"")))"),"Fresh")</f>
        <v/>
      </c>
      <c r="E443" s="115" t="n"/>
      <c r="F443" s="115" t="n"/>
      <c r="G443" s="115" t="n"/>
      <c r="H443" s="11" t="inlineStr">
        <is>
          <t>Annex</t>
        </is>
      </c>
      <c r="I443" s="6" t="n"/>
      <c r="J443" s="19" t="inlineStr">
        <is>
          <t>Fresh</t>
        </is>
      </c>
      <c r="K443" s="18" t="n"/>
      <c r="L443" s="82" t="n">
        <v>0.11</v>
      </c>
      <c r="M443" s="190" t="n">
        <v>3000</v>
      </c>
      <c r="N443" s="17" t="n">
        <v>1000</v>
      </c>
      <c r="O443" s="13">
        <f>E443</f>
        <v/>
      </c>
      <c r="P443" s="25" t="inlineStr">
        <is>
          <t>grams</t>
        </is>
      </c>
      <c r="Q443" s="13" t="n"/>
      <c r="R443" s="78">
        <f>CONCATENATE(N443,P443)</f>
        <v/>
      </c>
      <c r="S443" s="229">
        <f>M443*N443</f>
        <v/>
      </c>
      <c r="T443" s="230">
        <f>CONCATENATE(S443,Q443,P443)</f>
        <v/>
      </c>
      <c r="U443" s="206">
        <f>L443*M443</f>
        <v/>
      </c>
      <c r="V443" s="34" t="n"/>
      <c r="W443" s="34" t="n"/>
      <c r="X443" s="34" t="n"/>
    </row>
    <row r="444" ht="15.75" customHeight="1" thickBot="1">
      <c r="A444" s="183" t="n">
        <v>302</v>
      </c>
      <c r="B444" s="115" t="inlineStr">
        <is>
          <t>Onion White</t>
        </is>
      </c>
      <c r="C444" s="115" t="n"/>
      <c r="D444" s="115">
        <f>IFERROR(__xludf.DUMMYFUNCTION("IF(J444="""",""n/a"",IFERROR(SPLIT(J444,""/"")))"),"Fresh")</f>
        <v/>
      </c>
      <c r="E444" s="115" t="n"/>
      <c r="F444" s="115" t="n"/>
      <c r="G444" s="115" t="n"/>
      <c r="H444" s="11" t="inlineStr">
        <is>
          <t>CIP</t>
        </is>
      </c>
      <c r="I444" s="95" t="n"/>
      <c r="J444" s="93" t="inlineStr">
        <is>
          <t>Fresh</t>
        </is>
      </c>
      <c r="K444" s="116" t="n"/>
      <c r="L444" s="90" t="n">
        <v>110</v>
      </c>
      <c r="M444" s="189" t="n">
        <v>10</v>
      </c>
      <c r="N444" s="13" t="n">
        <v>1</v>
      </c>
      <c r="O444" s="13">
        <f>E444</f>
        <v/>
      </c>
      <c r="P444" s="91" t="inlineStr">
        <is>
          <t>grams</t>
        </is>
      </c>
      <c r="Q444" s="20" t="n"/>
      <c r="R444" s="5" t="n"/>
      <c r="S444" s="229">
        <f>M444*N444</f>
        <v/>
      </c>
      <c r="T444" s="230">
        <f>CONCATENATE(S444,Q444,P444)</f>
        <v/>
      </c>
      <c r="U444" s="206">
        <f>L444*M444</f>
        <v/>
      </c>
      <c r="V444" s="4" t="n"/>
      <c r="W444" s="4" t="n"/>
      <c r="X444" s="4" t="n"/>
    </row>
    <row r="445" ht="15.75" customHeight="1" thickBot="1">
      <c r="A445" s="183" t="n">
        <v>302</v>
      </c>
      <c r="B445" s="115" t="inlineStr">
        <is>
          <t>Onion White</t>
        </is>
      </c>
      <c r="C445" s="115" t="n"/>
      <c r="D445" s="115">
        <f>IFERROR(__xludf.DUMMYFUNCTION("IF(J445="""",""n/a"",IFERROR(SPLIT(J445,""/"")))"),"Fresh")</f>
        <v/>
      </c>
      <c r="E445" s="115" t="n"/>
      <c r="F445" s="115" t="n"/>
      <c r="G445" s="115" t="n"/>
      <c r="H445" s="11" t="inlineStr">
        <is>
          <t>CIP</t>
        </is>
      </c>
      <c r="I445" s="95" t="n"/>
      <c r="J445" s="93" t="inlineStr">
        <is>
          <t>Fresh</t>
        </is>
      </c>
      <c r="K445" s="116" t="n"/>
      <c r="L445" s="90" t="n">
        <v>110</v>
      </c>
      <c r="M445" s="189" t="n">
        <v>10</v>
      </c>
      <c r="N445" s="13" t="n">
        <v>1</v>
      </c>
      <c r="O445" s="13">
        <f>E445</f>
        <v/>
      </c>
      <c r="P445" s="91" t="inlineStr">
        <is>
          <t>grams</t>
        </is>
      </c>
      <c r="Q445" s="20" t="n"/>
      <c r="R445" s="5" t="n"/>
      <c r="S445" s="229">
        <f>M445*N445</f>
        <v/>
      </c>
      <c r="T445" s="230">
        <f>CONCATENATE(S445,Q445,P445)</f>
        <v/>
      </c>
      <c r="U445" s="206">
        <f>L445*M445</f>
        <v/>
      </c>
      <c r="V445" s="4" t="n"/>
      <c r="W445" s="4" t="n"/>
      <c r="X445" s="4" t="n"/>
    </row>
    <row r="446" ht="15.75" customHeight="1" thickBot="1">
      <c r="A446" s="183" t="n">
        <v>303</v>
      </c>
      <c r="B446" s="115" t="inlineStr">
        <is>
          <t>Orange Juice Powder</t>
        </is>
      </c>
      <c r="C446" s="115" t="n"/>
      <c r="D446" s="115">
        <f>IFERROR(__xludf.DUMMYFUNCTION("IF(J446="""",""n/a"",IFERROR(SPLIT(J446,""/"")))"),"Tang")</f>
        <v/>
      </c>
      <c r="E446" s="115">
        <f>IFERROR(__xludf.DUMMYFUNCTION("""COMPUTED_VALUE"""),"pack")</f>
        <v/>
      </c>
      <c r="F446" s="115">
        <f>IFERROR(__xludf.DUMMYFUNCTION("""COMPUTED_VALUE"""),"19grams")</f>
        <v/>
      </c>
      <c r="G446" s="115" t="n"/>
      <c r="H446" s="11" t="inlineStr">
        <is>
          <t>CIP</t>
        </is>
      </c>
      <c r="I446" s="95" t="n"/>
      <c r="J446" s="19" t="inlineStr">
        <is>
          <t>Tang/pack/19grams</t>
        </is>
      </c>
      <c r="K446" s="116" t="n"/>
      <c r="L446" s="90" t="n">
        <v>19</v>
      </c>
      <c r="M446" s="189" t="n">
        <v>30</v>
      </c>
      <c r="N446" s="13" t="n">
        <v>1</v>
      </c>
      <c r="O446" s="13">
        <f>E446</f>
        <v/>
      </c>
      <c r="P446" s="91" t="inlineStr">
        <is>
          <t>grams</t>
        </is>
      </c>
      <c r="Q446" s="20" t="n"/>
      <c r="R446" s="5" t="n"/>
      <c r="S446" s="229">
        <f>M446*N446</f>
        <v/>
      </c>
      <c r="T446" s="230">
        <f>CONCATENATE(S446,Q446,P446)</f>
        <v/>
      </c>
      <c r="U446" s="206">
        <f>L446*M446</f>
        <v/>
      </c>
      <c r="V446" s="4" t="n"/>
      <c r="W446" s="4" t="n"/>
      <c r="X446" s="4" t="n"/>
    </row>
    <row r="447" ht="15.75" customHeight="1" thickBot="1">
      <c r="A447" s="183" t="n">
        <v>304</v>
      </c>
      <c r="B447" s="115" t="inlineStr">
        <is>
          <t>Oreo - Vanilla</t>
        </is>
      </c>
      <c r="C447" s="115" t="n"/>
      <c r="D447" s="115">
        <f>IFERROR(__xludf.DUMMYFUNCTION("IF(J447="""",""n/a"",IFERROR(SPLIT(J447,""/"")))"),"Mondelez")</f>
        <v/>
      </c>
      <c r="E447" s="115">
        <f>IFERROR(__xludf.DUMMYFUNCTION("""COMPUTED_VALUE"""),"pack (9pcsx27.6grams)")</f>
        <v/>
      </c>
      <c r="F447" s="115" t="n"/>
      <c r="G447" s="115" t="n"/>
      <c r="H447" s="11" t="inlineStr">
        <is>
          <t>CIP</t>
        </is>
      </c>
      <c r="I447" s="95" t="n"/>
      <c r="J447" s="93" t="inlineStr">
        <is>
          <t>Mondelez/pack (9pcsx27.6grams)</t>
        </is>
      </c>
      <c r="K447" s="116" t="n"/>
      <c r="L447" s="90" t="n">
        <v>8.51</v>
      </c>
      <c r="M447" s="189" t="n">
        <v>250</v>
      </c>
      <c r="N447" s="13" t="n">
        <v>1</v>
      </c>
      <c r="O447" s="13">
        <f>E447</f>
        <v/>
      </c>
      <c r="P447" s="91" t="inlineStr">
        <is>
          <t>pieces</t>
        </is>
      </c>
      <c r="Q447" s="20" t="n"/>
      <c r="R447" s="5" t="n"/>
      <c r="S447" s="229">
        <f>M447*N447</f>
        <v/>
      </c>
      <c r="T447" s="230">
        <f>CONCATENATE(S447,Q447,P447)</f>
        <v/>
      </c>
      <c r="U447" s="206">
        <f>L447*M447</f>
        <v/>
      </c>
      <c r="V447" s="4" t="n"/>
      <c r="W447" s="4" t="n"/>
      <c r="X447" s="4" t="n"/>
    </row>
    <row r="448" ht="15.75" customHeight="1" thickBot="1">
      <c r="A448" s="183" t="n">
        <v>305</v>
      </c>
      <c r="B448" s="142" t="inlineStr">
        <is>
          <t>Original Chiz Whiz</t>
        </is>
      </c>
      <c r="C448" s="142" t="n"/>
      <c r="D448" s="115">
        <f>IFERROR(__xludf.DUMMYFUNCTION("IF(J448="""",""n/a"",IFERROR(SPLIT(J448,""/"")))"),"n/a")</f>
        <v/>
      </c>
      <c r="E448" s="142" t="n"/>
      <c r="F448" s="142" t="n"/>
      <c r="G448" s="142" t="n"/>
      <c r="H448" s="84" t="inlineStr">
        <is>
          <t>F1</t>
        </is>
      </c>
      <c r="I448" s="7" t="n"/>
      <c r="J448" s="19" t="n"/>
      <c r="K448" s="7" t="n"/>
      <c r="L448" s="12" t="n">
        <v>185.45</v>
      </c>
      <c r="M448" s="192" t="n">
        <v>2</v>
      </c>
      <c r="N448" s="85" t="n">
        <v>1</v>
      </c>
      <c r="O448" s="13">
        <f>E448</f>
        <v/>
      </c>
      <c r="P448" s="25" t="inlineStr">
        <is>
          <t>pieces</t>
        </is>
      </c>
      <c r="Q448" s="20" t="n"/>
      <c r="R448" s="5" t="n"/>
      <c r="S448" s="229">
        <f>M448*N448</f>
        <v/>
      </c>
      <c r="T448" s="230">
        <f>CONCATENATE(S448,Q448,P448)</f>
        <v/>
      </c>
      <c r="U448" s="206">
        <f>L448*M448</f>
        <v/>
      </c>
      <c r="V448" s="4" t="n"/>
      <c r="W448" s="4" t="n"/>
      <c r="X448" s="4" t="n"/>
    </row>
    <row r="449" ht="15.75" customHeight="1" thickBot="1">
      <c r="A449" s="183" t="n">
        <v>306</v>
      </c>
      <c r="B449" s="143" t="inlineStr">
        <is>
          <t>Oyster Sauce</t>
        </is>
      </c>
      <c r="C449" s="143" t="n"/>
      <c r="D449" s="115">
        <f>IFERROR(__xludf.DUMMYFUNCTION("IF(J449="""",""n/a"",IFERROR(SPLIT(J449,""/"")))"),"Ticman")</f>
        <v/>
      </c>
      <c r="E449" s="143">
        <f>IFERROR(__xludf.DUMMYFUNCTION("""COMPUTED_VALUE"""),"gallon")</f>
        <v/>
      </c>
      <c r="F449" s="143">
        <f>IFERROR(__xludf.DUMMYFUNCTION("""COMPUTED_VALUE"""),"3500ml")</f>
        <v/>
      </c>
      <c r="G449" s="143" t="n"/>
      <c r="H449" s="11" t="inlineStr">
        <is>
          <t>CIP</t>
        </is>
      </c>
      <c r="I449" s="92" t="n"/>
      <c r="J449" s="93" t="inlineStr">
        <is>
          <t>Ticman/gallon/3500ml</t>
        </is>
      </c>
      <c r="K449" s="116" t="n"/>
      <c r="L449" s="96" t="n">
        <v>199</v>
      </c>
      <c r="M449" s="199" t="n">
        <v>3</v>
      </c>
      <c r="N449" s="97" t="inlineStr">
        <is>
          <t>1</t>
        </is>
      </c>
      <c r="O449" s="13">
        <f>E449</f>
        <v/>
      </c>
      <c r="P449" s="91" t="inlineStr">
        <is>
          <t>gal</t>
        </is>
      </c>
      <c r="Q449" s="20" t="n"/>
      <c r="R449" s="5" t="n"/>
      <c r="S449" s="229">
        <f>M449*N449</f>
        <v/>
      </c>
      <c r="T449" s="230">
        <f>CONCATENATE(S449,Q449,P449)</f>
        <v/>
      </c>
      <c r="U449" s="206">
        <f>L449*M449</f>
        <v/>
      </c>
      <c r="V449" s="4" t="n"/>
      <c r="W449" s="4" t="n"/>
      <c r="X449" s="4" t="n"/>
    </row>
    <row r="450" ht="15.75" customHeight="1" thickBot="1">
      <c r="A450" s="183" t="n">
        <v>306</v>
      </c>
      <c r="B450" s="143" t="inlineStr">
        <is>
          <t>Oyster Sauce</t>
        </is>
      </c>
      <c r="C450" s="143" t="n"/>
      <c r="D450" s="115">
        <f>IFERROR(__xludf.DUMMYFUNCTION("IF(J450="""",""n/a"",IFERROR(SPLIT(J450,""/"")))"),"Mama Sitas")</f>
        <v/>
      </c>
      <c r="E450" s="143">
        <f>IFERROR(__xludf.DUMMYFUNCTION("""COMPUTED_VALUE"""),"bottle")</f>
        <v/>
      </c>
      <c r="F450" s="143">
        <f>IFERROR(__xludf.DUMMYFUNCTION("""COMPUTED_VALUE"""),"405grams")</f>
        <v/>
      </c>
      <c r="G450" s="143" t="n"/>
      <c r="H450" s="11" t="inlineStr">
        <is>
          <t>CIP</t>
        </is>
      </c>
      <c r="I450" s="92" t="n"/>
      <c r="J450" s="93" t="inlineStr">
        <is>
          <t>Mama Sitas/bottle/405grams</t>
        </is>
      </c>
      <c r="K450" s="116" t="n"/>
      <c r="L450" s="96" t="n">
        <v>103.6</v>
      </c>
      <c r="M450" s="199" t="n">
        <v>2</v>
      </c>
      <c r="N450" s="97" t="n">
        <v>1</v>
      </c>
      <c r="O450" s="13">
        <f>E450</f>
        <v/>
      </c>
      <c r="P450" s="91" t="inlineStr">
        <is>
          <t>grams</t>
        </is>
      </c>
      <c r="Q450" s="20" t="n"/>
      <c r="R450" s="5" t="n"/>
      <c r="S450" s="229">
        <f>M450*N450</f>
        <v/>
      </c>
      <c r="T450" s="230">
        <f>CONCATENATE(S450,Q450,P450)</f>
        <v/>
      </c>
      <c r="U450" s="206">
        <f>L450*M450</f>
        <v/>
      </c>
      <c r="V450" s="4" t="n"/>
      <c r="W450" s="4" t="n"/>
      <c r="X450" s="4" t="n"/>
    </row>
    <row r="451" ht="15.75" customHeight="1" thickBot="1">
      <c r="A451" s="183" t="n">
        <v>307</v>
      </c>
      <c r="B451" s="143" t="inlineStr">
        <is>
          <t>Palabok</t>
        </is>
      </c>
      <c r="C451" s="143" t="n"/>
      <c r="D451" s="115">
        <f>IFERROR(__xludf.DUMMYFUNCTION("IF(J451="""",""n/a"",IFERROR(SPLIT(J451,""/"")))"),"Super Q")</f>
        <v/>
      </c>
      <c r="E451" s="143">
        <f>IFERROR(__xludf.DUMMYFUNCTION("""COMPUTED_VALUE"""),"pack")</f>
        <v/>
      </c>
      <c r="F451" s="143">
        <f>IFERROR(__xludf.DUMMYFUNCTION("""COMPUTED_VALUE"""),"500grams")</f>
        <v/>
      </c>
      <c r="G451" s="143" t="n"/>
      <c r="H451" s="11" t="inlineStr">
        <is>
          <t>Annex</t>
        </is>
      </c>
      <c r="I451" s="27" t="n"/>
      <c r="J451" s="98" t="inlineStr">
        <is>
          <t>Super Q/pack/500grams</t>
        </is>
      </c>
      <c r="K451" s="6" t="n"/>
      <c r="L451" s="144" t="n">
        <v>0.08599999999999999</v>
      </c>
      <c r="M451" s="200" t="n">
        <v>1500</v>
      </c>
      <c r="N451" s="146" t="n">
        <v>500</v>
      </c>
      <c r="O451" s="13">
        <f>E451</f>
        <v/>
      </c>
      <c r="P451" s="29" t="inlineStr">
        <is>
          <t>grams</t>
        </is>
      </c>
      <c r="Q451" s="13" t="n"/>
      <c r="R451" s="78">
        <f>CONCATENATE(N451,P451)</f>
        <v/>
      </c>
      <c r="S451" s="229">
        <f>M451*N451</f>
        <v/>
      </c>
      <c r="T451" s="230">
        <f>CONCATENATE(S451,Q451,P451)</f>
        <v/>
      </c>
      <c r="U451" s="206">
        <f>L451*M451</f>
        <v/>
      </c>
      <c r="V451" s="34" t="n"/>
      <c r="W451" s="34" t="n"/>
      <c r="X451" s="34" t="n"/>
    </row>
    <row r="452" ht="15.75" customHeight="1" thickBot="1">
      <c r="A452" s="183" t="n">
        <v>307</v>
      </c>
      <c r="B452" s="147" t="inlineStr">
        <is>
          <t>Palabok</t>
        </is>
      </c>
      <c r="C452" s="147" t="n"/>
      <c r="D452" s="115">
        <f>IFERROR(__xludf.DUMMYFUNCTION("IF(J452="""",""n/a"",IFERROR(SPLIT(J452,""/"")))"),"n/a")</f>
        <v/>
      </c>
      <c r="E452" s="147" t="n"/>
      <c r="F452" s="147" t="n"/>
      <c r="G452" s="147" t="n"/>
      <c r="H452" s="84" t="inlineStr">
        <is>
          <t>F1</t>
        </is>
      </c>
      <c r="I452" s="26" t="n"/>
      <c r="J452" s="98" t="n"/>
      <c r="K452" s="7" t="n"/>
      <c r="L452" s="12" t="n">
        <v>0.106</v>
      </c>
      <c r="M452" s="201" t="n">
        <v>14500</v>
      </c>
      <c r="N452" s="85" t="n">
        <v>500</v>
      </c>
      <c r="O452" s="13">
        <f>E452</f>
        <v/>
      </c>
      <c r="P452" s="29" t="inlineStr">
        <is>
          <t>grams</t>
        </is>
      </c>
      <c r="Q452" s="20" t="n"/>
      <c r="R452" s="5" t="n"/>
      <c r="S452" s="229">
        <f>M452*N452</f>
        <v/>
      </c>
      <c r="T452" s="230">
        <f>CONCATENATE(S452,Q452,P452)</f>
        <v/>
      </c>
      <c r="U452" s="206">
        <f>L452*M452</f>
        <v/>
      </c>
      <c r="V452" s="4" t="n"/>
      <c r="W452" s="4" t="n"/>
      <c r="X452" s="4" t="n"/>
    </row>
    <row r="453" ht="15.75" customHeight="1" thickBot="1">
      <c r="A453" s="183" t="n">
        <v>308</v>
      </c>
      <c r="B453" s="143" t="inlineStr">
        <is>
          <t>Pandesal Mate Chocolate Drink</t>
        </is>
      </c>
      <c r="C453" s="143" t="n"/>
      <c r="D453" s="115">
        <f>IFERROR(__xludf.DUMMYFUNCTION("IF(J453="""",""n/a"",IFERROR(SPLIT(J453,""/"")))"),"Energen")</f>
        <v/>
      </c>
      <c r="E453" s="143">
        <f>IFERROR(__xludf.DUMMYFUNCTION("""COMPUTED_VALUE"""),"pack (pcsx30grams)")</f>
        <v/>
      </c>
      <c r="F453" s="143" t="n"/>
      <c r="G453" s="143" t="n"/>
      <c r="H453" s="11" t="inlineStr">
        <is>
          <t>Annex</t>
        </is>
      </c>
      <c r="I453" s="27" t="n"/>
      <c r="J453" s="32" t="inlineStr">
        <is>
          <t>Energen/pack (pcsx30grams)</t>
        </is>
      </c>
      <c r="K453" s="6" t="n"/>
      <c r="L453" s="148" t="n">
        <v>8.960000000000001</v>
      </c>
      <c r="M453" s="200" t="n">
        <v>259</v>
      </c>
      <c r="N453" s="145" t="n">
        <v>1</v>
      </c>
      <c r="O453" s="13">
        <f>E453</f>
        <v/>
      </c>
      <c r="P453" s="25" t="inlineStr">
        <is>
          <t>pieces</t>
        </is>
      </c>
      <c r="Q453" s="13" t="n"/>
      <c r="R453" s="78">
        <f>CONCATENATE(N453,P453)</f>
        <v/>
      </c>
      <c r="S453" s="229">
        <f>M453*N453</f>
        <v/>
      </c>
      <c r="T453" s="230">
        <f>CONCATENATE(S453,Q453,P453)</f>
        <v/>
      </c>
      <c r="U453" s="206">
        <f>L453*M453</f>
        <v/>
      </c>
      <c r="V453" s="231" t="n"/>
      <c r="W453" s="236" t="n"/>
      <c r="X453" s="71" t="n"/>
    </row>
    <row r="454" ht="15.75" customHeight="1" thickBot="1">
      <c r="A454" s="183" t="n">
        <v>308</v>
      </c>
      <c r="B454" s="149" t="inlineStr">
        <is>
          <t>Pandesal Mate Chocolate Drink</t>
        </is>
      </c>
      <c r="C454" s="149" t="n"/>
      <c r="D454" s="115">
        <f>IFERROR(__xludf.DUMMYFUNCTION("IF(J454="""",""n/a"",IFERROR(SPLIT(J454,""/"")))"),"Energen")</f>
        <v/>
      </c>
      <c r="E454" s="149">
        <f>IFERROR(__xludf.DUMMYFUNCTION("""COMPUTED_VALUE"""),"pack (pcsx30grams)")</f>
        <v/>
      </c>
      <c r="F454" s="149" t="n"/>
      <c r="G454" s="149" t="n"/>
      <c r="H454" s="11" t="inlineStr">
        <is>
          <t>CIP</t>
        </is>
      </c>
      <c r="I454" s="92" t="n"/>
      <c r="J454" s="32" t="inlineStr">
        <is>
          <t>Energen/pack (pcsx30grams)</t>
        </is>
      </c>
      <c r="K454" s="116" t="n"/>
      <c r="L454" s="100" t="n">
        <v>8.970000000000001</v>
      </c>
      <c r="M454" s="199" t="n">
        <v>275</v>
      </c>
      <c r="N454" s="97" t="n">
        <v>1</v>
      </c>
      <c r="O454" s="13">
        <f>E454</f>
        <v/>
      </c>
      <c r="P454" s="97" t="inlineStr">
        <is>
          <t>pieces</t>
        </is>
      </c>
      <c r="Q454" s="20" t="n"/>
      <c r="R454" s="5" t="n"/>
      <c r="S454" s="229">
        <f>M454*N454</f>
        <v/>
      </c>
      <c r="T454" s="230">
        <f>CONCATENATE(S454,Q454,P454)</f>
        <v/>
      </c>
      <c r="U454" s="206">
        <f>L454*M454</f>
        <v/>
      </c>
      <c r="V454" s="4" t="n"/>
      <c r="W454" s="4" t="n"/>
      <c r="X454" s="4" t="n"/>
    </row>
    <row r="455" ht="15.75" customHeight="1" thickBot="1">
      <c r="A455" s="183" t="n">
        <v>309</v>
      </c>
      <c r="B455" s="143" t="inlineStr">
        <is>
          <t>Panty Liner</t>
        </is>
      </c>
      <c r="C455" s="143" t="n"/>
      <c r="D455" s="115">
        <f>IFERROR(__xludf.DUMMYFUNCTION("IF(J455="""",""n/a"",IFERROR(SPLIT(J455,""/"")))"),"charme")</f>
        <v/>
      </c>
      <c r="E455" s="143" t="n"/>
      <c r="F455" s="143" t="n"/>
      <c r="G455" s="143" t="n"/>
      <c r="H455" s="11" t="inlineStr">
        <is>
          <t>Annex</t>
        </is>
      </c>
      <c r="I455" s="27" t="n"/>
      <c r="J455" s="32" t="inlineStr">
        <is>
          <t>charme</t>
        </is>
      </c>
      <c r="K455" s="6" t="n"/>
      <c r="L455" s="30" t="n">
        <v>1.26</v>
      </c>
      <c r="M455" s="200" t="n">
        <v>808</v>
      </c>
      <c r="N455" s="145" t="n">
        <v>1</v>
      </c>
      <c r="O455" s="13">
        <f>E455</f>
        <v/>
      </c>
      <c r="P455" s="28" t="inlineStr">
        <is>
          <t>pieces</t>
        </is>
      </c>
      <c r="Q455" s="13" t="n"/>
      <c r="R455" s="78">
        <f>CONCATENATE(N455,P455)</f>
        <v/>
      </c>
      <c r="S455" s="229">
        <f>M455*N455</f>
        <v/>
      </c>
      <c r="T455" s="230">
        <f>CONCATENATE(S455,Q455,P455)</f>
        <v/>
      </c>
      <c r="U455" s="206">
        <f>L455*M455</f>
        <v/>
      </c>
      <c r="V455" s="34" t="n"/>
      <c r="W455" s="34" t="n"/>
      <c r="X455" s="34" t="n"/>
    </row>
    <row r="456" ht="15.75" customHeight="1" thickBot="1">
      <c r="A456" s="183" t="n">
        <v>309</v>
      </c>
      <c r="B456" s="143" t="inlineStr">
        <is>
          <t>Panty Liner</t>
        </is>
      </c>
      <c r="C456" s="143" t="n"/>
      <c r="D456" s="115">
        <f>IFERROR(__xludf.DUMMYFUNCTION("IF(J456="""",""n/a"",IFERROR(SPLIT(J456,""/"")))"),"Sister")</f>
        <v/>
      </c>
      <c r="E456" s="143">
        <f>IFERROR(__xludf.DUMMYFUNCTION("""COMPUTED_VALUE"""),"pack")</f>
        <v/>
      </c>
      <c r="F456" s="143">
        <f>IFERROR(__xludf.DUMMYFUNCTION("""COMPUTED_VALUE"""),"8s'")</f>
        <v/>
      </c>
      <c r="G456" s="143" t="n"/>
      <c r="H456" s="11" t="inlineStr">
        <is>
          <t>CIP</t>
        </is>
      </c>
      <c r="I456" s="92" t="n"/>
      <c r="J456" s="99" t="inlineStr">
        <is>
          <t>Sister/pack/8s'</t>
        </is>
      </c>
      <c r="K456" s="116" t="n"/>
      <c r="L456" s="100">
        <f>7.5*8</f>
        <v/>
      </c>
      <c r="M456" s="199" t="n">
        <v>20</v>
      </c>
      <c r="N456" s="97" t="n">
        <v>1</v>
      </c>
      <c r="O456" s="13">
        <f>E456</f>
        <v/>
      </c>
      <c r="P456" s="97" t="inlineStr">
        <is>
          <t>packs</t>
        </is>
      </c>
      <c r="Q456" s="20" t="n"/>
      <c r="R456" s="5" t="n"/>
      <c r="S456" s="229">
        <f>M456*N456</f>
        <v/>
      </c>
      <c r="T456" s="230">
        <f>CONCATENATE(S456,Q456,P456)</f>
        <v/>
      </c>
      <c r="U456" s="206">
        <f>L456*M456</f>
        <v/>
      </c>
      <c r="V456" s="4" t="n"/>
      <c r="W456" s="4" t="n"/>
      <c r="X456" s="4" t="n"/>
    </row>
    <row r="457" ht="15.75" customHeight="1" thickBot="1">
      <c r="A457" s="183" t="n">
        <v>309</v>
      </c>
      <c r="B457" s="143" t="inlineStr">
        <is>
          <t>Panty Liner</t>
        </is>
      </c>
      <c r="C457" s="143" t="n"/>
      <c r="D457" s="115">
        <f>IFERROR(__xludf.DUMMYFUNCTION("IF(J457="""",""n/a"",IFERROR(SPLIT(J457,""/"")))"),"n/a")</f>
        <v/>
      </c>
      <c r="E457" s="143" t="n"/>
      <c r="F457" s="143" t="n"/>
      <c r="G457" s="143" t="n"/>
      <c r="H457" s="84" t="inlineStr">
        <is>
          <t>F1</t>
        </is>
      </c>
      <c r="I457" s="26" t="n"/>
      <c r="J457" s="32" t="n"/>
      <c r="K457" s="7" t="n"/>
      <c r="L457" s="36" t="n">
        <v>7.5</v>
      </c>
      <c r="M457" s="201" t="n">
        <v>11</v>
      </c>
      <c r="N457" s="87" t="n">
        <v>1</v>
      </c>
      <c r="O457" s="13">
        <f>E457</f>
        <v/>
      </c>
      <c r="P457" s="28" t="inlineStr">
        <is>
          <t>packs</t>
        </is>
      </c>
      <c r="Q457" s="20" t="n"/>
      <c r="R457" s="5" t="n"/>
      <c r="S457" s="229">
        <f>M457*N457</f>
        <v/>
      </c>
      <c r="T457" s="230">
        <f>CONCATENATE(S457,Q457,P457)</f>
        <v/>
      </c>
      <c r="U457" s="206">
        <f>L457*M457</f>
        <v/>
      </c>
      <c r="V457" s="4" t="n"/>
      <c r="W457" s="4" t="n"/>
      <c r="X457" s="4" t="n"/>
    </row>
    <row r="458" ht="15.75" customHeight="1" thickBot="1">
      <c r="A458" s="183" t="n">
        <v>309</v>
      </c>
      <c r="B458" s="143" t="inlineStr">
        <is>
          <t>Panty Liner</t>
        </is>
      </c>
      <c r="C458" s="143" t="n"/>
      <c r="D458" s="115">
        <f>IFERROR(__xludf.DUMMYFUNCTION("IF(J458="""",""n/a"",IFERROR(SPLIT(J458,""/"")))"),"n/a")</f>
        <v/>
      </c>
      <c r="E458" s="143" t="n"/>
      <c r="F458" s="143" t="n"/>
      <c r="G458" s="143" t="n"/>
      <c r="H458" s="84" t="inlineStr">
        <is>
          <t>F1</t>
        </is>
      </c>
      <c r="I458" s="31" t="n"/>
      <c r="J458" s="32" t="n"/>
      <c r="K458" s="7" t="n"/>
      <c r="L458" s="36" t="n">
        <v>1.32</v>
      </c>
      <c r="M458" s="201" t="n">
        <v>84</v>
      </c>
      <c r="N458" s="87" t="n">
        <v>1</v>
      </c>
      <c r="O458" s="13">
        <f>E458</f>
        <v/>
      </c>
      <c r="P458" s="28" t="inlineStr">
        <is>
          <t>pieces</t>
        </is>
      </c>
      <c r="Q458" s="20" t="n"/>
      <c r="R458" s="5" t="n"/>
      <c r="S458" s="229">
        <f>M458*N458</f>
        <v/>
      </c>
      <c r="T458" s="230">
        <f>CONCATENATE(S458,Q458,P458)</f>
        <v/>
      </c>
      <c r="U458" s="206">
        <f>L458*M458</f>
        <v/>
      </c>
      <c r="V458" s="4" t="n"/>
      <c r="W458" s="4" t="n"/>
      <c r="X458" s="4" t="n"/>
    </row>
    <row r="459" ht="15.75" customHeight="1" thickBot="1">
      <c r="A459" s="183" t="n">
        <v>310</v>
      </c>
      <c r="B459" s="143" t="inlineStr">
        <is>
          <t>Peanut Butter</t>
        </is>
      </c>
      <c r="C459" s="143" t="n"/>
      <c r="D459" s="115">
        <f>IFERROR(__xludf.DUMMYFUNCTION("IF(J459="""",""n/a"",IFERROR(SPLIT(J459,""/"")))"),"Mama")</f>
        <v/>
      </c>
      <c r="E459" s="143">
        <f>IFERROR(__xludf.DUMMYFUNCTION("""COMPUTED_VALUE"""),"canister")</f>
        <v/>
      </c>
      <c r="F459" s="143">
        <f>IFERROR(__xludf.DUMMYFUNCTION("""COMPUTED_VALUE"""),"1000grams")</f>
        <v/>
      </c>
      <c r="G459" s="143" t="n"/>
      <c r="H459" s="11" t="inlineStr">
        <is>
          <t>Annex</t>
        </is>
      </c>
      <c r="I459" s="6" t="n"/>
      <c r="J459" s="32" t="inlineStr">
        <is>
          <t>Mama/canister/1000grams</t>
        </is>
      </c>
      <c r="K459" s="18" t="n"/>
      <c r="L459" s="36" t="n">
        <v>0.23</v>
      </c>
      <c r="M459" s="200" t="n">
        <v>1000</v>
      </c>
      <c r="N459" s="145" t="n">
        <v>1000</v>
      </c>
      <c r="O459" s="13">
        <f>E459</f>
        <v/>
      </c>
      <c r="P459" s="28" t="inlineStr">
        <is>
          <t>grams</t>
        </is>
      </c>
      <c r="Q459" s="13" t="n"/>
      <c r="R459" s="78">
        <f>CONCATENATE(N459,P459)</f>
        <v/>
      </c>
      <c r="S459" s="229">
        <f>M459*N459</f>
        <v/>
      </c>
      <c r="T459" s="230">
        <f>CONCATENATE(S459,Q459,P459)</f>
        <v/>
      </c>
      <c r="U459" s="206">
        <f>L459*M459</f>
        <v/>
      </c>
      <c r="V459" s="231" t="n"/>
      <c r="W459" s="236" t="n"/>
      <c r="X459" s="71" t="n"/>
    </row>
    <row r="460" ht="15.75" customHeight="1" thickBot="1">
      <c r="A460" s="183" t="n">
        <v>311</v>
      </c>
      <c r="B460" s="147" t="inlineStr">
        <is>
          <t>Peanut Butter Big</t>
        </is>
      </c>
      <c r="C460" s="147" t="n"/>
      <c r="D460" s="115">
        <f>IFERROR(__xludf.DUMMYFUNCTION("IF(J460="""",""n/a"",IFERROR(SPLIT(J460,""/"")))"),"Baby")</f>
        <v/>
      </c>
      <c r="E460" s="147">
        <f>IFERROR(__xludf.DUMMYFUNCTION("""COMPUTED_VALUE"""),"canister")</f>
        <v/>
      </c>
      <c r="F460" s="147">
        <f>IFERROR(__xludf.DUMMYFUNCTION("""COMPUTED_VALUE"""),"1800grams")</f>
        <v/>
      </c>
      <c r="G460" s="147" t="n"/>
      <c r="H460" s="84" t="inlineStr">
        <is>
          <t>F1</t>
        </is>
      </c>
      <c r="I460" s="26" t="n"/>
      <c r="J460" s="32" t="inlineStr">
        <is>
          <t>Baby/canister/1800grams</t>
        </is>
      </c>
      <c r="K460" s="7" t="n"/>
      <c r="L460" s="36" t="n">
        <v>0.1277777777777778</v>
      </c>
      <c r="M460" s="201" t="n">
        <v>5400</v>
      </c>
      <c r="N460" s="87" t="n">
        <v>1800</v>
      </c>
      <c r="O460" s="13">
        <f>E460</f>
        <v/>
      </c>
      <c r="P460" s="28" t="inlineStr">
        <is>
          <t>grams</t>
        </is>
      </c>
      <c r="Q460" s="20" t="n"/>
      <c r="R460" s="5" t="n"/>
      <c r="S460" s="229">
        <f>M460*N460</f>
        <v/>
      </c>
      <c r="T460" s="230">
        <f>CONCATENATE(S460,Q460,P460)</f>
        <v/>
      </c>
      <c r="U460" s="206">
        <f>L460*M460</f>
        <v/>
      </c>
      <c r="V460" s="4" t="n"/>
      <c r="W460" s="4" t="n"/>
      <c r="X460" s="4" t="n"/>
    </row>
    <row r="461" ht="15.75" customHeight="1" thickBot="1">
      <c r="A461" s="183" t="n">
        <v>312</v>
      </c>
      <c r="B461" s="143" t="inlineStr">
        <is>
          <t>Piattos - Cheese</t>
        </is>
      </c>
      <c r="C461" s="143" t="n"/>
      <c r="D461" s="115">
        <f>IFERROR(__xludf.DUMMYFUNCTION("IF(J461="""",""n/a"",IFERROR(SPLIT(J461,""/"")))"),"Jack n Jill")</f>
        <v/>
      </c>
      <c r="E461" s="143">
        <f>IFERROR(__xludf.DUMMYFUNCTION("""COMPUTED_VALUE"""),"box (50pcsx85grams)")</f>
        <v/>
      </c>
      <c r="F461" s="143" t="n"/>
      <c r="G461" s="143" t="n"/>
      <c r="H461" s="11" t="inlineStr">
        <is>
          <t>CIP</t>
        </is>
      </c>
      <c r="I461" s="92" t="n"/>
      <c r="J461" s="99" t="inlineStr">
        <is>
          <t>Jack n Jill/box (50pcsx85grams)</t>
        </is>
      </c>
      <c r="K461" s="116" t="n"/>
      <c r="L461" s="100" t="n">
        <v>15.24</v>
      </c>
      <c r="M461" s="199" t="n">
        <v>80</v>
      </c>
      <c r="N461" s="97" t="n">
        <v>1</v>
      </c>
      <c r="O461" s="13">
        <f>E461</f>
        <v/>
      </c>
      <c r="P461" s="97" t="inlineStr">
        <is>
          <t>pieces</t>
        </is>
      </c>
      <c r="Q461" s="20" t="n"/>
      <c r="R461" s="5" t="n"/>
      <c r="S461" s="229">
        <f>M461*N461</f>
        <v/>
      </c>
      <c r="T461" s="230">
        <f>CONCATENATE(S461,Q461,P461)</f>
        <v/>
      </c>
      <c r="U461" s="206">
        <f>L461*M461</f>
        <v/>
      </c>
      <c r="V461" s="4" t="n"/>
      <c r="W461" s="4" t="n"/>
      <c r="X461" s="4" t="n"/>
    </row>
    <row r="462" ht="15.75" customHeight="1" thickBot="1">
      <c r="A462" s="183" t="n">
        <v>313</v>
      </c>
      <c r="B462" s="143" t="inlineStr">
        <is>
          <t>Piattos Cheese</t>
        </is>
      </c>
      <c r="C462" s="143" t="n"/>
      <c r="D462" s="115">
        <f>IFERROR(__xludf.DUMMYFUNCTION("IF(J462="""",""n/a"",IFERROR(SPLIT(J462,""/"")))"),"Jack n Jill")</f>
        <v/>
      </c>
      <c r="E462" s="143">
        <f>IFERROR(__xludf.DUMMYFUNCTION("""COMPUTED_VALUE"""),"box (50pcsx85grams)")</f>
        <v/>
      </c>
      <c r="F462" s="143" t="n"/>
      <c r="G462" s="143" t="n"/>
      <c r="H462" s="11" t="inlineStr">
        <is>
          <t>Annex</t>
        </is>
      </c>
      <c r="I462" s="27" t="n"/>
      <c r="J462" s="32" t="inlineStr">
        <is>
          <t>Jack n Jill/box (50pcsx85grams)</t>
        </is>
      </c>
      <c r="K462" s="18" t="n"/>
      <c r="L462" s="150" t="n">
        <v>31.92</v>
      </c>
      <c r="M462" s="200" t="n">
        <v>3</v>
      </c>
      <c r="N462" s="145" t="n">
        <v>1</v>
      </c>
      <c r="O462" s="13">
        <f>E462</f>
        <v/>
      </c>
      <c r="P462" s="28" t="inlineStr">
        <is>
          <t>pieces</t>
        </is>
      </c>
      <c r="Q462" s="13" t="n"/>
      <c r="R462" s="78">
        <f>CONCATENATE(N462,P462)</f>
        <v/>
      </c>
      <c r="S462" s="229">
        <f>M462*N462</f>
        <v/>
      </c>
      <c r="T462" s="230">
        <f>CONCATENATE(S462,Q462,P462)</f>
        <v/>
      </c>
      <c r="U462" s="206">
        <f>L462*M462</f>
        <v/>
      </c>
      <c r="V462" s="34" t="n"/>
      <c r="W462" s="34" t="n"/>
      <c r="X462" s="34" t="n"/>
    </row>
    <row r="463" ht="15.75" customHeight="1" thickBot="1">
      <c r="A463" s="183" t="n">
        <v>314</v>
      </c>
      <c r="B463" s="151" t="inlineStr">
        <is>
          <t>Pimiento Chiz Whiz</t>
        </is>
      </c>
      <c r="C463" s="151" t="n"/>
      <c r="D463" s="115">
        <f>IFERROR(__xludf.DUMMYFUNCTION("IF(J463="""",""n/a"",IFERROR(SPLIT(J463,""/"")))"),"n/a")</f>
        <v/>
      </c>
      <c r="E463" s="151" t="n"/>
      <c r="F463" s="151" t="n"/>
      <c r="G463" s="151" t="n"/>
      <c r="H463" s="84" t="inlineStr">
        <is>
          <t>F1</t>
        </is>
      </c>
      <c r="I463" s="26" t="n"/>
      <c r="J463" s="152" t="n"/>
      <c r="K463" s="7" t="n"/>
      <c r="L463" s="153" t="n">
        <v>193</v>
      </c>
      <c r="M463" s="202" t="n">
        <v>2</v>
      </c>
      <c r="N463" s="154" t="n">
        <v>1</v>
      </c>
      <c r="O463" s="13">
        <f>E463</f>
        <v/>
      </c>
      <c r="P463" s="28" t="inlineStr">
        <is>
          <t>pieces</t>
        </is>
      </c>
      <c r="Q463" s="20" t="n"/>
      <c r="R463" s="5" t="n"/>
      <c r="S463" s="229">
        <f>M463*N463</f>
        <v/>
      </c>
      <c r="T463" s="230">
        <f>CONCATENATE(S463,Q463,P463)</f>
        <v/>
      </c>
      <c r="U463" s="206">
        <f>L463*M463</f>
        <v/>
      </c>
      <c r="V463" s="4" t="n"/>
      <c r="W463" s="4" t="n"/>
      <c r="X463" s="4" t="n"/>
    </row>
    <row r="464" ht="15.75" customHeight="1" thickBot="1">
      <c r="A464" s="183" t="n">
        <v>315</v>
      </c>
      <c r="B464" s="115" t="inlineStr">
        <is>
          <t>Pinatsu Seaweed</t>
        </is>
      </c>
      <c r="C464" s="115" t="n"/>
      <c r="D464" s="115">
        <f>IFERROR(__xludf.DUMMYFUNCTION("IF(J464="""",""n/a"",IFERROR(SPLIT(J464,""/"")))"),"Oishi")</f>
        <v/>
      </c>
      <c r="E464" s="115">
        <f>IFERROR(__xludf.DUMMYFUNCTION("""COMPUTED_VALUE"""),"pack(30x 100grams)")</f>
        <v/>
      </c>
      <c r="F464" s="115" t="n"/>
      <c r="G464" s="115" t="n"/>
      <c r="H464" s="11" t="inlineStr">
        <is>
          <t>CIP</t>
        </is>
      </c>
      <c r="I464" s="92" t="n"/>
      <c r="J464" s="93" t="inlineStr">
        <is>
          <t>Oishi/pack(30x 100grams)</t>
        </is>
      </c>
      <c r="K464" s="116" t="n"/>
      <c r="L464" s="90" t="n">
        <v>28.06</v>
      </c>
      <c r="M464" s="189" t="n">
        <v>30</v>
      </c>
      <c r="N464" s="13" t="n">
        <v>1</v>
      </c>
      <c r="O464" s="13">
        <f>E464</f>
        <v/>
      </c>
      <c r="P464" s="97" t="inlineStr">
        <is>
          <t>pieces</t>
        </is>
      </c>
      <c r="Q464" s="20" t="n"/>
      <c r="R464" s="5" t="n"/>
      <c r="S464" s="229">
        <f>M464*N464</f>
        <v/>
      </c>
      <c r="T464" s="230">
        <f>CONCATENATE(S464,Q464,P464)</f>
        <v/>
      </c>
      <c r="U464" s="206">
        <f>L464*M464</f>
        <v/>
      </c>
      <c r="V464" s="4" t="n"/>
      <c r="W464" s="4" t="n"/>
      <c r="X464" s="4" t="n"/>
    </row>
    <row r="465" ht="15.75" customHeight="1" thickBot="1">
      <c r="A465" s="183" t="n">
        <v>316</v>
      </c>
      <c r="B465" s="115" t="inlineStr">
        <is>
          <t>Pineapple Chunks</t>
        </is>
      </c>
      <c r="C465" s="115" t="n"/>
      <c r="D465" s="115">
        <f>IFERROR(__xludf.DUMMYFUNCTION("IF(J465="""",""n/a"",IFERROR(SPLIT(J465,""/"")))"),"Del Monte")</f>
        <v/>
      </c>
      <c r="E465" s="115">
        <f>IFERROR(__xludf.DUMMYFUNCTION("""COMPUTED_VALUE"""),"can227grams")</f>
        <v/>
      </c>
      <c r="F465" s="115">
        <f>IFERROR(__xludf.DUMMYFUNCTION("""COMPUTED_VALUE"""),"137drained weight")</f>
        <v/>
      </c>
      <c r="G465" s="115" t="n"/>
      <c r="H465" s="11" t="inlineStr">
        <is>
          <t>Annex</t>
        </is>
      </c>
      <c r="I465" s="27" t="n"/>
      <c r="J465" s="19" t="inlineStr">
        <is>
          <t>Del Monte/can227grams/137drained weight</t>
        </is>
      </c>
      <c r="K465" s="6" t="n"/>
      <c r="L465" s="8" t="n">
        <v>0.2591240875912409</v>
      </c>
      <c r="M465" s="190" t="n">
        <v>411</v>
      </c>
      <c r="N465" s="17" t="n">
        <v>137</v>
      </c>
      <c r="O465" s="13">
        <f>E465</f>
        <v/>
      </c>
      <c r="P465" s="155" t="inlineStr">
        <is>
          <t>drained weight grams</t>
        </is>
      </c>
      <c r="Q465" s="13" t="n"/>
      <c r="R465" s="78">
        <f>CONCATENATE(N465,P465)</f>
        <v/>
      </c>
      <c r="S465" s="229">
        <f>M465*N465</f>
        <v/>
      </c>
      <c r="T465" s="230">
        <f>CONCATENATE(S465,Q465,P465)</f>
        <v/>
      </c>
      <c r="U465" s="206">
        <f>L465*M465</f>
        <v/>
      </c>
      <c r="V465" s="231" t="n"/>
      <c r="W465" s="236" t="n"/>
      <c r="X465" s="71" t="n"/>
    </row>
    <row r="466" ht="15.75" customHeight="1" thickBot="1">
      <c r="A466" s="183" t="n">
        <v>316</v>
      </c>
      <c r="B466" s="115" t="inlineStr">
        <is>
          <t>Pineapple Chunks</t>
        </is>
      </c>
      <c r="C466" s="115" t="n"/>
      <c r="D466" s="115">
        <f>IFERROR(__xludf.DUMMYFUNCTION("IF(J466="""",""n/a"",IFERROR(SPLIT(J466,""/"")))"),"Mr Gulaman")</f>
        <v/>
      </c>
      <c r="E466" s="115">
        <f>IFERROR(__xludf.DUMMYFUNCTION("""COMPUTED_VALUE"""),"box")</f>
        <v/>
      </c>
      <c r="F466" s="115">
        <f>IFERROR(__xludf.DUMMYFUNCTION("""COMPUTED_VALUE"""),"(10sachetx25grams)")</f>
        <v/>
      </c>
      <c r="G466" s="115" t="n"/>
      <c r="H466" s="11" t="inlineStr">
        <is>
          <t>Annex</t>
        </is>
      </c>
      <c r="I466" s="27" t="n"/>
      <c r="J466" s="19" t="inlineStr">
        <is>
          <t>Mr Gulaman/box/(10sachetx25grams)</t>
        </is>
      </c>
      <c r="K466" s="6" t="n"/>
      <c r="L466" s="8" t="n">
        <v>0.4488</v>
      </c>
      <c r="M466" s="190" t="n">
        <v>450</v>
      </c>
      <c r="N466" s="22" t="n">
        <v>25</v>
      </c>
      <c r="O466" s="13">
        <f>E466</f>
        <v/>
      </c>
      <c r="P466" s="36" t="inlineStr">
        <is>
          <t>grams</t>
        </is>
      </c>
      <c r="Q466" s="13" t="n"/>
      <c r="R466" s="78">
        <f>CONCATENATE(N466,P466)</f>
        <v/>
      </c>
      <c r="S466" s="229">
        <f>M466*N466</f>
        <v/>
      </c>
      <c r="T466" s="230">
        <f>CONCATENATE(S466,Q466,P466)</f>
        <v/>
      </c>
      <c r="U466" s="206">
        <f>L466*M466</f>
        <v/>
      </c>
      <c r="V466" s="231" t="n"/>
      <c r="W466" s="236" t="n"/>
      <c r="X466" s="71" t="n"/>
    </row>
    <row r="467" ht="15.75" customHeight="1" thickBot="1">
      <c r="A467" s="183" t="n">
        <v>316</v>
      </c>
      <c r="B467" s="114" t="inlineStr">
        <is>
          <t>Pineapple Chunks</t>
        </is>
      </c>
      <c r="C467" s="114" t="n"/>
      <c r="D467" s="115">
        <f>IFERROR(__xludf.DUMMYFUNCTION("IF(J467="""",""n/a"",IFERROR(SPLIT(J467,""/"")))"),"Del Monte")</f>
        <v/>
      </c>
      <c r="E467" s="114">
        <f>IFERROR(__xludf.DUMMYFUNCTION("""COMPUTED_VALUE"""),"can (200grams)")</f>
        <v/>
      </c>
      <c r="F467" s="114" t="n"/>
      <c r="G467" s="114" t="n"/>
      <c r="H467" s="11" t="inlineStr">
        <is>
          <t>CIP</t>
        </is>
      </c>
      <c r="I467" s="156" t="n"/>
      <c r="J467" s="93" t="inlineStr">
        <is>
          <t>Del Monte/can (200grams)</t>
        </is>
      </c>
      <c r="K467" s="116" t="n"/>
      <c r="L467" s="90" t="n">
        <v>27.3</v>
      </c>
      <c r="M467" s="189" t="n">
        <v>12</v>
      </c>
      <c r="N467" s="13" t="n">
        <v>1</v>
      </c>
      <c r="O467" s="13">
        <f>E467</f>
        <v/>
      </c>
      <c r="P467" s="97" t="inlineStr">
        <is>
          <t>grams</t>
        </is>
      </c>
      <c r="Q467" s="20" t="n"/>
      <c r="R467" s="5" t="n"/>
      <c r="S467" s="229">
        <f>M467*N467</f>
        <v/>
      </c>
      <c r="T467" s="230">
        <f>CONCATENATE(S467,Q467,P467)</f>
        <v/>
      </c>
      <c r="U467" s="206">
        <f>L467*M467</f>
        <v/>
      </c>
      <c r="V467" s="4" t="n"/>
      <c r="W467" s="4" t="n"/>
      <c r="X467" s="4" t="n"/>
    </row>
    <row r="468" ht="15.75" customHeight="1" thickBot="1">
      <c r="A468" s="183" t="n">
        <v>317</v>
      </c>
      <c r="B468" s="115" t="inlineStr">
        <is>
          <t>Pineapple Juice</t>
        </is>
      </c>
      <c r="C468" s="115" t="n"/>
      <c r="D468" s="115">
        <f>IFERROR(__xludf.DUMMYFUNCTION("IF(J468="""",""n/a"",IFERROR(SPLIT(J468,""/"")))"),"ZEST-O Big 250")</f>
        <v/>
      </c>
      <c r="E468" s="115">
        <f>IFERROR(__xludf.DUMMYFUNCTION("""COMPUTED_VALUE"""),"box(10x250ml)")</f>
        <v/>
      </c>
      <c r="F468" s="115" t="n"/>
      <c r="G468" s="115" t="n"/>
      <c r="H468" s="11" t="inlineStr">
        <is>
          <t>Annex</t>
        </is>
      </c>
      <c r="I468" s="27" t="n"/>
      <c r="J468" s="19" t="inlineStr">
        <is>
          <t>ZEST-O Big 250/box(10x250ml)</t>
        </is>
      </c>
      <c r="K468" s="6" t="n"/>
      <c r="L468" s="8" t="n">
        <v>8.859999999999999</v>
      </c>
      <c r="M468" s="190" t="n">
        <v>3</v>
      </c>
      <c r="N468" s="145" t="n">
        <v>1</v>
      </c>
      <c r="O468" s="13">
        <f>E468</f>
        <v/>
      </c>
      <c r="P468" s="9" t="inlineStr">
        <is>
          <t>pieces</t>
        </is>
      </c>
      <c r="Q468" s="13" t="n"/>
      <c r="R468" s="78">
        <f>CONCATENATE(N468,P468)</f>
        <v/>
      </c>
      <c r="S468" s="229">
        <f>M468*N468</f>
        <v/>
      </c>
      <c r="T468" s="230">
        <f>CONCATENATE(S468,Q468,P468)</f>
        <v/>
      </c>
      <c r="U468" s="206">
        <f>L468*M468</f>
        <v/>
      </c>
      <c r="V468" s="231" t="n"/>
      <c r="W468" s="236" t="n"/>
      <c r="X468" s="71" t="n"/>
    </row>
    <row r="469" ht="15.75" customHeight="1" thickBot="1">
      <c r="A469" s="183" t="n">
        <v>318</v>
      </c>
      <c r="B469" s="115" t="inlineStr">
        <is>
          <t>Pineapple Juice Powder</t>
        </is>
      </c>
      <c r="C469" s="115" t="n"/>
      <c r="D469" s="115">
        <f>IFERROR(__xludf.DUMMYFUNCTION("IF(J469="""",""n/a"",IFERROR(SPLIT(J469,""/"")))"),"Tang")</f>
        <v/>
      </c>
      <c r="E469" s="115">
        <f>IFERROR(__xludf.DUMMYFUNCTION("""COMPUTED_VALUE"""),"sachet")</f>
        <v/>
      </c>
      <c r="F469" s="115">
        <f>IFERROR(__xludf.DUMMYFUNCTION("""COMPUTED_VALUE"""),"19grams")</f>
        <v/>
      </c>
      <c r="G469" s="115" t="n"/>
      <c r="H469" s="11" t="inlineStr">
        <is>
          <t>Annex</t>
        </is>
      </c>
      <c r="I469" s="27" t="n"/>
      <c r="J469" s="19" t="inlineStr">
        <is>
          <t>Tang/sachet/19grams</t>
        </is>
      </c>
      <c r="K469" s="6" t="n"/>
      <c r="L469" s="148" t="n">
        <v>19</v>
      </c>
      <c r="M469" s="200" t="n">
        <v>12</v>
      </c>
      <c r="N469" s="145" t="n">
        <v>1</v>
      </c>
      <c r="O469" s="13">
        <f>E469</f>
        <v/>
      </c>
      <c r="P469" s="25" t="inlineStr">
        <is>
          <t>grams</t>
        </is>
      </c>
      <c r="Q469" s="13" t="n"/>
      <c r="R469" s="78">
        <f>CONCATENATE(N469,P469)</f>
        <v/>
      </c>
      <c r="S469" s="229">
        <f>M469*N469</f>
        <v/>
      </c>
      <c r="T469" s="230">
        <f>CONCATENATE(S469,Q469,P469)</f>
        <v/>
      </c>
      <c r="U469" s="206">
        <f>L469*M469</f>
        <v/>
      </c>
      <c r="V469" s="231" t="n"/>
      <c r="W469" s="236" t="n"/>
      <c r="X469" s="71" t="n"/>
    </row>
    <row r="470" ht="15.75" customHeight="1" thickBot="1">
      <c r="A470" s="183" t="n">
        <v>319</v>
      </c>
      <c r="B470" s="115" t="inlineStr">
        <is>
          <t>Pineapple Juice with ACE</t>
        </is>
      </c>
      <c r="C470" s="115" t="n"/>
      <c r="D470" s="115">
        <f>IFERROR(__xludf.DUMMYFUNCTION("IF(J470="""",""n/a"",IFERROR(SPLIT(J470,""/"")))"),"Del Monte")</f>
        <v/>
      </c>
      <c r="E470" s="115">
        <f>IFERROR(__xludf.DUMMYFUNCTION("""COMPUTED_VALUE"""),"case (24x220ml)")</f>
        <v/>
      </c>
      <c r="F470" s="115" t="n"/>
      <c r="G470" s="115" t="n"/>
      <c r="H470" s="11" t="inlineStr">
        <is>
          <t>Annex</t>
        </is>
      </c>
      <c r="I470" s="27" t="n"/>
      <c r="J470" s="19" t="inlineStr">
        <is>
          <t>Del Monte/case (24x220ml)</t>
        </is>
      </c>
      <c r="K470" s="6" t="n"/>
      <c r="L470" s="30" t="n">
        <v>27.97</v>
      </c>
      <c r="M470" s="200" t="n">
        <v>34</v>
      </c>
      <c r="N470" s="145" t="n">
        <v>1</v>
      </c>
      <c r="O470" s="13">
        <f>E470</f>
        <v/>
      </c>
      <c r="P470" s="25" t="inlineStr">
        <is>
          <t>pieces</t>
        </is>
      </c>
      <c r="Q470" s="13" t="n"/>
      <c r="R470" s="78">
        <f>CONCATENATE(N470,P470)</f>
        <v/>
      </c>
      <c r="S470" s="229">
        <f>M470*N470</f>
        <v/>
      </c>
      <c r="T470" s="230">
        <f>CONCATENATE(S470,Q470,P470)</f>
        <v/>
      </c>
      <c r="U470" s="206">
        <f>L470*M470</f>
        <v/>
      </c>
      <c r="V470" s="231" t="n"/>
      <c r="W470" s="236" t="n"/>
      <c r="X470" s="71" t="n"/>
    </row>
    <row r="471" ht="15.75" customHeight="1" thickBot="1">
      <c r="A471" s="183" t="n">
        <v>319</v>
      </c>
      <c r="B471" s="122" t="inlineStr">
        <is>
          <t>Pineapple Juice with ACE</t>
        </is>
      </c>
      <c r="C471" s="122" t="n"/>
      <c r="D471" s="115">
        <f>IFERROR(__xludf.DUMMYFUNCTION("IF(J471="""",""n/a"",IFERROR(SPLIT(J471,""/"")))"),"Del Monte")</f>
        <v/>
      </c>
      <c r="E471" s="122">
        <f>IFERROR(__xludf.DUMMYFUNCTION("""COMPUTED_VALUE"""),"case (24pcsx220ml)")</f>
        <v/>
      </c>
      <c r="F471" s="122" t="n"/>
      <c r="G471" s="122" t="n"/>
      <c r="H471" s="11" t="inlineStr">
        <is>
          <t>CIP</t>
        </is>
      </c>
      <c r="I471" s="6" t="n"/>
      <c r="J471" s="19" t="inlineStr">
        <is>
          <t>Del Monte/case (24pcsx220ml)</t>
        </is>
      </c>
      <c r="K471" s="5" t="n"/>
      <c r="L471" s="100" t="n">
        <v>27.98</v>
      </c>
      <c r="M471" s="199" t="n">
        <v>72</v>
      </c>
      <c r="N471" s="97" t="n">
        <v>1</v>
      </c>
      <c r="O471" s="13">
        <f>E471</f>
        <v/>
      </c>
      <c r="P471" s="91" t="inlineStr">
        <is>
          <t>pieces</t>
        </is>
      </c>
      <c r="Q471" s="20" t="n"/>
      <c r="R471" s="5" t="n"/>
      <c r="S471" s="229">
        <f>M471*N471</f>
        <v/>
      </c>
      <c r="T471" s="230">
        <f>CONCATENATE(S471,Q471,P471)</f>
        <v/>
      </c>
      <c r="U471" s="206">
        <f>L471*M471</f>
        <v/>
      </c>
      <c r="V471" s="4" t="n"/>
      <c r="W471" s="4" t="n"/>
      <c r="X471" s="4" t="n"/>
    </row>
    <row r="472" ht="15.75" customHeight="1" thickBot="1">
      <c r="A472" s="183" t="n">
        <v>320</v>
      </c>
      <c r="B472" s="115" t="inlineStr">
        <is>
          <t>Pineapple sliced</t>
        </is>
      </c>
      <c r="C472" s="115" t="n"/>
      <c r="D472" s="115">
        <f>IFERROR(__xludf.DUMMYFUNCTION("IF(J472="""",""n/a"",IFERROR(SPLIT(J472,""/"")))"),"Del Monte")</f>
        <v/>
      </c>
      <c r="E472" s="115">
        <f>IFERROR(__xludf.DUMMYFUNCTION("""COMPUTED_VALUE"""),"can")</f>
        <v/>
      </c>
      <c r="F472" s="115">
        <f>IFERROR(__xludf.DUMMYFUNCTION("""COMPUTED_VALUE"""),"137227grams")</f>
        <v/>
      </c>
      <c r="G472" s="115" t="n"/>
      <c r="H472" s="11" t="inlineStr">
        <is>
          <t>Annex</t>
        </is>
      </c>
      <c r="I472" s="6" t="n"/>
      <c r="J472" s="19" t="inlineStr">
        <is>
          <t>Del Monte/can/137227grams</t>
        </is>
      </c>
      <c r="K472" s="6" t="n"/>
      <c r="L472" s="30" t="n">
        <v>0.1638766519823789</v>
      </c>
      <c r="M472" s="200" t="n">
        <v>681</v>
      </c>
      <c r="N472" s="145" t="n">
        <v>227</v>
      </c>
      <c r="O472" s="13">
        <f>E472</f>
        <v/>
      </c>
      <c r="P472" s="25" t="inlineStr">
        <is>
          <t>grams</t>
        </is>
      </c>
      <c r="Q472" s="13" t="n"/>
      <c r="R472" s="78">
        <f>CONCATENATE(N472,P472)</f>
        <v/>
      </c>
      <c r="S472" s="229">
        <f>M472*N472</f>
        <v/>
      </c>
      <c r="T472" s="230">
        <f>CONCATENATE(S472,Q472,P472)</f>
        <v/>
      </c>
      <c r="U472" s="206">
        <f>L472*M472</f>
        <v/>
      </c>
      <c r="V472" s="231" t="n"/>
      <c r="W472" s="236" t="n"/>
      <c r="X472" s="71" t="n"/>
    </row>
    <row r="473" ht="15.75" customHeight="1" thickBot="1">
      <c r="A473" s="183" t="n">
        <v>321</v>
      </c>
      <c r="B473" s="114" t="inlineStr">
        <is>
          <t>Pineapple Tidbits</t>
        </is>
      </c>
      <c r="C473" s="114" t="n"/>
      <c r="D473" s="115">
        <f>IFERROR(__xludf.DUMMYFUNCTION("IF(J473="""",""n/a"",IFERROR(SPLIT(J473,""/"")))"),"n/a")</f>
        <v/>
      </c>
      <c r="E473" s="114" t="n"/>
      <c r="F473" s="114" t="n"/>
      <c r="G473" s="114" t="n"/>
      <c r="H473" s="84" t="inlineStr">
        <is>
          <t>F1</t>
        </is>
      </c>
      <c r="I473" s="7" t="n"/>
      <c r="J473" s="19" t="n"/>
      <c r="K473" s="7" t="n"/>
      <c r="L473" s="36" t="n">
        <v>0.1303501945525292</v>
      </c>
      <c r="M473" s="201" t="n">
        <v>514</v>
      </c>
      <c r="N473" s="87" t="n">
        <v>257</v>
      </c>
      <c r="O473" s="13">
        <f>E473</f>
        <v/>
      </c>
      <c r="P473" s="25" t="inlineStr">
        <is>
          <t>grams</t>
        </is>
      </c>
      <c r="Q473" s="20" t="n"/>
      <c r="R473" s="5" t="n"/>
      <c r="S473" s="229">
        <f>M473*N473</f>
        <v/>
      </c>
      <c r="T473" s="230">
        <f>CONCATENATE(S473,Q473,P473)</f>
        <v/>
      </c>
      <c r="U473" s="206">
        <f>L473*M473</f>
        <v/>
      </c>
      <c r="V473" s="4" t="n"/>
      <c r="W473" s="4" t="n"/>
      <c r="X473" s="4" t="n"/>
    </row>
    <row r="474" ht="15.75" customHeight="1" thickBot="1">
      <c r="A474" s="183" t="n">
        <v>322</v>
      </c>
      <c r="B474" s="115" t="inlineStr">
        <is>
          <t>Pink Salmon</t>
        </is>
      </c>
      <c r="C474" s="115" t="n"/>
      <c r="D474" s="115">
        <f>IFERROR(__xludf.DUMMYFUNCTION("IF(J474="""",""n/a"",IFERROR(SPLIT(J474,""/"")))"),"Indicate ave weight")</f>
        <v/>
      </c>
      <c r="E474" s="115">
        <f>IFERROR(__xludf.DUMMYFUNCTION("""COMPUTED_VALUE"""),"piece")</f>
        <v/>
      </c>
      <c r="F474" s="115" t="n"/>
      <c r="G474" s="115" t="n"/>
      <c r="H474" s="11" t="inlineStr">
        <is>
          <t>CIP</t>
        </is>
      </c>
      <c r="I474" s="95" t="n"/>
      <c r="J474" s="93" t="inlineStr">
        <is>
          <t>Indicate ave weight/piece</t>
        </is>
      </c>
      <c r="K474" s="116" t="n"/>
      <c r="L474" s="100" t="n">
        <v>670</v>
      </c>
      <c r="M474" s="199" t="n">
        <v>9</v>
      </c>
      <c r="N474" s="97" t="n">
        <v>1</v>
      </c>
      <c r="O474" s="13">
        <f>E474</f>
        <v/>
      </c>
      <c r="P474" s="91" t="inlineStr">
        <is>
          <t>grams</t>
        </is>
      </c>
      <c r="Q474" s="20" t="n"/>
      <c r="R474" s="5" t="n"/>
      <c r="S474" s="229">
        <f>M474*N474</f>
        <v/>
      </c>
      <c r="T474" s="230">
        <f>CONCATENATE(S474,Q474,P474)</f>
        <v/>
      </c>
      <c r="U474" s="206">
        <f>L474*M474</f>
        <v/>
      </c>
      <c r="V474" s="4" t="n"/>
      <c r="W474" s="4" t="n"/>
      <c r="X474" s="4" t="n"/>
    </row>
    <row r="475" ht="15.75" customHeight="1" thickBot="1">
      <c r="A475" s="183" t="n">
        <v>322</v>
      </c>
      <c r="B475" s="114" t="inlineStr">
        <is>
          <t>Pink Salmon</t>
        </is>
      </c>
      <c r="C475" s="114" t="n"/>
      <c r="D475" s="115">
        <f>IFERROR(__xludf.DUMMYFUNCTION("IF(J475="""",""n/a"",IFERROR(SPLIT(J475,""/"")))"),"n/a")</f>
        <v/>
      </c>
      <c r="E475" s="114" t="n"/>
      <c r="F475" s="114" t="n"/>
      <c r="G475" s="114" t="n"/>
      <c r="H475" s="84" t="inlineStr">
        <is>
          <t>F1</t>
        </is>
      </c>
      <c r="I475" s="7" t="n"/>
      <c r="J475" s="19" t="n"/>
      <c r="K475" s="7" t="n"/>
      <c r="L475" s="36" t="n">
        <v>0.7</v>
      </c>
      <c r="M475" s="201" t="n">
        <v>3000</v>
      </c>
      <c r="N475" s="87" t="n">
        <v>1000</v>
      </c>
      <c r="O475" s="13">
        <f>E475</f>
        <v/>
      </c>
      <c r="P475" s="25" t="inlineStr">
        <is>
          <t>grams</t>
        </is>
      </c>
      <c r="Q475" s="20" t="n"/>
      <c r="R475" s="5" t="n"/>
      <c r="S475" s="229">
        <f>M475*N475</f>
        <v/>
      </c>
      <c r="T475" s="230">
        <f>CONCATENATE(S475,Q475,P475)</f>
        <v/>
      </c>
      <c r="U475" s="206">
        <f>L475*M475</f>
        <v/>
      </c>
      <c r="V475" s="4" t="n"/>
      <c r="W475" s="4" t="n"/>
      <c r="X475" s="4" t="n"/>
    </row>
    <row r="476" ht="15.75" customHeight="1" thickBot="1">
      <c r="A476" s="183" t="n">
        <v>323</v>
      </c>
      <c r="B476" s="115" t="inlineStr">
        <is>
          <t>Pink Salmon Head</t>
        </is>
      </c>
      <c r="C476" s="115" t="n"/>
      <c r="D476" s="115">
        <f>IFERROR(__xludf.DUMMYFUNCTION("IF(J476="""",""n/a"",IFERROR(SPLIT(J476,""/"")))"),"Indicate ave weight")</f>
        <v/>
      </c>
      <c r="E476" s="115">
        <f>IFERROR(__xludf.DUMMYFUNCTION("""COMPUTED_VALUE"""),"piece")</f>
        <v/>
      </c>
      <c r="F476" s="115" t="n"/>
      <c r="G476" s="115" t="n"/>
      <c r="H476" s="11" t="inlineStr">
        <is>
          <t>CIP</t>
        </is>
      </c>
      <c r="I476" s="95" t="n"/>
      <c r="J476" s="93" t="inlineStr">
        <is>
          <t>Indicate ave weight/piece</t>
        </is>
      </c>
      <c r="K476" s="116" t="n"/>
      <c r="L476" s="100" t="n">
        <v>205</v>
      </c>
      <c r="M476" s="199" t="n">
        <v>12</v>
      </c>
      <c r="N476" s="97" t="n">
        <v>1</v>
      </c>
      <c r="O476" s="13">
        <f>E476</f>
        <v/>
      </c>
      <c r="P476" s="91" t="inlineStr">
        <is>
          <t>grams</t>
        </is>
      </c>
      <c r="Q476" s="20" t="n"/>
      <c r="R476" s="5" t="n"/>
      <c r="S476" s="229">
        <f>M476*N476</f>
        <v/>
      </c>
      <c r="T476" s="230">
        <f>CONCATENATE(S476,Q476,P476)</f>
        <v/>
      </c>
      <c r="U476" s="206">
        <f>L476*M476</f>
        <v/>
      </c>
      <c r="V476" s="4" t="n"/>
      <c r="W476" s="4" t="n"/>
      <c r="X476" s="4" t="n"/>
    </row>
    <row r="477" ht="15.75" customHeight="1" thickBot="1">
      <c r="A477" s="183" t="n">
        <v>324</v>
      </c>
      <c r="B477" s="114" t="inlineStr">
        <is>
          <t>Pocky</t>
        </is>
      </c>
      <c r="C477" s="114" t="n"/>
      <c r="D477" s="115">
        <f>IFERROR(__xludf.DUMMYFUNCTION("IF(J477="""",""n/a"",IFERROR(SPLIT(J477,""/"")))"),"n/a")</f>
        <v/>
      </c>
      <c r="E477" s="114" t="n"/>
      <c r="F477" s="114" t="n"/>
      <c r="G477" s="114" t="n"/>
      <c r="H477" s="84" t="inlineStr">
        <is>
          <t>F1</t>
        </is>
      </c>
      <c r="I477" s="7" t="n"/>
      <c r="J477" s="19" t="n"/>
      <c r="K477" s="7" t="n"/>
      <c r="L477" s="36" t="n">
        <v>25.52</v>
      </c>
      <c r="M477" s="201" t="n">
        <v>17</v>
      </c>
      <c r="N477" s="87" t="n">
        <v>1</v>
      </c>
      <c r="O477" s="13">
        <f>E477</f>
        <v/>
      </c>
      <c r="P477" s="25" t="inlineStr">
        <is>
          <t>pieces</t>
        </is>
      </c>
      <c r="Q477" s="20" t="n"/>
      <c r="R477" s="5" t="n"/>
      <c r="S477" s="229">
        <f>M477*N477</f>
        <v/>
      </c>
      <c r="T477" s="230">
        <f>CONCATENATE(S477,Q477,P477)</f>
        <v/>
      </c>
      <c r="U477" s="206">
        <f>L477*M477</f>
        <v/>
      </c>
      <c r="V477" s="4" t="n"/>
      <c r="W477" s="4" t="n"/>
      <c r="X477" s="4" t="n"/>
    </row>
    <row r="478" ht="15.75" customHeight="1" thickBot="1">
      <c r="A478" s="183" t="n">
        <v>325</v>
      </c>
      <c r="B478" s="115" t="inlineStr">
        <is>
          <t>Pods Pea Snacks</t>
        </is>
      </c>
      <c r="C478" s="115" t="n"/>
      <c r="D478" s="115">
        <f>IFERROR(__xludf.DUMMYFUNCTION("IF(J478="""",""n/a"",IFERROR(SPLIT(J478,""/"")))"),"Oishi")</f>
        <v/>
      </c>
      <c r="E478" s="115">
        <f>IFERROR(__xludf.DUMMYFUNCTION("""COMPUTED_VALUE""")," box (50pcsx60grams)")</f>
        <v/>
      </c>
      <c r="F478" s="115" t="n"/>
      <c r="G478" s="115" t="n"/>
      <c r="H478" s="11" t="inlineStr">
        <is>
          <t>Annex</t>
        </is>
      </c>
      <c r="I478" s="6" t="n"/>
      <c r="J478" s="32" t="inlineStr">
        <is>
          <t>Oishi/ box (50pcsx60grams)</t>
        </is>
      </c>
      <c r="K478" s="18" t="n"/>
      <c r="L478" s="150" t="n">
        <v>15.22</v>
      </c>
      <c r="M478" s="200" t="n">
        <v>49</v>
      </c>
      <c r="N478" s="145" t="n">
        <v>1</v>
      </c>
      <c r="O478" s="13">
        <f>E478</f>
        <v/>
      </c>
      <c r="P478" s="25" t="inlineStr">
        <is>
          <t>pieces</t>
        </is>
      </c>
      <c r="Q478" s="13" t="n"/>
      <c r="R478" s="78">
        <f>CONCATENATE(N478,P478)</f>
        <v/>
      </c>
      <c r="S478" s="229">
        <f>M478*N478</f>
        <v/>
      </c>
      <c r="T478" s="230">
        <f>CONCATENATE(S478,Q478,P478)</f>
        <v/>
      </c>
      <c r="U478" s="206">
        <f>L478*M478</f>
        <v/>
      </c>
      <c r="V478" s="34" t="n"/>
      <c r="W478" s="34" t="n"/>
      <c r="X478" s="34" t="n"/>
    </row>
    <row r="479" ht="15.75" customHeight="1" thickBot="1">
      <c r="A479" s="183" t="n">
        <v>326</v>
      </c>
      <c r="B479" s="134" t="inlineStr">
        <is>
          <t>Popcorn Caramel</t>
        </is>
      </c>
      <c r="C479" s="134" t="n"/>
      <c r="D479" s="115">
        <f>IFERROR(__xludf.DUMMYFUNCTION("IF(J479="""",""n/a"",IFERROR(SPLIT(J479,""/"")))"),"oishi")</f>
        <v/>
      </c>
      <c r="E479" s="134">
        <f>IFERROR(__xludf.DUMMYFUNCTION("""COMPUTED_VALUE"""),"box")</f>
        <v/>
      </c>
      <c r="F479" s="134">
        <f>IFERROR(__xludf.DUMMYFUNCTION("""COMPUTED_VALUE"""),50)</f>
        <v/>
      </c>
      <c r="G479" s="134">
        <f>IFERROR(__xludf.DUMMYFUNCTION("""COMPUTED_VALUE"""),"60g")</f>
        <v/>
      </c>
      <c r="H479" s="11" t="inlineStr">
        <is>
          <t>Annex</t>
        </is>
      </c>
      <c r="I479" s="6" t="n"/>
      <c r="J479" s="157" t="inlineStr">
        <is>
          <t>oishi/box/50/60g</t>
        </is>
      </c>
      <c r="K479" s="18" t="n"/>
      <c r="L479" s="150" t="n">
        <v>15.19</v>
      </c>
      <c r="M479" s="203" t="n">
        <v>28</v>
      </c>
      <c r="N479" s="145" t="n">
        <v>1</v>
      </c>
      <c r="O479" s="13">
        <f>E479</f>
        <v/>
      </c>
      <c r="P479" s="28" t="inlineStr">
        <is>
          <t>pieces</t>
        </is>
      </c>
      <c r="Q479" s="13" t="n"/>
      <c r="R479" s="78">
        <f>CONCATENATE(N479,P479)</f>
        <v/>
      </c>
      <c r="S479" s="229">
        <f>M479*N479</f>
        <v/>
      </c>
      <c r="T479" s="230">
        <f>CONCATENATE(S479,Q479,P479)</f>
        <v/>
      </c>
      <c r="U479" s="206">
        <f>L479*M479</f>
        <v/>
      </c>
      <c r="V479" s="34" t="n"/>
      <c r="W479" s="34" t="n"/>
      <c r="X479" s="34" t="n"/>
    </row>
    <row r="480" ht="15.75" customHeight="1" thickBot="1">
      <c r="A480" s="183" t="n">
        <v>327</v>
      </c>
      <c r="B480" s="125" t="inlineStr">
        <is>
          <t>Pork &amp; Beans</t>
        </is>
      </c>
      <c r="C480" s="125" t="n"/>
      <c r="D480" s="115">
        <f>IFERROR(__xludf.DUMMYFUNCTION("IF(J480="""",""n/a"",IFERROR(SPLIT(J480,""/"")))"),"Hunts")</f>
        <v/>
      </c>
      <c r="E480" s="125">
        <f>IFERROR(__xludf.DUMMYFUNCTION("""COMPUTED_VALUE"""),"can")</f>
        <v/>
      </c>
      <c r="F480" s="125">
        <f>IFERROR(__xludf.DUMMYFUNCTION("""COMPUTED_VALUE"""),"425grams")</f>
        <v/>
      </c>
      <c r="G480" s="125" t="n"/>
      <c r="H480" s="11" t="inlineStr">
        <is>
          <t>CIP</t>
        </is>
      </c>
      <c r="I480" s="108" t="n"/>
      <c r="J480" s="93" t="inlineStr">
        <is>
          <t>Hunts/can/425grams</t>
        </is>
      </c>
      <c r="K480" s="116" t="n"/>
      <c r="L480" s="100" t="n">
        <v>59.8</v>
      </c>
      <c r="M480" s="199" t="n">
        <v>1</v>
      </c>
      <c r="N480" s="97" t="n">
        <v>1</v>
      </c>
      <c r="O480" s="13">
        <f>E480</f>
        <v/>
      </c>
      <c r="P480" s="97" t="inlineStr">
        <is>
          <t>grams</t>
        </is>
      </c>
      <c r="Q480" s="20" t="n"/>
      <c r="R480" s="5" t="n"/>
      <c r="S480" s="229">
        <f>M480*N480</f>
        <v/>
      </c>
      <c r="T480" s="230">
        <f>CONCATENATE(S480,Q480,P480)</f>
        <v/>
      </c>
      <c r="U480" s="206">
        <f>L480*M480</f>
        <v/>
      </c>
      <c r="V480" s="4" t="n"/>
      <c r="W480" s="4" t="n"/>
      <c r="X480" s="4" t="n"/>
    </row>
    <row r="481" ht="15.75" customHeight="1" thickBot="1">
      <c r="A481" s="183" t="n">
        <v>328</v>
      </c>
      <c r="B481" s="115" t="inlineStr">
        <is>
          <t>Pork Ears</t>
        </is>
      </c>
      <c r="C481" s="115" t="n"/>
      <c r="D481" s="115">
        <f>IFERROR(__xludf.DUMMYFUNCTION("IF(J481="""",""n/a"",IFERROR(SPLIT(J481,""/"")))"),"n/a")</f>
        <v/>
      </c>
      <c r="E481" s="115" t="n"/>
      <c r="F481" s="115" t="n"/>
      <c r="G481" s="115" t="n"/>
      <c r="H481" s="84" t="inlineStr">
        <is>
          <t>F1</t>
        </is>
      </c>
      <c r="I481" s="7" t="n"/>
      <c r="J481" s="19" t="n"/>
      <c r="K481" s="7" t="n"/>
      <c r="L481" s="36" t="n">
        <v>145</v>
      </c>
      <c r="M481" s="204" t="n">
        <v>18</v>
      </c>
      <c r="N481" s="87" t="n">
        <v>1</v>
      </c>
      <c r="O481" s="13">
        <f>E481</f>
        <v/>
      </c>
      <c r="P481" s="28" t="inlineStr">
        <is>
          <t>kilos</t>
        </is>
      </c>
      <c r="Q481" s="20" t="n"/>
      <c r="R481" s="5" t="n"/>
      <c r="S481" s="229">
        <f>M481*N481</f>
        <v/>
      </c>
      <c r="T481" s="230">
        <f>CONCATENATE(S481,Q481,P481)</f>
        <v/>
      </c>
      <c r="U481" s="206">
        <f>L481*M481</f>
        <v/>
      </c>
      <c r="V481" s="4" t="n"/>
      <c r="W481" s="4" t="n"/>
      <c r="X481" s="4" t="n"/>
    </row>
    <row r="482" ht="15.75" customHeight="1" thickBot="1">
      <c r="A482" s="183" t="n">
        <v>329</v>
      </c>
      <c r="B482" s="115" t="inlineStr">
        <is>
          <t>Pork Jowls</t>
        </is>
      </c>
      <c r="C482" s="115" t="n"/>
      <c r="D482" s="115">
        <f>IFERROR(__xludf.DUMMYFUNCTION("IF(J482="""",""n/a"",IFERROR(SPLIT(J482,""/"")))"),"Frozen")</f>
        <v/>
      </c>
      <c r="E482" s="115">
        <f>IFERROR(__xludf.DUMMYFUNCTION("""COMPUTED_VALUE"""),"box(kilos)")</f>
        <v/>
      </c>
      <c r="F482" s="115" t="n"/>
      <c r="G482" s="115" t="n"/>
      <c r="H482" s="11" t="inlineStr">
        <is>
          <t>Annex</t>
        </is>
      </c>
      <c r="I482" s="6" t="n"/>
      <c r="J482" s="19" t="inlineStr">
        <is>
          <t>Frozen/box(kilos)</t>
        </is>
      </c>
      <c r="K482" s="6" t="n"/>
      <c r="L482" s="30" t="n">
        <v>178</v>
      </c>
      <c r="M482" s="200" t="n">
        <v>44</v>
      </c>
      <c r="N482" s="145" t="n">
        <v>1</v>
      </c>
      <c r="O482" s="13">
        <f>E482</f>
        <v/>
      </c>
      <c r="P482" s="28" t="inlineStr">
        <is>
          <t>kilos</t>
        </is>
      </c>
      <c r="Q482" s="13" t="n"/>
      <c r="R482" s="78">
        <f>CONCATENATE(N482,P482)</f>
        <v/>
      </c>
      <c r="S482" s="229">
        <f>M482*N482</f>
        <v/>
      </c>
      <c r="T482" s="230">
        <f>CONCATENATE(S482,Q482,P482)</f>
        <v/>
      </c>
      <c r="U482" s="206">
        <f>L482*M482</f>
        <v/>
      </c>
      <c r="V482" s="34" t="n"/>
      <c r="W482" s="34" t="n"/>
      <c r="X482" s="34" t="n"/>
    </row>
    <row r="483" ht="15.75" customHeight="1" thickBot="1">
      <c r="A483" s="183" t="n">
        <v>329</v>
      </c>
      <c r="B483" s="115" t="inlineStr">
        <is>
          <t>Pork Jowls</t>
        </is>
      </c>
      <c r="C483" s="115" t="n"/>
      <c r="D483" s="115">
        <f>IFERROR(__xludf.DUMMYFUNCTION("IF(J483="""",""n/a"",IFERROR(SPLIT(J483,""/"")))"),"Frozen")</f>
        <v/>
      </c>
      <c r="E483" s="115">
        <f>IFERROR(__xludf.DUMMYFUNCTION("""COMPUTED_VALUE"""),"box(kilos)")</f>
        <v/>
      </c>
      <c r="F483" s="115" t="n"/>
      <c r="G483" s="115" t="n"/>
      <c r="H483" s="11" t="inlineStr">
        <is>
          <t>CIP</t>
        </is>
      </c>
      <c r="I483" s="101" t="n"/>
      <c r="J483" s="93" t="inlineStr">
        <is>
          <t>Frozen/box(kilos)</t>
        </is>
      </c>
      <c r="K483" s="116" t="n"/>
      <c r="L483" s="100" t="n">
        <v>196</v>
      </c>
      <c r="M483" s="199" t="n">
        <v>67</v>
      </c>
      <c r="N483" s="97" t="n">
        <v>1</v>
      </c>
      <c r="O483" s="13">
        <f>E483</f>
        <v/>
      </c>
      <c r="P483" s="97" t="inlineStr">
        <is>
          <t>kilos</t>
        </is>
      </c>
      <c r="Q483" s="20" t="n"/>
      <c r="R483" s="5" t="n"/>
      <c r="S483" s="229">
        <f>M483*N483</f>
        <v/>
      </c>
      <c r="T483" s="230">
        <f>CONCATENATE(S483,Q483,P483)</f>
        <v/>
      </c>
      <c r="U483" s="206">
        <f>L483*M483</f>
        <v/>
      </c>
      <c r="V483" s="4" t="n"/>
      <c r="W483" s="4" t="n"/>
      <c r="X483" s="4" t="n"/>
    </row>
    <row r="484" ht="15.75" customHeight="1" thickBot="1">
      <c r="A484" s="183" t="n">
        <v>329</v>
      </c>
      <c r="B484" s="115" t="inlineStr">
        <is>
          <t>Pork Jowls</t>
        </is>
      </c>
      <c r="C484" s="115" t="n"/>
      <c r="D484" s="115">
        <f>IFERROR(__xludf.DUMMYFUNCTION("IF(J484="""",""n/a"",IFERROR(SPLIT(J484,""/"")))"),"n/a")</f>
        <v/>
      </c>
      <c r="E484" s="115" t="n"/>
      <c r="F484" s="115" t="n"/>
      <c r="G484" s="115" t="n"/>
      <c r="H484" s="84" t="inlineStr">
        <is>
          <t>F1</t>
        </is>
      </c>
      <c r="I484" s="33" t="n"/>
      <c r="J484" s="19" t="n"/>
      <c r="K484" s="7" t="n"/>
      <c r="L484" s="36" t="n">
        <v>192</v>
      </c>
      <c r="M484" s="201">
        <f>22.89*2</f>
        <v/>
      </c>
      <c r="N484" s="87" t="n">
        <v>1</v>
      </c>
      <c r="O484" s="13">
        <f>E484</f>
        <v/>
      </c>
      <c r="P484" s="28" t="inlineStr">
        <is>
          <t>kilos</t>
        </is>
      </c>
      <c r="Q484" s="20" t="n"/>
      <c r="R484" s="5" t="n"/>
      <c r="S484" s="229">
        <f>M484*N484</f>
        <v/>
      </c>
      <c r="T484" s="230">
        <f>CONCATENATE(S484,Q484,P484)</f>
        <v/>
      </c>
      <c r="U484" s="206">
        <f>L484*M484</f>
        <v/>
      </c>
      <c r="V484" s="4" t="n"/>
      <c r="W484" s="4" t="n"/>
      <c r="X484" s="4" t="n"/>
    </row>
    <row r="485" ht="15.75" customHeight="1" thickBot="1">
      <c r="A485" s="183" t="n">
        <v>330</v>
      </c>
      <c r="B485" s="115" t="inlineStr">
        <is>
          <t>Pork Kasim</t>
        </is>
      </c>
      <c r="C485" s="115" t="n"/>
      <c r="D485" s="115">
        <f>IFERROR(__xludf.DUMMYFUNCTION("IF(J485="""",""n/a"",IFERROR(SPLIT(J485,""/"")))"),"Frozen")</f>
        <v/>
      </c>
      <c r="E485" s="115">
        <f>IFERROR(__xludf.DUMMYFUNCTION("""COMPUTED_VALUE"""),"box(kilos)")</f>
        <v/>
      </c>
      <c r="F485" s="115" t="n"/>
      <c r="G485" s="115" t="n"/>
      <c r="H485" s="11" t="inlineStr">
        <is>
          <t>Annex</t>
        </is>
      </c>
      <c r="I485" s="158" t="n"/>
      <c r="J485" s="19" t="inlineStr">
        <is>
          <t>Frozen/box(kilos)</t>
        </is>
      </c>
      <c r="K485" s="6" t="n"/>
      <c r="L485" s="30" t="n">
        <v>225</v>
      </c>
      <c r="M485" s="200" t="n">
        <v>68</v>
      </c>
      <c r="N485" s="145" t="n">
        <v>1</v>
      </c>
      <c r="O485" s="13">
        <f>E485</f>
        <v/>
      </c>
      <c r="P485" s="28" t="inlineStr">
        <is>
          <t>kilos</t>
        </is>
      </c>
      <c r="Q485" s="13" t="n"/>
      <c r="R485" s="78">
        <f>CONCATENATE(N485,P485)</f>
        <v/>
      </c>
      <c r="S485" s="229">
        <f>M485*N485</f>
        <v/>
      </c>
      <c r="T485" s="230">
        <f>CONCATENATE(S485,Q485,P485)</f>
        <v/>
      </c>
      <c r="U485" s="206">
        <f>L485*M485</f>
        <v/>
      </c>
      <c r="V485" s="34" t="n"/>
      <c r="W485" s="34" t="n"/>
      <c r="X485" s="34" t="n"/>
    </row>
    <row r="486" ht="15.75" customHeight="1" thickBot="1">
      <c r="A486" s="183" t="n">
        <v>330</v>
      </c>
      <c r="B486" s="115" t="inlineStr">
        <is>
          <t>Pork Kasim</t>
        </is>
      </c>
      <c r="C486" s="115" t="n"/>
      <c r="D486" s="115">
        <f>IFERROR(__xludf.DUMMYFUNCTION("IF(J486="""",""n/a"",IFERROR(SPLIT(J486,""/"")))"),"Frozen")</f>
        <v/>
      </c>
      <c r="E486" s="115">
        <f>IFERROR(__xludf.DUMMYFUNCTION("""COMPUTED_VALUE"""),"box(kilos)")</f>
        <v/>
      </c>
      <c r="F486" s="115" t="n"/>
      <c r="G486" s="115" t="n"/>
      <c r="H486" s="11" t="inlineStr">
        <is>
          <t>CIP</t>
        </is>
      </c>
      <c r="I486" s="101" t="n"/>
      <c r="J486" s="93" t="inlineStr">
        <is>
          <t>Frozen/box(kilos)</t>
        </is>
      </c>
      <c r="K486" s="116" t="n"/>
      <c r="L486" s="100" t="n">
        <v>220</v>
      </c>
      <c r="M486" s="199" t="n">
        <v>222</v>
      </c>
      <c r="N486" s="97" t="n">
        <v>1</v>
      </c>
      <c r="O486" s="13">
        <f>E486</f>
        <v/>
      </c>
      <c r="P486" s="97" t="inlineStr">
        <is>
          <t>kilos</t>
        </is>
      </c>
      <c r="Q486" s="20" t="n"/>
      <c r="R486" s="5" t="n"/>
      <c r="S486" s="229">
        <f>M486*N486</f>
        <v/>
      </c>
      <c r="T486" s="230">
        <f>CONCATENATE(S486,Q486,P486)</f>
        <v/>
      </c>
      <c r="U486" s="206">
        <f>L486*M486</f>
        <v/>
      </c>
      <c r="V486" s="4" t="n"/>
      <c r="W486" s="4" t="n"/>
      <c r="X486" s="4" t="n"/>
    </row>
    <row r="487" ht="15.75" customHeight="1" thickBot="1">
      <c r="A487" s="183" t="n">
        <v>330</v>
      </c>
      <c r="B487" s="115" t="inlineStr">
        <is>
          <t>Pork Kasim</t>
        </is>
      </c>
      <c r="C487" s="115" t="n"/>
      <c r="D487" s="115">
        <f>IFERROR(__xludf.DUMMYFUNCTION("IF(J487="""",""n/a"",IFERROR(SPLIT(J487,""/"")))"),"n/a")</f>
        <v/>
      </c>
      <c r="E487" s="115" t="n"/>
      <c r="F487" s="115" t="n"/>
      <c r="G487" s="115" t="n"/>
      <c r="H487" s="84" t="inlineStr">
        <is>
          <t>F1</t>
        </is>
      </c>
      <c r="I487" s="33" t="n"/>
      <c r="J487" s="19" t="n"/>
      <c r="K487" s="7" t="n"/>
      <c r="L487" s="36" t="n">
        <v>226</v>
      </c>
      <c r="M487" s="204" t="n">
        <v>25</v>
      </c>
      <c r="N487" s="87" t="n">
        <v>1</v>
      </c>
      <c r="O487" s="13">
        <f>E487</f>
        <v/>
      </c>
      <c r="P487" s="28" t="inlineStr">
        <is>
          <t>kilos</t>
        </is>
      </c>
      <c r="Q487" s="20" t="n"/>
      <c r="R487" s="5" t="n"/>
      <c r="S487" s="229">
        <f>M487*N487</f>
        <v/>
      </c>
      <c r="T487" s="230">
        <f>CONCATENATE(S487,Q487,P487)</f>
        <v/>
      </c>
      <c r="U487" s="206">
        <f>L487*M487</f>
        <v/>
      </c>
      <c r="V487" s="4" t="n"/>
      <c r="W487" s="4" t="n"/>
      <c r="X487" s="4" t="n"/>
    </row>
    <row r="488" ht="15.75" customHeight="1" thickBot="1">
      <c r="A488" s="183" t="n">
        <v>331</v>
      </c>
      <c r="B488" s="115" t="inlineStr">
        <is>
          <t>Pork Liempo</t>
        </is>
      </c>
      <c r="C488" s="115" t="n"/>
      <c r="D488" s="115">
        <f>IFERROR(__xludf.DUMMYFUNCTION("IF(J488="""",""n/a"",IFERROR(SPLIT(J488,""/"")))"),"Frozen")</f>
        <v/>
      </c>
      <c r="E488" s="115">
        <f>IFERROR(__xludf.DUMMYFUNCTION("""COMPUTED_VALUE"""),"box(20kilo)")</f>
        <v/>
      </c>
      <c r="F488" s="115" t="n"/>
      <c r="G488" s="115" t="n"/>
      <c r="H488" s="11" t="inlineStr">
        <is>
          <t>CIP</t>
        </is>
      </c>
      <c r="I488" s="101" t="n"/>
      <c r="J488" s="93" t="inlineStr">
        <is>
          <t>Frozen/box(20kilo)</t>
        </is>
      </c>
      <c r="K488" s="116" t="n"/>
      <c r="L488" s="100" t="n">
        <v>282</v>
      </c>
      <c r="M488" s="199" t="n">
        <v>47</v>
      </c>
      <c r="N488" s="97" t="n">
        <v>1</v>
      </c>
      <c r="O488" s="13">
        <f>E488</f>
        <v/>
      </c>
      <c r="P488" s="97" t="inlineStr">
        <is>
          <t>kilos</t>
        </is>
      </c>
      <c r="Q488" s="20" t="n"/>
      <c r="R488" s="5" t="n"/>
      <c r="S488" s="229">
        <f>M488*N488</f>
        <v/>
      </c>
      <c r="T488" s="230">
        <f>CONCATENATE(S488,Q488,P488)</f>
        <v/>
      </c>
      <c r="U488" s="206">
        <f>L488*M488</f>
        <v/>
      </c>
      <c r="V488" s="4" t="n"/>
      <c r="W488" s="4" t="n"/>
      <c r="X488" s="4" t="n"/>
    </row>
    <row r="489" ht="15.75" customHeight="1" thickBot="1">
      <c r="A489" s="183" t="n">
        <v>332</v>
      </c>
      <c r="B489" s="115" t="inlineStr">
        <is>
          <t>Pork Liver</t>
        </is>
      </c>
      <c r="C489" s="115" t="n"/>
      <c r="D489" s="115">
        <f>IFERROR(__xludf.DUMMYFUNCTION("IF(J489="""",""n/a"",IFERROR(SPLIT(J489,""/"")))"),"n/a")</f>
        <v/>
      </c>
      <c r="E489" s="115" t="n"/>
      <c r="F489" s="115" t="n"/>
      <c r="G489" s="115" t="n"/>
      <c r="H489" s="84" t="inlineStr">
        <is>
          <t>F1</t>
        </is>
      </c>
      <c r="I489" s="33" t="n"/>
      <c r="J489" s="49" t="n"/>
      <c r="K489" s="7" t="n"/>
      <c r="L489" s="36" t="n">
        <v>155</v>
      </c>
      <c r="M489" s="204" t="n">
        <v>6</v>
      </c>
      <c r="N489" s="87" t="n">
        <v>1</v>
      </c>
      <c r="O489" s="13">
        <f>E489</f>
        <v/>
      </c>
      <c r="P489" s="28" t="inlineStr">
        <is>
          <t>kilos</t>
        </is>
      </c>
      <c r="Q489" s="20" t="n"/>
      <c r="R489" s="5" t="n"/>
      <c r="S489" s="229">
        <f>M489*N489</f>
        <v/>
      </c>
      <c r="T489" s="230">
        <f>CONCATENATE(S489,Q489,P489)</f>
        <v/>
      </c>
      <c r="U489" s="206">
        <f>L489*M489</f>
        <v/>
      </c>
      <c r="V489" s="4" t="n"/>
      <c r="W489" s="4" t="n"/>
      <c r="X489" s="4" t="n"/>
    </row>
    <row r="490" ht="15.75" customHeight="1" thickBot="1">
      <c r="A490" s="183" t="n">
        <v>333</v>
      </c>
      <c r="B490" s="115" t="inlineStr">
        <is>
          <t>Pork Liver/mascara</t>
        </is>
      </c>
      <c r="C490" s="115" t="n"/>
      <c r="D490" s="115">
        <f>IFERROR(__xludf.DUMMYFUNCTION("IF(J490="""",""n/a"",IFERROR(SPLIT(J490,""/"")))"),"Frozen")</f>
        <v/>
      </c>
      <c r="E490" s="115">
        <f>IFERROR(__xludf.DUMMYFUNCTION("""COMPUTED_VALUE"""),"box(kilos)")</f>
        <v/>
      </c>
      <c r="F490" s="115" t="n"/>
      <c r="G490" s="115" t="n"/>
      <c r="H490" s="11" t="inlineStr">
        <is>
          <t>CIP</t>
        </is>
      </c>
      <c r="I490" s="101" t="n"/>
      <c r="J490" s="93" t="inlineStr">
        <is>
          <t>Frozen/box(kilos)</t>
        </is>
      </c>
      <c r="K490" s="116" t="n"/>
      <c r="L490" s="100" t="n">
        <v>139</v>
      </c>
      <c r="M490" s="199" t="n">
        <v>74</v>
      </c>
      <c r="N490" s="97" t="n">
        <v>1</v>
      </c>
      <c r="O490" s="13">
        <f>E490</f>
        <v/>
      </c>
      <c r="P490" s="97" t="inlineStr">
        <is>
          <t>kilos</t>
        </is>
      </c>
      <c r="Q490" s="20" t="n"/>
      <c r="R490" s="5" t="n"/>
      <c r="S490" s="229">
        <f>M490*N490</f>
        <v/>
      </c>
      <c r="T490" s="230">
        <f>CONCATENATE(S490,Q490,P490)</f>
        <v/>
      </c>
      <c r="U490" s="206">
        <f>L490*M490</f>
        <v/>
      </c>
      <c r="V490" s="4" t="n"/>
      <c r="W490" s="4" t="n"/>
      <c r="X490" s="4" t="n"/>
    </row>
    <row r="491" ht="15.75" customHeight="1" thickBot="1">
      <c r="A491" s="183" t="n">
        <v>334</v>
      </c>
      <c r="B491" s="115" t="inlineStr">
        <is>
          <t>Pork Longganisa</t>
        </is>
      </c>
      <c r="C491" s="115" t="n"/>
      <c r="D491" s="115">
        <f>IFERROR(__xludf.DUMMYFUNCTION("IF(J491="""",""n/a"",IFERROR(SPLIT(J491,""/"")))"),"CDO")</f>
        <v/>
      </c>
      <c r="E491" s="115">
        <f>IFERROR(__xludf.DUMMYFUNCTION("""COMPUTED_VALUE"""),"pack")</f>
        <v/>
      </c>
      <c r="F491" s="115">
        <f>IFERROR(__xludf.DUMMYFUNCTION("""COMPUTED_VALUE"""),"200grams")</f>
        <v/>
      </c>
      <c r="G491" s="115" t="n"/>
      <c r="H491" s="11" t="inlineStr">
        <is>
          <t>Annex</t>
        </is>
      </c>
      <c r="I491" s="158" t="n"/>
      <c r="J491" s="19" t="inlineStr">
        <is>
          <t>CDO/pack/200grams</t>
        </is>
      </c>
      <c r="K491" s="6" t="n"/>
      <c r="L491" s="30" t="n">
        <v>0.2675</v>
      </c>
      <c r="M491" s="200" t="n">
        <v>1000</v>
      </c>
      <c r="N491" s="145" t="n">
        <v>200</v>
      </c>
      <c r="O491" s="13">
        <f>E491</f>
        <v/>
      </c>
      <c r="P491" s="28" t="inlineStr">
        <is>
          <t>grams</t>
        </is>
      </c>
      <c r="Q491" s="13" t="n"/>
      <c r="R491" s="78">
        <f>CONCATENATE(N491,P491)</f>
        <v/>
      </c>
      <c r="S491" s="229">
        <f>M491*N491</f>
        <v/>
      </c>
      <c r="T491" s="230">
        <f>CONCATENATE(S491,Q491,P491)</f>
        <v/>
      </c>
      <c r="U491" s="206">
        <f>L491*M491</f>
        <v/>
      </c>
      <c r="V491" s="231" t="n"/>
      <c r="W491" s="236" t="n"/>
      <c r="X491" s="71" t="n"/>
    </row>
    <row r="492" ht="15.75" customHeight="1" thickBot="1">
      <c r="A492" s="183" t="n">
        <v>335</v>
      </c>
      <c r="B492" s="115" t="inlineStr">
        <is>
          <t>Porkchop</t>
        </is>
      </c>
      <c r="C492" s="115" t="n"/>
      <c r="D492" s="115">
        <f>IFERROR(__xludf.DUMMYFUNCTION("IF(J492="""",""n/a"",IFERROR(SPLIT(J492,""/"")))"),"Frozen")</f>
        <v/>
      </c>
      <c r="E492" s="115" t="n"/>
      <c r="F492" s="115" t="n"/>
      <c r="G492" s="115" t="n"/>
      <c r="H492" s="11" t="inlineStr">
        <is>
          <t>Annex</t>
        </is>
      </c>
      <c r="I492" s="158" t="n"/>
      <c r="J492" s="32" t="inlineStr">
        <is>
          <t>Frozen</t>
        </is>
      </c>
      <c r="K492" s="6" t="n"/>
      <c r="L492" s="36" t="n">
        <v>205</v>
      </c>
      <c r="M492" s="200" t="n">
        <v>9</v>
      </c>
      <c r="N492" s="145" t="n">
        <v>1</v>
      </c>
      <c r="O492" s="13">
        <f>E492</f>
        <v/>
      </c>
      <c r="P492" s="28" t="inlineStr">
        <is>
          <t>kilos</t>
        </is>
      </c>
      <c r="Q492" s="13" t="n"/>
      <c r="R492" s="78">
        <f>CONCATENATE(N492,P492)</f>
        <v/>
      </c>
      <c r="S492" s="229">
        <f>M492*N492</f>
        <v/>
      </c>
      <c r="T492" s="230">
        <f>CONCATENATE(S492,Q492,P492)</f>
        <v/>
      </c>
      <c r="U492" s="206">
        <f>L492*M492</f>
        <v/>
      </c>
      <c r="V492" s="34" t="n"/>
      <c r="W492" s="34" t="n"/>
      <c r="X492" s="34" t="n"/>
    </row>
    <row r="493" ht="15.75" customHeight="1" thickBot="1">
      <c r="A493" s="183" t="n">
        <v>335</v>
      </c>
      <c r="B493" s="115" t="inlineStr">
        <is>
          <t>Porkchop</t>
        </is>
      </c>
      <c r="C493" s="115" t="n"/>
      <c r="D493" s="115">
        <f>IFERROR(__xludf.DUMMYFUNCTION("IF(J493="""",""n/a"",IFERROR(SPLIT(J493,""/"")))"),"Frozen")</f>
        <v/>
      </c>
      <c r="E493" s="115" t="n"/>
      <c r="F493" s="115" t="n"/>
      <c r="G493" s="115" t="n"/>
      <c r="H493" s="11" t="inlineStr">
        <is>
          <t>CIP</t>
        </is>
      </c>
      <c r="I493" s="101" t="n"/>
      <c r="J493" s="99" t="inlineStr">
        <is>
          <t>Frozen</t>
        </is>
      </c>
      <c r="K493" s="116" t="n"/>
      <c r="L493" s="100" t="n">
        <v>205</v>
      </c>
      <c r="M493" s="199" t="n">
        <v>67</v>
      </c>
      <c r="N493" s="97" t="n">
        <v>1</v>
      </c>
      <c r="O493" s="13">
        <f>E493</f>
        <v/>
      </c>
      <c r="P493" s="97" t="inlineStr">
        <is>
          <t>kilos</t>
        </is>
      </c>
      <c r="Q493" s="20" t="n"/>
      <c r="R493" s="5" t="n"/>
      <c r="S493" s="229">
        <f>M493*N493</f>
        <v/>
      </c>
      <c r="T493" s="230">
        <f>CONCATENATE(S493,Q493,P493)</f>
        <v/>
      </c>
      <c r="U493" s="206">
        <f>L493*M493</f>
        <v/>
      </c>
      <c r="V493" s="4" t="n"/>
      <c r="W493" s="4" t="n"/>
      <c r="X493" s="4" t="n"/>
    </row>
    <row r="494" ht="15.75" customHeight="1" thickBot="1">
      <c r="A494" s="183" t="n">
        <v>335</v>
      </c>
      <c r="B494" s="143" t="inlineStr">
        <is>
          <t>Porkchop</t>
        </is>
      </c>
      <c r="C494" s="143" t="n"/>
      <c r="D494" s="115">
        <f>IFERROR(__xludf.DUMMYFUNCTION("IF(J494="""",""n/a"",IFERROR(SPLIT(J494,""/"")))"),"n/a")</f>
        <v/>
      </c>
      <c r="E494" s="143" t="n"/>
      <c r="F494" s="143" t="n"/>
      <c r="G494" s="143" t="n"/>
      <c r="H494" s="84" t="inlineStr">
        <is>
          <t>F1</t>
        </is>
      </c>
      <c r="I494" s="33" t="n"/>
      <c r="J494" s="32" t="n"/>
      <c r="K494" s="7" t="n"/>
      <c r="L494" s="36" t="n">
        <v>226</v>
      </c>
      <c r="M494" s="204" t="n">
        <v>31</v>
      </c>
      <c r="N494" s="87" t="n">
        <v>1</v>
      </c>
      <c r="O494" s="13">
        <f>E494</f>
        <v/>
      </c>
      <c r="P494" s="28" t="inlineStr">
        <is>
          <t>kilos</t>
        </is>
      </c>
      <c r="Q494" s="20" t="n"/>
      <c r="R494" s="5" t="n"/>
      <c r="S494" s="229">
        <f>M494*N494</f>
        <v/>
      </c>
      <c r="T494" s="230">
        <f>CONCATENATE(S494,Q494,P494)</f>
        <v/>
      </c>
      <c r="U494" s="206">
        <f>L494*M494</f>
        <v/>
      </c>
      <c r="V494" s="4" t="n"/>
      <c r="W494" s="4" t="n"/>
      <c r="X494" s="4" t="n"/>
    </row>
    <row r="495" ht="15.75" customHeight="1" thickBot="1">
      <c r="A495" s="183" t="n">
        <v>336</v>
      </c>
      <c r="B495" s="159" t="inlineStr">
        <is>
          <t>Pot Holder</t>
        </is>
      </c>
      <c r="C495" s="147" t="n"/>
      <c r="D495" s="115">
        <f>IFERROR(__xludf.DUMMYFUNCTION("IF(J495="""",""n/a"",IFERROR(SPLIT(J495,""/"")))"),"n/a")</f>
        <v/>
      </c>
      <c r="E495" s="147" t="n"/>
      <c r="F495" s="147" t="n"/>
      <c r="G495" s="147" t="n"/>
      <c r="H495" s="84" t="inlineStr">
        <is>
          <t>F1</t>
        </is>
      </c>
      <c r="I495" s="33" t="n"/>
      <c r="J495" s="32" t="n"/>
      <c r="K495" s="7" t="n"/>
      <c r="L495" s="36" t="n">
        <v>24.75</v>
      </c>
      <c r="M495" s="201" t="n">
        <v>10</v>
      </c>
      <c r="N495" s="87" t="n">
        <v>1</v>
      </c>
      <c r="O495" s="13">
        <f>E495</f>
        <v/>
      </c>
      <c r="P495" s="28" t="inlineStr">
        <is>
          <t>pieces</t>
        </is>
      </c>
      <c r="Q495" s="20" t="n"/>
      <c r="R495" s="5" t="n"/>
      <c r="S495" s="229">
        <f>M495*N495</f>
        <v/>
      </c>
      <c r="T495" s="230">
        <f>CONCATENATE(S495,Q495,P495)</f>
        <v/>
      </c>
      <c r="U495" s="206">
        <f>L495*M495</f>
        <v/>
      </c>
      <c r="V495" s="4" t="n"/>
      <c r="W495" s="4" t="n"/>
      <c r="X495" s="4" t="n"/>
    </row>
    <row r="496" ht="15.75" customHeight="1" thickBot="1">
      <c r="A496" s="183" t="n">
        <v>337</v>
      </c>
      <c r="B496" s="143" t="inlineStr">
        <is>
          <t>Potato</t>
        </is>
      </c>
      <c r="C496" s="143" t="n"/>
      <c r="D496" s="115">
        <f>IFERROR(__xludf.DUMMYFUNCTION("IF(J496="""",""n/a"",IFERROR(SPLIT(J496,""/"")))"),"Fresh")</f>
        <v/>
      </c>
      <c r="E496" s="143" t="n"/>
      <c r="F496" s="143" t="n"/>
      <c r="G496" s="143" t="n"/>
      <c r="H496" s="11" t="inlineStr">
        <is>
          <t>CIP</t>
        </is>
      </c>
      <c r="I496" s="101" t="n"/>
      <c r="J496" s="99" t="inlineStr">
        <is>
          <t>Fresh</t>
        </is>
      </c>
      <c r="K496" s="116" t="n"/>
      <c r="L496" s="100" t="n">
        <v>143</v>
      </c>
      <c r="M496" s="199" t="n">
        <v>2</v>
      </c>
      <c r="N496" s="97" t="n">
        <v>1</v>
      </c>
      <c r="O496" s="13">
        <f>E496</f>
        <v/>
      </c>
      <c r="P496" s="97" t="inlineStr">
        <is>
          <t>grams</t>
        </is>
      </c>
      <c r="Q496" s="20" t="n"/>
      <c r="R496" s="5" t="n"/>
      <c r="S496" s="229">
        <f>M496*N496</f>
        <v/>
      </c>
      <c r="T496" s="230">
        <f>CONCATENATE(S496,Q496,P496)</f>
        <v/>
      </c>
      <c r="U496" s="206">
        <f>L496*M496</f>
        <v/>
      </c>
      <c r="V496" s="4" t="n"/>
      <c r="W496" s="4" t="n"/>
      <c r="X496" s="4" t="n"/>
    </row>
    <row r="497" ht="15.75" customHeight="1" thickBot="1">
      <c r="A497" s="183" t="n">
        <v>337</v>
      </c>
      <c r="B497" s="143" t="inlineStr">
        <is>
          <t>Potato</t>
        </is>
      </c>
      <c r="C497" s="143" t="n"/>
      <c r="D497" s="115">
        <f>IFERROR(__xludf.DUMMYFUNCTION("IF(J497="""",""n/a"",IFERROR(SPLIT(J497,""/"")))"),"Fresh")</f>
        <v/>
      </c>
      <c r="E497" s="143" t="n"/>
      <c r="F497" s="143" t="n"/>
      <c r="G497" s="143" t="n"/>
      <c r="H497" s="11" t="inlineStr">
        <is>
          <t>CIP</t>
        </is>
      </c>
      <c r="I497" s="101" t="n"/>
      <c r="J497" s="99" t="inlineStr">
        <is>
          <t>Fresh</t>
        </is>
      </c>
      <c r="K497" s="116" t="n"/>
      <c r="L497" s="100" t="n">
        <v>143</v>
      </c>
      <c r="M497" s="199" t="n">
        <v>2</v>
      </c>
      <c r="N497" s="97" t="n">
        <v>1</v>
      </c>
      <c r="O497" s="13">
        <f>E497</f>
        <v/>
      </c>
      <c r="P497" s="97" t="inlineStr">
        <is>
          <t>grams</t>
        </is>
      </c>
      <c r="Q497" s="20" t="n"/>
      <c r="R497" s="5" t="n"/>
      <c r="S497" s="229">
        <f>M497*N497</f>
        <v/>
      </c>
      <c r="T497" s="230">
        <f>CONCATENATE(S497,Q497,P497)</f>
        <v/>
      </c>
      <c r="U497" s="206">
        <f>L497*M497</f>
        <v/>
      </c>
      <c r="V497" s="4" t="n"/>
      <c r="W497" s="4" t="n"/>
      <c r="X497" s="4" t="n"/>
    </row>
    <row r="498" ht="15.75" customHeight="1" thickBot="1">
      <c r="A498" s="183" t="n">
        <v>338</v>
      </c>
      <c r="B498" s="160" t="inlineStr">
        <is>
          <t>Potato Fries - Cheese</t>
        </is>
      </c>
      <c r="C498" s="143" t="n"/>
      <c r="D498" s="115">
        <f>IFERROR(__xludf.DUMMYFUNCTION("IF(J498="""",""n/a"",IFERROR(SPLIT(J498,""/"")))"),"Oishi")</f>
        <v/>
      </c>
      <c r="E498" s="143">
        <f>IFERROR(__xludf.DUMMYFUNCTION("""COMPUTED_VALUE"""),"box (50pcsx50grams)")</f>
        <v/>
      </c>
      <c r="F498" s="143" t="n"/>
      <c r="G498" s="143" t="n"/>
      <c r="H498" s="11" t="inlineStr">
        <is>
          <t>CIP</t>
        </is>
      </c>
      <c r="I498" s="101" t="n"/>
      <c r="J498" s="99" t="inlineStr">
        <is>
          <t>Oishi/box (50pcsx50grams)</t>
        </is>
      </c>
      <c r="K498" s="116" t="n"/>
      <c r="L498" s="100" t="n">
        <v>13.69</v>
      </c>
      <c r="M498" s="199" t="n">
        <v>30</v>
      </c>
      <c r="N498" s="97" t="n">
        <v>1</v>
      </c>
      <c r="O498" s="13">
        <f>E498</f>
        <v/>
      </c>
      <c r="P498" s="97" t="inlineStr">
        <is>
          <t>pieces</t>
        </is>
      </c>
      <c r="Q498" s="20" t="n"/>
      <c r="R498" s="5" t="n"/>
      <c r="S498" s="229">
        <f>M498*N498</f>
        <v/>
      </c>
      <c r="T498" s="230">
        <f>CONCATENATE(S498,Q498,P498)</f>
        <v/>
      </c>
      <c r="U498" s="206">
        <f>L498*M498</f>
        <v/>
      </c>
      <c r="V498" s="4" t="n"/>
      <c r="W498" s="4" t="n"/>
      <c r="X498" s="4" t="n"/>
    </row>
    <row r="499" ht="15.75" customHeight="1" thickBot="1">
      <c r="A499" s="183" t="n">
        <v>339</v>
      </c>
      <c r="B499" s="143" t="inlineStr">
        <is>
          <t>Potato Fries Plain</t>
        </is>
      </c>
      <c r="C499" s="143" t="n"/>
      <c r="D499" s="115">
        <f>IFERROR(__xludf.DUMMYFUNCTION("IF(J499="""",""n/a"",IFERROR(SPLIT(J499,""/"")))"),"Oishi")</f>
        <v/>
      </c>
      <c r="E499" s="143">
        <f>IFERROR(__xludf.DUMMYFUNCTION("""COMPUTED_VALUE"""),"box (50pcsx50grams)")</f>
        <v/>
      </c>
      <c r="F499" s="143" t="n"/>
      <c r="G499" s="143" t="n"/>
      <c r="H499" s="11" t="inlineStr">
        <is>
          <t>Annex</t>
        </is>
      </c>
      <c r="I499" s="158" t="n"/>
      <c r="J499" s="32" t="inlineStr">
        <is>
          <t>Oishi/box (50pcsx50grams)</t>
        </is>
      </c>
      <c r="K499" s="18" t="n"/>
      <c r="L499" s="150" t="n">
        <v>13.69</v>
      </c>
      <c r="M499" s="200" t="n">
        <v>15</v>
      </c>
      <c r="N499" s="145" t="n">
        <v>1</v>
      </c>
      <c r="O499" s="13">
        <f>E499</f>
        <v/>
      </c>
      <c r="P499" s="28" t="inlineStr">
        <is>
          <t>pieces</t>
        </is>
      </c>
      <c r="Q499" s="13" t="n"/>
      <c r="R499" s="78">
        <f>CONCATENATE(N499,P499)</f>
        <v/>
      </c>
      <c r="S499" s="229">
        <f>M499*N499</f>
        <v/>
      </c>
      <c r="T499" s="230">
        <f>CONCATENATE(S499,Q499,P499)</f>
        <v/>
      </c>
      <c r="U499" s="206">
        <f>L499*M499</f>
        <v/>
      </c>
      <c r="V499" s="34" t="n"/>
      <c r="W499" s="34" t="n"/>
      <c r="X499" s="34" t="n"/>
    </row>
    <row r="500" ht="15.75" customHeight="1" thickBot="1">
      <c r="A500" s="183" t="n">
        <v>340</v>
      </c>
      <c r="B500" s="147" t="inlineStr">
        <is>
          <t>Powdered-juices</t>
        </is>
      </c>
      <c r="C500" s="147" t="n"/>
      <c r="D500" s="115">
        <f>IFERROR(__xludf.DUMMYFUNCTION("IF(J500="""",""n/a"",IFERROR(SPLIT(J500,""/"")))"),"n/a")</f>
        <v/>
      </c>
      <c r="E500" s="147" t="n"/>
      <c r="F500" s="147" t="n"/>
      <c r="G500" s="147" t="n"/>
      <c r="H500" s="84" t="inlineStr">
        <is>
          <t>F1</t>
        </is>
      </c>
      <c r="I500" s="24" t="n"/>
      <c r="J500" s="32" t="n"/>
      <c r="K500" s="24" t="n"/>
      <c r="L500" s="36" t="n">
        <v>1.05</v>
      </c>
      <c r="M500" s="204" t="n">
        <v>720</v>
      </c>
      <c r="N500" s="87" t="n">
        <v>20</v>
      </c>
      <c r="O500" s="13">
        <f>E500</f>
        <v/>
      </c>
      <c r="P500" s="161" t="inlineStr">
        <is>
          <t>grams</t>
        </is>
      </c>
      <c r="Q500" s="20" t="n"/>
      <c r="R500" s="5" t="n"/>
      <c r="S500" s="229">
        <f>M500*N500</f>
        <v/>
      </c>
      <c r="T500" s="230">
        <f>CONCATENATE(S500,Q500,P500)</f>
        <v/>
      </c>
      <c r="U500" s="206">
        <f>L500*M500</f>
        <v/>
      </c>
      <c r="V500" s="4" t="n"/>
      <c r="W500" s="4" t="n"/>
      <c r="X500" s="4" t="n"/>
    </row>
    <row r="501" ht="15.75" customHeight="1" thickBot="1">
      <c r="A501" s="183" t="n">
        <v>340</v>
      </c>
      <c r="B501" s="159" t="inlineStr">
        <is>
          <t>Powdered-juices</t>
        </is>
      </c>
      <c r="C501" s="147" t="n"/>
      <c r="D501" s="115">
        <f>IFERROR(__xludf.DUMMYFUNCTION("IF(J501="""",""n/a"",IFERROR(SPLIT(J501,""/"")))"),"n/a")</f>
        <v/>
      </c>
      <c r="E501" s="147" t="n"/>
      <c r="F501" s="147" t="n"/>
      <c r="G501" s="147" t="n"/>
      <c r="H501" s="84" t="inlineStr">
        <is>
          <t>F1</t>
        </is>
      </c>
      <c r="I501" s="24" t="n"/>
      <c r="J501" s="32" t="n"/>
      <c r="K501" s="24" t="n"/>
      <c r="L501" s="36" t="n">
        <v>1.05</v>
      </c>
      <c r="M501" s="204" t="n">
        <v>680</v>
      </c>
      <c r="N501" s="87" t="n">
        <v>20</v>
      </c>
      <c r="O501" s="13">
        <f>E501</f>
        <v/>
      </c>
      <c r="P501" s="161" t="inlineStr">
        <is>
          <t>grams</t>
        </is>
      </c>
      <c r="Q501" s="20" t="n"/>
      <c r="R501" s="5" t="n"/>
      <c r="S501" s="229">
        <f>M501*N501</f>
        <v/>
      </c>
      <c r="T501" s="230">
        <f>CONCATENATE(S501,Q501,P501)</f>
        <v/>
      </c>
      <c r="U501" s="206">
        <f>L501*M501</f>
        <v/>
      </c>
      <c r="V501" s="4" t="n"/>
      <c r="W501" s="4" t="n"/>
      <c r="X501" s="4" t="n"/>
    </row>
    <row r="502" ht="15.75" customHeight="1" thickBot="1">
      <c r="A502" s="183" t="n">
        <v>340</v>
      </c>
      <c r="B502" s="147" t="inlineStr">
        <is>
          <t>Powdered-juices</t>
        </is>
      </c>
      <c r="C502" s="147" t="n"/>
      <c r="D502" s="115">
        <f>IFERROR(__xludf.DUMMYFUNCTION("IF(J502="""",""n/a"",IFERROR(SPLIT(J502,""/"")))"),"n/a")</f>
        <v/>
      </c>
      <c r="E502" s="147" t="n"/>
      <c r="F502" s="147" t="n"/>
      <c r="G502" s="147" t="n"/>
      <c r="H502" s="84" t="inlineStr">
        <is>
          <t>F1</t>
        </is>
      </c>
      <c r="I502" s="24" t="n"/>
      <c r="J502" s="32" t="n"/>
      <c r="K502" s="24" t="n"/>
      <c r="L502" s="36" t="n">
        <v>1.05</v>
      </c>
      <c r="M502" s="204" t="n">
        <v>480</v>
      </c>
      <c r="N502" s="87" t="n">
        <v>20</v>
      </c>
      <c r="O502" s="13">
        <f>E502</f>
        <v/>
      </c>
      <c r="P502" s="161" t="inlineStr">
        <is>
          <t>grams</t>
        </is>
      </c>
      <c r="Q502" s="20" t="n"/>
      <c r="R502" s="5" t="n"/>
      <c r="S502" s="229">
        <f>M502*N502</f>
        <v/>
      </c>
      <c r="T502" s="230">
        <f>CONCATENATE(S502,Q502,P502)</f>
        <v/>
      </c>
      <c r="U502" s="206">
        <f>L502*M502</f>
        <v/>
      </c>
      <c r="V502" s="4" t="n"/>
      <c r="W502" s="4" t="n"/>
      <c r="X502" s="4" t="n"/>
    </row>
    <row r="503" ht="15.75" customHeight="1" thickBot="1">
      <c r="A503" s="183" t="n">
        <v>340</v>
      </c>
      <c r="B503" s="159" t="inlineStr">
        <is>
          <t>Powdered-juices</t>
        </is>
      </c>
      <c r="C503" s="147" t="n"/>
      <c r="D503" s="115">
        <f>IFERROR(__xludf.DUMMYFUNCTION("IF(J503="""",""n/a"",IFERROR(SPLIT(J503,""/"")))"),"n/a")</f>
        <v/>
      </c>
      <c r="E503" s="147" t="n"/>
      <c r="F503" s="147" t="n"/>
      <c r="G503" s="147" t="n"/>
      <c r="H503" s="84" t="inlineStr">
        <is>
          <t>F1</t>
        </is>
      </c>
      <c r="I503" s="24" t="n"/>
      <c r="J503" s="32" t="n"/>
      <c r="K503" s="24" t="n"/>
      <c r="L503" s="36" t="n">
        <v>0.9473684210526315</v>
      </c>
      <c r="M503" s="204" t="n">
        <v>570</v>
      </c>
      <c r="N503" s="87" t="n">
        <v>19</v>
      </c>
      <c r="O503" s="13">
        <f>E503</f>
        <v/>
      </c>
      <c r="P503" s="161" t="inlineStr">
        <is>
          <t>grams</t>
        </is>
      </c>
      <c r="Q503" s="20" t="n"/>
      <c r="R503" s="5" t="n"/>
      <c r="S503" s="229">
        <f>M503*N503</f>
        <v/>
      </c>
      <c r="T503" s="230">
        <f>CONCATENATE(S503,Q503,P503)</f>
        <v/>
      </c>
      <c r="U503" s="206">
        <f>L503*M503</f>
        <v/>
      </c>
      <c r="V503" s="4" t="n"/>
      <c r="W503" s="4" t="n"/>
      <c r="X503" s="4" t="n"/>
    </row>
    <row r="504" ht="15.75" customHeight="1" thickBot="1">
      <c r="A504" s="183" t="n">
        <v>340</v>
      </c>
      <c r="B504" s="159" t="inlineStr">
        <is>
          <t>Powdered-juices</t>
        </is>
      </c>
      <c r="C504" s="147" t="n"/>
      <c r="D504" s="115">
        <f>IFERROR(__xludf.DUMMYFUNCTION("IF(J504="""",""n/a"",IFERROR(SPLIT(J504,""/"")))"),"n/a")</f>
        <v/>
      </c>
      <c r="E504" s="147" t="n"/>
      <c r="F504" s="147" t="n"/>
      <c r="G504" s="147" t="n"/>
      <c r="H504" s="84" t="inlineStr">
        <is>
          <t>F1</t>
        </is>
      </c>
      <c r="I504" s="24" t="n"/>
      <c r="J504" s="32" t="n"/>
      <c r="K504" s="24" t="n"/>
      <c r="L504" s="36" t="n">
        <v>0.9473684210526315</v>
      </c>
      <c r="M504" s="204" t="n">
        <v>893</v>
      </c>
      <c r="N504" s="87" t="n">
        <v>19</v>
      </c>
      <c r="O504" s="13">
        <f>E504</f>
        <v/>
      </c>
      <c r="P504" s="161" t="inlineStr">
        <is>
          <t>grams</t>
        </is>
      </c>
      <c r="Q504" s="20" t="n"/>
      <c r="R504" s="5" t="n"/>
      <c r="S504" s="229">
        <f>M504*N504</f>
        <v/>
      </c>
      <c r="T504" s="230">
        <f>CONCATENATE(S504,Q504,P504)</f>
        <v/>
      </c>
      <c r="U504" s="206">
        <f>L504*M504</f>
        <v/>
      </c>
      <c r="V504" s="4" t="n"/>
      <c r="W504" s="4" t="n"/>
      <c r="X504" s="4" t="n"/>
    </row>
    <row r="505" ht="15.75" customHeight="1" thickBot="1">
      <c r="A505" s="183" t="n">
        <v>340</v>
      </c>
      <c r="B505" s="147" t="inlineStr">
        <is>
          <t>Powdered-juices</t>
        </is>
      </c>
      <c r="C505" s="147" t="n"/>
      <c r="D505" s="115">
        <f>IFERROR(__xludf.DUMMYFUNCTION("IF(J505="""",""n/a"",IFERROR(SPLIT(J505,""/"")))"),"n/a")</f>
        <v/>
      </c>
      <c r="E505" s="147" t="n"/>
      <c r="F505" s="147" t="n"/>
      <c r="G505" s="147" t="n"/>
      <c r="H505" s="84" t="inlineStr">
        <is>
          <t>F1</t>
        </is>
      </c>
      <c r="I505" s="26" t="n"/>
      <c r="J505" s="32" t="n"/>
      <c r="K505" s="24" t="n"/>
      <c r="L505" s="36" t="n">
        <v>0.9473684210526315</v>
      </c>
      <c r="M505" s="204" t="n">
        <v>38</v>
      </c>
      <c r="N505" s="87" t="n">
        <v>19</v>
      </c>
      <c r="O505" s="13">
        <f>E505</f>
        <v/>
      </c>
      <c r="P505" s="161" t="inlineStr">
        <is>
          <t>grams</t>
        </is>
      </c>
      <c r="Q505" s="20" t="n"/>
      <c r="R505" s="5" t="n"/>
      <c r="S505" s="229">
        <f>M505*N505</f>
        <v/>
      </c>
      <c r="T505" s="230">
        <f>CONCATENATE(S505,Q505,P505)</f>
        <v/>
      </c>
      <c r="U505" s="206">
        <f>L505*M505</f>
        <v/>
      </c>
      <c r="V505" s="4" t="n"/>
      <c r="W505" s="4" t="n"/>
      <c r="X505" s="4" t="n"/>
    </row>
    <row r="506" ht="15.75" customHeight="1" thickBot="1">
      <c r="A506" s="183" t="n">
        <v>341</v>
      </c>
      <c r="B506" s="115" t="inlineStr">
        <is>
          <t>Presto Creams - Peanut Butter</t>
        </is>
      </c>
      <c r="C506" s="115" t="n"/>
      <c r="D506" s="115">
        <f>IFERROR(__xludf.DUMMYFUNCTION("IF(J506="""",""n/a"",IFERROR(SPLIT(J506,""/"")))"),"Jack n Jill")</f>
        <v/>
      </c>
      <c r="E506" s="115">
        <f>IFERROR(__xludf.DUMMYFUNCTION("""COMPUTED_VALUE""")," pack (10pcsx30grams)")</f>
        <v/>
      </c>
      <c r="F506" s="115" t="n"/>
      <c r="G506" s="115" t="n"/>
      <c r="H506" s="11" t="inlineStr">
        <is>
          <t>CIP</t>
        </is>
      </c>
      <c r="I506" s="95" t="n"/>
      <c r="J506" s="93" t="inlineStr">
        <is>
          <t>Jack n Jill/ pack (10pcsx30grams)</t>
        </is>
      </c>
      <c r="K506" s="103" t="n"/>
      <c r="L506" s="104" t="n">
        <v>5.81</v>
      </c>
      <c r="M506" s="199" t="n">
        <v>150</v>
      </c>
      <c r="N506" s="97" t="n">
        <v>1</v>
      </c>
      <c r="O506" s="13">
        <f>E506</f>
        <v/>
      </c>
      <c r="P506" s="13" t="inlineStr">
        <is>
          <t>pieces</t>
        </is>
      </c>
      <c r="Q506" s="20" t="n"/>
      <c r="R506" s="5" t="n"/>
      <c r="S506" s="229">
        <f>M506*N506</f>
        <v/>
      </c>
      <c r="T506" s="230">
        <f>CONCATENATE(S506,Q506,P506)</f>
        <v/>
      </c>
      <c r="U506" s="206">
        <f>L506*M506</f>
        <v/>
      </c>
      <c r="V506" s="4" t="n"/>
      <c r="W506" s="4" t="n"/>
      <c r="X506" s="4" t="n"/>
    </row>
    <row r="507" ht="15.75" customHeight="1" thickBot="1">
      <c r="A507" s="183" t="n">
        <v>342</v>
      </c>
      <c r="B507" s="115" t="inlineStr">
        <is>
          <t>Presto Creams Choco Peanut Butter</t>
        </is>
      </c>
      <c r="C507" s="115" t="n"/>
      <c r="D507" s="115">
        <f>IFERROR(__xludf.DUMMYFUNCTION("IF(J507="""",""n/a"",IFERROR(SPLIT(J507,""/"")))"),"Jack n Jill")</f>
        <v/>
      </c>
      <c r="E507" s="115">
        <f>IFERROR(__xludf.DUMMYFUNCTION("""COMPUTED_VALUE""")," pack (10pcsx30grams)")</f>
        <v/>
      </c>
      <c r="F507" s="115" t="n"/>
      <c r="G507" s="115" t="n"/>
      <c r="H507" s="11" t="inlineStr">
        <is>
          <t>Annex</t>
        </is>
      </c>
      <c r="I507" s="27" t="n"/>
      <c r="J507" s="19" t="inlineStr">
        <is>
          <t>Jack n Jill/ pack (10pcsx30grams)</t>
        </is>
      </c>
      <c r="K507" s="162" t="n"/>
      <c r="L507" s="150" t="n">
        <v>6.14</v>
      </c>
      <c r="M507" s="200" t="n">
        <v>110</v>
      </c>
      <c r="N507" s="145" t="n">
        <v>1</v>
      </c>
      <c r="O507" s="13">
        <f>E507</f>
        <v/>
      </c>
      <c r="P507" s="9" t="inlineStr">
        <is>
          <t>pieces</t>
        </is>
      </c>
      <c r="Q507" s="13" t="n"/>
      <c r="R507" s="78">
        <f>CONCATENATE(N507,P507)</f>
        <v/>
      </c>
      <c r="S507" s="229">
        <f>M507*N507</f>
        <v/>
      </c>
      <c r="T507" s="230">
        <f>CONCATENATE(S507,Q507,P507)</f>
        <v/>
      </c>
      <c r="U507" s="206">
        <f>L507*M507</f>
        <v/>
      </c>
      <c r="V507" s="34" t="n"/>
      <c r="W507" s="34" t="n"/>
      <c r="X507" s="34" t="n"/>
    </row>
    <row r="508" ht="15.75" customHeight="1" thickBot="1">
      <c r="A508" s="183" t="n">
        <v>343</v>
      </c>
      <c r="B508" s="115" t="inlineStr">
        <is>
          <t>Presto Creams Choco Vanilla</t>
        </is>
      </c>
      <c r="C508" s="115" t="n"/>
      <c r="D508" s="115">
        <f>IFERROR(__xludf.DUMMYFUNCTION("IF(J508="""",""n/a"",IFERROR(SPLIT(J508,""/"")))"),"Jack n Jill")</f>
        <v/>
      </c>
      <c r="E508" s="115">
        <f>IFERROR(__xludf.DUMMYFUNCTION("""COMPUTED_VALUE""")," pack (10pcsx30grams)")</f>
        <v/>
      </c>
      <c r="F508" s="115" t="n"/>
      <c r="G508" s="115" t="n"/>
      <c r="H508" s="11" t="inlineStr">
        <is>
          <t>Annex</t>
        </is>
      </c>
      <c r="I508" s="27" t="n"/>
      <c r="J508" s="19" t="inlineStr">
        <is>
          <t>Jack n Jill/ pack (10pcsx30grams)</t>
        </is>
      </c>
      <c r="K508" s="162" t="n"/>
      <c r="L508" s="150" t="n">
        <v>6.29</v>
      </c>
      <c r="M508" s="200" t="n">
        <v>21</v>
      </c>
      <c r="N508" s="145" t="n">
        <v>1</v>
      </c>
      <c r="O508" s="13">
        <f>E508</f>
        <v/>
      </c>
      <c r="P508" s="9" t="inlineStr">
        <is>
          <t>pieces</t>
        </is>
      </c>
      <c r="Q508" s="13" t="n"/>
      <c r="R508" s="78">
        <f>CONCATENATE(N508,P508)</f>
        <v/>
      </c>
      <c r="S508" s="229">
        <f>M508*N508</f>
        <v/>
      </c>
      <c r="T508" s="230">
        <f>CONCATENATE(S508,Q508,P508)</f>
        <v/>
      </c>
      <c r="U508" s="206">
        <f>L508*M508</f>
        <v/>
      </c>
      <c r="V508" s="34" t="n"/>
      <c r="W508" s="34" t="n"/>
      <c r="X508" s="34" t="n"/>
    </row>
    <row r="509" ht="15.75" customHeight="1" thickBot="1">
      <c r="A509" s="183" t="n">
        <v>344</v>
      </c>
      <c r="B509" s="115" t="inlineStr">
        <is>
          <t>Pusit Kalawang</t>
        </is>
      </c>
      <c r="C509" s="115" t="n"/>
      <c r="D509" s="115">
        <f>IFERROR(__xludf.DUMMYFUNCTION("IF(J509="""",""n/a"",IFERROR(SPLIT(J509,""/"")))"),"n/a")</f>
        <v/>
      </c>
      <c r="E509" s="115" t="n"/>
      <c r="F509" s="115" t="n"/>
      <c r="G509" s="115" t="n"/>
      <c r="H509" s="11" t="inlineStr">
        <is>
          <t>Annex</t>
        </is>
      </c>
      <c r="I509" s="27" t="n"/>
      <c r="J509" s="19" t="n"/>
      <c r="K509" s="27" t="n"/>
      <c r="L509" s="163" t="n">
        <v>0.27</v>
      </c>
      <c r="M509" s="200" t="n">
        <v>10000</v>
      </c>
      <c r="N509" s="145" t="n">
        <v>1000</v>
      </c>
      <c r="O509" s="13">
        <f>E509</f>
        <v/>
      </c>
      <c r="P509" s="9" t="inlineStr">
        <is>
          <t>grams</t>
        </is>
      </c>
      <c r="Q509" s="13" t="n"/>
      <c r="R509" s="78">
        <f>CONCATENATE(N509,P509)</f>
        <v/>
      </c>
      <c r="S509" s="229">
        <f>M509*N509</f>
        <v/>
      </c>
      <c r="T509" s="230">
        <f>CONCATENATE(S509,Q509,P509)</f>
        <v/>
      </c>
      <c r="U509" s="206">
        <f>L509*M509</f>
        <v/>
      </c>
      <c r="V509" s="34" t="n"/>
      <c r="W509" s="34" t="n"/>
      <c r="X509" s="34" t="n"/>
    </row>
    <row r="510" ht="15.75" customHeight="1" thickBot="1">
      <c r="A510" s="183" t="n">
        <v>345</v>
      </c>
      <c r="B510" s="114" t="inlineStr">
        <is>
          <t>Quake Black Forest</t>
        </is>
      </c>
      <c r="C510" s="114" t="n"/>
      <c r="D510" s="115">
        <f>IFERROR(__xludf.DUMMYFUNCTION("IF(J510="""",""n/a"",IFERROR(SPLIT(J510,""/"")))"),"n/a")</f>
        <v/>
      </c>
      <c r="E510" s="114" t="n"/>
      <c r="F510" s="114" t="n"/>
      <c r="G510" s="114" t="n"/>
      <c r="H510" s="84" t="inlineStr">
        <is>
          <t>F1</t>
        </is>
      </c>
      <c r="I510" s="26" t="n"/>
      <c r="J510" s="19" t="n"/>
      <c r="K510" s="26" t="n"/>
      <c r="L510" s="12" t="n">
        <v>7.48</v>
      </c>
      <c r="M510" s="191" t="n">
        <v>2</v>
      </c>
      <c r="N510" s="86" t="n">
        <v>10</v>
      </c>
      <c r="O510" s="13">
        <f>E510</f>
        <v/>
      </c>
      <c r="P510" s="164" t="inlineStr">
        <is>
          <t>pieces</t>
        </is>
      </c>
      <c r="Q510" s="20" t="n"/>
      <c r="R510" s="5" t="n"/>
      <c r="S510" s="229">
        <f>M510*N510</f>
        <v/>
      </c>
      <c r="T510" s="230">
        <f>CONCATENATE(S510,Q510,P510)</f>
        <v/>
      </c>
      <c r="U510" s="206">
        <f>L510*M510</f>
        <v/>
      </c>
      <c r="V510" s="4" t="n"/>
      <c r="W510" s="4" t="n"/>
      <c r="X510" s="4" t="n"/>
    </row>
    <row r="511" ht="15.75" customHeight="1" thickBot="1">
      <c r="A511" s="183" t="n">
        <v>346</v>
      </c>
      <c r="B511" s="115" t="inlineStr">
        <is>
          <t>Quake Overload</t>
        </is>
      </c>
      <c r="C511" s="115" t="n"/>
      <c r="D511" s="115">
        <f>IFERROR(__xludf.DUMMYFUNCTION("IF(J511="""",""n/a"",IFERROR(SPLIT(J511,""/"")))"),"Jack &amp; Jill")</f>
        <v/>
      </c>
      <c r="E511" s="115">
        <f>IFERROR(__xludf.DUMMYFUNCTION("""COMPUTED_VALUE"""),"pack(10pcsx38grams))")</f>
        <v/>
      </c>
      <c r="F511" s="115" t="n"/>
      <c r="G511" s="115" t="n"/>
      <c r="H511" s="11" t="inlineStr">
        <is>
          <t>Annex</t>
        </is>
      </c>
      <c r="I511" s="27" t="n"/>
      <c r="J511" s="19" t="inlineStr">
        <is>
          <t>Jack &amp; Jill/pack(10pcsx38grams))</t>
        </is>
      </c>
      <c r="K511" s="162" t="n"/>
      <c r="L511" s="82" t="n">
        <v>7.17</v>
      </c>
      <c r="M511" s="190" t="n">
        <v>34</v>
      </c>
      <c r="N511" s="17" t="n">
        <v>1</v>
      </c>
      <c r="O511" s="13">
        <f>E511</f>
        <v/>
      </c>
      <c r="P511" s="39" t="inlineStr">
        <is>
          <t>pieces</t>
        </is>
      </c>
      <c r="Q511" s="13" t="n"/>
      <c r="R511" s="78">
        <f>CONCATENATE(N511,P511)</f>
        <v/>
      </c>
      <c r="S511" s="229">
        <f>M511*N511</f>
        <v/>
      </c>
      <c r="T511" s="230">
        <f>CONCATENATE(S511,Q511,P511)</f>
        <v/>
      </c>
      <c r="U511" s="206">
        <f>L511*M511</f>
        <v/>
      </c>
      <c r="V511" s="34" t="n"/>
      <c r="W511" s="34" t="n"/>
      <c r="X511" s="34" t="n"/>
    </row>
    <row r="512" ht="15.75" customHeight="1" thickBot="1">
      <c r="A512" s="183" t="n">
        <v>346</v>
      </c>
      <c r="B512" s="115" t="inlineStr">
        <is>
          <t>Quake Overload</t>
        </is>
      </c>
      <c r="C512" s="115" t="n"/>
      <c r="D512" s="115">
        <f>IFERROR(__xludf.DUMMYFUNCTION("IF(J512="""",""n/a"",IFERROR(SPLIT(J512,""/"")))"),"Jack &amp; Jill")</f>
        <v/>
      </c>
      <c r="E512" s="115">
        <f>IFERROR(__xludf.DUMMYFUNCTION("""COMPUTED_VALUE"""),"pack(10pcsx33grams))")</f>
        <v/>
      </c>
      <c r="F512" s="115" t="n"/>
      <c r="G512" s="115" t="n"/>
      <c r="H512" s="11" t="inlineStr">
        <is>
          <t>CIP</t>
        </is>
      </c>
      <c r="I512" s="92" t="n"/>
      <c r="J512" s="93" t="inlineStr">
        <is>
          <t>Jack &amp; Jill/pack(10pcsx33grams))</t>
        </is>
      </c>
      <c r="K512" s="106" t="n"/>
      <c r="L512" s="90" t="n">
        <v>7.99</v>
      </c>
      <c r="M512" s="189" t="n">
        <v>595</v>
      </c>
      <c r="N512" s="13" t="n">
        <v>1</v>
      </c>
      <c r="O512" s="13">
        <f>E512</f>
        <v/>
      </c>
      <c r="P512" s="107" t="inlineStr">
        <is>
          <t>pieces</t>
        </is>
      </c>
      <c r="Q512" s="20" t="n"/>
      <c r="R512" s="5" t="n"/>
      <c r="S512" s="229">
        <f>M512*N512</f>
        <v/>
      </c>
      <c r="T512" s="230">
        <f>CONCATENATE(S512,Q512,P512)</f>
        <v/>
      </c>
      <c r="U512" s="206">
        <f>L512*M512</f>
        <v/>
      </c>
      <c r="V512" s="4" t="n"/>
      <c r="W512" s="4" t="n"/>
      <c r="X512" s="4" t="n"/>
    </row>
    <row r="513" ht="15.75" customHeight="1" thickBot="1">
      <c r="A513" s="183" t="n">
        <v>347</v>
      </c>
      <c r="B513" s="114" t="inlineStr">
        <is>
          <t>Quake Strawberry</t>
        </is>
      </c>
      <c r="C513" s="114" t="n"/>
      <c r="D513" s="115">
        <f>IFERROR(__xludf.DUMMYFUNCTION("IF(J513="""",""n/a"",IFERROR(SPLIT(J513,""/"")))"),"n/a")</f>
        <v/>
      </c>
      <c r="E513" s="114" t="n"/>
      <c r="F513" s="114" t="n"/>
      <c r="G513" s="114" t="n"/>
      <c r="H513" s="84" t="inlineStr">
        <is>
          <t>F1</t>
        </is>
      </c>
      <c r="I513" s="26" t="n"/>
      <c r="J513" s="19" t="n"/>
      <c r="K513" s="26" t="n"/>
      <c r="L513" s="12" t="n">
        <v>8.1</v>
      </c>
      <c r="M513" s="191" t="n">
        <v>1</v>
      </c>
      <c r="N513" s="86" t="n">
        <v>10</v>
      </c>
      <c r="O513" s="13">
        <f>E513</f>
        <v/>
      </c>
      <c r="P513" s="164" t="inlineStr">
        <is>
          <t>pieces</t>
        </is>
      </c>
      <c r="Q513" s="20" t="n"/>
      <c r="R513" s="5" t="n"/>
      <c r="S513" s="229">
        <f>M513*N513</f>
        <v/>
      </c>
      <c r="T513" s="230">
        <f>CONCATENATE(S513,Q513,P513)</f>
        <v/>
      </c>
      <c r="U513" s="206">
        <f>L513*M513</f>
        <v/>
      </c>
      <c r="V513" s="4" t="n"/>
      <c r="W513" s="4" t="n"/>
      <c r="X513" s="4" t="n"/>
    </row>
    <row r="514" ht="15.75" customHeight="1" thickBot="1">
      <c r="A514" s="183" t="n">
        <v>348</v>
      </c>
      <c r="B514" s="114" t="inlineStr">
        <is>
          <t>Quaker Oats Instant Oatmeal</t>
        </is>
      </c>
      <c r="C514" s="114" t="n"/>
      <c r="D514" s="115">
        <f>IFERROR(__xludf.DUMMYFUNCTION("IF(J514="""",""n/a"",IFERROR(SPLIT(J514,""/"")))"),"n/a")</f>
        <v/>
      </c>
      <c r="E514" s="114" t="n"/>
      <c r="F514" s="114" t="n"/>
      <c r="G514" s="114" t="n"/>
      <c r="H514" s="84" t="inlineStr">
        <is>
          <t>F1</t>
        </is>
      </c>
      <c r="I514" s="26" t="n"/>
      <c r="J514" s="19" t="n"/>
      <c r="K514" s="26" t="n"/>
      <c r="L514" s="165" t="n">
        <v>2.375</v>
      </c>
      <c r="M514" s="191" t="n">
        <v>11</v>
      </c>
      <c r="N514" s="87" t="n">
        <v>6</v>
      </c>
      <c r="O514" s="13">
        <f>E514</f>
        <v/>
      </c>
      <c r="P514" s="139" t="inlineStr">
        <is>
          <t>pieces</t>
        </is>
      </c>
      <c r="Q514" s="20" t="n"/>
      <c r="R514" s="5" t="n"/>
      <c r="S514" s="229">
        <f>M514*N514</f>
        <v/>
      </c>
      <c r="T514" s="230">
        <f>CONCATENATE(S514,Q514,P514)</f>
        <v/>
      </c>
      <c r="U514" s="206">
        <f>L514*M514</f>
        <v/>
      </c>
      <c r="V514" s="4" t="n"/>
      <c r="W514" s="4" t="n"/>
      <c r="X514" s="4" t="n"/>
    </row>
    <row r="515" ht="15.75" customHeight="1" thickBot="1">
      <c r="A515" s="183" t="n">
        <v>349</v>
      </c>
      <c r="B515" s="115" t="inlineStr">
        <is>
          <t>Raisins</t>
        </is>
      </c>
      <c r="C515" s="115" t="n"/>
      <c r="D515" s="115">
        <f>IFERROR(__xludf.DUMMYFUNCTION("IF(J515="""",""n/a"",IFERROR(SPLIT(J515,""/"")))"),"Hermano")</f>
        <v/>
      </c>
      <c r="E515" s="115">
        <f>IFERROR(__xludf.DUMMYFUNCTION("""COMPUTED_VALUE"""),"pack")</f>
        <v/>
      </c>
      <c r="F515" s="115">
        <f>IFERROR(__xludf.DUMMYFUNCTION("""COMPUTED_VALUE"""),"1000grams")</f>
        <v/>
      </c>
      <c r="G515" s="115" t="n"/>
      <c r="H515" s="11" t="inlineStr">
        <is>
          <t>Annex</t>
        </is>
      </c>
      <c r="I515" s="6" t="n"/>
      <c r="J515" s="19" t="inlineStr">
        <is>
          <t>Hermano/pack/1000grams</t>
        </is>
      </c>
      <c r="K515" s="27" t="n"/>
      <c r="L515" s="40" t="n">
        <v>0.08059999999999999</v>
      </c>
      <c r="M515" s="190" t="n">
        <v>38000</v>
      </c>
      <c r="N515" s="145" t="n">
        <v>1000</v>
      </c>
      <c r="O515" s="13">
        <f>E515</f>
        <v/>
      </c>
      <c r="P515" s="25" t="inlineStr">
        <is>
          <t>grams</t>
        </is>
      </c>
      <c r="Q515" s="13" t="n"/>
      <c r="R515" s="78">
        <f>CONCATENATE(N515,P515)</f>
        <v/>
      </c>
      <c r="S515" s="229">
        <f>M515*N515</f>
        <v/>
      </c>
      <c r="T515" s="230">
        <f>CONCATENATE(S515,Q515,P515)</f>
        <v/>
      </c>
      <c r="U515" s="206">
        <f>L515*M515</f>
        <v/>
      </c>
      <c r="V515" s="231" t="n"/>
      <c r="W515" s="236" t="n"/>
      <c r="X515" s="71" t="n"/>
    </row>
    <row r="516" ht="15.75" customHeight="1" thickBot="1">
      <c r="A516" s="183" t="n">
        <v>349</v>
      </c>
      <c r="B516" s="115" t="inlineStr">
        <is>
          <t>Raisins</t>
        </is>
      </c>
      <c r="C516" s="115" t="n"/>
      <c r="D516" s="115">
        <f>IFERROR(__xludf.DUMMYFUNCTION("IF(J516="""",""n/a"",IFERROR(SPLIT(J516,""/"")))"),"Ram")</f>
        <v/>
      </c>
      <c r="E516" s="115">
        <f>IFERROR(__xludf.DUMMYFUNCTION("""COMPUTED_VALUE"""),"pack")</f>
        <v/>
      </c>
      <c r="F516" s="115">
        <f>IFERROR(__xludf.DUMMYFUNCTION("""COMPUTED_VALUE"""),"1000grams")</f>
        <v/>
      </c>
      <c r="G516" s="115" t="n"/>
      <c r="H516" s="11" t="inlineStr">
        <is>
          <t>Annex</t>
        </is>
      </c>
      <c r="I516" s="6" t="n"/>
      <c r="J516" s="19" t="inlineStr">
        <is>
          <t>Ram/pack/1000grams</t>
        </is>
      </c>
      <c r="K516" s="162" t="n"/>
      <c r="L516" s="36" t="n">
        <v>0.15</v>
      </c>
      <c r="M516" s="200" t="n">
        <v>500</v>
      </c>
      <c r="N516" s="145" t="n">
        <v>1000</v>
      </c>
      <c r="O516" s="13">
        <f>E516</f>
        <v/>
      </c>
      <c r="P516" s="25" t="inlineStr">
        <is>
          <t>grams</t>
        </is>
      </c>
      <c r="Q516" s="13" t="n"/>
      <c r="R516" s="78">
        <f>CONCATENATE(N516,P516)</f>
        <v/>
      </c>
      <c r="S516" s="229">
        <f>M516*N516</f>
        <v/>
      </c>
      <c r="T516" s="230">
        <f>CONCATENATE(S516,Q516,P516)</f>
        <v/>
      </c>
      <c r="U516" s="206">
        <f>L516*M516</f>
        <v/>
      </c>
      <c r="V516" s="231" t="n"/>
      <c r="W516" s="34" t="n"/>
      <c r="X516" s="34" t="n"/>
    </row>
    <row r="517" ht="15.75" customHeight="1" thickBot="1">
      <c r="A517" s="183" t="n">
        <v>349</v>
      </c>
      <c r="B517" s="143" t="inlineStr">
        <is>
          <t>Raisins</t>
        </is>
      </c>
      <c r="C517" s="143" t="n"/>
      <c r="D517" s="115">
        <f>IFERROR(__xludf.DUMMYFUNCTION("IF(J517="""",""n/a"",IFERROR(SPLIT(J517,""/"")))"),"n/a")</f>
        <v/>
      </c>
      <c r="E517" s="143" t="n"/>
      <c r="F517" s="143" t="n"/>
      <c r="G517" s="143" t="n"/>
      <c r="H517" s="84" t="inlineStr">
        <is>
          <t>F1</t>
        </is>
      </c>
      <c r="I517" s="7" t="n"/>
      <c r="J517" s="32" t="n"/>
      <c r="K517" s="26" t="n"/>
      <c r="L517" s="36" t="n">
        <v>0.262</v>
      </c>
      <c r="M517" s="204" t="n">
        <v>800</v>
      </c>
      <c r="N517" s="87" t="n">
        <v>1000</v>
      </c>
      <c r="O517" s="13">
        <f>E517</f>
        <v/>
      </c>
      <c r="P517" s="25" t="inlineStr">
        <is>
          <t>grams</t>
        </is>
      </c>
      <c r="Q517" s="20" t="n"/>
      <c r="R517" s="5" t="n"/>
      <c r="S517" s="229">
        <f>M517*N517</f>
        <v/>
      </c>
      <c r="T517" s="230">
        <f>CONCATENATE(S517,Q517,P517)</f>
        <v/>
      </c>
      <c r="U517" s="206">
        <f>L517*M517</f>
        <v/>
      </c>
      <c r="V517" s="4" t="n"/>
      <c r="W517" s="4" t="n"/>
      <c r="X517" s="4" t="n"/>
    </row>
    <row r="518" ht="15.75" customHeight="1" thickBot="1">
      <c r="A518" s="183" t="n">
        <v>350</v>
      </c>
      <c r="B518" s="147" t="inlineStr">
        <is>
          <t>Raw Sago</t>
        </is>
      </c>
      <c r="C518" s="147" t="n"/>
      <c r="D518" s="115">
        <f>IFERROR(__xludf.DUMMYFUNCTION("IF(J518="""",""n/a"",IFERROR(SPLIT(J518,""/"")))"),"No Brand")</f>
        <v/>
      </c>
      <c r="E518" s="147">
        <f>IFERROR(__xludf.DUMMYFUNCTION("""COMPUTED_VALUE"""),"1000grams")</f>
        <v/>
      </c>
      <c r="F518" s="147" t="n"/>
      <c r="G518" s="147" t="n"/>
      <c r="H518" s="84" t="inlineStr">
        <is>
          <t>F1</t>
        </is>
      </c>
      <c r="I518" s="7" t="n"/>
      <c r="J518" s="32" t="inlineStr">
        <is>
          <t>No Brand/1000grams</t>
        </is>
      </c>
      <c r="K518" s="26" t="n"/>
      <c r="L518" s="36" t="n">
        <v>0.125</v>
      </c>
      <c r="M518" s="201" t="n">
        <v>4000</v>
      </c>
      <c r="N518" s="87" t="n">
        <v>1000</v>
      </c>
      <c r="O518" s="13">
        <f>E518</f>
        <v/>
      </c>
      <c r="P518" s="25" t="inlineStr">
        <is>
          <t>grams</t>
        </is>
      </c>
      <c r="Q518" s="20" t="n"/>
      <c r="R518" s="5" t="n"/>
      <c r="S518" s="229">
        <f>M518*N518</f>
        <v/>
      </c>
      <c r="T518" s="230">
        <f>CONCATENATE(S518,Q518,P518)</f>
        <v/>
      </c>
      <c r="U518" s="206">
        <f>L518*M518</f>
        <v/>
      </c>
      <c r="V518" s="4" t="n"/>
      <c r="W518" s="4" t="n"/>
      <c r="X518" s="4" t="n"/>
    </row>
    <row r="519" ht="15.75" customHeight="1" thickBot="1">
      <c r="A519" s="183" t="n">
        <v>351</v>
      </c>
      <c r="B519" s="147" t="inlineStr">
        <is>
          <t>RC Cola</t>
        </is>
      </c>
      <c r="C519" s="147" t="n"/>
      <c r="D519" s="115">
        <f>IFERROR(__xludf.DUMMYFUNCTION("IF(J519="""",""n/a"",IFERROR(SPLIT(J519,""/"")))"),"Rc Cola (12 x 237 )")</f>
        <v/>
      </c>
      <c r="E519" s="147" t="n"/>
      <c r="F519" s="147" t="n"/>
      <c r="G519" s="147" t="n"/>
      <c r="H519" s="11" t="inlineStr">
        <is>
          <t>CIP</t>
        </is>
      </c>
      <c r="I519" s="6" t="n"/>
      <c r="J519" s="99" t="inlineStr">
        <is>
          <t>Rc Cola (12 x 237 )</t>
        </is>
      </c>
      <c r="K519" s="38" t="n"/>
      <c r="L519" s="100" t="n">
        <v>10.72</v>
      </c>
      <c r="M519" s="199" t="n">
        <v>167</v>
      </c>
      <c r="N519" s="97" t="n">
        <v>1</v>
      </c>
      <c r="O519" s="13">
        <f>E519</f>
        <v/>
      </c>
      <c r="P519" s="91" t="inlineStr">
        <is>
          <t>pieces</t>
        </is>
      </c>
      <c r="Q519" s="20" t="n"/>
      <c r="R519" s="5" t="n"/>
      <c r="S519" s="229">
        <f>M519*N519</f>
        <v/>
      </c>
      <c r="T519" s="230">
        <f>CONCATENATE(S519,Q519,P519)</f>
        <v/>
      </c>
      <c r="U519" s="206">
        <f>L519*M519</f>
        <v/>
      </c>
      <c r="V519" s="4" t="n"/>
      <c r="W519" s="4" t="n"/>
      <c r="X519" s="4" t="n"/>
    </row>
    <row r="520" ht="15.75" customHeight="1" thickBot="1">
      <c r="A520" s="183" t="n">
        <v>352</v>
      </c>
      <c r="B520" s="160" t="inlineStr">
        <is>
          <t>Rebisco Cracker - Plain</t>
        </is>
      </c>
      <c r="C520" s="143" t="n"/>
      <c r="D520" s="115">
        <f>IFERROR(__xludf.DUMMYFUNCTION("IF(J520="""",""n/a"",IFERROR(SPLIT(J520,""/"")))"),"Rebisco (10pcsx33grams)")</f>
        <v/>
      </c>
      <c r="E520" s="143" t="n"/>
      <c r="F520" s="143" t="n"/>
      <c r="G520" s="143" t="n"/>
      <c r="H520" s="11" t="inlineStr">
        <is>
          <t>CIP</t>
        </is>
      </c>
      <c r="I520" s="95" t="n"/>
      <c r="J520" s="99" t="inlineStr">
        <is>
          <t>Rebisco (10pcsx33grams)</t>
        </is>
      </c>
      <c r="K520" s="106" t="n"/>
      <c r="L520" s="100" t="n">
        <v>5.8</v>
      </c>
      <c r="M520" s="199" t="n">
        <v>200</v>
      </c>
      <c r="N520" s="97" t="n">
        <v>1</v>
      </c>
      <c r="O520" s="13">
        <f>E520</f>
        <v/>
      </c>
      <c r="P520" s="91" t="inlineStr">
        <is>
          <t>pieces</t>
        </is>
      </c>
      <c r="Q520" s="20" t="n"/>
      <c r="R520" s="5" t="n"/>
      <c r="S520" s="229">
        <f>M520*N520</f>
        <v/>
      </c>
      <c r="T520" s="230">
        <f>CONCATENATE(S520,Q520,P520)</f>
        <v/>
      </c>
      <c r="U520" s="206">
        <f>L520*M520</f>
        <v/>
      </c>
      <c r="V520" s="4" t="n"/>
      <c r="W520" s="4" t="n"/>
      <c r="X520" s="4" t="n"/>
    </row>
    <row r="521" ht="15.75" customHeight="1" thickBot="1">
      <c r="A521" s="183" t="n">
        <v>353</v>
      </c>
      <c r="B521" s="159" t="inlineStr">
        <is>
          <t>Rebisco Crackers - Chocolate</t>
        </is>
      </c>
      <c r="C521" s="147" t="n"/>
      <c r="D521" s="115">
        <f>IFERROR(__xludf.DUMMYFUNCTION("IF(J521="""",""n/a"",IFERROR(SPLIT(J521,""/"")))"),"n/a")</f>
        <v/>
      </c>
      <c r="E521" s="147" t="n"/>
      <c r="F521" s="147" t="n"/>
      <c r="G521" s="147" t="n"/>
      <c r="H521" s="84" t="inlineStr">
        <is>
          <t>F1</t>
        </is>
      </c>
      <c r="I521" s="7" t="n"/>
      <c r="J521" s="32" t="n"/>
      <c r="K521" s="26" t="n"/>
      <c r="L521" s="12" t="n">
        <v>6.88</v>
      </c>
      <c r="M521" s="191" t="n">
        <v>1</v>
      </c>
      <c r="N521" s="87" t="n">
        <v>10</v>
      </c>
      <c r="O521" s="13">
        <f>E521</f>
        <v/>
      </c>
      <c r="P521" s="23" t="inlineStr">
        <is>
          <t>pieces</t>
        </is>
      </c>
      <c r="Q521" s="20" t="n"/>
      <c r="R521" s="5" t="n"/>
      <c r="S521" s="229">
        <f>M521*N521</f>
        <v/>
      </c>
      <c r="T521" s="230">
        <f>CONCATENATE(S521,Q521,P521)</f>
        <v/>
      </c>
      <c r="U521" s="206">
        <f>L521*M521</f>
        <v/>
      </c>
      <c r="V521" s="4" t="n"/>
      <c r="W521" s="4" t="n"/>
      <c r="X521" s="4" t="n"/>
    </row>
    <row r="522" ht="15.75" customHeight="1" thickBot="1">
      <c r="A522" s="183" t="n">
        <v>354</v>
      </c>
      <c r="B522" s="160" t="inlineStr">
        <is>
          <t>Red Cane Vinegar</t>
        </is>
      </c>
      <c r="C522" s="143" t="n"/>
      <c r="D522" s="115">
        <f>IFERROR(__xludf.DUMMYFUNCTION("IF(J522="""",""n/a"",IFERROR(SPLIT(J522,""/"")))"),"bottle")</f>
        <v/>
      </c>
      <c r="E522" s="143">
        <f>IFERROR(__xludf.DUMMYFUNCTION("""COMPUTED_VALUE"""),"490ml")</f>
        <v/>
      </c>
      <c r="F522" s="143" t="n"/>
      <c r="G522" s="143" t="n"/>
      <c r="H522" s="11" t="inlineStr">
        <is>
          <t>CIP</t>
        </is>
      </c>
      <c r="I522" s="102" t="n"/>
      <c r="J522" s="99" t="inlineStr">
        <is>
          <t>bottle/490ml</t>
        </is>
      </c>
      <c r="K522" s="106" t="n"/>
      <c r="L522" s="100" t="n">
        <v>57</v>
      </c>
      <c r="M522" s="199" t="n">
        <v>1</v>
      </c>
      <c r="N522" s="97" t="n">
        <v>1</v>
      </c>
      <c r="O522" s="13">
        <f>E522</f>
        <v/>
      </c>
      <c r="P522" s="91" t="inlineStr">
        <is>
          <t>ml</t>
        </is>
      </c>
      <c r="Q522" s="20" t="n"/>
      <c r="R522" s="5" t="n"/>
      <c r="S522" s="229">
        <f>M522*N522</f>
        <v/>
      </c>
      <c r="T522" s="230">
        <f>CONCATENATE(S522,Q522,P522)</f>
        <v/>
      </c>
      <c r="U522" s="206">
        <f>L522*M522</f>
        <v/>
      </c>
      <c r="V522" s="4" t="n"/>
      <c r="W522" s="4" t="n"/>
      <c r="X522" s="4" t="n"/>
    </row>
    <row r="523" ht="15.75" customHeight="1" thickBot="1">
      <c r="A523" s="183" t="n">
        <v>355</v>
      </c>
      <c r="B523" s="160" t="inlineStr">
        <is>
          <t>Red Pimiento</t>
        </is>
      </c>
      <c r="C523" s="143" t="n"/>
      <c r="D523" s="115">
        <f>IFERROR(__xludf.DUMMYFUNCTION("IF(J523="""",""n/a"",IFERROR(SPLIT(J523,""/"")))"),"Mr Gulaman")</f>
        <v/>
      </c>
      <c r="E523" s="143">
        <f>IFERROR(__xludf.DUMMYFUNCTION("""COMPUTED_VALUE"""),"box")</f>
        <v/>
      </c>
      <c r="F523" s="143">
        <f>IFERROR(__xludf.DUMMYFUNCTION("""COMPUTED_VALUE"""),"(10sachetx25grams)")</f>
        <v/>
      </c>
      <c r="G523" s="143" t="n"/>
      <c r="H523" s="11" t="inlineStr">
        <is>
          <t>Annex</t>
        </is>
      </c>
      <c r="I523" s="6" t="n"/>
      <c r="J523" s="32" t="inlineStr">
        <is>
          <t>Mr Gulaman/box/(10sachetx25grams)</t>
        </is>
      </c>
      <c r="K523" s="27" t="n"/>
      <c r="L523" s="30" t="n">
        <v>0.448</v>
      </c>
      <c r="M523" s="200" t="n">
        <v>450</v>
      </c>
      <c r="N523" s="145" t="n">
        <v>25</v>
      </c>
      <c r="O523" s="13">
        <f>E523</f>
        <v/>
      </c>
      <c r="P523" s="25" t="inlineStr">
        <is>
          <t>grams</t>
        </is>
      </c>
      <c r="Q523" s="13" t="n"/>
      <c r="R523" s="78">
        <f>CONCATENATE(N523,P523)</f>
        <v/>
      </c>
      <c r="S523" s="229">
        <f>M523*N523</f>
        <v/>
      </c>
      <c r="T523" s="230">
        <f>CONCATENATE(S523,Q523,P523)</f>
        <v/>
      </c>
      <c r="U523" s="206">
        <f>L523*M523</f>
        <v/>
      </c>
      <c r="V523" s="231" t="n"/>
      <c r="W523" s="236" t="n"/>
      <c r="X523" s="71" t="n"/>
    </row>
    <row r="524" ht="15.75" customHeight="1" thickBot="1">
      <c r="A524" s="183" t="n">
        <v>356</v>
      </c>
      <c r="B524" s="143" t="inlineStr">
        <is>
          <t>Regent</t>
        </is>
      </c>
      <c r="C524" s="143" t="n"/>
      <c r="D524" s="115">
        <f>IFERROR(__xludf.DUMMYFUNCTION("IF(J524="""",""n/a"",IFERROR(SPLIT(J524,""/"")))"),"n/a")</f>
        <v/>
      </c>
      <c r="E524" s="143" t="n"/>
      <c r="F524" s="143" t="n"/>
      <c r="G524" s="143" t="n"/>
      <c r="H524" s="84" t="inlineStr">
        <is>
          <t>F1</t>
        </is>
      </c>
      <c r="I524" s="7" t="n"/>
      <c r="J524" s="32" t="n"/>
      <c r="K524" s="26" t="n"/>
      <c r="L524" s="36" t="n">
        <v>6.77</v>
      </c>
      <c r="M524" s="204" t="n">
        <v>10</v>
      </c>
      <c r="N524" s="87" t="n">
        <v>10</v>
      </c>
      <c r="O524" s="13">
        <f>E524</f>
        <v/>
      </c>
      <c r="P524" s="139" t="inlineStr">
        <is>
          <t>pieces</t>
        </is>
      </c>
      <c r="Q524" s="20" t="n"/>
      <c r="R524" s="5" t="n"/>
      <c r="S524" s="229">
        <f>M524*N524</f>
        <v/>
      </c>
      <c r="T524" s="230">
        <f>CONCATENATE(S524,Q524,P524)</f>
        <v/>
      </c>
      <c r="U524" s="206">
        <f>L524*M524</f>
        <v/>
      </c>
      <c r="V524" s="4" t="n"/>
      <c r="W524" s="4" t="n"/>
      <c r="X524" s="4" t="n"/>
    </row>
    <row r="525" ht="15.75" customHeight="1" thickBot="1">
      <c r="A525" s="183" t="n">
        <v>357</v>
      </c>
      <c r="B525" s="143" t="inlineStr">
        <is>
          <t>Rice</t>
        </is>
      </c>
      <c r="C525" s="143" t="n"/>
      <c r="D525" s="115">
        <f>IFERROR(__xludf.DUMMYFUNCTION("IF(J525="""",""n/a"",IFERROR(SPLIT(J525,""/"")))"),"Super Alsa")</f>
        <v/>
      </c>
      <c r="E525" s="143">
        <f>IFERROR(__xludf.DUMMYFUNCTION("""COMPUTED_VALUE"""),"sack")</f>
        <v/>
      </c>
      <c r="F525" s="143">
        <f>IFERROR(__xludf.DUMMYFUNCTION("""COMPUTED_VALUE"""),"25kilos")</f>
        <v/>
      </c>
      <c r="G525" s="143" t="n"/>
      <c r="H525" s="11" t="inlineStr">
        <is>
          <t>Annex</t>
        </is>
      </c>
      <c r="I525" s="6" t="n"/>
      <c r="J525" s="32" t="inlineStr">
        <is>
          <t>Super Alsa/sack/25kilos</t>
        </is>
      </c>
      <c r="K525" s="27" t="n"/>
      <c r="L525" s="30" t="n">
        <v>1170</v>
      </c>
      <c r="M525" s="200" t="n">
        <v>18</v>
      </c>
      <c r="N525" s="145" t="n">
        <v>1</v>
      </c>
      <c r="O525" s="13">
        <f>E525</f>
        <v/>
      </c>
      <c r="P525" s="25" t="inlineStr">
        <is>
          <t>kilos</t>
        </is>
      </c>
      <c r="Q525" s="13" t="n"/>
      <c r="R525" s="78">
        <f>CONCATENATE(N525,P525)</f>
        <v/>
      </c>
      <c r="S525" s="229">
        <f>M525*N525</f>
        <v/>
      </c>
      <c r="T525" s="230">
        <f>CONCATENATE(S525,Q525,P525)</f>
        <v/>
      </c>
      <c r="U525" s="206">
        <f>L525*M525</f>
        <v/>
      </c>
      <c r="V525" s="34" t="n"/>
      <c r="W525" s="34" t="n"/>
      <c r="X525" s="34" t="n"/>
    </row>
    <row r="526" ht="15.75" customHeight="1" thickBot="1">
      <c r="A526" s="183" t="n">
        <v>357</v>
      </c>
      <c r="B526" s="143" t="inlineStr">
        <is>
          <t>Rice</t>
        </is>
      </c>
      <c r="C526" s="143" t="n"/>
      <c r="D526" s="115">
        <f>IFERROR(__xludf.DUMMYFUNCTION("IF(J526="""",""n/a"",IFERROR(SPLIT(J526,""/"")))"),"Sinandomeng")</f>
        <v/>
      </c>
      <c r="E526" s="143">
        <f>IFERROR(__xludf.DUMMYFUNCTION("""COMPUTED_VALUE"""),"sack25kilos")</f>
        <v/>
      </c>
      <c r="F526" s="143" t="n"/>
      <c r="G526" s="143" t="n"/>
      <c r="H526" s="11" t="inlineStr">
        <is>
          <t>Annex</t>
        </is>
      </c>
      <c r="I526" s="6" t="n"/>
      <c r="J526" s="32" t="inlineStr">
        <is>
          <t>Sinandomeng/sack25kilos</t>
        </is>
      </c>
      <c r="K526" s="27" t="n"/>
      <c r="L526" s="30" t="n">
        <v>1180</v>
      </c>
      <c r="M526" s="200" t="n">
        <v>17</v>
      </c>
      <c r="N526" s="145" t="n">
        <v>1</v>
      </c>
      <c r="O526" s="13">
        <f>E526</f>
        <v/>
      </c>
      <c r="P526" s="25" t="inlineStr">
        <is>
          <t>kilos</t>
        </is>
      </c>
      <c r="Q526" s="13" t="n"/>
      <c r="R526" s="78">
        <f>CONCATENATE(N526,P526)</f>
        <v/>
      </c>
      <c r="S526" s="229">
        <f>M526*N526</f>
        <v/>
      </c>
      <c r="T526" s="230">
        <f>CONCATENATE(S526,Q526,P526)</f>
        <v/>
      </c>
      <c r="U526" s="206">
        <f>L526*M526</f>
        <v/>
      </c>
      <c r="V526" s="34" t="n"/>
      <c r="W526" s="34" t="n"/>
      <c r="X526" s="34" t="n"/>
    </row>
    <row r="527" ht="15.75" customHeight="1" thickBot="1">
      <c r="A527" s="183" t="n">
        <v>357</v>
      </c>
      <c r="B527" s="115" t="inlineStr">
        <is>
          <t>Rice</t>
        </is>
      </c>
      <c r="C527" s="115" t="n"/>
      <c r="D527" s="115">
        <f>IFERROR(__xludf.DUMMYFUNCTION("IF(J527="""",""n/a"",IFERROR(SPLIT(J527,""/"")))"),"n/a")</f>
        <v/>
      </c>
      <c r="E527" s="115" t="n"/>
      <c r="F527" s="115" t="n"/>
      <c r="G527" s="115" t="n"/>
      <c r="H527" s="84" t="inlineStr">
        <is>
          <t>F1</t>
        </is>
      </c>
      <c r="I527" s="7" t="n"/>
      <c r="J527" s="19" t="n"/>
      <c r="K527" s="26" t="n"/>
      <c r="L527" s="37" t="n">
        <v>48</v>
      </c>
      <c r="M527" s="201" t="n">
        <v>975</v>
      </c>
      <c r="N527" s="87" t="n">
        <v>25</v>
      </c>
      <c r="O527" s="13">
        <f>E527</f>
        <v/>
      </c>
      <c r="P527" s="25" t="inlineStr">
        <is>
          <t>kilos</t>
        </is>
      </c>
      <c r="Q527" s="20" t="n"/>
      <c r="R527" s="5" t="n"/>
      <c r="S527" s="229">
        <f>M527*N527</f>
        <v/>
      </c>
      <c r="T527" s="230">
        <f>CONCATENATE(S527,Q527,P527)</f>
        <v/>
      </c>
      <c r="U527" s="206">
        <f>L527*M527</f>
        <v/>
      </c>
      <c r="V527" s="4" t="n"/>
      <c r="W527" s="4" t="n"/>
      <c r="X527" s="4" t="n"/>
    </row>
    <row r="528" ht="15.75" customHeight="1" thickBot="1">
      <c r="A528" s="183" t="n">
        <v>358</v>
      </c>
      <c r="B528" s="114" t="inlineStr">
        <is>
          <t>Rinbee Cheese Sticks</t>
        </is>
      </c>
      <c r="C528" s="114" t="n"/>
      <c r="D528" s="115">
        <f>IFERROR(__xludf.DUMMYFUNCTION("IF(J528="""",""n/a"",IFERROR(SPLIT(J528,""/"")))"),"n/a")</f>
        <v/>
      </c>
      <c r="E528" s="114" t="n"/>
      <c r="F528" s="114" t="n"/>
      <c r="G528" s="114" t="n"/>
      <c r="H528" s="84" t="inlineStr">
        <is>
          <t>F1</t>
        </is>
      </c>
      <c r="I528" s="26" t="n"/>
      <c r="J528" s="19" t="n"/>
      <c r="K528" s="26" t="n"/>
      <c r="L528" s="36" t="n">
        <v>22.37833333333333</v>
      </c>
      <c r="M528" s="204" t="n">
        <v>1</v>
      </c>
      <c r="N528" s="87" t="n">
        <v>30</v>
      </c>
      <c r="O528" s="13">
        <f>E528</f>
        <v/>
      </c>
      <c r="P528" s="161" t="inlineStr">
        <is>
          <t>pieces</t>
        </is>
      </c>
      <c r="Q528" s="20" t="n"/>
      <c r="R528" s="5" t="n"/>
      <c r="S528" s="229">
        <f>M528*N528</f>
        <v/>
      </c>
      <c r="T528" s="230">
        <f>CONCATENATE(S528,Q528,P528)</f>
        <v/>
      </c>
      <c r="U528" s="206">
        <f>L528*M528</f>
        <v/>
      </c>
      <c r="V528" s="4" t="n"/>
      <c r="W528" s="4" t="n"/>
      <c r="X528" s="4" t="n"/>
    </row>
    <row r="529" ht="15.75" customHeight="1" thickBot="1">
      <c r="A529" s="183" t="n">
        <v>359</v>
      </c>
      <c r="B529" s="114" t="inlineStr">
        <is>
          <t>Rite &amp; Lite Rootbeer</t>
        </is>
      </c>
      <c r="C529" s="114" t="n"/>
      <c r="D529" s="115">
        <f>IFERROR(__xludf.DUMMYFUNCTION("IF(J529="""",""n/a"",IFERROR(SPLIT(J529,""/"")))"),"case (24pcsx250ml)")</f>
        <v/>
      </c>
      <c r="E529" s="114" t="n"/>
      <c r="F529" s="114" t="n"/>
      <c r="G529" s="114" t="n"/>
      <c r="H529" s="11" t="inlineStr">
        <is>
          <t>CIP</t>
        </is>
      </c>
      <c r="I529" s="27" t="n"/>
      <c r="J529" s="93" t="inlineStr">
        <is>
          <t>case (24pcsx250ml)</t>
        </is>
      </c>
      <c r="K529" s="38" t="n"/>
      <c r="L529" s="100" t="n">
        <v>30.07</v>
      </c>
      <c r="M529" s="199" t="n">
        <v>18</v>
      </c>
      <c r="N529" s="97" t="n">
        <v>1</v>
      </c>
      <c r="O529" s="13">
        <f>E529</f>
        <v/>
      </c>
      <c r="P529" s="91" t="inlineStr">
        <is>
          <t>pieces</t>
        </is>
      </c>
      <c r="Q529" s="20" t="n"/>
      <c r="R529" s="5" t="n"/>
      <c r="S529" s="229">
        <f>M529*N529</f>
        <v/>
      </c>
      <c r="T529" s="230">
        <f>CONCATENATE(S529,Q529,P529)</f>
        <v/>
      </c>
      <c r="U529" s="206">
        <f>L529*M529</f>
        <v/>
      </c>
      <c r="V529" s="4" t="n"/>
      <c r="W529" s="4" t="n"/>
      <c r="X529" s="4" t="n"/>
    </row>
    <row r="530" ht="15.75" customHeight="1" thickBot="1">
      <c r="A530" s="183" t="n">
        <v>360</v>
      </c>
      <c r="B530" s="115" t="inlineStr">
        <is>
          <t>Royal - Can</t>
        </is>
      </c>
      <c r="C530" s="115" t="n"/>
      <c r="D530" s="115">
        <f>IFERROR(__xludf.DUMMYFUNCTION("IF(J530="""",""n/a"",IFERROR(SPLIT(J530,""/"")))"),"n/a")</f>
        <v/>
      </c>
      <c r="E530" s="115" t="n"/>
      <c r="F530" s="115" t="n"/>
      <c r="G530" s="115" t="n"/>
      <c r="H530" s="84" t="inlineStr">
        <is>
          <t>F1</t>
        </is>
      </c>
      <c r="I530" s="26" t="n"/>
      <c r="J530" s="19" t="n"/>
      <c r="K530" s="26" t="n"/>
      <c r="L530" s="36" t="n">
        <v>32.84375</v>
      </c>
      <c r="M530" s="204" t="n">
        <v>8</v>
      </c>
      <c r="N530" s="87" t="n">
        <v>24</v>
      </c>
      <c r="O530" s="13">
        <f>E530</f>
        <v/>
      </c>
      <c r="P530" s="139" t="inlineStr">
        <is>
          <t>pieces</t>
        </is>
      </c>
      <c r="Q530" s="20" t="n"/>
      <c r="R530" s="5" t="n"/>
      <c r="S530" s="229">
        <f>M530*N530</f>
        <v/>
      </c>
      <c r="T530" s="230">
        <f>CONCATENATE(S530,Q530,P530)</f>
        <v/>
      </c>
      <c r="U530" s="206">
        <f>L530*M530</f>
        <v/>
      </c>
      <c r="V530" s="4" t="n"/>
      <c r="W530" s="4" t="n"/>
      <c r="X530" s="4" t="n"/>
    </row>
    <row r="531" ht="15.75" customHeight="1" thickBot="1">
      <c r="A531" s="183" t="n">
        <v>361</v>
      </c>
      <c r="B531" s="115" t="inlineStr">
        <is>
          <t>Royal mismo</t>
        </is>
      </c>
      <c r="C531" s="115" t="n"/>
      <c r="D531" s="115">
        <f>IFERROR(__xludf.DUMMYFUNCTION("IF(J531="""",""n/a"",IFERROR(SPLIT(J531,""/"")))"),"Coca-Cola")</f>
        <v/>
      </c>
      <c r="E531" s="115">
        <f>IFERROR(__xludf.DUMMYFUNCTION("""COMPUTED_VALUE"""),"case (24x250ml)")</f>
        <v/>
      </c>
      <c r="F531" s="115" t="n"/>
      <c r="G531" s="115" t="n"/>
      <c r="H531" s="11" t="inlineStr">
        <is>
          <t>Annex</t>
        </is>
      </c>
      <c r="I531" s="27" t="n"/>
      <c r="J531" s="98" t="inlineStr">
        <is>
          <t>Coca-Cola/case (24x250ml)</t>
        </is>
      </c>
      <c r="K531" s="27" t="n"/>
      <c r="L531" s="148" t="n">
        <v>12.57</v>
      </c>
      <c r="M531" s="200" t="n">
        <v>3</v>
      </c>
      <c r="N531" s="146" t="n">
        <v>1</v>
      </c>
      <c r="O531" s="13">
        <f>E531</f>
        <v/>
      </c>
      <c r="P531" s="28" t="inlineStr">
        <is>
          <t>pieces</t>
        </is>
      </c>
      <c r="Q531" s="13" t="n"/>
      <c r="R531" s="78">
        <f>CONCATENATE(N531,P531)</f>
        <v/>
      </c>
      <c r="S531" s="229">
        <f>M531*N531</f>
        <v/>
      </c>
      <c r="T531" s="230">
        <f>CONCATENATE(S531,Q531,P531)</f>
        <v/>
      </c>
      <c r="U531" s="206">
        <f>L531*M531</f>
        <v/>
      </c>
      <c r="V531" s="231" t="n"/>
      <c r="W531" s="236" t="n"/>
      <c r="X531" s="71" t="n"/>
    </row>
    <row r="532" ht="15.75" customHeight="1" thickBot="1">
      <c r="A532" s="183" t="n">
        <v>361</v>
      </c>
      <c r="B532" s="166" t="inlineStr">
        <is>
          <t>Royal mismo</t>
        </is>
      </c>
      <c r="C532" s="142" t="n"/>
      <c r="D532" s="115">
        <f>IFERROR(__xludf.DUMMYFUNCTION("IF(J532="""",""n/a"",IFERROR(SPLIT(J532,""/"")))"),"Coca-Cola")</f>
        <v/>
      </c>
      <c r="E532" s="142">
        <f>IFERROR(__xludf.DUMMYFUNCTION("""COMPUTED_VALUE"""),"case (24x250ml)")</f>
        <v/>
      </c>
      <c r="F532" s="142" t="n"/>
      <c r="G532" s="142" t="n"/>
      <c r="H532" s="11" t="inlineStr">
        <is>
          <t>CIP</t>
        </is>
      </c>
      <c r="I532" s="92" t="n"/>
      <c r="J532" s="93" t="inlineStr">
        <is>
          <t>Coca-Cola/case (24x250ml)</t>
        </is>
      </c>
      <c r="K532" s="38" t="n"/>
      <c r="L532" s="100" t="n">
        <v>16.66</v>
      </c>
      <c r="M532" s="199" t="n">
        <v>120</v>
      </c>
      <c r="N532" s="97" t="n">
        <v>1</v>
      </c>
      <c r="O532" s="13">
        <f>E532</f>
        <v/>
      </c>
      <c r="P532" s="91" t="inlineStr">
        <is>
          <t>pieces</t>
        </is>
      </c>
      <c r="Q532" s="20" t="n"/>
      <c r="R532" s="5" t="n"/>
      <c r="S532" s="229">
        <f>M532*N532</f>
        <v/>
      </c>
      <c r="T532" s="230">
        <f>CONCATENATE(S532,Q532,P532)</f>
        <v/>
      </c>
      <c r="U532" s="206">
        <f>L532*M532</f>
        <v/>
      </c>
      <c r="V532" s="4" t="n"/>
      <c r="W532" s="4" t="n"/>
      <c r="X532" s="4" t="n"/>
    </row>
    <row r="533" ht="15.75" customHeight="1" thickBot="1">
      <c r="A533" s="183" t="n">
        <v>362</v>
      </c>
      <c r="B533" s="167" t="inlineStr">
        <is>
          <t>Sake</t>
        </is>
      </c>
      <c r="C533" s="168" t="n"/>
      <c r="D533" s="115">
        <f>IFERROR(__xludf.DUMMYFUNCTION("IF(J533="""",""n/a"",IFERROR(SPLIT(J533,""/"")))"),"n/a")</f>
        <v/>
      </c>
      <c r="E533" s="168" t="n"/>
      <c r="F533" s="168" t="n"/>
      <c r="G533" s="168" t="n"/>
      <c r="H533" s="84" t="inlineStr">
        <is>
          <t>F1</t>
        </is>
      </c>
      <c r="I533" s="26" t="n"/>
      <c r="J533" s="19" t="n"/>
      <c r="K533" s="26" t="n"/>
      <c r="L533" s="36" t="n">
        <v>0.17</v>
      </c>
      <c r="M533" s="201" t="n">
        <v>400</v>
      </c>
      <c r="N533" s="87" t="n">
        <v>1800</v>
      </c>
      <c r="O533" s="13">
        <f>E533</f>
        <v/>
      </c>
      <c r="P533" s="25" t="inlineStr">
        <is>
          <t>ml</t>
        </is>
      </c>
      <c r="Q533" s="20" t="n"/>
      <c r="R533" s="5" t="n"/>
      <c r="S533" s="229">
        <f>M533*N533</f>
        <v/>
      </c>
      <c r="T533" s="230">
        <f>CONCATENATE(S533,Q533,P533)</f>
        <v/>
      </c>
      <c r="U533" s="206">
        <f>L533*M533</f>
        <v/>
      </c>
      <c r="V533" s="4" t="n"/>
      <c r="W533" s="4" t="n"/>
      <c r="X533" s="4" t="n"/>
    </row>
    <row r="534" ht="15.75" customHeight="1" thickBot="1">
      <c r="A534" s="183" t="n">
        <v>363</v>
      </c>
      <c r="B534" s="167" t="inlineStr">
        <is>
          <t>Salabat</t>
        </is>
      </c>
      <c r="C534" s="168" t="n"/>
      <c r="D534" s="115">
        <f>IFERROR(__xludf.DUMMYFUNCTION("IF(J534="""",""n/a"",IFERROR(SPLIT(J534,""/"")))"),"Ludys")</f>
        <v/>
      </c>
      <c r="E534" s="168">
        <f>IFERROR(__xludf.DUMMYFUNCTION("""COMPUTED_VALUE"""),"box (pcsx8 grams)")</f>
        <v/>
      </c>
      <c r="F534" s="168" t="n"/>
      <c r="G534" s="168" t="n"/>
      <c r="H534" s="11" t="inlineStr">
        <is>
          <t>Annex</t>
        </is>
      </c>
      <c r="I534" s="27" t="n"/>
      <c r="J534" s="19" t="inlineStr">
        <is>
          <t>Ludys/box (pcsx8 grams)</t>
        </is>
      </c>
      <c r="K534" s="27" t="n"/>
      <c r="L534" s="148" t="n">
        <v>3.91</v>
      </c>
      <c r="M534" s="200" t="n">
        <v>166</v>
      </c>
      <c r="N534" s="145" t="n">
        <v>1</v>
      </c>
      <c r="O534" s="13">
        <f>E534</f>
        <v/>
      </c>
      <c r="P534" s="25" t="inlineStr">
        <is>
          <t>pieces</t>
        </is>
      </c>
      <c r="Q534" s="13" t="n"/>
      <c r="R534" s="78">
        <f>CONCATENATE(N534,P534)</f>
        <v/>
      </c>
      <c r="S534" s="229">
        <f>M534*N534</f>
        <v/>
      </c>
      <c r="T534" s="230">
        <f>CONCATENATE(S534,Q534,P534)</f>
        <v/>
      </c>
      <c r="U534" s="206">
        <f>L534*M534</f>
        <v/>
      </c>
      <c r="V534" s="231" t="n"/>
      <c r="W534" s="236" t="n"/>
      <c r="X534" s="71" t="n"/>
    </row>
    <row r="535" ht="15.75" customHeight="1" thickBot="1">
      <c r="A535" s="183" t="n">
        <v>363</v>
      </c>
      <c r="B535" s="114" t="inlineStr">
        <is>
          <t>Salabat</t>
        </is>
      </c>
      <c r="C535" s="114" t="n"/>
      <c r="D535" s="115">
        <f>IFERROR(__xludf.DUMMYFUNCTION("IF(J535="""",""n/a"",IFERROR(SPLIT(J535,""/"")))"),"n/a")</f>
        <v/>
      </c>
      <c r="E535" s="114" t="n"/>
      <c r="F535" s="114" t="n"/>
      <c r="G535" s="114" t="n"/>
      <c r="H535" s="84" t="inlineStr">
        <is>
          <t>F1</t>
        </is>
      </c>
      <c r="I535" s="26" t="n"/>
      <c r="J535" s="19" t="n"/>
      <c r="K535" s="26" t="n"/>
      <c r="L535" s="37" t="n">
        <v>3.991666666666666</v>
      </c>
      <c r="M535" s="204" t="n">
        <v>133</v>
      </c>
      <c r="N535" s="87" t="n">
        <v>72</v>
      </c>
      <c r="O535" s="13">
        <f>E535</f>
        <v/>
      </c>
      <c r="P535" s="139" t="inlineStr">
        <is>
          <t>pieces</t>
        </is>
      </c>
      <c r="Q535" s="20" t="n"/>
      <c r="R535" s="5" t="n"/>
      <c r="S535" s="229">
        <f>M535*N535</f>
        <v/>
      </c>
      <c r="T535" s="230">
        <f>CONCATENATE(S535,Q535,P535)</f>
        <v/>
      </c>
      <c r="U535" s="206">
        <f>L535*M535</f>
        <v/>
      </c>
      <c r="V535" s="4" t="n"/>
      <c r="W535" s="4" t="n"/>
      <c r="X535" s="4" t="n"/>
    </row>
    <row r="536" ht="15.75" customHeight="1" thickBot="1">
      <c r="A536" s="183" t="n">
        <v>364</v>
      </c>
      <c r="B536" s="115" t="inlineStr">
        <is>
          <t>Salt</t>
        </is>
      </c>
      <c r="C536" s="115" t="n"/>
      <c r="D536" s="115">
        <f>IFERROR(__xludf.DUMMYFUNCTION("IF(J536="""",""n/a"",IFERROR(SPLIT(J536,""/"")))"),"Crystal")</f>
        <v/>
      </c>
      <c r="E536" s="115">
        <f>IFERROR(__xludf.DUMMYFUNCTION("""COMPUTED_VALUE"""),"pack")</f>
        <v/>
      </c>
      <c r="F536" s="115">
        <f>IFERROR(__xludf.DUMMYFUNCTION("""COMPUTED_VALUE"""),"1000grams")</f>
        <v/>
      </c>
      <c r="G536" s="115" t="n"/>
      <c r="H536" s="11" t="inlineStr">
        <is>
          <t>Annex</t>
        </is>
      </c>
      <c r="I536" s="6" t="n"/>
      <c r="J536" s="19" t="inlineStr">
        <is>
          <t>Crystal/pack/1000grams</t>
        </is>
      </c>
      <c r="K536" s="27" t="n"/>
      <c r="L536" s="163" t="n">
        <v>0.012</v>
      </c>
      <c r="M536" s="200" t="n">
        <v>2000</v>
      </c>
      <c r="N536" s="145" t="n">
        <v>1000</v>
      </c>
      <c r="O536" s="13">
        <f>E536</f>
        <v/>
      </c>
      <c r="P536" s="25" t="inlineStr">
        <is>
          <t>grams</t>
        </is>
      </c>
      <c r="Q536" s="13" t="n"/>
      <c r="R536" s="78">
        <f>CONCATENATE(N536,P536)</f>
        <v/>
      </c>
      <c r="S536" s="229">
        <f>M536*N536</f>
        <v/>
      </c>
      <c r="T536" s="230">
        <f>CONCATENATE(S536,Q536,P536)</f>
        <v/>
      </c>
      <c r="U536" s="206">
        <f>L536*M536</f>
        <v/>
      </c>
      <c r="V536" s="231" t="n"/>
      <c r="W536" s="34" t="n"/>
      <c r="X536" s="34" t="n"/>
    </row>
    <row r="537" ht="15.75" customHeight="1" thickBot="1">
      <c r="A537" s="183" t="n">
        <v>364</v>
      </c>
      <c r="B537" s="114" t="inlineStr">
        <is>
          <t>Salt</t>
        </is>
      </c>
      <c r="C537" s="114" t="n"/>
      <c r="D537" s="115">
        <f>IFERROR(__xludf.DUMMYFUNCTION("IF(J537="""",""n/a"",IFERROR(SPLIT(J537,""/"")))"),"n/a")</f>
        <v/>
      </c>
      <c r="E537" s="114" t="n"/>
      <c r="F537" s="114" t="n"/>
      <c r="G537" s="114" t="n"/>
      <c r="H537" s="84" t="inlineStr">
        <is>
          <t>F1</t>
        </is>
      </c>
      <c r="I537" s="7" t="n"/>
      <c r="J537" s="19" t="n"/>
      <c r="K537" s="26" t="n"/>
      <c r="L537" s="36" t="n">
        <v>0.025</v>
      </c>
      <c r="M537" s="201" t="n">
        <v>8000</v>
      </c>
      <c r="N537" s="87" t="n">
        <v>1000</v>
      </c>
      <c r="O537" s="13">
        <f>E537</f>
        <v/>
      </c>
      <c r="P537" s="25" t="inlineStr">
        <is>
          <t>grams</t>
        </is>
      </c>
      <c r="Q537" s="20" t="n"/>
      <c r="R537" s="5" t="n"/>
      <c r="S537" s="229">
        <f>M537*N537</f>
        <v/>
      </c>
      <c r="T537" s="230">
        <f>CONCATENATE(S537,Q537,P537)</f>
        <v/>
      </c>
      <c r="U537" s="206">
        <f>L537*M537</f>
        <v/>
      </c>
      <c r="V537" s="4" t="n"/>
      <c r="W537" s="4" t="n"/>
      <c r="X537" s="4" t="n"/>
    </row>
    <row r="538" ht="15.75" customHeight="1" thickBot="1">
      <c r="A538" s="183" t="n">
        <v>365</v>
      </c>
      <c r="B538" s="115" t="inlineStr">
        <is>
          <t>Salt - Rock</t>
        </is>
      </c>
      <c r="C538" s="115" t="n"/>
      <c r="D538" s="115">
        <f>IFERROR(__xludf.DUMMYFUNCTION("IF(J538="""",""n/a"",IFERROR(SPLIT(J538,""/"")))"),"pack")</f>
        <v/>
      </c>
      <c r="E538" s="115">
        <f>IFERROR(__xludf.DUMMYFUNCTION("""COMPUTED_VALUE"""),"1000grams")</f>
        <v/>
      </c>
      <c r="F538" s="115" t="n"/>
      <c r="G538" s="115" t="n"/>
      <c r="H538" s="11" t="inlineStr">
        <is>
          <t>CIP</t>
        </is>
      </c>
      <c r="I538" s="95" t="n"/>
      <c r="J538" s="93" t="inlineStr">
        <is>
          <t>/pack/1000grams</t>
        </is>
      </c>
      <c r="K538" s="106" t="n"/>
      <c r="L538" s="100" t="n">
        <v>15</v>
      </c>
      <c r="M538" s="199" t="n">
        <v>3</v>
      </c>
      <c r="N538" s="91" t="n">
        <v>1</v>
      </c>
      <c r="O538" s="13">
        <f>E538</f>
        <v/>
      </c>
      <c r="P538" s="91" t="inlineStr">
        <is>
          <t>grams</t>
        </is>
      </c>
      <c r="Q538" s="20" t="n"/>
      <c r="R538" s="5" t="n"/>
      <c r="S538" s="229">
        <f>M538*N538</f>
        <v/>
      </c>
      <c r="T538" s="230">
        <f>CONCATENATE(S538,Q538,P538)</f>
        <v/>
      </c>
      <c r="U538" s="206">
        <f>L538*M538</f>
        <v/>
      </c>
      <c r="V538" s="4" t="n"/>
      <c r="W538" s="4" t="n"/>
      <c r="X538" s="4" t="n"/>
    </row>
    <row r="539" ht="15.75" customHeight="1" thickBot="1">
      <c r="A539" s="183" t="n">
        <v>366</v>
      </c>
      <c r="B539" s="143" t="inlineStr">
        <is>
          <t>Salted Black Beans</t>
        </is>
      </c>
      <c r="C539" s="143" t="n"/>
      <c r="D539" s="115">
        <f>IFERROR(__xludf.DUMMYFUNCTION("IF(J539="""",""n/a"",IFERROR(SPLIT(J539,""/"")))"),"Ram")</f>
        <v/>
      </c>
      <c r="E539" s="143">
        <f>IFERROR(__xludf.DUMMYFUNCTION("""COMPUTED_VALUE"""),"pack")</f>
        <v/>
      </c>
      <c r="F539" s="143">
        <f>IFERROR(__xludf.DUMMYFUNCTION("""COMPUTED_VALUE"""),"100grams")</f>
        <v/>
      </c>
      <c r="G539" s="143" t="n"/>
      <c r="H539" s="11" t="inlineStr">
        <is>
          <t>Annex</t>
        </is>
      </c>
      <c r="I539" s="6" t="n"/>
      <c r="J539" s="32" t="inlineStr">
        <is>
          <t>Ram/pack/100grams</t>
        </is>
      </c>
      <c r="K539" s="27" t="n"/>
      <c r="L539" s="30" t="n">
        <v>0.1572</v>
      </c>
      <c r="M539" s="200" t="n">
        <v>3500</v>
      </c>
      <c r="N539" s="169" t="n">
        <v>100</v>
      </c>
      <c r="O539" s="13">
        <f>E539</f>
        <v/>
      </c>
      <c r="P539" s="25" t="inlineStr">
        <is>
          <t>grams</t>
        </is>
      </c>
      <c r="Q539" s="13" t="n"/>
      <c r="R539" s="78">
        <f>CONCATENATE(N539,P539)</f>
        <v/>
      </c>
      <c r="S539" s="229">
        <f>M539*N539</f>
        <v/>
      </c>
      <c r="T539" s="230">
        <f>CONCATENATE(S539,Q539,P539)</f>
        <v/>
      </c>
      <c r="U539" s="206">
        <f>L539*M539</f>
        <v/>
      </c>
      <c r="V539" s="231" t="n"/>
      <c r="W539" s="236" t="n"/>
      <c r="X539" s="71" t="n"/>
    </row>
    <row r="540" ht="15.75" customHeight="1" thickBot="1">
      <c r="A540" s="183" t="n">
        <v>367</v>
      </c>
      <c r="B540" s="122" t="inlineStr">
        <is>
          <t>San Mig Coffee - Original</t>
        </is>
      </c>
      <c r="C540" s="122" t="n"/>
      <c r="D540" s="115">
        <f>IFERROR(__xludf.DUMMYFUNCTION("IF(J540="""",""n/a"",IFERROR(SPLIT(J540,""/"")))"),"San Mig")</f>
        <v/>
      </c>
      <c r="E540" s="122">
        <f>IFERROR(__xludf.DUMMYFUNCTION("""COMPUTED_VALUE"""),"pack")</f>
        <v/>
      </c>
      <c r="F540" s="122">
        <f>IFERROR(__xludf.DUMMYFUNCTION("""COMPUTED_VALUE"""),"7grams")</f>
        <v/>
      </c>
      <c r="G540" s="122" t="n"/>
      <c r="H540" s="11" t="inlineStr">
        <is>
          <t>CIP</t>
        </is>
      </c>
      <c r="I540" s="95" t="n"/>
      <c r="J540" s="19" t="inlineStr">
        <is>
          <t>San Mig/pack/7grams</t>
        </is>
      </c>
      <c r="K540" s="106" t="n"/>
      <c r="L540" s="104" t="n">
        <v>6.69</v>
      </c>
      <c r="M540" s="199" t="n">
        <v>354</v>
      </c>
      <c r="N540" s="97" t="n">
        <v>1</v>
      </c>
      <c r="O540" s="13">
        <f>E540</f>
        <v/>
      </c>
      <c r="P540" s="91" t="inlineStr">
        <is>
          <t>pieces</t>
        </is>
      </c>
      <c r="Q540" s="20" t="n"/>
      <c r="R540" s="5" t="n"/>
      <c r="S540" s="229">
        <f>M540*N540</f>
        <v/>
      </c>
      <c r="T540" s="230">
        <f>CONCATENATE(S540,Q540,P540)</f>
        <v/>
      </c>
      <c r="U540" s="206">
        <f>L540*M540</f>
        <v/>
      </c>
      <c r="V540" s="4" t="n"/>
      <c r="W540" s="4" t="n"/>
      <c r="X540" s="4" t="n"/>
    </row>
    <row r="541" ht="15.75" customHeight="1" thickBot="1">
      <c r="A541" s="183" t="n">
        <v>368</v>
      </c>
      <c r="B541" s="115" t="inlineStr">
        <is>
          <t>San Mig Coffee - Sugar Free</t>
        </is>
      </c>
      <c r="C541" s="115" t="n"/>
      <c r="D541" s="115">
        <f>IFERROR(__xludf.DUMMYFUNCTION("IF(J541="""",""n/a"",IFERROR(SPLIT(J541,""/"")))"),"San Mig")</f>
        <v/>
      </c>
      <c r="E541" s="115">
        <f>IFERROR(__xludf.DUMMYFUNCTION("""COMPUTED_VALUE"""),"pack (10pcsx20grams)")</f>
        <v/>
      </c>
      <c r="F541" s="115" t="n"/>
      <c r="G541" s="115" t="n"/>
      <c r="H541" s="11" t="inlineStr">
        <is>
          <t>Annex</t>
        </is>
      </c>
      <c r="I541" s="6" t="n"/>
      <c r="J541" s="19" t="inlineStr">
        <is>
          <t>San Mig/pack (10pcsx20grams)</t>
        </is>
      </c>
      <c r="K541" s="27" t="n"/>
      <c r="L541" s="148" t="n">
        <v>8.6</v>
      </c>
      <c r="M541" s="200" t="n">
        <v>270</v>
      </c>
      <c r="N541" s="145" t="n">
        <v>1</v>
      </c>
      <c r="O541" s="13">
        <f>E541</f>
        <v/>
      </c>
      <c r="P541" s="25" t="inlineStr">
        <is>
          <t>pieces</t>
        </is>
      </c>
      <c r="Q541" s="13" t="n"/>
      <c r="R541" s="78">
        <f>CONCATENATE(N541,P541)</f>
        <v/>
      </c>
      <c r="S541" s="229">
        <f>M541*N541</f>
        <v/>
      </c>
      <c r="T541" s="230">
        <f>CONCATENATE(S541,Q541,P541)</f>
        <v/>
      </c>
      <c r="U541" s="206">
        <f>L541*M541</f>
        <v/>
      </c>
      <c r="V541" s="231" t="n"/>
      <c r="W541" s="237" t="n"/>
      <c r="X541" s="71" t="n"/>
    </row>
    <row r="542" ht="15.75" customHeight="1" thickBot="1">
      <c r="A542" s="183" t="n">
        <v>368</v>
      </c>
      <c r="B542" s="114" t="inlineStr">
        <is>
          <t>San Mig Coffee - Sugar Free</t>
        </is>
      </c>
      <c r="C542" s="114" t="n"/>
      <c r="D542" s="115">
        <f>IFERROR(__xludf.DUMMYFUNCTION("IF(J542="""",""n/a"",IFERROR(SPLIT(J542,""/"")))"),"San Mig")</f>
        <v/>
      </c>
      <c r="E542" s="114">
        <f>IFERROR(__xludf.DUMMYFUNCTION("""COMPUTED_VALUE"""),"pack (10pcsx20grams)")</f>
        <v/>
      </c>
      <c r="F542" s="114" t="n"/>
      <c r="G542" s="114" t="n"/>
      <c r="H542" s="11" t="inlineStr">
        <is>
          <t>CIP</t>
        </is>
      </c>
      <c r="I542" s="95" t="n"/>
      <c r="J542" s="93" t="inlineStr">
        <is>
          <t>San Mig/pack (10pcsx20grams)</t>
        </is>
      </c>
      <c r="K542" s="103" t="n"/>
      <c r="L542" s="100" t="n">
        <v>8.73</v>
      </c>
      <c r="M542" s="199" t="n">
        <v>580</v>
      </c>
      <c r="N542" s="97" t="n">
        <v>1</v>
      </c>
      <c r="O542" s="13">
        <f>E542</f>
        <v/>
      </c>
      <c r="P542" s="91" t="inlineStr">
        <is>
          <t>pieces</t>
        </is>
      </c>
      <c r="Q542" s="20" t="n"/>
      <c r="R542" s="5" t="n"/>
      <c r="S542" s="229">
        <f>M542*N542</f>
        <v/>
      </c>
      <c r="T542" s="230">
        <f>CONCATENATE(S542,Q542,P542)</f>
        <v/>
      </c>
      <c r="U542" s="206">
        <f>L542*M542</f>
        <v/>
      </c>
      <c r="V542" s="4" t="n"/>
      <c r="W542" s="4" t="n"/>
      <c r="X542" s="4" t="n"/>
    </row>
    <row r="543" ht="15.75" customHeight="1" thickBot="1">
      <c r="A543" s="183" t="n">
        <v>369</v>
      </c>
      <c r="B543" s="147" t="inlineStr">
        <is>
          <t>Sanitary Napkin - Day</t>
        </is>
      </c>
      <c r="C543" s="147" t="n"/>
      <c r="D543" s="115">
        <f>IFERROR(__xludf.DUMMYFUNCTION("IF(J543="""",""n/a"",IFERROR(SPLIT(J543,""/"")))"),"n/a")</f>
        <v/>
      </c>
      <c r="E543" s="147" t="n"/>
      <c r="F543" s="147" t="n"/>
      <c r="G543" s="147" t="n"/>
      <c r="H543" s="84" t="inlineStr">
        <is>
          <t>F1</t>
        </is>
      </c>
      <c r="I543" s="7" t="n"/>
      <c r="J543" s="32" t="n"/>
      <c r="K543" s="24" t="n"/>
      <c r="L543" s="36" t="n">
        <v>20</v>
      </c>
      <c r="M543" s="201" t="n">
        <v>116</v>
      </c>
      <c r="N543" s="87" t="n">
        <v>1</v>
      </c>
      <c r="O543" s="13">
        <f>E543</f>
        <v/>
      </c>
      <c r="P543" s="28" t="inlineStr">
        <is>
          <t>pieces</t>
        </is>
      </c>
      <c r="Q543" s="20" t="n"/>
      <c r="R543" s="5" t="n"/>
      <c r="S543" s="229">
        <f>M543*N543</f>
        <v/>
      </c>
      <c r="T543" s="230">
        <f>CONCATENATE(S543,Q543,P543)</f>
        <v/>
      </c>
      <c r="U543" s="206">
        <f>L543*M543</f>
        <v/>
      </c>
      <c r="V543" s="4" t="n"/>
      <c r="W543" s="4" t="n"/>
      <c r="X543" s="4" t="n"/>
    </row>
    <row r="544" ht="15.75" customHeight="1" thickBot="1">
      <c r="A544" s="183" t="n">
        <v>370</v>
      </c>
      <c r="B544" s="147" t="inlineStr">
        <is>
          <t>Sanitary Napkin - Night Max</t>
        </is>
      </c>
      <c r="C544" s="147" t="n"/>
      <c r="D544" s="115">
        <f>IFERROR(__xludf.DUMMYFUNCTION("IF(J544="""",""n/a"",IFERROR(SPLIT(J544,""/"")))"),"n/a")</f>
        <v/>
      </c>
      <c r="E544" s="147" t="n"/>
      <c r="F544" s="147" t="n"/>
      <c r="G544" s="147" t="n"/>
      <c r="H544" s="84" t="inlineStr">
        <is>
          <t>F1</t>
        </is>
      </c>
      <c r="I544" s="7" t="n"/>
      <c r="J544" s="32" t="n"/>
      <c r="K544" s="24" t="n"/>
      <c r="L544" s="36" t="n">
        <v>23.84</v>
      </c>
      <c r="M544" s="201" t="n">
        <v>72</v>
      </c>
      <c r="N544" s="87" t="n">
        <v>1</v>
      </c>
      <c r="O544" s="13">
        <f>E544</f>
        <v/>
      </c>
      <c r="P544" s="28" t="inlineStr">
        <is>
          <t>pieces</t>
        </is>
      </c>
      <c r="Q544" s="20" t="n"/>
      <c r="R544" s="5" t="n"/>
      <c r="S544" s="229">
        <f>M544*N544</f>
        <v/>
      </c>
      <c r="T544" s="230">
        <f>CONCATENATE(S544,Q544,P544)</f>
        <v/>
      </c>
      <c r="U544" s="206">
        <f>L544*M544</f>
        <v/>
      </c>
      <c r="V544" s="4" t="n"/>
      <c r="W544" s="4" t="n"/>
      <c r="X544" s="4" t="n"/>
    </row>
    <row r="545" ht="15.75" customHeight="1" thickBot="1">
      <c r="A545" s="183" t="n">
        <v>371</v>
      </c>
      <c r="B545" s="170" t="inlineStr">
        <is>
          <t>Sanitary Napkin non Wings</t>
        </is>
      </c>
      <c r="C545" s="170" t="n"/>
      <c r="D545" s="115">
        <f>IFERROR(__xludf.DUMMYFUNCTION("IF(J545="""",""n/a"",IFERROR(SPLIT(J545,""/"")))"),"Silkday")</f>
        <v/>
      </c>
      <c r="E545" s="170">
        <f>IFERROR(__xludf.DUMMYFUNCTION("""COMPUTED_VALUE"""),"packx20's")</f>
        <v/>
      </c>
      <c r="F545" s="170" t="n"/>
      <c r="G545" s="170" t="n"/>
      <c r="H545" s="11" t="inlineStr">
        <is>
          <t>Annex</t>
        </is>
      </c>
      <c r="I545" s="6" t="n"/>
      <c r="J545" s="171" t="inlineStr">
        <is>
          <t>Silkday/packx20's</t>
        </is>
      </c>
      <c r="K545" s="42" t="n"/>
      <c r="L545" s="41" t="n">
        <v>2.78</v>
      </c>
      <c r="M545" s="200" t="n">
        <v>304</v>
      </c>
      <c r="N545" s="172" t="n">
        <v>1</v>
      </c>
      <c r="O545" s="13">
        <f>E545</f>
        <v/>
      </c>
      <c r="P545" s="25" t="inlineStr">
        <is>
          <t>pieces</t>
        </is>
      </c>
      <c r="Q545" s="13" t="n"/>
      <c r="R545" s="78">
        <f>CONCATENATE(N545,P545)</f>
        <v/>
      </c>
      <c r="S545" s="229">
        <f>M545*N545</f>
        <v/>
      </c>
      <c r="T545" s="230">
        <f>CONCATENATE(S545,Q545,P545)</f>
        <v/>
      </c>
      <c r="U545" s="206">
        <f>L545*M545</f>
        <v/>
      </c>
      <c r="V545" s="34" t="n"/>
      <c r="W545" s="34" t="n"/>
      <c r="X545" s="34" t="n"/>
    </row>
    <row r="546" ht="15.75" customHeight="1" thickBot="1">
      <c r="A546" s="183" t="n">
        <v>372</v>
      </c>
      <c r="B546" s="115" t="inlineStr">
        <is>
          <t>Sardines in Tomato Sauce</t>
        </is>
      </c>
      <c r="C546" s="115" t="n"/>
      <c r="D546" s="115">
        <f>IFERROR(__xludf.DUMMYFUNCTION("IF(J546="""",""n/a"",IFERROR(SPLIT(J546,""/"")))"),"Mega")</f>
        <v/>
      </c>
      <c r="E546" s="115">
        <f>IFERROR(__xludf.DUMMYFUNCTION("""COMPUTED_VALUE"""),"can")</f>
        <v/>
      </c>
      <c r="F546" s="115">
        <f>IFERROR(__xludf.DUMMYFUNCTION("""COMPUTED_VALUE"""),"425grams")</f>
        <v/>
      </c>
      <c r="G546" s="115" t="n"/>
      <c r="H546" s="11" t="inlineStr">
        <is>
          <t>Annex</t>
        </is>
      </c>
      <c r="I546" s="6" t="n"/>
      <c r="J546" s="19" t="inlineStr">
        <is>
          <t>Mega/can/425grams</t>
        </is>
      </c>
      <c r="K546" s="42" t="n"/>
      <c r="L546" s="8" t="n">
        <v>0.1360705882352941</v>
      </c>
      <c r="M546" s="200" t="n">
        <v>4250</v>
      </c>
      <c r="N546" s="145" t="n">
        <v>425</v>
      </c>
      <c r="O546" s="13">
        <f>E546</f>
        <v/>
      </c>
      <c r="P546" s="9" t="inlineStr">
        <is>
          <t>grams</t>
        </is>
      </c>
      <c r="Q546" s="13" t="n"/>
      <c r="R546" s="78">
        <f>CONCATENATE(N546,P546)</f>
        <v/>
      </c>
      <c r="S546" s="229">
        <f>M546*N546</f>
        <v/>
      </c>
      <c r="T546" s="230">
        <f>CONCATENATE(S546,Q546,P546)</f>
        <v/>
      </c>
      <c r="U546" s="206">
        <f>L546*M546</f>
        <v/>
      </c>
      <c r="V546" s="231" t="n"/>
      <c r="W546" s="237" t="n"/>
      <c r="X546" s="71" t="n"/>
    </row>
    <row r="547" ht="15.75" customHeight="1" thickBot="1">
      <c r="A547" s="183" t="n">
        <v>372</v>
      </c>
      <c r="B547" s="122" t="inlineStr">
        <is>
          <t>Sardines in Tomato Sauce</t>
        </is>
      </c>
      <c r="C547" s="122" t="n"/>
      <c r="D547" s="115">
        <f>IFERROR(__xludf.DUMMYFUNCTION("IF(J547="""",""n/a"",IFERROR(SPLIT(J547,""/"")))"),555)</f>
        <v/>
      </c>
      <c r="E547" s="122">
        <f>IFERROR(__xludf.DUMMYFUNCTION("""COMPUTED_VALUE"""),"can")</f>
        <v/>
      </c>
      <c r="F547" s="122">
        <f>IFERROR(__xludf.DUMMYFUNCTION("""COMPUTED_VALUE"""),"425grams")</f>
        <v/>
      </c>
      <c r="G547" s="122" t="n"/>
      <c r="H547" s="11" t="inlineStr">
        <is>
          <t>CIP</t>
        </is>
      </c>
      <c r="I547" s="108" t="n"/>
      <c r="J547" s="93" t="inlineStr">
        <is>
          <t>555/can/425grams</t>
        </is>
      </c>
      <c r="K547" s="103" t="n"/>
      <c r="L547" s="94" t="n">
        <v>58.25</v>
      </c>
      <c r="M547" s="205" t="n">
        <v>72</v>
      </c>
      <c r="N547" s="25" t="n">
        <v>1</v>
      </c>
      <c r="O547" s="13">
        <f>E547</f>
        <v/>
      </c>
      <c r="P547" s="91" t="inlineStr">
        <is>
          <t>grams</t>
        </is>
      </c>
      <c r="Q547" s="20" t="n"/>
      <c r="R547" s="5" t="n"/>
      <c r="S547" s="229">
        <f>M547*N547</f>
        <v/>
      </c>
      <c r="T547" s="230">
        <f>CONCATENATE(S547,Q547,P547)</f>
        <v/>
      </c>
      <c r="U547" s="206">
        <f>L547*M547</f>
        <v/>
      </c>
      <c r="V547" s="4" t="n"/>
      <c r="W547" s="4" t="n"/>
      <c r="X547" s="4" t="n"/>
    </row>
    <row r="548" ht="15.75" customHeight="1" thickBot="1">
      <c r="A548" s="183" t="n">
        <v>372</v>
      </c>
      <c r="B548" s="115" t="inlineStr">
        <is>
          <t>Sardines in Tomato Sauce</t>
        </is>
      </c>
      <c r="C548" s="115" t="n"/>
      <c r="D548" s="115">
        <f>IFERROR(__xludf.DUMMYFUNCTION("IF(J548="""",""n/a"",IFERROR(SPLIT(J548,""/"")))"),"n/a")</f>
        <v/>
      </c>
      <c r="E548" s="115" t="n"/>
      <c r="F548" s="115" t="n"/>
      <c r="G548" s="115" t="n"/>
      <c r="H548" s="84" t="inlineStr">
        <is>
          <t>F1</t>
        </is>
      </c>
      <c r="I548" s="7" t="n"/>
      <c r="J548" s="19" t="n"/>
      <c r="K548" s="24" t="n"/>
      <c r="L548" s="12" t="n">
        <v>0.1367294117647059</v>
      </c>
      <c r="M548" s="204" t="n">
        <v>18700</v>
      </c>
      <c r="N548" s="87" t="n">
        <v>425</v>
      </c>
      <c r="O548" s="13">
        <f>E548</f>
        <v/>
      </c>
      <c r="P548" s="9" t="inlineStr">
        <is>
          <t>grams</t>
        </is>
      </c>
      <c r="Q548" s="20" t="n"/>
      <c r="R548" s="5" t="n"/>
      <c r="S548" s="229">
        <f>M548*N548</f>
        <v/>
      </c>
      <c r="T548" s="230">
        <f>CONCATENATE(S548,Q548,P548)</f>
        <v/>
      </c>
      <c r="U548" s="206">
        <f>L548*M548</f>
        <v/>
      </c>
      <c r="V548" s="4" t="n"/>
      <c r="W548" s="4" t="n"/>
      <c r="X548" s="4" t="n"/>
    </row>
    <row r="549" ht="15.75" customHeight="1" thickBot="1">
      <c r="A549" s="183" t="n">
        <v>373</v>
      </c>
      <c r="B549" s="115" t="inlineStr">
        <is>
          <t>Sayote</t>
        </is>
      </c>
      <c r="C549" s="115" t="n"/>
      <c r="D549" s="115">
        <f>IFERROR(__xludf.DUMMYFUNCTION("IF(J549="""",""n/a"",IFERROR(SPLIT(J549,""/"")))"),"Fresh")</f>
        <v/>
      </c>
      <c r="E549" s="115" t="n"/>
      <c r="F549" s="115" t="n"/>
      <c r="G549" s="115" t="n"/>
      <c r="H549" s="11" t="inlineStr">
        <is>
          <t>Annex</t>
        </is>
      </c>
      <c r="I549" s="42" t="n"/>
      <c r="J549" s="19" t="inlineStr">
        <is>
          <t>Fresh</t>
        </is>
      </c>
      <c r="K549" s="173" t="n"/>
      <c r="L549" s="82" t="n">
        <v>0.095</v>
      </c>
      <c r="M549" s="200" t="n">
        <v>5000</v>
      </c>
      <c r="N549" s="145" t="n">
        <v>1000</v>
      </c>
      <c r="O549" s="13">
        <f>E549</f>
        <v/>
      </c>
      <c r="P549" s="9" t="inlineStr">
        <is>
          <t>grams</t>
        </is>
      </c>
      <c r="Q549" s="13" t="n"/>
      <c r="R549" s="78">
        <f>CONCATENATE(N549,P549)</f>
        <v/>
      </c>
      <c r="S549" s="229">
        <f>M549*N549</f>
        <v/>
      </c>
      <c r="T549" s="230">
        <f>CONCATENATE(S549,Q549,P549)</f>
        <v/>
      </c>
      <c r="U549" s="206">
        <f>L549*M549</f>
        <v/>
      </c>
      <c r="V549" s="34" t="n"/>
      <c r="W549" s="34" t="n"/>
      <c r="X549" s="34" t="n"/>
    </row>
    <row r="550" ht="15.75" customHeight="1" thickBot="1">
      <c r="A550" s="183" t="n">
        <v>374</v>
      </c>
      <c r="B550" s="114" t="inlineStr">
        <is>
          <t>Scotchbrite</t>
        </is>
      </c>
      <c r="C550" s="114" t="n"/>
      <c r="D550" s="115">
        <f>IFERROR(__xludf.DUMMYFUNCTION("IF(J550="""",""n/a"",IFERROR(SPLIT(J550,""/"")))"),"n/a")</f>
        <v/>
      </c>
      <c r="E550" s="114" t="n"/>
      <c r="F550" s="114" t="n"/>
      <c r="G550" s="114" t="n"/>
      <c r="H550" s="84" t="inlineStr">
        <is>
          <t>F1</t>
        </is>
      </c>
      <c r="I550" s="24" t="n"/>
      <c r="J550" s="19" t="n"/>
      <c r="K550" s="24" t="n"/>
      <c r="L550" s="12" t="n">
        <v>33.1</v>
      </c>
      <c r="M550" s="204" t="n">
        <v>3</v>
      </c>
      <c r="N550" s="87" t="n">
        <v>1</v>
      </c>
      <c r="O550" s="13">
        <f>E550</f>
        <v/>
      </c>
      <c r="P550" s="9" t="inlineStr">
        <is>
          <t>pieces</t>
        </is>
      </c>
      <c r="Q550" s="20" t="n"/>
      <c r="R550" s="5" t="n"/>
      <c r="S550" s="229">
        <f>M550*N550</f>
        <v/>
      </c>
      <c r="T550" s="230">
        <f>CONCATENATE(S550,Q550,P550)</f>
        <v/>
      </c>
      <c r="U550" s="206">
        <f>L550*M550</f>
        <v/>
      </c>
      <c r="V550" s="4" t="n"/>
      <c r="W550" s="4" t="n"/>
      <c r="X550" s="4" t="n"/>
    </row>
    <row r="551" ht="15.75" customHeight="1" thickBot="1">
      <c r="A551" s="183" t="n">
        <v>375</v>
      </c>
      <c r="B551" s="114" t="inlineStr">
        <is>
          <t>Scrubbing Pad 3 in 1</t>
        </is>
      </c>
      <c r="C551" s="114" t="n"/>
      <c r="D551" s="115">
        <f>IFERROR(__xludf.DUMMYFUNCTION("IF(J551="""",""n/a"",IFERROR(SPLIT(J551,""/"")))"),"n/a")</f>
        <v/>
      </c>
      <c r="E551" s="114" t="n"/>
      <c r="F551" s="114" t="n"/>
      <c r="G551" s="114" t="n"/>
      <c r="H551" s="84" t="inlineStr">
        <is>
          <t>F1</t>
        </is>
      </c>
      <c r="I551" s="7" t="n"/>
      <c r="J551" s="19" t="n"/>
      <c r="K551" s="24" t="n"/>
      <c r="L551" s="12" t="n">
        <v>101</v>
      </c>
      <c r="M551" s="201" t="n">
        <v>7</v>
      </c>
      <c r="N551" s="87" t="n">
        <v>1</v>
      </c>
      <c r="O551" s="13">
        <f>E551</f>
        <v/>
      </c>
      <c r="P551" s="9" t="inlineStr">
        <is>
          <t>pieces</t>
        </is>
      </c>
      <c r="Q551" s="20" t="n"/>
      <c r="R551" s="5" t="n"/>
      <c r="S551" s="229">
        <f>M551*N551</f>
        <v/>
      </c>
      <c r="T551" s="230">
        <f>CONCATENATE(S551,Q551,P551)</f>
        <v/>
      </c>
      <c r="U551" s="206">
        <f>L551*M551</f>
        <v/>
      </c>
      <c r="V551" s="4" t="n"/>
      <c r="W551" s="4" t="n"/>
      <c r="X551" s="4" t="n"/>
    </row>
    <row r="552" ht="15.75" customHeight="1" thickBot="1">
      <c r="A552" s="183" t="n">
        <v>376</v>
      </c>
      <c r="B552" s="115" t="inlineStr">
        <is>
          <t>Scrubbing pad 3m</t>
        </is>
      </c>
      <c r="C552" s="115" t="n"/>
      <c r="D552" s="115">
        <f>IFERROR(__xludf.DUMMYFUNCTION("IF(J552="""",""n/a"",IFERROR(SPLIT(J552,""/"")))"),"Scotchbrite")</f>
        <v/>
      </c>
      <c r="E552" s="115" t="n"/>
      <c r="F552" s="115" t="n"/>
      <c r="G552" s="115" t="n"/>
      <c r="H552" s="11" t="inlineStr">
        <is>
          <t>CIP</t>
        </is>
      </c>
      <c r="I552" s="95" t="n"/>
      <c r="J552" s="19" t="inlineStr">
        <is>
          <t>Scotchbrite</t>
        </is>
      </c>
      <c r="K552" s="103" t="n"/>
      <c r="L552" s="90" t="n">
        <v>34</v>
      </c>
      <c r="M552" s="199" t="n">
        <v>3</v>
      </c>
      <c r="N552" s="97" t="n">
        <v>1</v>
      </c>
      <c r="O552" s="13">
        <f>E552</f>
        <v/>
      </c>
      <c r="P552" s="13" t="inlineStr">
        <is>
          <t>pieces</t>
        </is>
      </c>
      <c r="Q552" s="20" t="n"/>
      <c r="R552" s="5" t="n"/>
      <c r="S552" s="229">
        <f>M552*N552</f>
        <v/>
      </c>
      <c r="T552" s="230">
        <f>CONCATENATE(S552,Q552,P552)</f>
        <v/>
      </c>
      <c r="U552" s="206">
        <f>L552*M552</f>
        <v/>
      </c>
      <c r="V552" s="4" t="n"/>
      <c r="W552" s="4" t="n"/>
      <c r="X552" s="4" t="n"/>
    </row>
    <row r="553" ht="15.75" customHeight="1" thickBot="1">
      <c r="A553" s="183" t="n">
        <v>376</v>
      </c>
      <c r="B553" s="147" t="inlineStr">
        <is>
          <t>Scrubbing pad 3m</t>
        </is>
      </c>
      <c r="C553" s="147" t="n"/>
      <c r="D553" s="115">
        <f>IFERROR(__xludf.DUMMYFUNCTION("IF(J553="""",""n/a"",IFERROR(SPLIT(J553,""/"")))"),"n/a")</f>
        <v/>
      </c>
      <c r="E553" s="147" t="n"/>
      <c r="F553" s="147" t="n"/>
      <c r="G553" s="147" t="n"/>
      <c r="H553" s="84" t="inlineStr">
        <is>
          <t>F1</t>
        </is>
      </c>
      <c r="I553" s="7" t="n"/>
      <c r="J553" s="32" t="n"/>
      <c r="K553" s="24" t="n"/>
      <c r="L553" s="36" t="n">
        <v>34</v>
      </c>
      <c r="M553" s="201" t="n">
        <v>2</v>
      </c>
      <c r="N553" s="87" t="n">
        <v>1</v>
      </c>
      <c r="O553" s="13">
        <f>E553</f>
        <v/>
      </c>
      <c r="P553" s="28" t="inlineStr">
        <is>
          <t>pieces</t>
        </is>
      </c>
      <c r="Q553" s="20" t="n"/>
      <c r="R553" s="5" t="n"/>
      <c r="S553" s="229">
        <f>M553*N553</f>
        <v/>
      </c>
      <c r="T553" s="230">
        <f>CONCATENATE(S553,Q553,P553)</f>
        <v/>
      </c>
      <c r="U553" s="206">
        <f>L553*M553</f>
        <v/>
      </c>
      <c r="V553" s="4" t="n"/>
      <c r="W553" s="4" t="n"/>
      <c r="X553" s="4" t="n"/>
    </row>
    <row r="554" ht="15.75" customHeight="1" thickBot="1">
      <c r="A554" s="183" t="n">
        <v>377</v>
      </c>
      <c r="B554" s="122" t="inlineStr">
        <is>
          <t>Scrubbing pad black</t>
        </is>
      </c>
      <c r="C554" s="122" t="n"/>
      <c r="D554" s="115">
        <f>IFERROR(__xludf.DUMMYFUNCTION("IF(J554="""",""n/a"",IFERROR(SPLIT(J554,""/"")))"),"Scotchbrite")</f>
        <v/>
      </c>
      <c r="E554" s="122" t="n"/>
      <c r="F554" s="122" t="n"/>
      <c r="G554" s="122" t="n"/>
      <c r="H554" s="11" t="inlineStr">
        <is>
          <t>CIP</t>
        </is>
      </c>
      <c r="I554" s="95" t="n"/>
      <c r="J554" s="19" t="inlineStr">
        <is>
          <t>Scotchbrite</t>
        </is>
      </c>
      <c r="K554" s="103" t="n"/>
      <c r="L554" s="90" t="n">
        <v>34</v>
      </c>
      <c r="M554" s="189" t="n">
        <v>4</v>
      </c>
      <c r="N554" s="13" t="n">
        <v>1</v>
      </c>
      <c r="O554" s="13">
        <f>E554</f>
        <v/>
      </c>
      <c r="P554" s="13" t="inlineStr">
        <is>
          <t>pieces</t>
        </is>
      </c>
      <c r="Q554" s="20" t="n"/>
      <c r="R554" s="5" t="n"/>
      <c r="S554" s="229">
        <f>M554*N554</f>
        <v/>
      </c>
      <c r="T554" s="230">
        <f>CONCATENATE(S554,Q554,P554)</f>
        <v/>
      </c>
      <c r="U554" s="206">
        <f>L554*M554</f>
        <v/>
      </c>
      <c r="V554" s="4" t="n"/>
      <c r="W554" s="4" t="n"/>
      <c r="X554" s="4" t="n"/>
    </row>
    <row r="555" ht="15.75" customHeight="1" thickBot="1">
      <c r="A555" s="183" t="n">
        <v>378</v>
      </c>
      <c r="B555" s="115" t="inlineStr">
        <is>
          <t>Sesame Dressing</t>
        </is>
      </c>
      <c r="C555" s="115" t="n"/>
      <c r="D555" s="115">
        <f>IFERROR(__xludf.DUMMYFUNCTION("IF(J555="""",""n/a"",IFERROR(SPLIT(J555,""/"")))"),"n/a")</f>
        <v/>
      </c>
      <c r="E555" s="115" t="n"/>
      <c r="F555" s="115" t="n"/>
      <c r="G555" s="115" t="n"/>
      <c r="H555" s="84" t="inlineStr">
        <is>
          <t>F1</t>
        </is>
      </c>
      <c r="I555" s="7" t="n"/>
      <c r="J555" s="19" t="n"/>
      <c r="K555" s="24" t="n"/>
      <c r="L555" s="12" t="n">
        <v>0.379</v>
      </c>
      <c r="M555" s="192" t="n">
        <v>5000</v>
      </c>
      <c r="N555" s="85" t="n">
        <v>1000</v>
      </c>
      <c r="O555" s="13">
        <f>E555</f>
        <v/>
      </c>
      <c r="P555" s="9" t="inlineStr">
        <is>
          <t>grams</t>
        </is>
      </c>
      <c r="Q555" s="20" t="n"/>
      <c r="R555" s="5" t="n"/>
      <c r="S555" s="229">
        <f>M555*N555</f>
        <v/>
      </c>
      <c r="T555" s="230">
        <f>CONCATENATE(S555,Q555,P555)</f>
        <v/>
      </c>
      <c r="U555" s="206">
        <f>L555*M555</f>
        <v/>
      </c>
      <c r="V555" s="4" t="n"/>
      <c r="W555" s="4" t="n"/>
      <c r="X555" s="4" t="n"/>
    </row>
    <row r="556" ht="15.75" customHeight="1" thickBot="1">
      <c r="A556" s="183" t="n">
        <v>379</v>
      </c>
      <c r="B556" s="115" t="inlineStr">
        <is>
          <t>Sesame Oil</t>
        </is>
      </c>
      <c r="C556" s="115" t="n"/>
      <c r="D556" s="115">
        <f>IFERROR(__xludf.DUMMYFUNCTION("IF(J556="""",""n/a"",IFERROR(SPLIT(J556,""/"")))"),"Lee Kum Kee")</f>
        <v/>
      </c>
      <c r="E556" s="115">
        <f>IFERROR(__xludf.DUMMYFUNCTION("""COMPUTED_VALUE"""),"bottle")</f>
        <v/>
      </c>
      <c r="F556" s="115">
        <f>IFERROR(__xludf.DUMMYFUNCTION("""COMPUTED_VALUE"""),"410grams")</f>
        <v/>
      </c>
      <c r="G556" s="115" t="n"/>
      <c r="H556" s="11" t="inlineStr">
        <is>
          <t>Annex</t>
        </is>
      </c>
      <c r="I556" s="27" t="n"/>
      <c r="J556" s="19" t="inlineStr">
        <is>
          <t>Lee Kum Kee/bottle/410grams</t>
        </is>
      </c>
      <c r="K556" s="42" t="n"/>
      <c r="L556" s="22" t="n">
        <v>0.7204878048780488</v>
      </c>
      <c r="M556" s="190" t="n">
        <v>410</v>
      </c>
      <c r="N556" s="17" t="n">
        <v>410</v>
      </c>
      <c r="O556" s="13">
        <f>E556</f>
        <v/>
      </c>
      <c r="P556" s="9" t="inlineStr">
        <is>
          <t>grams</t>
        </is>
      </c>
      <c r="Q556" s="13" t="n"/>
      <c r="R556" s="78">
        <f>CONCATENATE(N556,P556)</f>
        <v/>
      </c>
      <c r="S556" s="229">
        <f>M556*N556</f>
        <v/>
      </c>
      <c r="T556" s="230">
        <f>CONCATENATE(S556,Q556,P556)</f>
        <v/>
      </c>
      <c r="U556" s="206">
        <f>L556*M556</f>
        <v/>
      </c>
      <c r="V556" s="231" t="n"/>
      <c r="W556" s="34" t="n"/>
      <c r="X556" s="34" t="n"/>
    </row>
    <row r="557" ht="15.75" customHeight="1" thickBot="1">
      <c r="A557" s="183" t="n">
        <v>379</v>
      </c>
      <c r="B557" s="115" t="inlineStr">
        <is>
          <t>Sesame Oil</t>
        </is>
      </c>
      <c r="C557" s="115" t="n"/>
      <c r="D557" s="115">
        <f>IFERROR(__xludf.DUMMYFUNCTION("IF(J557="""",""n/a"",IFERROR(SPLIT(J557,""/"")))"),"n/a")</f>
        <v/>
      </c>
      <c r="E557" s="115" t="n"/>
      <c r="F557" s="115" t="n"/>
      <c r="G557" s="115" t="n"/>
      <c r="H557" s="84" t="inlineStr">
        <is>
          <t>F1</t>
        </is>
      </c>
      <c r="I557" s="26" t="n"/>
      <c r="J557" s="19" t="n"/>
      <c r="K557" s="24" t="n"/>
      <c r="L557" s="12" t="n">
        <v>0.7</v>
      </c>
      <c r="M557" s="192" t="n">
        <v>1000</v>
      </c>
      <c r="N557" s="85" t="n">
        <v>1000</v>
      </c>
      <c r="O557" s="13">
        <f>E557</f>
        <v/>
      </c>
      <c r="P557" s="9" t="inlineStr">
        <is>
          <t>liters</t>
        </is>
      </c>
      <c r="Q557" s="20" t="n"/>
      <c r="R557" s="5" t="n"/>
      <c r="S557" s="229">
        <f>M557*N557</f>
        <v/>
      </c>
      <c r="T557" s="230">
        <f>CONCATENATE(S557,Q557,P557)</f>
        <v/>
      </c>
      <c r="U557" s="206">
        <f>L557*M557</f>
        <v/>
      </c>
      <c r="V557" s="4" t="n"/>
      <c r="W557" s="4" t="n"/>
      <c r="X557" s="4" t="n"/>
    </row>
    <row r="558" ht="15.75" customHeight="1" thickBot="1">
      <c r="A558" s="183" t="n">
        <v>380</v>
      </c>
      <c r="B558" s="115" t="inlineStr">
        <is>
          <t>Sinigang Mix Original</t>
        </is>
      </c>
      <c r="C558" s="115" t="n"/>
      <c r="D558" s="115">
        <f>IFERROR(__xludf.DUMMYFUNCTION("IF(J558="""",""n/a"",IFERROR(SPLIT(J558,""/"")))"),"Hermano")</f>
        <v/>
      </c>
      <c r="E558" s="115">
        <f>IFERROR(__xludf.DUMMYFUNCTION("""COMPUTED_VALUE"""),"pack")</f>
        <v/>
      </c>
      <c r="F558" s="115">
        <f>IFERROR(__xludf.DUMMYFUNCTION("""COMPUTED_VALUE"""),"1000grams")</f>
        <v/>
      </c>
      <c r="G558" s="115" t="n"/>
      <c r="H558" s="11" t="inlineStr">
        <is>
          <t>Annex</t>
        </is>
      </c>
      <c r="I558" s="6" t="n"/>
      <c r="J558" s="19" t="inlineStr">
        <is>
          <t>Hermano/pack/1000grams</t>
        </is>
      </c>
      <c r="K558" s="42" t="n"/>
      <c r="L558" s="8" t="n">
        <v>0.082</v>
      </c>
      <c r="M558" s="190" t="n">
        <v>15000</v>
      </c>
      <c r="N558" s="17" t="n">
        <v>1000</v>
      </c>
      <c r="O558" s="13">
        <f>E558</f>
        <v/>
      </c>
      <c r="P558" s="9" t="inlineStr">
        <is>
          <t>grams</t>
        </is>
      </c>
      <c r="Q558" s="13" t="n"/>
      <c r="R558" s="78">
        <f>CONCATENATE(N558,P558)</f>
        <v/>
      </c>
      <c r="S558" s="229">
        <f>M558*N558</f>
        <v/>
      </c>
      <c r="T558" s="230">
        <f>CONCATENATE(S558,Q558,P558)</f>
        <v/>
      </c>
      <c r="U558" s="206">
        <f>L558*M558</f>
        <v/>
      </c>
      <c r="V558" s="231" t="n"/>
      <c r="W558" s="236" t="n"/>
      <c r="X558" s="71" t="n"/>
    </row>
    <row r="559" ht="15.75" customHeight="1" thickBot="1">
      <c r="A559" s="183" t="n">
        <v>380</v>
      </c>
      <c r="B559" s="143" t="inlineStr">
        <is>
          <t>Sinigang Mix Original</t>
        </is>
      </c>
      <c r="C559" s="143" t="n"/>
      <c r="D559" s="115">
        <f>IFERROR(__xludf.DUMMYFUNCTION("IF(J559="""",""n/a"",IFERROR(SPLIT(J559,""/"")))"),"Knorr")</f>
        <v/>
      </c>
      <c r="E559" s="143">
        <f>IFERROR(__xludf.DUMMYFUNCTION("""COMPUTED_VALUE"""),"sachet")</f>
        <v/>
      </c>
      <c r="F559" s="143">
        <f>IFERROR(__xludf.DUMMYFUNCTION("""COMPUTED_VALUE"""),"44grams")</f>
        <v/>
      </c>
      <c r="G559" s="143" t="n"/>
      <c r="H559" s="11" t="inlineStr">
        <is>
          <t>Annex</t>
        </is>
      </c>
      <c r="I559" s="6" t="n"/>
      <c r="J559" s="32" t="inlineStr">
        <is>
          <t>Knorr/sachet/44grams</t>
        </is>
      </c>
      <c r="K559" s="42" t="n"/>
      <c r="L559" s="163" t="n">
        <v>0.6295454545454545</v>
      </c>
      <c r="M559" s="200" t="n">
        <v>1320</v>
      </c>
      <c r="N559" s="17" t="n">
        <v>44</v>
      </c>
      <c r="O559" s="13">
        <f>E559</f>
        <v/>
      </c>
      <c r="P559" s="9" t="inlineStr">
        <is>
          <t>grams</t>
        </is>
      </c>
      <c r="Q559" s="13" t="n"/>
      <c r="R559" s="78">
        <f>CONCATENATE(N559,P559)</f>
        <v/>
      </c>
      <c r="S559" s="229">
        <f>M559*N559</f>
        <v/>
      </c>
      <c r="T559" s="230">
        <f>CONCATENATE(S559,Q559,P559)</f>
        <v/>
      </c>
      <c r="U559" s="206">
        <f>L559*M559</f>
        <v/>
      </c>
      <c r="V559" s="231" t="n"/>
      <c r="W559" s="34" t="n"/>
      <c r="X559" s="34" t="n"/>
    </row>
    <row r="560" ht="15.75" customHeight="1" thickBot="1">
      <c r="A560" s="183" t="n">
        <v>380</v>
      </c>
      <c r="B560" s="147" t="inlineStr">
        <is>
          <t>Sinigang Mix Original</t>
        </is>
      </c>
      <c r="C560" s="147" t="n"/>
      <c r="D560" s="115">
        <f>IFERROR(__xludf.DUMMYFUNCTION("IF(J560="""",""n/a"",IFERROR(SPLIT(J560,""/"")))"),"Knorr")</f>
        <v/>
      </c>
      <c r="E560" s="147">
        <f>IFERROR(__xludf.DUMMYFUNCTION("""COMPUTED_VALUE"""),"sachet")</f>
        <v/>
      </c>
      <c r="F560" s="147">
        <f>IFERROR(__xludf.DUMMYFUNCTION("""COMPUTED_VALUE"""),"44grams")</f>
        <v/>
      </c>
      <c r="G560" s="147" t="n"/>
      <c r="H560" s="11" t="inlineStr">
        <is>
          <t>CIP</t>
        </is>
      </c>
      <c r="I560" s="95" t="n"/>
      <c r="J560" s="99" t="inlineStr">
        <is>
          <t>Knorr/sachet/44grams</t>
        </is>
      </c>
      <c r="K560" s="103" t="n"/>
      <c r="L560" s="100" t="n">
        <v>27.7</v>
      </c>
      <c r="M560" s="199" t="n">
        <v>40.045</v>
      </c>
      <c r="N560" s="13" t="n">
        <v>1</v>
      </c>
      <c r="O560" s="13">
        <f>E560</f>
        <v/>
      </c>
      <c r="P560" s="13" t="inlineStr">
        <is>
          <t>grams</t>
        </is>
      </c>
      <c r="Q560" s="20" t="n"/>
      <c r="R560" s="5" t="n"/>
      <c r="S560" s="229">
        <f>M560*N560</f>
        <v/>
      </c>
      <c r="T560" s="230">
        <f>CONCATENATE(S560,Q560,P560)</f>
        <v/>
      </c>
      <c r="U560" s="206">
        <f>L560*M560</f>
        <v/>
      </c>
      <c r="V560" s="4" t="n"/>
      <c r="W560" s="4" t="n"/>
      <c r="X560" s="4" t="n"/>
    </row>
    <row r="561" ht="15.75" customHeight="1" thickBot="1">
      <c r="A561" s="183" t="n">
        <v>381</v>
      </c>
      <c r="B561" s="143" t="inlineStr">
        <is>
          <t>Sinigang Mix sa Bayabas</t>
        </is>
      </c>
      <c r="C561" s="143" t="n"/>
      <c r="D561" s="115">
        <f>IFERROR(__xludf.DUMMYFUNCTION("IF(J561="""",""n/a"",IFERROR(SPLIT(J561,""/"")))"),"n/a")</f>
        <v/>
      </c>
      <c r="E561" s="143" t="n"/>
      <c r="F561" s="143" t="n"/>
      <c r="G561" s="143" t="n"/>
      <c r="H561" s="84" t="inlineStr">
        <is>
          <t>F1</t>
        </is>
      </c>
      <c r="I561" s="7" t="n"/>
      <c r="J561" s="32" t="n"/>
      <c r="K561" s="24" t="n"/>
      <c r="L561" s="36" t="n">
        <v>0.8787499999999999</v>
      </c>
      <c r="M561" s="201" t="n">
        <v>120</v>
      </c>
      <c r="N561" s="85" t="n">
        <v>40</v>
      </c>
      <c r="O561" s="13">
        <f>E561</f>
        <v/>
      </c>
      <c r="P561" s="9" t="inlineStr">
        <is>
          <t>grams</t>
        </is>
      </c>
      <c r="Q561" s="20" t="n"/>
      <c r="R561" s="5" t="n"/>
      <c r="S561" s="229">
        <f>M561*N561</f>
        <v/>
      </c>
      <c r="T561" s="230">
        <f>CONCATENATE(S561,Q561,P561)</f>
        <v/>
      </c>
      <c r="U561" s="206">
        <f>L561*M561</f>
        <v/>
      </c>
      <c r="V561" s="4" t="n"/>
      <c r="W561" s="4" t="n"/>
      <c r="X561" s="4" t="n"/>
    </row>
    <row r="562" ht="15.75" customHeight="1" thickBot="1">
      <c r="A562" s="183" t="n">
        <v>382</v>
      </c>
      <c r="B562" s="143" t="inlineStr">
        <is>
          <t>Sinigang Mix sa Sampalok</t>
        </is>
      </c>
      <c r="C562" s="143" t="n"/>
      <c r="D562" s="115">
        <f>IFERROR(__xludf.DUMMYFUNCTION("IF(J562="""",""n/a"",IFERROR(SPLIT(J562,""/"")))"),"n/a")</f>
        <v/>
      </c>
      <c r="E562" s="143" t="n"/>
      <c r="F562" s="143" t="n"/>
      <c r="G562" s="143" t="n"/>
      <c r="H562" s="84" t="inlineStr">
        <is>
          <t>F1</t>
        </is>
      </c>
      <c r="I562" s="7" t="n"/>
      <c r="J562" s="32" t="n"/>
      <c r="K562" s="24" t="n"/>
      <c r="L562" s="36" t="n">
        <v>0.6295454545454545</v>
      </c>
      <c r="M562" s="204" t="n">
        <v>792</v>
      </c>
      <c r="N562" s="85" t="n">
        <v>44</v>
      </c>
      <c r="O562" s="13">
        <f>E562</f>
        <v/>
      </c>
      <c r="P562" s="9" t="inlineStr">
        <is>
          <t>grams</t>
        </is>
      </c>
      <c r="Q562" s="20" t="n"/>
      <c r="R562" s="5" t="n"/>
      <c r="S562" s="229">
        <f>M562*N562</f>
        <v/>
      </c>
      <c r="T562" s="230">
        <f>CONCATENATE(S562,Q562,P562)</f>
        <v/>
      </c>
      <c r="U562" s="206">
        <f>L562*M562</f>
        <v/>
      </c>
      <c r="V562" s="4" t="n"/>
      <c r="W562" s="4" t="n"/>
      <c r="X562" s="4" t="n"/>
    </row>
    <row r="563" ht="15.75" customHeight="1" thickBot="1">
      <c r="A563" s="183" t="n">
        <v>383</v>
      </c>
      <c r="B563" s="115" t="inlineStr">
        <is>
          <t>Skyflakes Crackers</t>
        </is>
      </c>
      <c r="C563" s="115" t="n"/>
      <c r="D563" s="115">
        <f>IFERROR(__xludf.DUMMYFUNCTION("IF(J563="""",""n/a"",IFERROR(SPLIT(J563,""/"")))"),"M.Y San")</f>
        <v/>
      </c>
      <c r="E563" s="115">
        <f>IFERROR(__xludf.DUMMYFUNCTION("""COMPUTED_VALUE""")," pack (10pcsx25grams)")</f>
        <v/>
      </c>
      <c r="F563" s="115" t="n"/>
      <c r="G563" s="115" t="n"/>
      <c r="H563" s="11" t="inlineStr">
        <is>
          <t>CIP</t>
        </is>
      </c>
      <c r="I563" s="92" t="n"/>
      <c r="J563" s="93" t="inlineStr">
        <is>
          <t>M.Y San/ pack (10pcsx25grams)</t>
        </is>
      </c>
      <c r="K563" s="103" t="n"/>
      <c r="L563" s="90" t="n">
        <v>5.73</v>
      </c>
      <c r="M563" s="189" t="n">
        <v>600</v>
      </c>
      <c r="N563" s="13" t="n">
        <v>1</v>
      </c>
      <c r="O563" s="13">
        <f>E563</f>
        <v/>
      </c>
      <c r="P563" s="13" t="inlineStr">
        <is>
          <t>pieces</t>
        </is>
      </c>
      <c r="Q563" s="20" t="n"/>
      <c r="R563" s="5" t="n"/>
      <c r="S563" s="229">
        <f>M563*N563</f>
        <v/>
      </c>
      <c r="T563" s="230">
        <f>CONCATENATE(S563,Q563,P563)</f>
        <v/>
      </c>
      <c r="U563" s="206">
        <f>L563*M563</f>
        <v/>
      </c>
      <c r="V563" s="4" t="n"/>
      <c r="W563" s="4" t="n"/>
      <c r="X563" s="4" t="n"/>
    </row>
    <row r="564" ht="15.75" customHeight="1" thickBot="1">
      <c r="A564" s="183" t="n">
        <v>384</v>
      </c>
      <c r="B564" s="115" t="inlineStr">
        <is>
          <t>Sotanghon</t>
        </is>
      </c>
      <c r="C564" s="115" t="n"/>
      <c r="D564" s="115">
        <f>IFERROR(__xludf.DUMMYFUNCTION("IF(J564="""",""n/a"",IFERROR(SPLIT(J564,""/"")))"),"Goodlife")</f>
        <v/>
      </c>
      <c r="E564" s="115">
        <f>IFERROR(__xludf.DUMMYFUNCTION("""COMPUTED_VALUE"""),"pack")</f>
        <v/>
      </c>
      <c r="F564" s="115">
        <f>IFERROR(__xludf.DUMMYFUNCTION("""COMPUTED_VALUE"""),"1000grams")</f>
        <v/>
      </c>
      <c r="G564" s="115" t="n"/>
      <c r="H564" s="11" t="inlineStr">
        <is>
          <t>CIP</t>
        </is>
      </c>
      <c r="I564" s="92" t="n"/>
      <c r="J564" s="93" t="inlineStr">
        <is>
          <t>Goodlife/pack/1000grams</t>
        </is>
      </c>
      <c r="K564" s="103" t="n"/>
      <c r="L564" s="90" t="n">
        <v>291.6</v>
      </c>
      <c r="M564" s="189" t="n">
        <v>4</v>
      </c>
      <c r="N564" s="13" t="n">
        <v>1</v>
      </c>
      <c r="O564" s="13">
        <f>E564</f>
        <v/>
      </c>
      <c r="P564" s="13" t="inlineStr">
        <is>
          <t>grams</t>
        </is>
      </c>
      <c r="Q564" s="20" t="n"/>
      <c r="R564" s="5" t="n"/>
      <c r="S564" s="229">
        <f>M564*N564</f>
        <v/>
      </c>
      <c r="T564" s="230">
        <f>CONCATENATE(S564,Q564,P564)</f>
        <v/>
      </c>
      <c r="U564" s="206">
        <f>L564*M564</f>
        <v/>
      </c>
      <c r="V564" s="4" t="n"/>
      <c r="W564" s="4" t="n"/>
      <c r="X564" s="4" t="n"/>
    </row>
    <row r="565" ht="15.75" customHeight="1" thickBot="1">
      <c r="A565" s="183" t="n">
        <v>384</v>
      </c>
      <c r="B565" s="114" t="inlineStr">
        <is>
          <t>Sotanghon</t>
        </is>
      </c>
      <c r="C565" s="114" t="n"/>
      <c r="D565" s="115">
        <f>IFERROR(__xludf.DUMMYFUNCTION("IF(J565="""",""n/a"",IFERROR(SPLIT(J565,""/"")))"),"n/a")</f>
        <v/>
      </c>
      <c r="E565" s="114" t="n"/>
      <c r="F565" s="114" t="n"/>
      <c r="G565" s="114" t="n"/>
      <c r="H565" s="84" t="inlineStr">
        <is>
          <t>F1</t>
        </is>
      </c>
      <c r="I565" s="26" t="n"/>
      <c r="J565" s="19" t="n"/>
      <c r="K565" s="24" t="n"/>
      <c r="L565" s="12" t="n">
        <v>0.292</v>
      </c>
      <c r="M565" s="192" t="n">
        <v>1000</v>
      </c>
      <c r="N565" s="85" t="n">
        <v>1000</v>
      </c>
      <c r="O565" s="13">
        <f>E565</f>
        <v/>
      </c>
      <c r="P565" s="9" t="inlineStr">
        <is>
          <t>grams</t>
        </is>
      </c>
      <c r="Q565" s="20" t="n"/>
      <c r="R565" s="5" t="n"/>
      <c r="S565" s="229">
        <f>M565*N565</f>
        <v/>
      </c>
      <c r="T565" s="230">
        <f>CONCATENATE(S565,Q565,P565)</f>
        <v/>
      </c>
      <c r="U565" s="206">
        <f>L565*M565</f>
        <v/>
      </c>
      <c r="V565" s="4" t="n"/>
      <c r="W565" s="4" t="n"/>
      <c r="X565" s="4" t="n"/>
    </row>
    <row r="566" ht="15.75" customHeight="1" thickBot="1">
      <c r="A566" s="185" t="n">
        <v>385</v>
      </c>
      <c r="B566" s="126" t="inlineStr">
        <is>
          <t>Soup Chicken &amp; Corn</t>
        </is>
      </c>
      <c r="C566" s="126" t="n"/>
      <c r="D566" s="115">
        <f>IFERROR(__xludf.DUMMYFUNCTION("IF(J566="""",""n/a"",IFERROR(SPLIT(J566,""/"")))"),"n/a")</f>
        <v/>
      </c>
      <c r="E566" s="126" t="n"/>
      <c r="F566" s="126" t="n"/>
      <c r="G566" s="126" t="n"/>
      <c r="H566" s="84" t="inlineStr">
        <is>
          <t>F1</t>
        </is>
      </c>
      <c r="I566" s="26" t="n"/>
      <c r="J566" s="19" t="n"/>
      <c r="K566" s="24" t="n"/>
      <c r="L566" s="12" t="n">
        <v>0.8766666666666667</v>
      </c>
      <c r="M566" s="191" t="n">
        <v>60</v>
      </c>
      <c r="N566" s="85" t="n">
        <v>60</v>
      </c>
      <c r="O566" s="13">
        <f>E566</f>
        <v/>
      </c>
      <c r="P566" s="9" t="inlineStr">
        <is>
          <t>grams</t>
        </is>
      </c>
      <c r="Q566" s="2" t="n"/>
      <c r="R566" s="1" t="n"/>
      <c r="S566" s="229">
        <f>M566*N566</f>
        <v/>
      </c>
      <c r="T566" s="230">
        <f>CONCATENATE(S566,Q566,P566)</f>
        <v/>
      </c>
      <c r="U566" s="206">
        <f>L566*M566</f>
        <v/>
      </c>
      <c r="V566" s="4" t="n"/>
      <c r="W566" s="4" t="n"/>
      <c r="X566" s="4" t="n"/>
    </row>
    <row r="567" ht="15.75" customHeight="1" thickBot="1">
      <c r="A567" s="185" t="n">
        <v>386</v>
      </c>
      <c r="B567" s="115" t="inlineStr">
        <is>
          <t>Soup Crab and Corn Soup</t>
        </is>
      </c>
      <c r="C567" s="115" t="n"/>
      <c r="D567" s="115">
        <f>IFERROR(__xludf.DUMMYFUNCTION("IF(J567="""",""n/a"",IFERROR(SPLIT(J567,""/"")))"),"n/a")</f>
        <v/>
      </c>
      <c r="E567" s="115" t="n"/>
      <c r="F567" s="115" t="n"/>
      <c r="G567" s="115" t="n"/>
      <c r="H567" s="84" t="inlineStr">
        <is>
          <t>F1</t>
        </is>
      </c>
      <c r="I567" s="26" t="n"/>
      <c r="J567" s="32" t="n"/>
      <c r="K567" s="24" t="n"/>
      <c r="L567" s="36" t="n">
        <v>1.009090909090909</v>
      </c>
      <c r="M567" s="201" t="n">
        <v>440</v>
      </c>
      <c r="N567" s="85" t="n">
        <v>55</v>
      </c>
      <c r="O567" s="13">
        <f>E567</f>
        <v/>
      </c>
      <c r="P567" s="28" t="inlineStr">
        <is>
          <t>grams</t>
        </is>
      </c>
      <c r="Q567" s="2" t="n"/>
      <c r="R567" s="1" t="n"/>
      <c r="S567" s="229">
        <f>M567*N567</f>
        <v/>
      </c>
      <c r="T567" s="230">
        <f>CONCATENATE(S567,Q567,P567)</f>
        <v/>
      </c>
      <c r="U567" s="206">
        <f>L567*M567</f>
        <v/>
      </c>
      <c r="V567" s="4" t="n"/>
      <c r="W567" s="4" t="n"/>
      <c r="X567" s="4" t="n"/>
    </row>
    <row r="568" ht="15.75" customHeight="1" thickBot="1">
      <c r="A568" s="185" t="n">
        <v>387</v>
      </c>
      <c r="B568" s="115" t="inlineStr">
        <is>
          <t>Soup Cream of Mushroom</t>
        </is>
      </c>
      <c r="C568" s="115" t="n"/>
      <c r="D568" s="115">
        <f>IFERROR(__xludf.DUMMYFUNCTION("IF(J568="""",""n/a"",IFERROR(SPLIT(J568,""/"")))"),"n/a")</f>
        <v/>
      </c>
      <c r="E568" s="115" t="n"/>
      <c r="F568" s="115" t="n"/>
      <c r="G568" s="115" t="n"/>
      <c r="H568" s="84" t="inlineStr">
        <is>
          <t>F1</t>
        </is>
      </c>
      <c r="I568" s="26" t="n"/>
      <c r="J568" s="32" t="n"/>
      <c r="K568" s="24" t="n"/>
      <c r="L568" s="36" t="n">
        <v>0.8870967741935484</v>
      </c>
      <c r="M568" s="201" t="n">
        <v>124</v>
      </c>
      <c r="N568" s="85" t="n">
        <v>62</v>
      </c>
      <c r="O568" s="13">
        <f>E568</f>
        <v/>
      </c>
      <c r="P568" s="28" t="inlineStr">
        <is>
          <t>grams</t>
        </is>
      </c>
      <c r="Q568" s="2" t="n"/>
      <c r="R568" s="1" t="n"/>
      <c r="S568" s="229">
        <f>M568*N568</f>
        <v/>
      </c>
      <c r="T568" s="230">
        <f>CONCATENATE(S568,Q568,P568)</f>
        <v/>
      </c>
      <c r="U568" s="206">
        <f>L568*M568</f>
        <v/>
      </c>
      <c r="V568" s="4" t="n"/>
      <c r="W568" s="4" t="n"/>
      <c r="X568" s="4" t="n"/>
    </row>
    <row r="569" ht="15.75" customHeight="1" thickBot="1">
      <c r="A569" s="185" t="n">
        <v>388</v>
      </c>
      <c r="B569" s="126" t="inlineStr">
        <is>
          <t>Soup Nido Oriental</t>
        </is>
      </c>
      <c r="C569" s="126" t="n"/>
      <c r="D569" s="115">
        <f>IFERROR(__xludf.DUMMYFUNCTION("IF(J569="""",""n/a"",IFERROR(SPLIT(J569,""/"")))"),"n/a")</f>
        <v/>
      </c>
      <c r="E569" s="126" t="n"/>
      <c r="F569" s="126" t="n"/>
      <c r="G569" s="126" t="n"/>
      <c r="H569" s="84" t="inlineStr">
        <is>
          <t>F1</t>
        </is>
      </c>
      <c r="I569" s="26" t="n"/>
      <c r="J569" s="32" t="n"/>
      <c r="K569" s="24" t="n"/>
      <c r="L569" s="36" t="n">
        <v>0.9924528301886792</v>
      </c>
      <c r="M569" s="201" t="n">
        <v>901</v>
      </c>
      <c r="N569" s="85" t="n">
        <v>53</v>
      </c>
      <c r="O569" s="13">
        <f>E569</f>
        <v/>
      </c>
      <c r="P569" s="28" t="inlineStr">
        <is>
          <t>grams</t>
        </is>
      </c>
      <c r="Q569" s="2" t="n"/>
      <c r="R569" s="1" t="n"/>
      <c r="S569" s="229">
        <f>M569*N569</f>
        <v/>
      </c>
      <c r="T569" s="230">
        <f>CONCATENATE(S569,Q569,P569)</f>
        <v/>
      </c>
      <c r="U569" s="206">
        <f>L569*M569</f>
        <v/>
      </c>
      <c r="V569" s="4" t="n"/>
      <c r="W569" s="4" t="n"/>
      <c r="X569" s="4" t="n"/>
    </row>
    <row r="570" ht="15.75" customHeight="1" thickBot="1">
      <c r="A570" s="185" t="n">
        <v>389</v>
      </c>
      <c r="B570" s="127" t="inlineStr">
        <is>
          <t>sourcream powder</t>
        </is>
      </c>
      <c r="C570" s="127" t="n"/>
      <c r="D570" s="115">
        <f>IFERROR(__xludf.DUMMYFUNCTION("IF(J570="""",""n/a"",IFERROR(SPLIT(J570,""/"")))"),"pck")</f>
        <v/>
      </c>
      <c r="E570" s="127" t="n"/>
      <c r="F570" s="127" t="n"/>
      <c r="G570" s="127" t="n"/>
      <c r="H570" s="11" t="inlineStr">
        <is>
          <t>Annex</t>
        </is>
      </c>
      <c r="I570" s="27" t="n"/>
      <c r="J570" s="128" t="inlineStr">
        <is>
          <t>pck</t>
        </is>
      </c>
      <c r="K570" s="173" t="n"/>
      <c r="L570" s="150" t="n">
        <v>68</v>
      </c>
      <c r="M570" s="194" t="n">
        <v>1</v>
      </c>
      <c r="N570" s="21" t="n">
        <v>1</v>
      </c>
      <c r="O570" s="13">
        <f>E570</f>
        <v/>
      </c>
      <c r="P570" s="23" t="inlineStr">
        <is>
          <t>pieces</t>
        </is>
      </c>
      <c r="Q570" s="174" t="n"/>
      <c r="R570" s="175">
        <f>CONCATENATE(N570,P570)</f>
        <v/>
      </c>
      <c r="S570" s="229">
        <f>M570*N570</f>
        <v/>
      </c>
      <c r="T570" s="230">
        <f>CONCATENATE(S570,Q570,P570)</f>
        <v/>
      </c>
      <c r="U570" s="206">
        <f>L570*M570</f>
        <v/>
      </c>
      <c r="V570" s="34" t="n"/>
      <c r="W570" s="34" t="n"/>
      <c r="X570" s="34" t="n"/>
    </row>
    <row r="571" ht="15.75" customHeight="1" thickBot="1">
      <c r="A571" s="185" t="n">
        <v>390</v>
      </c>
      <c r="B571" s="115" t="inlineStr">
        <is>
          <t>Soy Sauce</t>
        </is>
      </c>
      <c r="C571" s="115" t="n"/>
      <c r="D571" s="115">
        <f>IFERROR(__xludf.DUMMYFUNCTION("IF(J571="""",""n/a"",IFERROR(SPLIT(J571,""/"")))"),"Ticman")</f>
        <v/>
      </c>
      <c r="E571" s="115">
        <f>IFERROR(__xludf.DUMMYFUNCTION("""COMPUTED_VALUE"""),"gallon")</f>
        <v/>
      </c>
      <c r="F571" s="115">
        <f>IFERROR(__xludf.DUMMYFUNCTION("""COMPUTED_VALUE"""),"3500ml")</f>
        <v/>
      </c>
      <c r="G571" s="115" t="n"/>
      <c r="H571" s="11" t="inlineStr">
        <is>
          <t>Annex</t>
        </is>
      </c>
      <c r="I571" s="27" t="n"/>
      <c r="J571" s="19" t="inlineStr">
        <is>
          <t>Ticman/gallon/3500ml</t>
        </is>
      </c>
      <c r="K571" s="42" t="n"/>
      <c r="L571" s="163" t="n">
        <v>73</v>
      </c>
      <c r="M571" s="190" t="n">
        <v>18</v>
      </c>
      <c r="N571" s="17" t="n">
        <v>1</v>
      </c>
      <c r="O571" s="13">
        <f>E571</f>
        <v/>
      </c>
      <c r="P571" s="9" t="inlineStr">
        <is>
          <t>gal</t>
        </is>
      </c>
      <c r="Q571" s="174" t="n"/>
      <c r="R571" s="175">
        <f>CONCATENATE(N571,P571)</f>
        <v/>
      </c>
      <c r="S571" s="229">
        <f>M571*N571</f>
        <v/>
      </c>
      <c r="T571" s="230">
        <f>CONCATENATE(S571,Q571,P571)</f>
        <v/>
      </c>
      <c r="U571" s="206">
        <f>L571*M571</f>
        <v/>
      </c>
      <c r="V571" s="231" t="n"/>
      <c r="W571" s="34" t="n"/>
      <c r="X571" s="34" t="n"/>
    </row>
    <row r="572" ht="15.75" customHeight="1" thickBot="1">
      <c r="A572" s="185" t="n">
        <v>390</v>
      </c>
      <c r="B572" s="115" t="inlineStr">
        <is>
          <t>Soy Sauce</t>
        </is>
      </c>
      <c r="C572" s="115" t="n"/>
      <c r="D572" s="115">
        <f>IFERROR(__xludf.DUMMYFUNCTION("IF(J572="""",""n/a"",IFERROR(SPLIT(J572,""/"")))"),"Hermano")</f>
        <v/>
      </c>
      <c r="E572" s="115">
        <f>IFERROR(__xludf.DUMMYFUNCTION("""COMPUTED_VALUE"""),"pack")</f>
        <v/>
      </c>
      <c r="F572" s="115">
        <f>IFERROR(__xludf.DUMMYFUNCTION("""COMPUTED_VALUE"""),"1000grams")</f>
        <v/>
      </c>
      <c r="G572" s="115" t="n"/>
      <c r="H572" s="11" t="inlineStr">
        <is>
          <t>Annex</t>
        </is>
      </c>
      <c r="I572" s="27" t="n"/>
      <c r="J572" s="19" t="inlineStr">
        <is>
          <t>Hermano/pack/1000grams</t>
        </is>
      </c>
      <c r="K572" s="42" t="n"/>
      <c r="L572" s="8" t="n">
        <v>0.0862</v>
      </c>
      <c r="M572" s="190" t="n">
        <v>10000</v>
      </c>
      <c r="N572" s="172" t="n">
        <v>1000</v>
      </c>
      <c r="O572" s="13">
        <f>E572</f>
        <v/>
      </c>
      <c r="P572" s="9" t="inlineStr">
        <is>
          <t>grams</t>
        </is>
      </c>
      <c r="Q572" s="174" t="n"/>
      <c r="R572" s="175">
        <f>CONCATENATE(N572,P572)</f>
        <v/>
      </c>
      <c r="S572" s="229">
        <f>M572*N572</f>
        <v/>
      </c>
      <c r="T572" s="230">
        <f>CONCATENATE(S572,Q572,P572)</f>
        <v/>
      </c>
      <c r="U572" s="206">
        <f>L572*M572</f>
        <v/>
      </c>
      <c r="V572" s="231" t="n"/>
      <c r="W572" s="236" t="n"/>
      <c r="X572" s="71" t="n"/>
    </row>
    <row r="573" ht="15.75" customHeight="1" thickBot="1">
      <c r="A573" s="185" t="n">
        <v>390</v>
      </c>
      <c r="B573" s="115" t="inlineStr">
        <is>
          <t>Soy Sauce</t>
        </is>
      </c>
      <c r="C573" s="115" t="n"/>
      <c r="D573" s="115">
        <f>IFERROR(__xludf.DUMMYFUNCTION("IF(J573="""",""n/a"",IFERROR(SPLIT(J573,""/"")))"),"Kikkoman")</f>
        <v/>
      </c>
      <c r="E573" s="115">
        <f>IFERROR(__xludf.DUMMYFUNCTION("""COMPUTED_VALUE"""),"bottle")</f>
        <v/>
      </c>
      <c r="F573" s="115">
        <f>IFERROR(__xludf.DUMMYFUNCTION("""COMPUTED_VALUE"""),"1000ml")</f>
        <v/>
      </c>
      <c r="G573" s="115" t="n"/>
      <c r="H573" s="11" t="inlineStr">
        <is>
          <t>Annex</t>
        </is>
      </c>
      <c r="I573" s="27" t="n"/>
      <c r="J573" s="19" t="inlineStr">
        <is>
          <t>Kikkoman/bottle/1000ml</t>
        </is>
      </c>
      <c r="K573" s="42" t="n"/>
      <c r="L573" s="22" t="n">
        <v>0.24955</v>
      </c>
      <c r="M573" s="190" t="n">
        <v>1000</v>
      </c>
      <c r="N573" s="172" t="n">
        <v>1000</v>
      </c>
      <c r="O573" s="13">
        <f>E573</f>
        <v/>
      </c>
      <c r="P573" s="9" t="inlineStr">
        <is>
          <t>ml</t>
        </is>
      </c>
      <c r="Q573" s="174" t="n"/>
      <c r="R573" s="175">
        <f>CONCATENATE(N573,P573)</f>
        <v/>
      </c>
      <c r="S573" s="229">
        <f>M573*N573</f>
        <v/>
      </c>
      <c r="T573" s="230">
        <f>CONCATENATE(S573,Q573,P573)</f>
        <v/>
      </c>
      <c r="U573" s="206">
        <f>L573*M573</f>
        <v/>
      </c>
      <c r="V573" s="231" t="n"/>
      <c r="W573" s="34" t="n"/>
      <c r="X573" s="34" t="n"/>
    </row>
    <row r="574" ht="15.75" customHeight="1" thickBot="1">
      <c r="A574" s="185" t="n">
        <v>390</v>
      </c>
      <c r="B574" s="115" t="inlineStr">
        <is>
          <t>Soy Sauce</t>
        </is>
      </c>
      <c r="C574" s="115" t="n"/>
      <c r="D574" s="115">
        <f>IFERROR(__xludf.DUMMYFUNCTION("IF(J574="""",""n/a"",IFERROR(SPLIT(J574,""/"")))"),"Ticman")</f>
        <v/>
      </c>
      <c r="E574" s="115">
        <f>IFERROR(__xludf.DUMMYFUNCTION("""COMPUTED_VALUE"""),"gallon")</f>
        <v/>
      </c>
      <c r="F574" s="115">
        <f>IFERROR(__xludf.DUMMYFUNCTION("""COMPUTED_VALUE"""),"3500ml")</f>
        <v/>
      </c>
      <c r="G574" s="115" t="n"/>
      <c r="H574" s="11" t="inlineStr">
        <is>
          <t>CIP</t>
        </is>
      </c>
      <c r="I574" s="92" t="n"/>
      <c r="J574" s="93" t="inlineStr">
        <is>
          <t>Ticman/gallon/3500ml</t>
        </is>
      </c>
      <c r="K574" s="103" t="n"/>
      <c r="L574" s="90" t="n">
        <v>73</v>
      </c>
      <c r="M574" s="189" t="n">
        <v>17</v>
      </c>
      <c r="N574" s="91" t="n">
        <v>1</v>
      </c>
      <c r="O574" s="13">
        <f>E574</f>
        <v/>
      </c>
      <c r="P574" s="13" t="inlineStr">
        <is>
          <t>gal</t>
        </is>
      </c>
      <c r="Q574" s="2" t="n"/>
      <c r="R574" s="1" t="n"/>
      <c r="S574" s="229">
        <f>M574*N574</f>
        <v/>
      </c>
      <c r="T574" s="230">
        <f>CONCATENATE(S574,Q574,P574)</f>
        <v/>
      </c>
      <c r="U574" s="206">
        <f>L574*M574</f>
        <v/>
      </c>
      <c r="V574" s="4" t="n"/>
      <c r="W574" s="4" t="n"/>
      <c r="X574" s="4" t="n"/>
    </row>
    <row r="575" ht="15.75" customHeight="1" thickBot="1">
      <c r="A575" s="185" t="n">
        <v>390</v>
      </c>
      <c r="B575" s="114" t="inlineStr">
        <is>
          <t>Soy Sauce</t>
        </is>
      </c>
      <c r="C575" s="114" t="n"/>
      <c r="D575" s="115">
        <f>IFERROR(__xludf.DUMMYFUNCTION("IF(J575="""",""n/a"",IFERROR(SPLIT(J575,""/"")))"),"n/a")</f>
        <v/>
      </c>
      <c r="E575" s="114" t="n"/>
      <c r="F575" s="114" t="n"/>
      <c r="G575" s="114" t="n"/>
      <c r="H575" s="84" t="inlineStr">
        <is>
          <t>F1</t>
        </is>
      </c>
      <c r="I575" s="7" t="n"/>
      <c r="J575" s="19" t="n"/>
      <c r="K575" s="24" t="n"/>
      <c r="L575" s="12" t="n">
        <v>65</v>
      </c>
      <c r="M575" s="192" t="n">
        <v>3</v>
      </c>
      <c r="N575" s="176" t="n">
        <v>1</v>
      </c>
      <c r="O575" s="13">
        <f>E575</f>
        <v/>
      </c>
      <c r="P575" s="9" t="inlineStr">
        <is>
          <t>gal</t>
        </is>
      </c>
      <c r="Q575" s="2" t="n"/>
      <c r="R575" s="1" t="n"/>
      <c r="S575" s="229">
        <f>M575*N575</f>
        <v/>
      </c>
      <c r="T575" s="230">
        <f>CONCATENATE(S575,Q575,P575)</f>
        <v/>
      </c>
      <c r="U575" s="206">
        <f>L575*M575</f>
        <v/>
      </c>
      <c r="V575" s="4" t="n"/>
      <c r="W575" s="4" t="n"/>
      <c r="X575" s="4" t="n"/>
    </row>
    <row r="576" ht="15.75" customHeight="1" thickBot="1">
      <c r="A576" s="185" t="n">
        <v>390</v>
      </c>
      <c r="B576" s="115" t="inlineStr">
        <is>
          <t>Soy Sauce</t>
        </is>
      </c>
      <c r="C576" s="115" t="n"/>
      <c r="D576" s="115">
        <f>IFERROR(__xludf.DUMMYFUNCTION("IF(J576="""",""n/a"",IFERROR(SPLIT(J576,""/"")))"),"n/a")</f>
        <v/>
      </c>
      <c r="E576" s="115" t="n"/>
      <c r="F576" s="115" t="n"/>
      <c r="G576" s="115" t="n"/>
      <c r="H576" s="84" t="inlineStr">
        <is>
          <t>F1</t>
        </is>
      </c>
      <c r="I576" s="7" t="n"/>
      <c r="J576" s="19" t="n"/>
      <c r="K576" s="24" t="n"/>
      <c r="L576" s="12" t="n">
        <v>0.26</v>
      </c>
      <c r="M576" s="191" t="n">
        <v>2000</v>
      </c>
      <c r="N576" s="177" t="n">
        <v>1000</v>
      </c>
      <c r="O576" s="13">
        <f>E576</f>
        <v/>
      </c>
      <c r="P576" s="23" t="inlineStr">
        <is>
          <t>ml</t>
        </is>
      </c>
      <c r="Q576" s="2" t="n"/>
      <c r="R576" s="1" t="n"/>
      <c r="S576" s="229">
        <f>M576*N576</f>
        <v/>
      </c>
      <c r="T576" s="230">
        <f>CONCATENATE(S576,Q576,P576)</f>
        <v/>
      </c>
      <c r="U576" s="206">
        <f>L576*M576</f>
        <v/>
      </c>
      <c r="V576" s="4" t="n"/>
      <c r="W576" s="4" t="n"/>
      <c r="X576" s="4" t="n"/>
    </row>
    <row r="577" ht="15.75" customHeight="1" thickBot="1">
      <c r="A577" s="185" t="n">
        <v>391</v>
      </c>
      <c r="B577" s="115" t="inlineStr">
        <is>
          <t>Spaghetti</t>
        </is>
      </c>
      <c r="C577" s="115" t="n"/>
      <c r="D577" s="115">
        <f>IFERROR(__xludf.DUMMYFUNCTION("IF(J577="""",""n/a"",IFERROR(SPLIT(J577,""/"")))"),"Sunshine")</f>
        <v/>
      </c>
      <c r="E577" s="115">
        <f>IFERROR(__xludf.DUMMYFUNCTION("""COMPUTED_VALUE"""),"pack")</f>
        <v/>
      </c>
      <c r="F577" s="115">
        <f>IFERROR(__xludf.DUMMYFUNCTION("""COMPUTED_VALUE"""),"900grams")</f>
        <v/>
      </c>
      <c r="G577" s="115" t="n"/>
      <c r="H577" s="11" t="inlineStr">
        <is>
          <t>Annex</t>
        </is>
      </c>
      <c r="I577" s="6" t="n"/>
      <c r="J577" s="19" t="inlineStr">
        <is>
          <t>Sunshine/pack/900grams</t>
        </is>
      </c>
      <c r="K577" s="42" t="n"/>
      <c r="L577" s="8" t="n">
        <v>0.08957777777777778</v>
      </c>
      <c r="M577" s="190" t="n">
        <v>3600</v>
      </c>
      <c r="N577" s="172" t="n">
        <v>900</v>
      </c>
      <c r="O577" s="13">
        <f>E577</f>
        <v/>
      </c>
      <c r="P577" s="9" t="inlineStr">
        <is>
          <t>grams</t>
        </is>
      </c>
      <c r="Q577" s="174" t="n"/>
      <c r="R577" s="175">
        <f>CONCATENATE(N577,P577)</f>
        <v/>
      </c>
      <c r="S577" s="229">
        <f>M577*N577</f>
        <v/>
      </c>
      <c r="T577" s="230">
        <f>CONCATENATE(S577,Q577,P577)</f>
        <v/>
      </c>
      <c r="U577" s="206">
        <f>L577*M577</f>
        <v/>
      </c>
      <c r="V577" s="34" t="n"/>
      <c r="W577" s="34" t="n"/>
      <c r="X577" s="34" t="n"/>
    </row>
    <row r="578" ht="15.75" customHeight="1" thickBot="1">
      <c r="A578" s="185" t="n">
        <v>391</v>
      </c>
      <c r="B578" s="115" t="inlineStr">
        <is>
          <t>Spaghetti</t>
        </is>
      </c>
      <c r="C578" s="115" t="n"/>
      <c r="D578" s="115">
        <f>IFERROR(__xludf.DUMMYFUNCTION("IF(J578="""",""n/a"",IFERROR(SPLIT(J578,""/"")))"),"Ideal")</f>
        <v/>
      </c>
      <c r="E578" s="115">
        <f>IFERROR(__xludf.DUMMYFUNCTION("""COMPUTED_VALUE"""),"pack")</f>
        <v/>
      </c>
      <c r="F578" s="115">
        <f>IFERROR(__xludf.DUMMYFUNCTION("""COMPUTED_VALUE"""),"1000grams")</f>
        <v/>
      </c>
      <c r="G578" s="115" t="n"/>
      <c r="H578" s="11" t="inlineStr">
        <is>
          <t>CIP</t>
        </is>
      </c>
      <c r="I578" s="95" t="n"/>
      <c r="J578" s="109" t="inlineStr">
        <is>
          <t>Ideal/pack/1000grams</t>
        </is>
      </c>
      <c r="K578" s="103" t="n"/>
      <c r="L578" s="104" t="n">
        <v>65</v>
      </c>
      <c r="M578" s="199" t="n">
        <v>3</v>
      </c>
      <c r="N578" s="91" t="n">
        <v>1</v>
      </c>
      <c r="O578" s="13">
        <f>E578</f>
        <v/>
      </c>
      <c r="P578" s="91" t="inlineStr">
        <is>
          <t>grams</t>
        </is>
      </c>
      <c r="Q578" s="2" t="n"/>
      <c r="R578" s="1" t="n"/>
      <c r="S578" s="229">
        <f>M578*N578</f>
        <v/>
      </c>
      <c r="T578" s="230">
        <f>CONCATENATE(S578,Q578,P578)</f>
        <v/>
      </c>
      <c r="U578" s="206">
        <f>L578*M578</f>
        <v/>
      </c>
      <c r="V578" s="4" t="n"/>
      <c r="W578" s="4" t="n"/>
      <c r="X578" s="4" t="n"/>
    </row>
    <row r="579" ht="15.75" customHeight="1" thickBot="1">
      <c r="A579" s="185" t="n">
        <v>391</v>
      </c>
      <c r="B579" s="114" t="inlineStr">
        <is>
          <t>Spaghetti</t>
        </is>
      </c>
      <c r="C579" s="114" t="n"/>
      <c r="D579" s="115">
        <f>IFERROR(__xludf.DUMMYFUNCTION("IF(J579="""",""n/a"",IFERROR(SPLIT(J579,""/"")))"),"n/a")</f>
        <v/>
      </c>
      <c r="E579" s="114" t="n"/>
      <c r="F579" s="114" t="n"/>
      <c r="G579" s="114" t="n"/>
      <c r="H579" s="84" t="inlineStr">
        <is>
          <t>F1</t>
        </is>
      </c>
      <c r="I579" s="7" t="n"/>
      <c r="J579" s="32" t="n"/>
      <c r="K579" s="24" t="n"/>
      <c r="L579" s="36" t="n">
        <v>0.07911111111111112</v>
      </c>
      <c r="M579" s="201" t="n">
        <v>2700</v>
      </c>
      <c r="N579" s="176" t="n">
        <v>900</v>
      </c>
      <c r="O579" s="13">
        <f>E579</f>
        <v/>
      </c>
      <c r="P579" s="25" t="inlineStr">
        <is>
          <t>grams</t>
        </is>
      </c>
      <c r="Q579" s="2" t="n"/>
      <c r="R579" s="1" t="n"/>
      <c r="S579" s="229">
        <f>M579*N579</f>
        <v/>
      </c>
      <c r="T579" s="230">
        <f>CONCATENATE(S579,Q579,P579)</f>
        <v/>
      </c>
      <c r="U579" s="206">
        <f>L579*M579</f>
        <v/>
      </c>
      <c r="V579" s="4" t="n"/>
      <c r="W579" s="4" t="n"/>
      <c r="X579" s="4" t="n"/>
    </row>
    <row r="580" ht="15.75" customHeight="1" thickBot="1">
      <c r="A580" s="185" t="n">
        <v>392</v>
      </c>
      <c r="B580" s="114" t="inlineStr">
        <is>
          <t>Spam Lite</t>
        </is>
      </c>
      <c r="C580" s="114" t="n"/>
      <c r="D580" s="115">
        <f>IFERROR(__xludf.DUMMYFUNCTION("IF(J580="""",""n/a"",IFERROR(SPLIT(J580,""/"")))"),"n/a")</f>
        <v/>
      </c>
      <c r="E580" s="114" t="n"/>
      <c r="F580" s="114" t="n"/>
      <c r="G580" s="114" t="n"/>
      <c r="H580" s="84" t="inlineStr">
        <is>
          <t>F1</t>
        </is>
      </c>
      <c r="I580" s="7" t="n"/>
      <c r="J580" s="32" t="n"/>
      <c r="K580" s="24" t="n"/>
      <c r="L580" s="36" t="n">
        <v>0.6235294117647059</v>
      </c>
      <c r="M580" s="204" t="n">
        <v>5100</v>
      </c>
      <c r="N580" s="176" t="n">
        <v>340</v>
      </c>
      <c r="O580" s="13">
        <f>E580</f>
        <v/>
      </c>
      <c r="P580" s="25" t="inlineStr">
        <is>
          <t>grams</t>
        </is>
      </c>
      <c r="Q580" s="2" t="n"/>
      <c r="R580" s="1" t="n"/>
      <c r="S580" s="229">
        <f>M580*N580</f>
        <v/>
      </c>
      <c r="T580" s="230">
        <f>CONCATENATE(S580,Q580,P580)</f>
        <v/>
      </c>
      <c r="U580" s="206">
        <f>L580*M580</f>
        <v/>
      </c>
      <c r="V580" s="4" t="n"/>
      <c r="W580" s="4" t="n"/>
      <c r="X580" s="4" t="n"/>
    </row>
    <row r="581" ht="15.75" customHeight="1" thickBot="1">
      <c r="A581" s="185" t="n">
        <v>393</v>
      </c>
      <c r="B581" s="115" t="inlineStr">
        <is>
          <t>Sponge</t>
        </is>
      </c>
      <c r="C581" s="115" t="n"/>
      <c r="D581" s="115">
        <f>IFERROR(__xludf.DUMMYFUNCTION("IF(J581="""",""n/a"",IFERROR(SPLIT(J581,""/"")))"),"Scotchbrite")</f>
        <v/>
      </c>
      <c r="E581" s="115" t="n"/>
      <c r="F581" s="115" t="n"/>
      <c r="G581" s="115" t="n"/>
      <c r="H581" s="11" t="inlineStr">
        <is>
          <t>Annex</t>
        </is>
      </c>
      <c r="I581" s="6" t="n"/>
      <c r="J581" s="32" t="inlineStr">
        <is>
          <t>Scotchbrite</t>
        </is>
      </c>
      <c r="K581" s="42" t="n"/>
      <c r="L581" s="30" t="n">
        <v>19.4</v>
      </c>
      <c r="M581" s="200" t="n">
        <v>3</v>
      </c>
      <c r="N581" s="172" t="n">
        <v>1</v>
      </c>
      <c r="O581" s="13">
        <f>E581</f>
        <v/>
      </c>
      <c r="P581" s="25" t="inlineStr">
        <is>
          <t>pieces</t>
        </is>
      </c>
      <c r="Q581" s="174" t="n"/>
      <c r="R581" s="175">
        <f>CONCATENATE(N581,P581)</f>
        <v/>
      </c>
      <c r="S581" s="229">
        <f>M581*N581</f>
        <v/>
      </c>
      <c r="T581" s="230">
        <f>CONCATENATE(S581,Q581,P581)</f>
        <v/>
      </c>
      <c r="U581" s="206">
        <f>L581*M581</f>
        <v/>
      </c>
      <c r="V581" s="231" t="n"/>
      <c r="W581" s="236" t="n"/>
      <c r="X581" s="71" t="n"/>
    </row>
    <row r="582" ht="15.75" customHeight="1" thickBot="1">
      <c r="A582" s="185" t="n">
        <v>394</v>
      </c>
      <c r="B582" s="115" t="inlineStr">
        <is>
          <t>Sponge with Scrub</t>
        </is>
      </c>
      <c r="C582" s="115" t="n"/>
      <c r="D582" s="115">
        <f>IFERROR(__xludf.DUMMYFUNCTION("IF(J582="""",""n/a"",IFERROR(SPLIT(J582,""/"")))"),"Scotchbrite")</f>
        <v/>
      </c>
      <c r="E582" s="115" t="n"/>
      <c r="F582" s="115" t="n"/>
      <c r="G582" s="115" t="n"/>
      <c r="H582" s="11" t="inlineStr">
        <is>
          <t>Annex</t>
        </is>
      </c>
      <c r="I582" s="6" t="n"/>
      <c r="J582" s="32" t="inlineStr">
        <is>
          <t>Scotchbrite</t>
        </is>
      </c>
      <c r="K582" s="42" t="n"/>
      <c r="L582" s="30" t="n">
        <v>33.7</v>
      </c>
      <c r="M582" s="200" t="n">
        <v>12</v>
      </c>
      <c r="N582" s="172" t="n">
        <v>1</v>
      </c>
      <c r="O582" s="13">
        <f>E582</f>
        <v/>
      </c>
      <c r="P582" s="25" t="inlineStr">
        <is>
          <t>pieces</t>
        </is>
      </c>
      <c r="Q582" s="174" t="n"/>
      <c r="R582" s="175">
        <f>CONCATENATE(N582,P582)</f>
        <v/>
      </c>
      <c r="S582" s="229">
        <f>M582*N582</f>
        <v/>
      </c>
      <c r="T582" s="230">
        <f>CONCATENATE(S582,Q582,P582)</f>
        <v/>
      </c>
      <c r="U582" s="206">
        <f>L582*M582</f>
        <v/>
      </c>
      <c r="V582" s="231" t="n"/>
      <c r="W582" s="236" t="n"/>
      <c r="X582" s="71" t="n"/>
    </row>
    <row r="583" ht="15.75" customHeight="1" thickBot="1">
      <c r="A583" s="185" t="n">
        <v>395</v>
      </c>
      <c r="B583" s="115" t="inlineStr">
        <is>
          <t>Spread</t>
        </is>
      </c>
      <c r="C583" s="115" t="n"/>
      <c r="D583" s="115">
        <f>IFERROR(__xludf.DUMMYFUNCTION("IF(J583="""",""n/a"",IFERROR(SPLIT(J583,""/"")))"),"n/a")</f>
        <v/>
      </c>
      <c r="E583" s="115" t="n"/>
      <c r="F583" s="115" t="n"/>
      <c r="G583" s="115" t="n"/>
      <c r="H583" s="84" t="inlineStr">
        <is>
          <t>F1</t>
        </is>
      </c>
      <c r="I583" s="7" t="n"/>
      <c r="J583" s="32" t="n"/>
      <c r="K583" s="24" t="n"/>
      <c r="L583" s="36" t="n">
        <v>96.90000000000001</v>
      </c>
      <c r="M583" s="201" t="n">
        <v>2</v>
      </c>
      <c r="N583" s="176" t="n">
        <v>1</v>
      </c>
      <c r="O583" s="13">
        <f>E583</f>
        <v/>
      </c>
      <c r="P583" s="25" t="inlineStr">
        <is>
          <t>pieces</t>
        </is>
      </c>
      <c r="Q583" s="2" t="n"/>
      <c r="R583" s="1" t="n"/>
      <c r="S583" s="229">
        <f>M583*N583</f>
        <v/>
      </c>
      <c r="T583" s="230">
        <f>CONCATENATE(S583,Q583,P583)</f>
        <v/>
      </c>
      <c r="U583" s="206">
        <f>L583*M583</f>
        <v/>
      </c>
      <c r="V583" s="4" t="n"/>
      <c r="W583" s="4" t="n"/>
      <c r="X583" s="4" t="n"/>
    </row>
    <row r="584" ht="15.75" customHeight="1" thickBot="1">
      <c r="A584" s="185" t="n">
        <v>396</v>
      </c>
      <c r="B584" s="115" t="inlineStr">
        <is>
          <t>Star Anise</t>
        </is>
      </c>
      <c r="C584" s="115" t="n"/>
      <c r="D584" s="115">
        <f>IFERROR(__xludf.DUMMYFUNCTION("IF(J584="""",""n/a"",IFERROR(SPLIT(J584,""/"")))"),"Lipa Spices")</f>
        <v/>
      </c>
      <c r="E584" s="115">
        <f>IFERROR(__xludf.DUMMYFUNCTION("""COMPUTED_VALUE"""),"pack")</f>
        <v/>
      </c>
      <c r="F584" s="115">
        <f>IFERROR(__xludf.DUMMYFUNCTION("""COMPUTED_VALUE"""),"1000grams")</f>
        <v/>
      </c>
      <c r="G584" s="115" t="n"/>
      <c r="H584" s="11" t="inlineStr">
        <is>
          <t>Annex</t>
        </is>
      </c>
      <c r="I584" s="6" t="n"/>
      <c r="J584" s="32" t="inlineStr">
        <is>
          <t>Lipa Spices/pack/1000grams</t>
        </is>
      </c>
      <c r="K584" s="42" t="n"/>
      <c r="L584" s="163" t="n">
        <v>0.845</v>
      </c>
      <c r="M584" s="200" t="n">
        <v>500</v>
      </c>
      <c r="N584" s="172" t="n">
        <v>1000</v>
      </c>
      <c r="O584" s="13">
        <f>E584</f>
        <v/>
      </c>
      <c r="P584" s="25" t="inlineStr">
        <is>
          <t>grams</t>
        </is>
      </c>
      <c r="Q584" s="174" t="n"/>
      <c r="R584" s="175">
        <f>CONCATENATE(N584,P584)</f>
        <v/>
      </c>
      <c r="S584" s="229">
        <f>M584*N584</f>
        <v/>
      </c>
      <c r="T584" s="230">
        <f>CONCATENATE(S584,Q584,P584)</f>
        <v/>
      </c>
      <c r="U584" s="206">
        <f>L584*M584</f>
        <v/>
      </c>
      <c r="V584" s="231" t="n"/>
      <c r="W584" s="34" t="n"/>
      <c r="X584" s="34" t="n"/>
    </row>
    <row r="585" ht="15.75" customHeight="1" thickBot="1">
      <c r="A585" s="185" t="n">
        <v>396</v>
      </c>
      <c r="B585" s="114" t="inlineStr">
        <is>
          <t>Star Anise</t>
        </is>
      </c>
      <c r="C585" s="114" t="n"/>
      <c r="D585" s="115">
        <f>IFERROR(__xludf.DUMMYFUNCTION("IF(J585="""",""n/a"",IFERROR(SPLIT(J585,""/"")))"),"n/a")</f>
        <v/>
      </c>
      <c r="E585" s="114" t="n"/>
      <c r="F585" s="114" t="n"/>
      <c r="G585" s="114" t="n"/>
      <c r="H585" s="84" t="inlineStr">
        <is>
          <t>F1</t>
        </is>
      </c>
      <c r="I585" s="7" t="n"/>
      <c r="J585" s="32" t="n"/>
      <c r="K585" s="24" t="n"/>
      <c r="L585" s="36" t="n">
        <v>0.35</v>
      </c>
      <c r="M585" s="204" t="n">
        <v>800</v>
      </c>
      <c r="N585" s="176" t="n">
        <v>1000</v>
      </c>
      <c r="O585" s="13">
        <f>E585</f>
        <v/>
      </c>
      <c r="P585" s="25" t="inlineStr">
        <is>
          <t>grams</t>
        </is>
      </c>
      <c r="Q585" s="2" t="n"/>
      <c r="R585" s="1" t="n"/>
      <c r="S585" s="229">
        <f>M585*N585</f>
        <v/>
      </c>
      <c r="T585" s="230">
        <f>CONCATENATE(S585,Q585,P585)</f>
        <v/>
      </c>
      <c r="U585" s="206">
        <f>L585*M585</f>
        <v/>
      </c>
      <c r="V585" s="4" t="n"/>
      <c r="W585" s="4" t="n"/>
      <c r="X585" s="4" t="n"/>
    </row>
    <row r="586" ht="15.75" customHeight="1" thickBot="1">
      <c r="A586" s="185" t="n">
        <v>397</v>
      </c>
      <c r="B586" s="114" t="inlineStr">
        <is>
          <t>Star Margarine</t>
        </is>
      </c>
      <c r="C586" s="114" t="n"/>
      <c r="D586" s="115">
        <f>IFERROR(__xludf.DUMMYFUNCTION("IF(J586="""",""n/a"",IFERROR(SPLIT(J586,""/"")))"),"n/a")</f>
        <v/>
      </c>
      <c r="E586" s="114" t="n"/>
      <c r="F586" s="114" t="n"/>
      <c r="G586" s="114" t="n"/>
      <c r="H586" s="84" t="inlineStr">
        <is>
          <t>F1</t>
        </is>
      </c>
      <c r="I586" s="7" t="n"/>
      <c r="J586" s="32" t="n"/>
      <c r="K586" s="24" t="n"/>
      <c r="L586" s="36" t="n">
        <v>11.3</v>
      </c>
      <c r="M586" s="201" t="n">
        <v>33</v>
      </c>
      <c r="N586" s="176" t="n">
        <v>1</v>
      </c>
      <c r="O586" s="13">
        <f>E586</f>
        <v/>
      </c>
      <c r="P586" s="25" t="inlineStr">
        <is>
          <t>pieces</t>
        </is>
      </c>
      <c r="Q586" s="2" t="n"/>
      <c r="R586" s="1" t="n"/>
      <c r="S586" s="229">
        <f>M586*N586</f>
        <v/>
      </c>
      <c r="T586" s="230">
        <f>CONCATENATE(S586,Q586,P586)</f>
        <v/>
      </c>
      <c r="U586" s="206">
        <f>L586*M586</f>
        <v/>
      </c>
      <c r="V586" s="4" t="n"/>
      <c r="W586" s="4" t="n"/>
      <c r="X586" s="4" t="n"/>
    </row>
    <row r="587" ht="15.75" customHeight="1" thickBot="1">
      <c r="A587" s="185" t="n">
        <v>398</v>
      </c>
      <c r="B587" s="114" t="inlineStr">
        <is>
          <t>Sting</t>
        </is>
      </c>
      <c r="C587" s="114" t="n"/>
      <c r="D587" s="115">
        <f>IFERROR(__xludf.DUMMYFUNCTION("IF(J587="""",""n/a"",IFERROR(SPLIT(J587,""/"")))"),"Pepsi")</f>
        <v/>
      </c>
      <c r="E587" s="114">
        <f>IFERROR(__xludf.DUMMYFUNCTION("""COMPUTED_VALUE"""),"case (24pcsx320ml)")</f>
        <v/>
      </c>
      <c r="F587" s="114" t="n"/>
      <c r="G587" s="114" t="n"/>
      <c r="H587" s="11" t="inlineStr">
        <is>
          <t>CIP</t>
        </is>
      </c>
      <c r="I587" s="95" t="n"/>
      <c r="J587" s="99" t="inlineStr">
        <is>
          <t>Pepsi/case (24pcsx320ml)</t>
        </is>
      </c>
      <c r="K587" s="35" t="n"/>
      <c r="L587" s="100" t="n">
        <v>18.44</v>
      </c>
      <c r="M587" s="199" t="n">
        <v>373</v>
      </c>
      <c r="N587" s="91" t="n">
        <v>1</v>
      </c>
      <c r="O587" s="13">
        <f>E587</f>
        <v/>
      </c>
      <c r="P587" s="91" t="inlineStr">
        <is>
          <t>pieces</t>
        </is>
      </c>
      <c r="Q587" s="2" t="n"/>
      <c r="R587" s="1" t="n"/>
      <c r="S587" s="229">
        <f>M587*N587</f>
        <v/>
      </c>
      <c r="T587" s="230">
        <f>CONCATENATE(S587,Q587,P587)</f>
        <v/>
      </c>
      <c r="U587" s="206">
        <f>L587*M587</f>
        <v/>
      </c>
      <c r="V587" s="4" t="n"/>
      <c r="W587" s="4" t="n"/>
      <c r="X587" s="4" t="n"/>
    </row>
    <row r="588" ht="15.75" customHeight="1" thickBot="1">
      <c r="A588" s="185" t="n">
        <v>399</v>
      </c>
      <c r="B588" s="115" t="inlineStr">
        <is>
          <t>Suga r- Refined</t>
        </is>
      </c>
      <c r="C588" s="115" t="n"/>
      <c r="D588" s="115">
        <f>IFERROR(__xludf.DUMMYFUNCTION("IF(J588="""",""n/a"",IFERROR(SPLIT(J588,""/"")))"),"Hermano")</f>
        <v/>
      </c>
      <c r="E588" s="115">
        <f>IFERROR(__xludf.DUMMYFUNCTION("""COMPUTED_VALUE"""),"pack")</f>
        <v/>
      </c>
      <c r="F588" s="115">
        <f>IFERROR(__xludf.DUMMYFUNCTION("""COMPUTED_VALUE"""),"1000grams")</f>
        <v/>
      </c>
      <c r="G588" s="115" t="n"/>
      <c r="H588" s="84" t="inlineStr">
        <is>
          <t>F1</t>
        </is>
      </c>
      <c r="I588" s="7" t="n"/>
      <c r="J588" s="32" t="inlineStr">
        <is>
          <t>Hermano/pack/1000grams</t>
        </is>
      </c>
      <c r="K588" s="24" t="n"/>
      <c r="L588" s="36" t="n">
        <v>0.0862</v>
      </c>
      <c r="M588" s="204" t="n">
        <v>37000</v>
      </c>
      <c r="N588" s="176" t="n">
        <v>1000</v>
      </c>
      <c r="O588" s="13">
        <f>E588</f>
        <v/>
      </c>
      <c r="P588" s="25" t="inlineStr">
        <is>
          <t>grams</t>
        </is>
      </c>
      <c r="Q588" s="2" t="n"/>
      <c r="R588" s="1" t="n"/>
      <c r="S588" s="229">
        <f>M588*N588</f>
        <v/>
      </c>
      <c r="T588" s="230">
        <f>CONCATENATE(S588,Q588,P588)</f>
        <v/>
      </c>
      <c r="U588" s="206">
        <f>L588*M588</f>
        <v/>
      </c>
      <c r="V588" s="4" t="n"/>
      <c r="W588" s="4" t="n"/>
      <c r="X588" s="4" t="n"/>
    </row>
    <row r="589" ht="15.75" customHeight="1" thickBot="1">
      <c r="A589" s="185" t="n">
        <v>400</v>
      </c>
      <c r="B589" s="115" t="inlineStr">
        <is>
          <t>Sugar</t>
        </is>
      </c>
      <c r="C589" s="115" t="n"/>
      <c r="D589" s="115">
        <f>IFERROR(__xludf.DUMMYFUNCTION("IF(J589="""",""n/a"",IFERROR(SPLIT(J589,""/"")))"),"Cilgar")</f>
        <v/>
      </c>
      <c r="E589" s="115">
        <f>IFERROR(__xludf.DUMMYFUNCTION("""COMPUTED_VALUE"""),"pack (pcsx1gram)")</f>
        <v/>
      </c>
      <c r="F589" s="115" t="n"/>
      <c r="G589" s="115" t="n"/>
      <c r="H589" s="11" t="inlineStr">
        <is>
          <t>Annex</t>
        </is>
      </c>
      <c r="I589" s="6" t="n"/>
      <c r="J589" s="32" t="inlineStr">
        <is>
          <t>Cilgar/pack (pcsx1gram)</t>
        </is>
      </c>
      <c r="K589" s="42" t="n"/>
      <c r="L589" s="30" t="n">
        <v>1.3</v>
      </c>
      <c r="M589" s="200" t="n">
        <v>305</v>
      </c>
      <c r="N589" s="172" t="n">
        <v>1</v>
      </c>
      <c r="O589" s="13">
        <f>E589</f>
        <v/>
      </c>
      <c r="P589" s="25" t="inlineStr">
        <is>
          <t>pieces</t>
        </is>
      </c>
      <c r="Q589" s="174" t="n"/>
      <c r="R589" s="175">
        <f>CONCATENATE(N589,P589)</f>
        <v/>
      </c>
      <c r="S589" s="229">
        <f>M589*N589</f>
        <v/>
      </c>
      <c r="T589" s="230">
        <f>CONCATENATE(S589,Q589,P589)</f>
        <v/>
      </c>
      <c r="U589" s="206">
        <f>L589*M589</f>
        <v/>
      </c>
      <c r="V589" s="231" t="n"/>
      <c r="W589" s="236" t="n"/>
      <c r="X589" s="71" t="n"/>
    </row>
    <row r="590" ht="15.75" customHeight="1" thickBot="1">
      <c r="A590" s="185" t="n">
        <v>401</v>
      </c>
      <c r="B590" s="114" t="inlineStr">
        <is>
          <t>Sugar - Brown</t>
        </is>
      </c>
      <c r="C590" s="114" t="n"/>
      <c r="D590" s="115">
        <f>IFERROR(__xludf.DUMMYFUNCTION("IF(J590="""",""n/a"",IFERROR(SPLIT(J590,""/"")))"),"Hermano")</f>
        <v/>
      </c>
      <c r="E590" s="114">
        <f>IFERROR(__xludf.DUMMYFUNCTION("""COMPUTED_VALUE"""),"pack")</f>
        <v/>
      </c>
      <c r="F590" s="114">
        <f>IFERROR(__xludf.DUMMYFUNCTION("""COMPUTED_VALUE"""),"1000grams")</f>
        <v/>
      </c>
      <c r="G590" s="114" t="n"/>
      <c r="H590" s="11" t="inlineStr">
        <is>
          <t>CIP</t>
        </is>
      </c>
      <c r="I590" s="95" t="n"/>
      <c r="J590" s="99" t="inlineStr">
        <is>
          <t>Hermano/pack/1000grams</t>
        </is>
      </c>
      <c r="K590" s="35" t="n"/>
      <c r="L590" s="100" t="n">
        <v>79.09</v>
      </c>
      <c r="M590" s="199" t="n">
        <v>8</v>
      </c>
      <c r="N590" s="91" t="n">
        <v>1000</v>
      </c>
      <c r="O590" s="13">
        <f>E590</f>
        <v/>
      </c>
      <c r="P590" s="91" t="inlineStr">
        <is>
          <t>grams</t>
        </is>
      </c>
      <c r="Q590" s="2" t="n"/>
      <c r="R590" s="1" t="n"/>
      <c r="S590" s="229">
        <f>M590*N590</f>
        <v/>
      </c>
      <c r="T590" s="230">
        <f>CONCATENATE(S590,Q590,P590)</f>
        <v/>
      </c>
      <c r="U590" s="206">
        <f>L590*M590</f>
        <v/>
      </c>
      <c r="V590" s="4" t="n"/>
      <c r="W590" s="4" t="n"/>
      <c r="X590" s="4" t="n"/>
    </row>
    <row r="591" ht="15.75" customHeight="1" thickBot="1">
      <c r="A591" s="185" t="n">
        <v>401</v>
      </c>
      <c r="B591" s="115" t="inlineStr">
        <is>
          <t>Sugar - Brown</t>
        </is>
      </c>
      <c r="C591" s="115" t="n"/>
      <c r="D591" s="115">
        <f>IFERROR(__xludf.DUMMYFUNCTION("IF(J591="""",""n/a"",IFERROR(SPLIT(J591,""/"")))"),"Hermano")</f>
        <v/>
      </c>
      <c r="E591" s="115">
        <f>IFERROR(__xludf.DUMMYFUNCTION("""COMPUTED_VALUE"""),"pack")</f>
        <v/>
      </c>
      <c r="F591" s="115">
        <f>IFERROR(__xludf.DUMMYFUNCTION("""COMPUTED_VALUE"""),"1000grams")</f>
        <v/>
      </c>
      <c r="G591" s="115" t="n"/>
      <c r="H591" s="84" t="inlineStr">
        <is>
          <t>F1</t>
        </is>
      </c>
      <c r="I591" s="7" t="n"/>
      <c r="J591" s="32" t="inlineStr">
        <is>
          <t>Hermano/pack/1000grams</t>
        </is>
      </c>
      <c r="K591" s="24" t="n"/>
      <c r="L591" s="36" t="n">
        <v>0.08170000000000001</v>
      </c>
      <c r="M591" s="201" t="n">
        <v>38000</v>
      </c>
      <c r="N591" s="176" t="n">
        <v>1000</v>
      </c>
      <c r="O591" s="13">
        <f>E591</f>
        <v/>
      </c>
      <c r="P591" s="25" t="inlineStr">
        <is>
          <t>grams</t>
        </is>
      </c>
      <c r="Q591" s="2" t="n"/>
      <c r="R591" s="1" t="n"/>
      <c r="S591" s="229">
        <f>M591*N591</f>
        <v/>
      </c>
      <c r="T591" s="230">
        <f>CONCATENATE(S591,Q591,P591)</f>
        <v/>
      </c>
      <c r="U591" s="206">
        <f>L591*M591</f>
        <v/>
      </c>
      <c r="V591" s="4" t="n"/>
      <c r="W591" s="4" t="n"/>
      <c r="X591" s="4" t="n"/>
    </row>
    <row r="592" ht="15.75" customHeight="1" thickBot="1">
      <c r="A592" s="185" t="n">
        <v>402</v>
      </c>
      <c r="B592" s="115" t="inlineStr">
        <is>
          <t>Sugar - Brown Sachet</t>
        </is>
      </c>
      <c r="C592" s="115" t="n"/>
      <c r="D592" s="115">
        <f>IFERROR(__xludf.DUMMYFUNCTION("IF(J592="""",""n/a"",IFERROR(SPLIT(J592,""/"")))"),"My Everyday")</f>
        <v/>
      </c>
      <c r="E592" s="115">
        <f>IFERROR(__xludf.DUMMYFUNCTION("""COMPUTED_VALUE"""),"sachet")</f>
        <v/>
      </c>
      <c r="F592" s="115">
        <f>IFERROR(__xludf.DUMMYFUNCTION("""COMPUTED_VALUE"""),"5grams")</f>
        <v/>
      </c>
      <c r="G592" s="115" t="n"/>
      <c r="H592" s="84" t="inlineStr">
        <is>
          <t>F1</t>
        </is>
      </c>
      <c r="I592" s="7" t="n"/>
      <c r="J592" s="32" t="inlineStr">
        <is>
          <t>My Everyday/sachet/5grams</t>
        </is>
      </c>
      <c r="K592" s="24" t="n"/>
      <c r="L592" s="36" t="n">
        <v>0.24</v>
      </c>
      <c r="M592" s="201" t="n">
        <v>2250</v>
      </c>
      <c r="N592" s="176" t="n">
        <v>5</v>
      </c>
      <c r="O592" s="13">
        <f>E592</f>
        <v/>
      </c>
      <c r="P592" s="25" t="inlineStr">
        <is>
          <t>grams</t>
        </is>
      </c>
      <c r="Q592" s="2" t="n"/>
      <c r="R592" s="1" t="n"/>
      <c r="S592" s="229">
        <f>M592*N592</f>
        <v/>
      </c>
      <c r="T592" s="230">
        <f>CONCATENATE(S592,Q592,P592)</f>
        <v/>
      </c>
      <c r="U592" s="206">
        <f>L592*M592</f>
        <v/>
      </c>
      <c r="V592" s="4" t="n"/>
      <c r="W592" s="4" t="n"/>
      <c r="X592" s="4" t="n"/>
    </row>
    <row r="593" ht="15.75" customHeight="1" thickBot="1">
      <c r="A593" s="185" t="n">
        <v>403</v>
      </c>
      <c r="B593" s="115" t="inlineStr">
        <is>
          <t>Sugar - Intense</t>
        </is>
      </c>
      <c r="C593" s="115" t="n"/>
      <c r="D593" s="115">
        <f>IFERROR(__xludf.DUMMYFUNCTION("IF(J593="""",""n/a"",IFERROR(SPLIT(J593,""/"")))"),"Injoy")</f>
        <v/>
      </c>
      <c r="E593" s="115">
        <f>IFERROR(__xludf.DUMMYFUNCTION("""COMPUTED_VALUE"""),"pack")</f>
        <v/>
      </c>
      <c r="F593" s="115">
        <f>IFERROR(__xludf.DUMMYFUNCTION("""COMPUTED_VALUE"""),"200grams")</f>
        <v/>
      </c>
      <c r="G593" s="115" t="n"/>
      <c r="H593" s="84" t="inlineStr">
        <is>
          <t>F1</t>
        </is>
      </c>
      <c r="I593" s="7" t="n"/>
      <c r="J593" s="32" t="inlineStr">
        <is>
          <t>Injoy/pack/200grams</t>
        </is>
      </c>
      <c r="K593" s="24" t="n"/>
      <c r="L593" s="36" t="n">
        <v>0.185</v>
      </c>
      <c r="M593" s="201" t="n">
        <v>200</v>
      </c>
      <c r="N593" s="176" t="n">
        <v>200</v>
      </c>
      <c r="O593" s="13">
        <f>E593</f>
        <v/>
      </c>
      <c r="P593" s="25" t="inlineStr">
        <is>
          <t>grams</t>
        </is>
      </c>
      <c r="Q593" s="2" t="n"/>
      <c r="R593" s="1" t="n"/>
      <c r="S593" s="229">
        <f>M593*N593</f>
        <v/>
      </c>
      <c r="T593" s="230">
        <f>CONCATENATE(S593,Q593,P593)</f>
        <v/>
      </c>
      <c r="U593" s="206">
        <f>L593*M593</f>
        <v/>
      </c>
      <c r="V593" s="4" t="n"/>
      <c r="W593" s="4" t="n"/>
      <c r="X593" s="4" t="n"/>
    </row>
    <row r="594" ht="15.75" customHeight="1" thickBot="1">
      <c r="A594" s="185" t="n">
        <v>404</v>
      </c>
      <c r="B594" s="114" t="inlineStr">
        <is>
          <t>Sugar - Washed</t>
        </is>
      </c>
      <c r="C594" s="114" t="n"/>
      <c r="D594" s="115">
        <f>IFERROR(__xludf.DUMMYFUNCTION("IF(J594="""",""n/a"",IFERROR(SPLIT(J594,""/"")))"),"Hermano")</f>
        <v/>
      </c>
      <c r="E594" s="114">
        <f>IFERROR(__xludf.DUMMYFUNCTION("""COMPUTED_VALUE"""),"pack")</f>
        <v/>
      </c>
      <c r="F594" s="114">
        <f>IFERROR(__xludf.DUMMYFUNCTION("""COMPUTED_VALUE"""),"1000grams")</f>
        <v/>
      </c>
      <c r="G594" s="114" t="n"/>
      <c r="H594" s="11" t="inlineStr">
        <is>
          <t>CIP</t>
        </is>
      </c>
      <c r="I594" s="95" t="n"/>
      <c r="J594" s="99" t="inlineStr">
        <is>
          <t>Hermano/pack/1000grams</t>
        </is>
      </c>
      <c r="K594" s="35" t="n"/>
      <c r="L594" s="100" t="n">
        <v>80.31999999999999</v>
      </c>
      <c r="M594" s="199" t="n">
        <v>71</v>
      </c>
      <c r="N594" s="91" t="n">
        <v>1000</v>
      </c>
      <c r="O594" s="13">
        <f>E594</f>
        <v/>
      </c>
      <c r="P594" s="91" t="inlineStr">
        <is>
          <t>grams</t>
        </is>
      </c>
      <c r="Q594" s="2" t="n"/>
      <c r="R594" s="1" t="n"/>
      <c r="S594" s="229">
        <f>M594*N594</f>
        <v/>
      </c>
      <c r="T594" s="230">
        <f>CONCATENATE(S594,Q594,P594)</f>
        <v/>
      </c>
      <c r="U594" s="206">
        <f>L594*M594</f>
        <v/>
      </c>
      <c r="V594" s="4" t="n"/>
      <c r="W594" s="4" t="n"/>
      <c r="X594" s="4" t="n"/>
    </row>
    <row r="595" ht="15.75" customHeight="1" thickBot="1">
      <c r="A595" s="185" t="n">
        <v>405</v>
      </c>
      <c r="B595" s="114" t="inlineStr">
        <is>
          <t>Sugar - White</t>
        </is>
      </c>
      <c r="C595" s="114" t="n"/>
      <c r="D595" s="115">
        <f>IFERROR(__xludf.DUMMYFUNCTION("IF(J595="""",""n/a"",IFERROR(SPLIT(J595,""/"")))"),"Hermano")</f>
        <v/>
      </c>
      <c r="E595" s="114">
        <f>IFERROR(__xludf.DUMMYFUNCTION("""COMPUTED_VALUE"""),"pack")</f>
        <v/>
      </c>
      <c r="F595" s="114">
        <f>IFERROR(__xludf.DUMMYFUNCTION("""COMPUTED_VALUE"""),"1000grams")</f>
        <v/>
      </c>
      <c r="G595" s="114" t="n"/>
      <c r="H595" s="11" t="inlineStr">
        <is>
          <t>CIP</t>
        </is>
      </c>
      <c r="I595" s="95" t="n"/>
      <c r="J595" s="99" t="inlineStr">
        <is>
          <t>Hermano/pack/1000grams</t>
        </is>
      </c>
      <c r="K595" s="35" t="n"/>
      <c r="L595" s="100" t="n">
        <v>84.44</v>
      </c>
      <c r="M595" s="199" t="n">
        <v>22</v>
      </c>
      <c r="N595" s="91" t="n">
        <v>1000</v>
      </c>
      <c r="O595" s="13">
        <f>E595</f>
        <v/>
      </c>
      <c r="P595" s="91" t="inlineStr">
        <is>
          <t>grams</t>
        </is>
      </c>
      <c r="Q595" s="2" t="n"/>
      <c r="R595" s="1" t="n"/>
      <c r="S595" s="229">
        <f>M595*N595</f>
        <v/>
      </c>
      <c r="T595" s="230">
        <f>CONCATENATE(S595,Q595,P595)</f>
        <v/>
      </c>
      <c r="U595" s="206">
        <f>L595*M595</f>
        <v/>
      </c>
      <c r="V595" s="4" t="n"/>
      <c r="W595" s="4" t="n"/>
      <c r="X595" s="4" t="n"/>
    </row>
    <row r="596" ht="15.75" customHeight="1" thickBot="1">
      <c r="A596" s="185" t="n">
        <v>406</v>
      </c>
      <c r="B596" s="115" t="inlineStr">
        <is>
          <t>Sugar - White Premuim</t>
        </is>
      </c>
      <c r="C596" s="115" t="n"/>
      <c r="D596" s="115">
        <f>IFERROR(__xludf.DUMMYFUNCTION("IF(J596="""",""n/a"",IFERROR(SPLIT(J596,""/"")))"),"Hermano")</f>
        <v/>
      </c>
      <c r="E596" s="115">
        <f>IFERROR(__xludf.DUMMYFUNCTION("""COMPUTED_VALUE"""),"pack")</f>
        <v/>
      </c>
      <c r="F596" s="115">
        <f>IFERROR(__xludf.DUMMYFUNCTION("""COMPUTED_VALUE"""),"1000grams")</f>
        <v/>
      </c>
      <c r="G596" s="115" t="n"/>
      <c r="H596" s="84" t="inlineStr">
        <is>
          <t>F1</t>
        </is>
      </c>
      <c r="I596" s="7" t="n"/>
      <c r="J596" s="32" t="inlineStr">
        <is>
          <t>Hermano/pack/1000grams</t>
        </is>
      </c>
      <c r="K596" s="24" t="n"/>
      <c r="L596" s="36" t="n">
        <v>0.098</v>
      </c>
      <c r="M596" s="204" t="n">
        <v>12000</v>
      </c>
      <c r="N596" s="176" t="n">
        <v>1000</v>
      </c>
      <c r="O596" s="13">
        <f>E596</f>
        <v/>
      </c>
      <c r="P596" s="139" t="inlineStr">
        <is>
          <t>grams</t>
        </is>
      </c>
      <c r="Q596" s="2" t="n"/>
      <c r="R596" s="1" t="n"/>
      <c r="S596" s="229">
        <f>M596*N596</f>
        <v/>
      </c>
      <c r="T596" s="230">
        <f>CONCATENATE(S596,Q596,P596)</f>
        <v/>
      </c>
      <c r="U596" s="206">
        <f>L596*M596</f>
        <v/>
      </c>
      <c r="V596" s="4" t="n"/>
      <c r="W596" s="4" t="n"/>
      <c r="X596" s="4" t="n"/>
    </row>
    <row r="597" ht="15.75" customHeight="1" thickBot="1">
      <c r="A597" s="185" t="n">
        <v>407</v>
      </c>
      <c r="B597" s="115" t="inlineStr">
        <is>
          <t>Table Napkin</t>
        </is>
      </c>
      <c r="C597" s="115" t="n"/>
      <c r="D597" s="115">
        <f>IFERROR(__xludf.DUMMYFUNCTION("IF(J597="""",""n/a"",IFERROR(SPLIT(J597,""/"")))"),"Everyday")</f>
        <v/>
      </c>
      <c r="E597" s="115">
        <f>IFERROR(__xludf.DUMMYFUNCTION("""COMPUTED_VALUE"""),"pack by 1000s'")</f>
        <v/>
      </c>
      <c r="F597" s="115" t="n"/>
      <c r="G597" s="115" t="n"/>
      <c r="H597" s="11" t="inlineStr">
        <is>
          <t>Annex</t>
        </is>
      </c>
      <c r="I597" s="6" t="n"/>
      <c r="J597" s="32" t="inlineStr">
        <is>
          <t>Everyday/pack by 1000s'</t>
        </is>
      </c>
      <c r="K597" s="42" t="n"/>
      <c r="L597" s="163" t="n">
        <v>52.52</v>
      </c>
      <c r="M597" s="200" t="n">
        <v>8</v>
      </c>
      <c r="N597" s="172" t="n">
        <v>1</v>
      </c>
      <c r="O597" s="13">
        <f>E597</f>
        <v/>
      </c>
      <c r="P597" s="25" t="inlineStr">
        <is>
          <t>packs</t>
        </is>
      </c>
      <c r="Q597" s="174" t="n"/>
      <c r="R597" s="175">
        <f>CONCATENATE(N597,P597)</f>
        <v/>
      </c>
      <c r="S597" s="229">
        <f>M597*N597</f>
        <v/>
      </c>
      <c r="T597" s="230">
        <f>CONCATENATE(S597,Q597,P597)</f>
        <v/>
      </c>
      <c r="U597" s="206">
        <f>L597*M597</f>
        <v/>
      </c>
      <c r="V597" s="34" t="n"/>
      <c r="W597" s="34" t="n"/>
      <c r="X597" s="34" t="n"/>
    </row>
    <row r="598" ht="15.75" customHeight="1" thickBot="1">
      <c r="A598" s="185" t="n">
        <v>408</v>
      </c>
      <c r="B598" s="115" t="inlineStr">
        <is>
          <t>Table Napkin - Pre Cut</t>
        </is>
      </c>
      <c r="C598" s="115" t="n"/>
      <c r="D598" s="115">
        <f>IFERROR(__xludf.DUMMYFUNCTION("IF(J598="""",""n/a"",IFERROR(SPLIT(J598,""/"")))"),"Everyday")</f>
        <v/>
      </c>
      <c r="E598" s="115">
        <f>IFERROR(__xludf.DUMMYFUNCTION("""COMPUTED_VALUE"""),"pack by 1000s'")</f>
        <v/>
      </c>
      <c r="F598" s="115" t="n"/>
      <c r="G598" s="115" t="n"/>
      <c r="H598" s="11" t="inlineStr">
        <is>
          <t>CIP</t>
        </is>
      </c>
      <c r="I598" s="95" t="n"/>
      <c r="J598" s="99" t="inlineStr">
        <is>
          <t>Everyday/pack by 1000s'</t>
        </is>
      </c>
      <c r="K598" s="103" t="n"/>
      <c r="L598" s="100" t="n">
        <v>74</v>
      </c>
      <c r="M598" s="199" t="n">
        <v>3</v>
      </c>
      <c r="N598" s="91" t="n">
        <v>1</v>
      </c>
      <c r="O598" s="13">
        <f>E598</f>
        <v/>
      </c>
      <c r="P598" s="91" t="inlineStr">
        <is>
          <t>packs</t>
        </is>
      </c>
      <c r="Q598" s="2" t="n"/>
      <c r="R598" s="1" t="n"/>
      <c r="S598" s="229">
        <f>M598*N598</f>
        <v/>
      </c>
      <c r="T598" s="230">
        <f>CONCATENATE(S598,Q598,P598)</f>
        <v/>
      </c>
      <c r="U598" s="206">
        <f>L598*M598</f>
        <v/>
      </c>
      <c r="V598" s="4" t="n"/>
      <c r="W598" s="4" t="n"/>
      <c r="X598" s="4" t="n"/>
    </row>
    <row r="599" ht="15.75" customHeight="1" thickBot="1">
      <c r="A599" s="185" t="n">
        <v>409</v>
      </c>
      <c r="B599" s="114" t="inlineStr">
        <is>
          <t>Tanigue</t>
        </is>
      </c>
      <c r="C599" s="114" t="n"/>
      <c r="D599" s="115">
        <f>IFERROR(__xludf.DUMMYFUNCTION("IF(J599="""",""n/a"",IFERROR(SPLIT(J599,""/"")))"),"n/a")</f>
        <v/>
      </c>
      <c r="E599" s="114" t="n"/>
      <c r="F599" s="114" t="n"/>
      <c r="G599" s="114" t="n"/>
      <c r="H599" s="84" t="inlineStr">
        <is>
          <t>F1</t>
        </is>
      </c>
      <c r="I599" s="7" t="n"/>
      <c r="J599" s="32" t="n"/>
      <c r="K599" s="24" t="n"/>
      <c r="L599" s="36" t="n">
        <v>0.44</v>
      </c>
      <c r="M599" s="201" t="n">
        <v>3000</v>
      </c>
      <c r="N599" s="176" t="n">
        <v>1000</v>
      </c>
      <c r="O599" s="13">
        <f>E599</f>
        <v/>
      </c>
      <c r="P599" s="25" t="inlineStr">
        <is>
          <t>grams</t>
        </is>
      </c>
      <c r="Q599" s="2" t="n"/>
      <c r="R599" s="1" t="n"/>
      <c r="S599" s="229">
        <f>M599*N599</f>
        <v/>
      </c>
      <c r="T599" s="230">
        <f>CONCATENATE(S599,Q599,P599)</f>
        <v/>
      </c>
      <c r="U599" s="206">
        <f>L599*M599</f>
        <v/>
      </c>
      <c r="V599" s="4" t="n"/>
      <c r="W599" s="4" t="n"/>
      <c r="X599" s="4" t="n"/>
    </row>
    <row r="600" ht="15.75" customHeight="1" thickBot="1">
      <c r="A600" s="185" t="n">
        <v>410</v>
      </c>
      <c r="B600" s="115" t="inlineStr">
        <is>
          <t>Tater Thins Crackers</t>
        </is>
      </c>
      <c r="C600" s="115" t="n"/>
      <c r="D600" s="115">
        <f>IFERROR(__xludf.DUMMYFUNCTION("IF(J600="""",""n/a"",IFERROR(SPLIT(J600,""/"")))"),"Oishi")</f>
        <v/>
      </c>
      <c r="E600" s="115">
        <f>IFERROR(__xludf.DUMMYFUNCTION("""COMPUTED_VALUE"""),"packs")</f>
        <v/>
      </c>
      <c r="F600" s="115">
        <f>IFERROR(__xludf.DUMMYFUNCTION("""COMPUTED_VALUE"""),"75grams")</f>
        <v/>
      </c>
      <c r="G600" s="115" t="n"/>
      <c r="H600" s="11" t="inlineStr">
        <is>
          <t>Annex</t>
        </is>
      </c>
      <c r="I600" s="6" t="n"/>
      <c r="J600" s="32" t="inlineStr">
        <is>
          <t>Oishi/packs/75grams</t>
        </is>
      </c>
      <c r="K600" s="173" t="n"/>
      <c r="L600" s="150" t="n">
        <v>22.38</v>
      </c>
      <c r="M600" s="203" t="n">
        <v>6</v>
      </c>
      <c r="N600" s="172" t="n">
        <v>1</v>
      </c>
      <c r="O600" s="13">
        <f>E600</f>
        <v/>
      </c>
      <c r="P600" s="25" t="inlineStr">
        <is>
          <t>pieces</t>
        </is>
      </c>
      <c r="Q600" s="174" t="n"/>
      <c r="R600" s="175">
        <f>CONCATENATE(N600,P600)</f>
        <v/>
      </c>
      <c r="S600" s="229">
        <f>M600*N600</f>
        <v/>
      </c>
      <c r="T600" s="230">
        <f>CONCATENATE(S600,Q600,P600)</f>
        <v/>
      </c>
      <c r="U600" s="206">
        <f>L600*M600</f>
        <v/>
      </c>
      <c r="V600" s="34" t="n"/>
      <c r="W600" s="34" t="n"/>
      <c r="X600" s="34" t="n"/>
    </row>
    <row r="601" ht="15.75" customHeight="1" thickBot="1">
      <c r="A601" s="185" t="n">
        <v>411</v>
      </c>
      <c r="B601" s="115" t="inlineStr">
        <is>
          <t>Tater Thins Cucumber Snacks</t>
        </is>
      </c>
      <c r="C601" s="115" t="n"/>
      <c r="D601" s="115">
        <f>IFERROR(__xludf.DUMMYFUNCTION("IF(J601="""",""n/a"",IFERROR(SPLIT(J601,""/"")))"),"n/a")</f>
        <v/>
      </c>
      <c r="E601" s="115" t="n"/>
      <c r="F601" s="115" t="n"/>
      <c r="G601" s="115" t="n"/>
      <c r="H601" s="84" t="inlineStr">
        <is>
          <t>F1</t>
        </is>
      </c>
      <c r="I601" s="7" t="n"/>
      <c r="J601" s="32" t="n"/>
      <c r="K601" s="24" t="n"/>
      <c r="L601" s="36" t="n">
        <v>22.37833333333333</v>
      </c>
      <c r="M601" s="201" t="n">
        <v>30</v>
      </c>
      <c r="N601" s="176" t="n">
        <v>30</v>
      </c>
      <c r="O601" s="13">
        <f>E601</f>
        <v/>
      </c>
      <c r="P601" s="25" t="inlineStr">
        <is>
          <t>pieces</t>
        </is>
      </c>
      <c r="Q601" s="2" t="n"/>
      <c r="R601" s="1" t="n"/>
      <c r="S601" s="229">
        <f>M601*N601</f>
        <v/>
      </c>
      <c r="T601" s="230">
        <f>CONCATENATE(S601,Q601,P601)</f>
        <v/>
      </c>
      <c r="U601" s="206">
        <f>L601*M601</f>
        <v/>
      </c>
      <c r="V601" s="4" t="n"/>
      <c r="W601" s="4" t="n"/>
      <c r="X601" s="4" t="n"/>
    </row>
    <row r="602" ht="15.75" customHeight="1" thickBot="1">
      <c r="A602" s="185" t="n">
        <v>412</v>
      </c>
      <c r="B602" s="115" t="inlineStr">
        <is>
          <t>Tempura</t>
        </is>
      </c>
      <c r="C602" s="115" t="n"/>
      <c r="D602" s="115">
        <f>IFERROR(__xludf.DUMMYFUNCTION("IF(J602="""",""n/a"",IFERROR(SPLIT(J602,""/"")))"),"Below Zero")</f>
        <v/>
      </c>
      <c r="E602" s="115">
        <f>IFERROR(__xludf.DUMMYFUNCTION("""COMPUTED_VALUE"""),"box (24pcsx500ml)")</f>
        <v/>
      </c>
      <c r="F602" s="115" t="n"/>
      <c r="G602" s="115" t="n"/>
      <c r="H602" s="11" t="inlineStr">
        <is>
          <t>Annex</t>
        </is>
      </c>
      <c r="I602" s="6" t="n"/>
      <c r="J602" s="32" t="inlineStr">
        <is>
          <t>Below Zero/box (24pcsx500ml)</t>
        </is>
      </c>
      <c r="K602" s="42" t="n"/>
      <c r="L602" s="30" t="n">
        <v>7.5</v>
      </c>
      <c r="M602" s="200" t="n">
        <v>1001</v>
      </c>
      <c r="N602" s="172" t="n">
        <v>1</v>
      </c>
      <c r="O602" s="13">
        <f>E602</f>
        <v/>
      </c>
      <c r="P602" s="25" t="inlineStr">
        <is>
          <t>pieces</t>
        </is>
      </c>
      <c r="Q602" s="174" t="n"/>
      <c r="R602" s="175">
        <f>CONCATENATE(N602,P602)</f>
        <v/>
      </c>
      <c r="S602" s="229">
        <f>M602*N602</f>
        <v/>
      </c>
      <c r="T602" s="230">
        <f>CONCATENATE(S602,Q602,P602)</f>
        <v/>
      </c>
      <c r="U602" s="206">
        <f>L602*M602</f>
        <v/>
      </c>
      <c r="V602" s="231" t="n"/>
      <c r="W602" s="236" t="n"/>
      <c r="X602" s="71" t="n"/>
    </row>
    <row r="603" ht="15.75" customHeight="1" thickBot="1">
      <c r="A603" s="185" t="n">
        <v>413</v>
      </c>
      <c r="B603" s="115" t="inlineStr">
        <is>
          <t>Tenga Daga</t>
        </is>
      </c>
      <c r="C603" s="115" t="n"/>
      <c r="D603" s="115">
        <f>IFERROR(__xludf.DUMMYFUNCTION("IF(J603="""",""n/a"",IFERROR(SPLIT(J603,""/"")))"),"pack")</f>
        <v/>
      </c>
      <c r="E603" s="115">
        <f>IFERROR(__xludf.DUMMYFUNCTION("""COMPUTED_VALUE"""),"1000grams")</f>
        <v/>
      </c>
      <c r="F603" s="115" t="n"/>
      <c r="G603" s="115" t="n"/>
      <c r="H603" s="11" t="inlineStr">
        <is>
          <t>Annex</t>
        </is>
      </c>
      <c r="I603" s="6" t="n"/>
      <c r="J603" s="32" t="inlineStr">
        <is>
          <t>pack/1000grams</t>
        </is>
      </c>
      <c r="K603" s="42" t="n"/>
      <c r="L603" s="163" t="n">
        <v>0.34</v>
      </c>
      <c r="M603" s="200" t="n">
        <v>250</v>
      </c>
      <c r="N603" s="172" t="n">
        <v>1000</v>
      </c>
      <c r="O603" s="13">
        <f>E603</f>
        <v/>
      </c>
      <c r="P603" s="25" t="inlineStr">
        <is>
          <t>grams</t>
        </is>
      </c>
      <c r="Q603" s="174" t="n"/>
      <c r="R603" s="175">
        <f>CONCATENATE(N603,P603)</f>
        <v/>
      </c>
      <c r="S603" s="229">
        <f>M603*N603</f>
        <v/>
      </c>
      <c r="T603" s="230">
        <f>CONCATENATE(S603,Q603,P603)</f>
        <v/>
      </c>
      <c r="U603" s="206">
        <f>L603*M603</f>
        <v/>
      </c>
      <c r="V603" s="34" t="n"/>
      <c r="W603" s="34" t="n"/>
      <c r="X603" s="34" t="n"/>
    </row>
    <row r="604" ht="15.75" customHeight="1" thickBot="1">
      <c r="A604" s="185" t="n">
        <v>413</v>
      </c>
      <c r="B604" s="115" t="inlineStr">
        <is>
          <t>Tenga Daga</t>
        </is>
      </c>
      <c r="C604" s="115" t="n"/>
      <c r="D604" s="115">
        <f>IFERROR(__xludf.DUMMYFUNCTION("IF(J604="""",""n/a"",IFERROR(SPLIT(J604,""/"")))"),"n/a")</f>
        <v/>
      </c>
      <c r="E604" s="115" t="n"/>
      <c r="F604" s="115" t="n"/>
      <c r="G604" s="115" t="n"/>
      <c r="H604" s="84" t="inlineStr">
        <is>
          <t>F1</t>
        </is>
      </c>
      <c r="I604" s="7" t="n"/>
      <c r="J604" s="32" t="n"/>
      <c r="K604" s="24" t="n"/>
      <c r="L604" s="36" t="n">
        <v>0.65</v>
      </c>
      <c r="M604" s="201" t="n">
        <v>200</v>
      </c>
      <c r="N604" s="176" t="n">
        <v>1000</v>
      </c>
      <c r="O604" s="13">
        <f>E604</f>
        <v/>
      </c>
      <c r="P604" s="25" t="inlineStr">
        <is>
          <t>grams</t>
        </is>
      </c>
      <c r="Q604" s="2" t="n"/>
      <c r="R604" s="1" t="n"/>
      <c r="S604" s="229">
        <f>M604*N604</f>
        <v/>
      </c>
      <c r="T604" s="230">
        <f>CONCATENATE(S604,Q604,P604)</f>
        <v/>
      </c>
      <c r="U604" s="206">
        <f>L604*M604</f>
        <v/>
      </c>
      <c r="V604" s="4" t="n"/>
      <c r="W604" s="4" t="n"/>
      <c r="X604" s="4" t="n"/>
    </row>
    <row r="605" ht="15.75" customHeight="1" thickBot="1">
      <c r="A605" s="185" t="n">
        <v>414</v>
      </c>
      <c r="B605" s="115" t="inlineStr">
        <is>
          <t>Tilapia</t>
        </is>
      </c>
      <c r="C605" s="115" t="n"/>
      <c r="D605" s="115">
        <f>IFERROR(__xludf.DUMMYFUNCTION("IF(J605="""",""n/a"",IFERROR(SPLIT(J605,""/"")))"),"Indicate ave weight")</f>
        <v/>
      </c>
      <c r="E605" s="115">
        <f>IFERROR(__xludf.DUMMYFUNCTION("""COMPUTED_VALUE"""),"piece")</f>
        <v/>
      </c>
      <c r="F605" s="115" t="n"/>
      <c r="G605" s="115" t="n"/>
      <c r="H605" s="11" t="inlineStr">
        <is>
          <t>Annex</t>
        </is>
      </c>
      <c r="I605" s="6" t="n"/>
      <c r="J605" s="178" t="inlineStr">
        <is>
          <t>Indicate ave weight/piece</t>
        </is>
      </c>
      <c r="K605" s="42" t="n"/>
      <c r="L605" s="163" t="n">
        <v>0.148</v>
      </c>
      <c r="M605" s="200" t="n">
        <v>4000</v>
      </c>
      <c r="N605" s="172" t="n">
        <v>1000</v>
      </c>
      <c r="O605" s="13">
        <f>E605</f>
        <v/>
      </c>
      <c r="P605" s="25" t="inlineStr">
        <is>
          <t>grams</t>
        </is>
      </c>
      <c r="Q605" s="174" t="n"/>
      <c r="R605" s="175">
        <f>CONCATENATE(N605,P605)</f>
        <v/>
      </c>
      <c r="S605" s="229">
        <f>M605*N605</f>
        <v/>
      </c>
      <c r="T605" s="230">
        <f>CONCATENATE(S605,Q605,P605)</f>
        <v/>
      </c>
      <c r="U605" s="206">
        <f>L605*M605</f>
        <v/>
      </c>
      <c r="V605" s="34" t="n"/>
      <c r="W605" s="34" t="n"/>
      <c r="X605" s="34" t="n"/>
    </row>
    <row r="606" ht="15.75" customHeight="1" thickBot="1">
      <c r="A606" s="185" t="n">
        <v>415</v>
      </c>
      <c r="B606" s="115" t="inlineStr">
        <is>
          <t>Tinapa</t>
        </is>
      </c>
      <c r="C606" s="115" t="n"/>
      <c r="D606" s="115">
        <f>IFERROR(__xludf.DUMMYFUNCTION("IF(J606="""",""n/a"",IFERROR(SPLIT(J606,""/"")))"),"n/a")</f>
        <v/>
      </c>
      <c r="E606" s="115" t="n"/>
      <c r="F606" s="115" t="n"/>
      <c r="G606" s="115" t="n"/>
      <c r="H606" s="11" t="inlineStr">
        <is>
          <t>CIP</t>
        </is>
      </c>
      <c r="I606" s="95" t="n"/>
      <c r="J606" s="99" t="n"/>
      <c r="K606" s="103" t="n"/>
      <c r="L606" s="100" t="n">
        <v>320</v>
      </c>
      <c r="M606" s="199" t="n">
        <v>4</v>
      </c>
      <c r="N606" s="91" t="n">
        <v>1</v>
      </c>
      <c r="O606" s="13">
        <f>E606</f>
        <v/>
      </c>
      <c r="P606" s="91" t="inlineStr">
        <is>
          <t>grams</t>
        </is>
      </c>
      <c r="Q606" s="2" t="n"/>
      <c r="R606" s="1" t="n"/>
      <c r="S606" s="229">
        <f>M606*N606</f>
        <v/>
      </c>
      <c r="T606" s="230">
        <f>CONCATENATE(S606,Q606,P606)</f>
        <v/>
      </c>
      <c r="U606" s="206">
        <f>L606*M606</f>
        <v/>
      </c>
      <c r="V606" s="4" t="n"/>
      <c r="W606" s="4" t="n"/>
      <c r="X606" s="4" t="n"/>
    </row>
    <row r="607" ht="15.75" customHeight="1" thickBot="1">
      <c r="A607" s="185" t="n">
        <v>416</v>
      </c>
      <c r="B607" s="114" t="inlineStr">
        <is>
          <t>Tinapa Powder</t>
        </is>
      </c>
      <c r="C607" s="114" t="n"/>
      <c r="D607" s="115">
        <f>IFERROR(__xludf.DUMMYFUNCTION("IF(J607="""",""n/a"",IFERROR(SPLIT(J607,""/"")))"),"n/a")</f>
        <v/>
      </c>
      <c r="E607" s="114" t="n"/>
      <c r="F607" s="114" t="n"/>
      <c r="G607" s="114" t="n"/>
      <c r="H607" s="84" t="inlineStr">
        <is>
          <t>F1</t>
        </is>
      </c>
      <c r="I607" s="7" t="n"/>
      <c r="J607" s="32" t="n"/>
      <c r="K607" s="24" t="n"/>
      <c r="L607" s="36" t="n">
        <v>0.24</v>
      </c>
      <c r="M607" s="201" t="n">
        <v>1000</v>
      </c>
      <c r="N607" s="176" t="n">
        <v>500</v>
      </c>
      <c r="O607" s="13">
        <f>E607</f>
        <v/>
      </c>
      <c r="P607" s="25" t="inlineStr">
        <is>
          <t>grams</t>
        </is>
      </c>
      <c r="Q607" s="2" t="n"/>
      <c r="R607" s="1" t="n"/>
      <c r="S607" s="229">
        <f>M607*N607</f>
        <v/>
      </c>
      <c r="T607" s="230">
        <f>CONCATENATE(S607,Q607,P607)</f>
        <v/>
      </c>
      <c r="U607" s="206">
        <f>L607*M607</f>
        <v/>
      </c>
      <c r="V607" s="4" t="n"/>
      <c r="W607" s="4" t="n"/>
      <c r="X607" s="4" t="n"/>
    </row>
    <row r="608" ht="15.75" customHeight="1" thickBot="1">
      <c r="A608" s="185" t="n">
        <v>417</v>
      </c>
      <c r="B608" s="115" t="inlineStr">
        <is>
          <t>Tissue</t>
        </is>
      </c>
      <c r="C608" s="115" t="n"/>
      <c r="D608" s="115">
        <f>IFERROR(__xludf.DUMMYFUNCTION("IF(J608="""",""n/a"",IFERROR(SPLIT(J608,""/"")))"),"Femme")</f>
        <v/>
      </c>
      <c r="E608" s="115" t="n"/>
      <c r="F608" s="115" t="n"/>
      <c r="G608" s="115" t="n"/>
      <c r="H608" s="11" t="inlineStr">
        <is>
          <t>CIP</t>
        </is>
      </c>
      <c r="I608" s="95" t="n"/>
      <c r="J608" s="99" t="inlineStr">
        <is>
          <t>Femme</t>
        </is>
      </c>
      <c r="K608" s="103" t="n"/>
      <c r="L608" s="100" t="n">
        <v>15.2</v>
      </c>
      <c r="M608" s="199" t="n">
        <v>30</v>
      </c>
      <c r="N608" s="91" t="inlineStr">
        <is>
          <t>1`</t>
        </is>
      </c>
      <c r="O608" s="13">
        <f>E608</f>
        <v/>
      </c>
      <c r="P608" s="91" t="inlineStr">
        <is>
          <t>pieces</t>
        </is>
      </c>
      <c r="Q608" s="2" t="n"/>
      <c r="R608" s="1" t="n"/>
      <c r="S608" s="229">
        <f>M608*N608</f>
        <v/>
      </c>
      <c r="T608" s="230">
        <f>CONCATENATE(S608,Q608,P608)</f>
        <v/>
      </c>
      <c r="U608" s="206">
        <f>L608*M608</f>
        <v/>
      </c>
      <c r="V608" s="4" t="n"/>
      <c r="W608" s="4" t="n"/>
      <c r="X608" s="4" t="n"/>
    </row>
    <row r="609" ht="15.75" customHeight="1" thickBot="1">
      <c r="A609" s="185" t="n">
        <v>417</v>
      </c>
      <c r="B609" s="114" t="inlineStr">
        <is>
          <t>Tissue</t>
        </is>
      </c>
      <c r="C609" s="114" t="n"/>
      <c r="D609" s="115">
        <f>IFERROR(__xludf.DUMMYFUNCTION("IF(J609="""",""n/a"",IFERROR(SPLIT(J609,""/"")))"),"n/a")</f>
        <v/>
      </c>
      <c r="E609" s="114" t="n"/>
      <c r="F609" s="114" t="n"/>
      <c r="G609" s="114" t="n"/>
      <c r="H609" s="84" t="inlineStr">
        <is>
          <t>F1</t>
        </is>
      </c>
      <c r="I609" s="7" t="n"/>
      <c r="J609" s="32" t="n"/>
      <c r="K609" s="24" t="n"/>
      <c r="L609" s="36" t="n">
        <v>63.5</v>
      </c>
      <c r="M609" s="201" t="n">
        <v>10</v>
      </c>
      <c r="N609" s="176" t="n">
        <v>1</v>
      </c>
      <c r="O609" s="13">
        <f>E609</f>
        <v/>
      </c>
      <c r="P609" s="25" t="inlineStr">
        <is>
          <t>pieces</t>
        </is>
      </c>
      <c r="Q609" s="2" t="n"/>
      <c r="R609" s="1" t="n"/>
      <c r="S609" s="229">
        <f>M609*N609</f>
        <v/>
      </c>
      <c r="T609" s="230">
        <f>CONCATENATE(S609,Q609,P609)</f>
        <v/>
      </c>
      <c r="U609" s="206">
        <f>L609*M609</f>
        <v/>
      </c>
      <c r="V609" s="4" t="n"/>
      <c r="W609" s="4" t="n"/>
      <c r="X609" s="4" t="n"/>
    </row>
    <row r="610" ht="15.75" customHeight="1" thickBot="1">
      <c r="A610" s="185" t="n">
        <v>418</v>
      </c>
      <c r="B610" s="115" t="inlineStr">
        <is>
          <t>Tissue - Pre-cut</t>
        </is>
      </c>
      <c r="C610" s="115" t="n"/>
      <c r="D610" s="115">
        <f>IFERROR(__xludf.DUMMYFUNCTION("IF(J610="""",""n/a"",IFERROR(SPLIT(J610,""/"")))"),"Jade ")</f>
        <v/>
      </c>
      <c r="E610" s="115">
        <f>IFERROR(__xludf.DUMMYFUNCTION("""COMPUTED_VALUE"""),"pack")</f>
        <v/>
      </c>
      <c r="F610" s="115">
        <f>IFERROR(__xludf.DUMMYFUNCTION("""COMPUTED_VALUE"""),"1000s'")</f>
        <v/>
      </c>
      <c r="G610" s="115" t="n"/>
      <c r="H610" s="11" t="inlineStr">
        <is>
          <t>CIP</t>
        </is>
      </c>
      <c r="I610" s="95" t="n"/>
      <c r="J610" s="99" t="inlineStr">
        <is>
          <t>Jade /pack/1000s'</t>
        </is>
      </c>
      <c r="K610" s="103" t="n"/>
      <c r="L610" s="100" t="n">
        <v>52.64</v>
      </c>
      <c r="M610" s="199" t="n">
        <v>70</v>
      </c>
      <c r="N610" s="91" t="n">
        <v>1</v>
      </c>
      <c r="O610" s="13">
        <f>E610</f>
        <v/>
      </c>
      <c r="P610" s="91" t="inlineStr">
        <is>
          <t>pieces</t>
        </is>
      </c>
      <c r="Q610" s="2" t="n"/>
      <c r="R610" s="1" t="n"/>
      <c r="S610" s="229">
        <f>M610*N610</f>
        <v/>
      </c>
      <c r="T610" s="230">
        <f>CONCATENATE(S610,Q610,P610)</f>
        <v/>
      </c>
      <c r="U610" s="206">
        <f>L610*M610</f>
        <v/>
      </c>
      <c r="V610" s="4" t="n"/>
      <c r="W610" s="4" t="n"/>
      <c r="X610" s="4" t="n"/>
    </row>
    <row r="611" ht="15.75" customHeight="1" thickBot="1">
      <c r="A611" s="185" t="n">
        <v>419</v>
      </c>
      <c r="B611" s="114" t="inlineStr">
        <is>
          <t>Tissue Pre-cut</t>
        </is>
      </c>
      <c r="C611" s="114" t="n"/>
      <c r="D611" s="115">
        <f>IFERROR(__xludf.DUMMYFUNCTION("IF(J611="""",""n/a"",IFERROR(SPLIT(J611,""/"")))"),"n/a")</f>
        <v/>
      </c>
      <c r="E611" s="114" t="n"/>
      <c r="F611" s="114" t="n"/>
      <c r="G611" s="114" t="n"/>
      <c r="H611" s="84" t="inlineStr">
        <is>
          <t>F1</t>
        </is>
      </c>
      <c r="I611" s="7" t="n"/>
      <c r="J611" s="32" t="n"/>
      <c r="K611" s="24" t="n"/>
      <c r="L611" s="36" t="n">
        <v>52</v>
      </c>
      <c r="M611" s="201" t="n">
        <v>40</v>
      </c>
      <c r="N611" s="176" t="n">
        <v>1</v>
      </c>
      <c r="O611" s="13">
        <f>E611</f>
        <v/>
      </c>
      <c r="P611" s="25" t="inlineStr">
        <is>
          <t>packs</t>
        </is>
      </c>
      <c r="Q611" s="2" t="n"/>
      <c r="R611" s="1" t="n"/>
      <c r="S611" s="229">
        <f>M611*N611</f>
        <v/>
      </c>
      <c r="T611" s="230">
        <f>CONCATENATE(S611,Q611,P611)</f>
        <v/>
      </c>
      <c r="U611" s="206">
        <f>L611*M611</f>
        <v/>
      </c>
      <c r="V611" s="4" t="n"/>
      <c r="W611" s="4" t="n"/>
      <c r="X611" s="4" t="n"/>
    </row>
    <row r="612" ht="15.75" customHeight="1" thickBot="1">
      <c r="A612" s="185" t="n">
        <v>419</v>
      </c>
      <c r="B612" s="114" t="inlineStr">
        <is>
          <t>Tissue Pre-cut</t>
        </is>
      </c>
      <c r="C612" s="114" t="n"/>
      <c r="D612" s="115">
        <f>IFERROR(__xludf.DUMMYFUNCTION("IF(J612="""",""n/a"",IFERROR(SPLIT(J612,""/"")))"),"n/a")</f>
        <v/>
      </c>
      <c r="E612" s="114" t="n"/>
      <c r="F612" s="114" t="n"/>
      <c r="G612" s="114" t="n"/>
      <c r="H612" s="84" t="inlineStr">
        <is>
          <t>F1</t>
        </is>
      </c>
      <c r="I612" s="7" t="n"/>
      <c r="J612" s="32" t="n"/>
      <c r="K612" s="24" t="n"/>
      <c r="L612" s="36" t="n">
        <v>52</v>
      </c>
      <c r="M612" s="201" t="n">
        <v>15</v>
      </c>
      <c r="N612" s="176" t="n">
        <v>1</v>
      </c>
      <c r="O612" s="13">
        <f>E612</f>
        <v/>
      </c>
      <c r="P612" s="25" t="inlineStr">
        <is>
          <t>packs</t>
        </is>
      </c>
      <c r="Q612" s="2" t="n"/>
      <c r="R612" s="1" t="n"/>
      <c r="S612" s="229">
        <f>M612*N612</f>
        <v/>
      </c>
      <c r="T612" s="230">
        <f>CONCATENATE(S612,Q612,P612)</f>
        <v/>
      </c>
      <c r="U612" s="206">
        <f>L612*M612</f>
        <v/>
      </c>
      <c r="V612" s="4" t="n"/>
      <c r="W612" s="4" t="n"/>
      <c r="X612" s="4" t="n"/>
    </row>
    <row r="613" ht="15.75" customHeight="1" thickBot="1">
      <c r="A613" s="185" t="n">
        <v>420</v>
      </c>
      <c r="B613" s="115" t="inlineStr">
        <is>
          <t>Togarashi</t>
        </is>
      </c>
      <c r="C613" s="115" t="n"/>
      <c r="D613" s="115">
        <f>IFERROR(__xludf.DUMMYFUNCTION("IF(J613="""",""n/a"",IFERROR(SPLIT(J613,""/"")))"),"S")</f>
        <v/>
      </c>
      <c r="E613" s="115">
        <f>IFERROR(__xludf.DUMMYFUNCTION("""COMPUTED_VALUE"""),"B")</f>
        <v/>
      </c>
      <c r="F613" s="115" t="n"/>
      <c r="G613" s="115" t="n"/>
      <c r="H613" s="11" t="inlineStr">
        <is>
          <t>Annex</t>
        </is>
      </c>
      <c r="I613" s="6" t="n"/>
      <c r="J613" s="32" t="inlineStr">
        <is>
          <t>S/B</t>
        </is>
      </c>
      <c r="K613" s="42" t="n"/>
      <c r="L613" s="163" t="n">
        <v>0.85</v>
      </c>
      <c r="M613" s="200" t="n">
        <v>300</v>
      </c>
      <c r="N613" s="172" t="n">
        <v>300</v>
      </c>
      <c r="O613" s="13">
        <f>E613</f>
        <v/>
      </c>
      <c r="P613" s="25" t="inlineStr">
        <is>
          <t>grams</t>
        </is>
      </c>
      <c r="Q613" s="174" t="n"/>
      <c r="R613" s="175">
        <f>CONCATENATE(N613,P613)</f>
        <v/>
      </c>
      <c r="S613" s="229">
        <f>M613*N613</f>
        <v/>
      </c>
      <c r="T613" s="230">
        <f>CONCATENATE(S613,Q613,P613)</f>
        <v/>
      </c>
      <c r="U613" s="206">
        <f>L613*M613</f>
        <v/>
      </c>
      <c r="V613" s="34" t="n"/>
      <c r="W613" s="34" t="n"/>
      <c r="X613" s="34" t="n"/>
    </row>
    <row r="614" ht="15.75" customHeight="1" thickBot="1">
      <c r="A614" s="185" t="n">
        <v>421</v>
      </c>
      <c r="B614" s="115" t="inlineStr">
        <is>
          <t>Tomato Paste</t>
        </is>
      </c>
      <c r="C614" s="115" t="n"/>
      <c r="D614" s="115">
        <f>IFERROR(__xludf.DUMMYFUNCTION("IF(J614="""",""n/a"",IFERROR(SPLIT(J614,""/"")))"),"Del Monte")</f>
        <v/>
      </c>
      <c r="E614" s="115">
        <f>IFERROR(__xludf.DUMMYFUNCTION("""COMPUTED_VALUE"""),"sachet")</f>
        <v/>
      </c>
      <c r="F614" s="115">
        <f>IFERROR(__xludf.DUMMYFUNCTION("""COMPUTED_VALUE"""),"150grams")</f>
        <v/>
      </c>
      <c r="G614" s="115" t="n"/>
      <c r="H614" s="11" t="inlineStr">
        <is>
          <t>CIP</t>
        </is>
      </c>
      <c r="I614" s="95" t="n"/>
      <c r="J614" s="32" t="inlineStr">
        <is>
          <t>Del Monte/sachet/150grams</t>
        </is>
      </c>
      <c r="K614" s="103" t="n"/>
      <c r="L614" s="100" t="n">
        <v>30.57</v>
      </c>
      <c r="M614" s="205" t="n">
        <v>48</v>
      </c>
      <c r="N614" s="91" t="n">
        <v>1</v>
      </c>
      <c r="O614" s="13">
        <f>E614</f>
        <v/>
      </c>
      <c r="P614" s="25" t="inlineStr">
        <is>
          <t>grams</t>
        </is>
      </c>
      <c r="Q614" s="2" t="n"/>
      <c r="R614" s="1" t="n"/>
      <c r="S614" s="229">
        <f>M614*N614</f>
        <v/>
      </c>
      <c r="T614" s="230">
        <f>CONCATENATE(S614,Q614,P614)</f>
        <v/>
      </c>
      <c r="U614" s="206">
        <f>L614*M614</f>
        <v/>
      </c>
      <c r="V614" s="4" t="n"/>
      <c r="W614" s="4" t="n"/>
      <c r="X614" s="4" t="n"/>
    </row>
    <row r="615" ht="15.75" customHeight="1" thickBot="1">
      <c r="A615" s="185" t="n">
        <v>421</v>
      </c>
      <c r="B615" s="115" t="inlineStr">
        <is>
          <t>Tomato Paste</t>
        </is>
      </c>
      <c r="C615" s="115" t="n"/>
      <c r="D615" s="115">
        <f>IFERROR(__xludf.DUMMYFUNCTION("IF(J615="""",""n/a"",IFERROR(SPLIT(J615,""/"")))"),"n/a")</f>
        <v/>
      </c>
      <c r="E615" s="115" t="n"/>
      <c r="F615" s="115" t="n"/>
      <c r="G615" s="115" t="n"/>
      <c r="H615" s="84" t="inlineStr">
        <is>
          <t>F1</t>
        </is>
      </c>
      <c r="I615" s="7" t="n"/>
      <c r="J615" s="32" t="n"/>
      <c r="K615" s="24" t="n"/>
      <c r="L615" s="36" t="n">
        <v>0.2038</v>
      </c>
      <c r="M615" s="201" t="n">
        <v>3450</v>
      </c>
      <c r="N615" s="176" t="n">
        <v>150</v>
      </c>
      <c r="O615" s="13">
        <f>E615</f>
        <v/>
      </c>
      <c r="P615" s="25" t="inlineStr">
        <is>
          <t>grams</t>
        </is>
      </c>
      <c r="Q615" s="2" t="n"/>
      <c r="R615" s="1" t="n"/>
      <c r="S615" s="229">
        <f>M615*N615</f>
        <v/>
      </c>
      <c r="T615" s="230">
        <f>CONCATENATE(S615,Q615,P615)</f>
        <v/>
      </c>
      <c r="U615" s="206">
        <f>L615*M615</f>
        <v/>
      </c>
      <c r="V615" s="4" t="n"/>
      <c r="W615" s="4" t="n"/>
      <c r="X615" s="4" t="n"/>
    </row>
    <row r="616" ht="15.75" customHeight="1" thickBot="1">
      <c r="A616" s="185" t="n">
        <v>422</v>
      </c>
      <c r="B616" s="115" t="inlineStr">
        <is>
          <t>Tomato Sauce</t>
        </is>
      </c>
      <c r="C616" s="115" t="n"/>
      <c r="D616" s="115">
        <f>IFERROR(__xludf.DUMMYFUNCTION("IF(J616="""",""n/a"",IFERROR(SPLIT(J616,""/"")))"),"Ticman")</f>
        <v/>
      </c>
      <c r="E616" s="115">
        <f>IFERROR(__xludf.DUMMYFUNCTION("""COMPUTED_VALUE"""),"gallon")</f>
        <v/>
      </c>
      <c r="F616" s="115">
        <f>IFERROR(__xludf.DUMMYFUNCTION("""COMPUTED_VALUE"""),"3500ml")</f>
        <v/>
      </c>
      <c r="G616" s="115" t="n"/>
      <c r="H616" s="11" t="inlineStr">
        <is>
          <t>Annex</t>
        </is>
      </c>
      <c r="I616" s="6" t="n"/>
      <c r="J616" s="32" t="inlineStr">
        <is>
          <t>Ticman/gallon/3500ml</t>
        </is>
      </c>
      <c r="K616" s="42" t="n"/>
      <c r="L616" s="163" t="n">
        <v>135</v>
      </c>
      <c r="M616" s="200" t="n">
        <v>2</v>
      </c>
      <c r="N616" s="172" t="n">
        <v>1</v>
      </c>
      <c r="O616" s="13">
        <f>E616</f>
        <v/>
      </c>
      <c r="P616" s="25" t="inlineStr">
        <is>
          <t>gal</t>
        </is>
      </c>
      <c r="Q616" s="174" t="n"/>
      <c r="R616" s="175">
        <f>CONCATENATE(N616,P616)</f>
        <v/>
      </c>
      <c r="S616" s="229">
        <f>M616*N616</f>
        <v/>
      </c>
      <c r="T616" s="230">
        <f>CONCATENATE(S616,Q616,P616)</f>
        <v/>
      </c>
      <c r="U616" s="206">
        <f>L616*M616</f>
        <v/>
      </c>
      <c r="V616" s="231" t="n"/>
      <c r="W616" s="34" t="n"/>
      <c r="X616" s="34" t="n"/>
    </row>
    <row r="617" ht="15.75" customHeight="1" thickBot="1">
      <c r="A617" s="185" t="n">
        <v>422</v>
      </c>
      <c r="B617" s="114" t="inlineStr">
        <is>
          <t>Tomato Sauce</t>
        </is>
      </c>
      <c r="C617" s="114" t="n"/>
      <c r="D617" s="115">
        <f>IFERROR(__xludf.DUMMYFUNCTION("IF(J617="""",""n/a"",IFERROR(SPLIT(J617,""/"")))"),"Ticman")</f>
        <v/>
      </c>
      <c r="E617" s="114">
        <f>IFERROR(__xludf.DUMMYFUNCTION("""COMPUTED_VALUE"""),"gallon")</f>
        <v/>
      </c>
      <c r="F617" s="114">
        <f>IFERROR(__xludf.DUMMYFUNCTION("""COMPUTED_VALUE"""),"3500ml")</f>
        <v/>
      </c>
      <c r="G617" s="114" t="n"/>
      <c r="H617" s="11" t="inlineStr">
        <is>
          <t>CIP</t>
        </is>
      </c>
      <c r="I617" s="95" t="n"/>
      <c r="J617" s="99" t="inlineStr">
        <is>
          <t>Ticman/gallon/3500ml</t>
        </is>
      </c>
      <c r="K617" s="103" t="n"/>
      <c r="L617" s="100" t="n">
        <v>135</v>
      </c>
      <c r="M617" s="199" t="n">
        <v>7</v>
      </c>
      <c r="N617" s="91" t="n">
        <v>1</v>
      </c>
      <c r="O617" s="13">
        <f>E617</f>
        <v/>
      </c>
      <c r="P617" s="91" t="inlineStr">
        <is>
          <t>gal</t>
        </is>
      </c>
      <c r="Q617" s="2" t="n"/>
      <c r="R617" s="1" t="n"/>
      <c r="S617" s="229">
        <f>M617*N617</f>
        <v/>
      </c>
      <c r="T617" s="230">
        <f>CONCATENATE(S617,Q617,P617)</f>
        <v/>
      </c>
      <c r="U617" s="206">
        <f>L617*M617</f>
        <v/>
      </c>
      <c r="V617" s="4" t="n"/>
      <c r="W617" s="4" t="n"/>
      <c r="X617" s="4" t="n"/>
    </row>
    <row r="618" ht="15.75" customHeight="1" thickBot="1">
      <c r="A618" s="185" t="n">
        <v>422</v>
      </c>
      <c r="B618" s="115" t="inlineStr">
        <is>
          <t>Tomato Sauce</t>
        </is>
      </c>
      <c r="C618" s="115" t="n"/>
      <c r="D618" s="115">
        <f>IFERROR(__xludf.DUMMYFUNCTION("IF(J618="""",""n/a"",IFERROR(SPLIT(J618,""/"")))"),"n/a")</f>
        <v/>
      </c>
      <c r="E618" s="115" t="n"/>
      <c r="F618" s="115" t="n"/>
      <c r="G618" s="115" t="n"/>
      <c r="H618" s="84" t="inlineStr">
        <is>
          <t>F1</t>
        </is>
      </c>
      <c r="I618" s="7" t="n"/>
      <c r="J618" s="32" t="n"/>
      <c r="K618" s="24" t="n"/>
      <c r="L618" s="36" t="n">
        <v>0.03857142857142857</v>
      </c>
      <c r="M618" s="201" t="n">
        <v>14000</v>
      </c>
      <c r="N618" s="176" t="n">
        <v>3500</v>
      </c>
      <c r="O618" s="13">
        <f>E618</f>
        <v/>
      </c>
      <c r="P618" s="25" t="inlineStr">
        <is>
          <t>gal</t>
        </is>
      </c>
      <c r="Q618" s="2" t="n"/>
      <c r="R618" s="1" t="n"/>
      <c r="S618" s="229">
        <f>M618*N618</f>
        <v/>
      </c>
      <c r="T618" s="230">
        <f>CONCATENATE(S618,Q618,P618)</f>
        <v/>
      </c>
      <c r="U618" s="206">
        <f>L618*M618</f>
        <v/>
      </c>
      <c r="V618" s="4" t="n"/>
      <c r="W618" s="4" t="n"/>
      <c r="X618" s="4" t="n"/>
    </row>
    <row r="619" ht="15.75" customHeight="1" thickBot="1">
      <c r="A619" s="185" t="n">
        <v>423</v>
      </c>
      <c r="B619" s="115" t="inlineStr">
        <is>
          <t>Tonkatsu Sauce</t>
        </is>
      </c>
      <c r="C619" s="115" t="n"/>
      <c r="D619" s="115">
        <f>IFERROR(__xludf.DUMMYFUNCTION("IF(J619="""",""n/a"",IFERROR(SPLIT(J619,""/"")))"),"Bulldog")</f>
        <v/>
      </c>
      <c r="E619" s="115">
        <f>IFERROR(__xludf.DUMMYFUNCTION("""COMPUTED_VALUE"""),"bottle")</f>
        <v/>
      </c>
      <c r="F619" s="115" t="n"/>
      <c r="G619" s="115" t="n"/>
      <c r="H619" s="11" t="inlineStr">
        <is>
          <t>Annex</t>
        </is>
      </c>
      <c r="I619" s="6" t="n"/>
      <c r="J619" s="32" t="inlineStr">
        <is>
          <t>Bulldog/bottle</t>
        </is>
      </c>
      <c r="K619" s="42" t="n"/>
      <c r="L619" s="163" t="n">
        <v>0.1833333333333333</v>
      </c>
      <c r="M619" s="200" t="n">
        <v>1800</v>
      </c>
      <c r="N619" s="172" t="n">
        <v>1800</v>
      </c>
      <c r="O619" s="13">
        <f>E619</f>
        <v/>
      </c>
      <c r="P619" s="25" t="inlineStr">
        <is>
          <t>grams</t>
        </is>
      </c>
      <c r="Q619" s="174" t="n"/>
      <c r="R619" s="175">
        <f>CONCATENATE(N619,P619)</f>
        <v/>
      </c>
      <c r="S619" s="229">
        <f>M619*N619</f>
        <v/>
      </c>
      <c r="T619" s="230">
        <f>CONCATENATE(S619,Q619,P619)</f>
        <v/>
      </c>
      <c r="U619" s="206">
        <f>L619*M619</f>
        <v/>
      </c>
      <c r="V619" s="34" t="n"/>
      <c r="W619" s="34" t="n"/>
      <c r="X619" s="34" t="n"/>
    </row>
    <row r="620" ht="15.75" customHeight="1" thickBot="1">
      <c r="A620" s="185" t="n">
        <v>423</v>
      </c>
      <c r="B620" s="115" t="inlineStr">
        <is>
          <t>Tonkatsu Sauce</t>
        </is>
      </c>
      <c r="C620" s="115" t="n"/>
      <c r="D620" s="115">
        <f>IFERROR(__xludf.DUMMYFUNCTION("IF(J620="""",""n/a"",IFERROR(SPLIT(J620,""/"")))"),"n/a")</f>
        <v/>
      </c>
      <c r="E620" s="115" t="n"/>
      <c r="F620" s="115" t="n"/>
      <c r="G620" s="115" t="n"/>
      <c r="H620" s="84" t="inlineStr">
        <is>
          <t>F1</t>
        </is>
      </c>
      <c r="I620" s="7" t="n"/>
      <c r="J620" s="32" t="n"/>
      <c r="K620" s="24" t="n"/>
      <c r="L620" s="36" t="n">
        <v>0.2105555555555556</v>
      </c>
      <c r="M620" s="201" t="n">
        <v>500</v>
      </c>
      <c r="N620" s="176" t="n">
        <v>1800</v>
      </c>
      <c r="O620" s="13">
        <f>E620</f>
        <v/>
      </c>
      <c r="P620" s="25" t="inlineStr">
        <is>
          <t>grams</t>
        </is>
      </c>
      <c r="Q620" s="2" t="n"/>
      <c r="R620" s="1" t="n"/>
      <c r="S620" s="229">
        <f>M620*N620</f>
        <v/>
      </c>
      <c r="T620" s="230">
        <f>CONCATENATE(S620,Q620,P620)</f>
        <v/>
      </c>
      <c r="U620" s="206">
        <f>L620*M620</f>
        <v/>
      </c>
      <c r="V620" s="4" t="n"/>
      <c r="W620" s="4" t="n"/>
      <c r="X620" s="4" t="n"/>
    </row>
    <row r="621" ht="15.75" customHeight="1" thickBot="1">
      <c r="A621" s="185" t="n">
        <v>424</v>
      </c>
      <c r="B621" s="115" t="inlineStr">
        <is>
          <t>Toothbrush</t>
        </is>
      </c>
      <c r="C621" s="115" t="n"/>
      <c r="D621" s="115">
        <f>IFERROR(__xludf.DUMMYFUNCTION("IF(J621="""",""n/a"",IFERROR(SPLIT(J621,""/"")))"),"Colgate")</f>
        <v/>
      </c>
      <c r="E621" s="115">
        <f>IFERROR(__xludf.DUMMYFUNCTION("""COMPUTED_VALUE"""),"66g")</f>
        <v/>
      </c>
      <c r="F621" s="115" t="n"/>
      <c r="G621" s="115" t="n"/>
      <c r="H621" s="11" t="inlineStr">
        <is>
          <t>Annex</t>
        </is>
      </c>
      <c r="I621" s="6" t="n"/>
      <c r="J621" s="32" t="inlineStr">
        <is>
          <t>Colgate/66g</t>
        </is>
      </c>
      <c r="K621" s="42" t="n"/>
      <c r="L621" s="30" t="n">
        <v>68.09999999999999</v>
      </c>
      <c r="M621" s="200" t="n">
        <v>4</v>
      </c>
      <c r="N621" s="172" t="n">
        <v>1</v>
      </c>
      <c r="O621" s="13">
        <f>E621</f>
        <v/>
      </c>
      <c r="P621" s="25" t="inlineStr">
        <is>
          <t>pieces</t>
        </is>
      </c>
      <c r="Q621" s="174" t="n"/>
      <c r="R621" s="175">
        <f>CONCATENATE(N621,P621)</f>
        <v/>
      </c>
      <c r="S621" s="229">
        <f>M621*N621</f>
        <v/>
      </c>
      <c r="T621" s="230">
        <f>CONCATENATE(S621,Q621,P621)</f>
        <v/>
      </c>
      <c r="U621" s="206">
        <f>L621*M621</f>
        <v/>
      </c>
      <c r="V621" s="34" t="n"/>
      <c r="W621" s="34" t="n"/>
      <c r="X621" s="34" t="n"/>
    </row>
    <row r="622" ht="15.75" customHeight="1" thickBot="1">
      <c r="A622" s="185" t="n">
        <v>424</v>
      </c>
      <c r="B622" s="115" t="inlineStr">
        <is>
          <t>Toothbrush</t>
        </is>
      </c>
      <c r="C622" s="115" t="n"/>
      <c r="D622" s="115">
        <f>IFERROR(__xludf.DUMMYFUNCTION("IF(J622="""",""n/a"",IFERROR(SPLIT(J622,""/"")))"),"Colgate")</f>
        <v/>
      </c>
      <c r="E622" s="115">
        <f>IFERROR(__xludf.DUMMYFUNCTION("""COMPUTED_VALUE"""),"classic")</f>
        <v/>
      </c>
      <c r="F622" s="115">
        <f>IFERROR(__xludf.DUMMYFUNCTION("""COMPUTED_VALUE"""),"adult")</f>
        <v/>
      </c>
      <c r="G622" s="115" t="n"/>
      <c r="H622" s="11" t="inlineStr">
        <is>
          <t>CIP</t>
        </is>
      </c>
      <c r="I622" s="95" t="n"/>
      <c r="J622" s="99" t="inlineStr">
        <is>
          <t>Colgate/classic/adult</t>
        </is>
      </c>
      <c r="K622" s="103" t="n"/>
      <c r="L622" s="100" t="n">
        <v>18.5</v>
      </c>
      <c r="M622" s="199" t="n">
        <v>198</v>
      </c>
      <c r="N622" s="91" t="n">
        <v>1</v>
      </c>
      <c r="O622" s="13">
        <f>E622</f>
        <v/>
      </c>
      <c r="P622" s="91" t="inlineStr">
        <is>
          <t>pieces</t>
        </is>
      </c>
      <c r="Q622" s="2" t="n"/>
      <c r="R622" s="1" t="n"/>
      <c r="S622" s="229">
        <f>M622*N622</f>
        <v/>
      </c>
      <c r="T622" s="230">
        <f>CONCATENATE(S622,Q622,P622)</f>
        <v/>
      </c>
      <c r="U622" s="206">
        <f>L622*M622</f>
        <v/>
      </c>
      <c r="V622" s="4" t="n"/>
      <c r="W622" s="4" t="n"/>
      <c r="X622" s="4" t="n"/>
    </row>
    <row r="623" ht="15.75" customHeight="1" thickBot="1">
      <c r="A623" s="185" t="n">
        <v>424</v>
      </c>
      <c r="B623" s="115" t="inlineStr">
        <is>
          <t>Toothbrush</t>
        </is>
      </c>
      <c r="C623" s="115" t="n"/>
      <c r="D623" s="115">
        <f>IFERROR(__xludf.DUMMYFUNCTION("IF(J623="""",""n/a"",IFERROR(SPLIT(J623,""/"")))"),"n/a")</f>
        <v/>
      </c>
      <c r="E623" s="115" t="n"/>
      <c r="F623" s="115" t="n"/>
      <c r="G623" s="115" t="n"/>
      <c r="H623" s="84" t="inlineStr">
        <is>
          <t>F1</t>
        </is>
      </c>
      <c r="I623" s="7" t="n"/>
      <c r="J623" s="32" t="n"/>
      <c r="K623" s="24" t="n"/>
      <c r="L623" s="36" t="n">
        <v>34.2</v>
      </c>
      <c r="M623" s="201" t="n">
        <v>5</v>
      </c>
      <c r="N623" s="176" t="n">
        <v>1</v>
      </c>
      <c r="O623" s="13">
        <f>E623</f>
        <v/>
      </c>
      <c r="P623" s="25" t="inlineStr">
        <is>
          <t>pieces</t>
        </is>
      </c>
      <c r="Q623" s="2" t="n"/>
      <c r="R623" s="1" t="n"/>
      <c r="S623" s="229">
        <f>M623*N623</f>
        <v/>
      </c>
      <c r="T623" s="230">
        <f>CONCATENATE(S623,Q623,P623)</f>
        <v/>
      </c>
      <c r="U623" s="206">
        <f>L623*M623</f>
        <v/>
      </c>
      <c r="V623" s="4" t="n"/>
      <c r="W623" s="4" t="n"/>
      <c r="X623" s="4" t="n"/>
    </row>
    <row r="624" ht="15.75" customHeight="1" thickBot="1">
      <c r="A624" s="185" t="n">
        <v>425</v>
      </c>
      <c r="B624" s="115" t="inlineStr">
        <is>
          <t>Toothpaste</t>
        </is>
      </c>
      <c r="C624" s="115" t="n"/>
      <c r="D624" s="115">
        <f>IFERROR(__xludf.DUMMYFUNCTION("IF(J624="""",""n/a"",IFERROR(SPLIT(J624,""/"")))"),"Coca-Cola")</f>
        <v/>
      </c>
      <c r="E624" s="115">
        <f>IFERROR(__xludf.DUMMYFUNCTION("""COMPUTED_VALUE"""),"case (12x290ml)")</f>
        <v/>
      </c>
      <c r="F624" s="115" t="n"/>
      <c r="G624" s="115" t="n"/>
      <c r="H624" s="11" t="inlineStr">
        <is>
          <t>Annex</t>
        </is>
      </c>
      <c r="I624" s="6" t="n"/>
      <c r="J624" s="32" t="inlineStr">
        <is>
          <t>Coca-Cola/case (12x290ml)</t>
        </is>
      </c>
      <c r="K624" s="42" t="n"/>
      <c r="L624" s="30" t="n">
        <v>16.14</v>
      </c>
      <c r="M624" s="200" t="n">
        <v>48</v>
      </c>
      <c r="N624" s="172" t="n">
        <v>1</v>
      </c>
      <c r="O624" s="13">
        <f>E624</f>
        <v/>
      </c>
      <c r="P624" s="25" t="inlineStr">
        <is>
          <t>pieces</t>
        </is>
      </c>
      <c r="Q624" s="174" t="n"/>
      <c r="R624" s="175">
        <f>CONCATENATE(N624,P624)</f>
        <v/>
      </c>
      <c r="S624" s="229">
        <f>M624*N624</f>
        <v/>
      </c>
      <c r="T624" s="230">
        <f>CONCATENATE(S624,Q624,P624)</f>
        <v/>
      </c>
      <c r="U624" s="206">
        <f>L624*M624</f>
        <v/>
      </c>
      <c r="V624" s="231" t="n"/>
      <c r="W624" s="236" t="n"/>
      <c r="X624" s="71" t="n"/>
    </row>
    <row r="625" ht="15.75" customHeight="1" thickBot="1">
      <c r="A625" s="185" t="n">
        <v>425</v>
      </c>
      <c r="B625" s="115" t="inlineStr">
        <is>
          <t>Toothpaste</t>
        </is>
      </c>
      <c r="C625" s="115" t="n"/>
      <c r="D625" s="115">
        <f>IFERROR(__xludf.DUMMYFUNCTION("IF(J625="""",""n/a"",IFERROR(SPLIT(J625,""/"")))"),"Unique")</f>
        <v/>
      </c>
      <c r="E625" s="115">
        <f>IFERROR(__xludf.DUMMYFUNCTION("""COMPUTED_VALUE"""),"tube")</f>
        <v/>
      </c>
      <c r="F625" s="115">
        <f>IFERROR(__xludf.DUMMYFUNCTION("""COMPUTED_VALUE"""),"50ml")</f>
        <v/>
      </c>
      <c r="G625" s="115" t="n"/>
      <c r="H625" s="11" t="inlineStr">
        <is>
          <t>Annex</t>
        </is>
      </c>
      <c r="I625" s="6" t="n"/>
      <c r="J625" s="32" t="inlineStr">
        <is>
          <t>Unique/tube/50ml</t>
        </is>
      </c>
      <c r="K625" s="42" t="n"/>
      <c r="L625" s="30" t="n">
        <v>25.03</v>
      </c>
      <c r="M625" s="200" t="n">
        <v>21</v>
      </c>
      <c r="N625" s="172" t="n">
        <v>1</v>
      </c>
      <c r="O625" s="13">
        <f>E625</f>
        <v/>
      </c>
      <c r="P625" s="25" t="inlineStr">
        <is>
          <t>pieces</t>
        </is>
      </c>
      <c r="Q625" s="174" t="n"/>
      <c r="R625" s="175">
        <f>CONCATENATE(N625,P625)</f>
        <v/>
      </c>
      <c r="S625" s="229">
        <f>M625*N625</f>
        <v/>
      </c>
      <c r="T625" s="230">
        <f>CONCATENATE(S625,Q625,P625)</f>
        <v/>
      </c>
      <c r="U625" s="206">
        <f>L625*M625</f>
        <v/>
      </c>
      <c r="V625" s="34" t="n"/>
      <c r="W625" s="34" t="n"/>
      <c r="X625" s="34" t="n"/>
    </row>
    <row r="626" ht="15.75" customHeight="1" thickBot="1">
      <c r="A626" s="185" t="n">
        <v>425</v>
      </c>
      <c r="B626" s="115" t="inlineStr">
        <is>
          <t>Toothpaste</t>
        </is>
      </c>
      <c r="C626" s="115" t="n"/>
      <c r="D626" s="115">
        <f>IFERROR(__xludf.DUMMYFUNCTION("IF(J626="""",""n/a"",IFERROR(SPLIT(J626,""/"")))"),"Unique")</f>
        <v/>
      </c>
      <c r="E626" s="115">
        <f>IFERROR(__xludf.DUMMYFUNCTION("""COMPUTED_VALUE"""),"tube")</f>
        <v/>
      </c>
      <c r="F626" s="115">
        <f>IFERROR(__xludf.DUMMYFUNCTION("""COMPUTED_VALUE"""),"150ml")</f>
        <v/>
      </c>
      <c r="G626" s="115" t="n"/>
      <c r="H626" s="11" t="inlineStr">
        <is>
          <t>CIP</t>
        </is>
      </c>
      <c r="I626" s="95" t="n"/>
      <c r="J626" s="99" t="inlineStr">
        <is>
          <t>Unique/tube/150ml</t>
        </is>
      </c>
      <c r="K626" s="103" t="n"/>
      <c r="L626" s="100" t="n">
        <v>57.41</v>
      </c>
      <c r="M626" s="199" t="n">
        <v>2</v>
      </c>
      <c r="N626" s="91" t="n">
        <v>1</v>
      </c>
      <c r="O626" s="13">
        <f>E626</f>
        <v/>
      </c>
      <c r="P626" s="91" t="inlineStr">
        <is>
          <t>pieces</t>
        </is>
      </c>
      <c r="Q626" s="2" t="n"/>
      <c r="R626" s="1" t="n"/>
      <c r="S626" s="229">
        <f>M626*N626</f>
        <v/>
      </c>
      <c r="T626" s="230">
        <f>CONCATENATE(S626,Q626,P626)</f>
        <v/>
      </c>
      <c r="U626" s="206">
        <f>L626*M626</f>
        <v/>
      </c>
      <c r="V626" s="4" t="n"/>
      <c r="W626" s="4" t="n"/>
      <c r="X626" s="4" t="n"/>
    </row>
    <row r="627" ht="15.75" customHeight="1" thickBot="1">
      <c r="A627" s="185" t="n">
        <v>425</v>
      </c>
      <c r="B627" s="115" t="inlineStr">
        <is>
          <t>Toothpaste</t>
        </is>
      </c>
      <c r="C627" s="115" t="n"/>
      <c r="D627" s="115">
        <f>IFERROR(__xludf.DUMMYFUNCTION("IF(J627="""",""n/a"",IFERROR(SPLIT(J627,""/"")))"),"Close-Up")</f>
        <v/>
      </c>
      <c r="E627" s="115">
        <f>IFERROR(__xludf.DUMMYFUNCTION("""COMPUTED_VALUE"""),"twinpack")</f>
        <v/>
      </c>
      <c r="F627" s="115">
        <f>IFERROR(__xludf.DUMMYFUNCTION("""COMPUTED_VALUE"""),"20g")</f>
        <v/>
      </c>
      <c r="G627" s="115" t="n"/>
      <c r="H627" s="11" t="inlineStr">
        <is>
          <t>CIP</t>
        </is>
      </c>
      <c r="I627" s="95" t="n"/>
      <c r="J627" s="99" t="inlineStr">
        <is>
          <t>Close-Up/twinpack/20g</t>
        </is>
      </c>
      <c r="K627" s="103" t="n"/>
      <c r="L627" s="100" t="n">
        <v>7.5</v>
      </c>
      <c r="M627" s="199" t="n">
        <v>343</v>
      </c>
      <c r="N627" s="91" t="n">
        <v>1</v>
      </c>
      <c r="O627" s="13">
        <f>E627</f>
        <v/>
      </c>
      <c r="P627" s="91" t="inlineStr">
        <is>
          <t>pieces</t>
        </is>
      </c>
      <c r="Q627" s="2" t="n"/>
      <c r="R627" s="1" t="n"/>
      <c r="S627" s="229">
        <f>M627*N627</f>
        <v/>
      </c>
      <c r="T627" s="230">
        <f>CONCATENATE(S627,Q627,P627)</f>
        <v/>
      </c>
      <c r="U627" s="206">
        <f>L627*M627</f>
        <v/>
      </c>
      <c r="V627" s="4" t="n"/>
      <c r="W627" s="4" t="n"/>
      <c r="X627" s="4" t="n"/>
    </row>
    <row r="628" ht="15.75" customHeight="1" thickBot="1">
      <c r="A628" s="185" t="n">
        <v>425</v>
      </c>
      <c r="B628" s="114" t="inlineStr">
        <is>
          <t>Toothpaste</t>
        </is>
      </c>
      <c r="C628" s="114" t="n"/>
      <c r="D628" s="115">
        <f>IFERROR(__xludf.DUMMYFUNCTION("IF(J628="""",""n/a"",IFERROR(SPLIT(J628,""/"")))"),"n/a")</f>
        <v/>
      </c>
      <c r="E628" s="114" t="n"/>
      <c r="F628" s="114" t="n"/>
      <c r="G628" s="114" t="n"/>
      <c r="H628" s="84" t="inlineStr">
        <is>
          <t>F1</t>
        </is>
      </c>
      <c r="I628" s="7" t="n"/>
      <c r="J628" s="32" t="n"/>
      <c r="K628" s="24" t="n"/>
      <c r="L628" s="36" t="n">
        <v>59.5</v>
      </c>
      <c r="M628" s="201" t="n">
        <v>14</v>
      </c>
      <c r="N628" s="176" t="n">
        <v>1</v>
      </c>
      <c r="O628" s="13">
        <f>E628</f>
        <v/>
      </c>
      <c r="P628" s="25" t="inlineStr">
        <is>
          <t>pieces</t>
        </is>
      </c>
      <c r="Q628" s="2" t="n"/>
      <c r="R628" s="1" t="n"/>
      <c r="S628" s="229">
        <f>M628*N628</f>
        <v/>
      </c>
      <c r="T628" s="230">
        <f>CONCATENATE(S628,Q628,P628)</f>
        <v/>
      </c>
      <c r="U628" s="206">
        <f>L628*M628</f>
        <v/>
      </c>
      <c r="V628" s="4" t="n"/>
      <c r="W628" s="4" t="n"/>
      <c r="X628" s="4" t="n"/>
    </row>
    <row r="629" ht="15.75" customHeight="1" thickBot="1">
      <c r="A629" s="185" t="n">
        <v>426</v>
      </c>
      <c r="B629" s="115" t="inlineStr">
        <is>
          <t>Toothpick</t>
        </is>
      </c>
      <c r="C629" s="115" t="n"/>
      <c r="D629" s="115">
        <f>IFERROR(__xludf.DUMMYFUNCTION("IF(J629="""",""n/a"",IFERROR(SPLIT(J629,""/"")))"),"pack by 100's")</f>
        <v/>
      </c>
      <c r="E629" s="115" t="n"/>
      <c r="F629" s="115" t="n"/>
      <c r="G629" s="115" t="n"/>
      <c r="H629" s="11" t="inlineStr">
        <is>
          <t>CIP</t>
        </is>
      </c>
      <c r="I629" s="95" t="n"/>
      <c r="J629" s="99" t="inlineStr">
        <is>
          <t>pack by 100's</t>
        </is>
      </c>
      <c r="K629" s="103" t="n"/>
      <c r="L629" s="100" t="n">
        <v>15</v>
      </c>
      <c r="M629" s="199" t="n">
        <v>6</v>
      </c>
      <c r="N629" s="91" t="n">
        <v>1</v>
      </c>
      <c r="O629" s="13">
        <f>E629</f>
        <v/>
      </c>
      <c r="P629" s="91" t="inlineStr">
        <is>
          <t>packs</t>
        </is>
      </c>
      <c r="Q629" s="2" t="n"/>
      <c r="R629" s="1" t="n"/>
      <c r="S629" s="229">
        <f>M629*N629</f>
        <v/>
      </c>
      <c r="T629" s="230">
        <f>CONCATENATE(S629,Q629,P629)</f>
        <v/>
      </c>
      <c r="U629" s="206">
        <f>L629*M629</f>
        <v/>
      </c>
      <c r="V629" s="4" t="n"/>
      <c r="W629" s="4" t="n"/>
      <c r="X629" s="4" t="n"/>
    </row>
    <row r="630" ht="15.75" customHeight="1" thickBot="1">
      <c r="A630" s="185" t="n">
        <v>427</v>
      </c>
      <c r="B630" s="115" t="inlineStr">
        <is>
          <t>Tops</t>
        </is>
      </c>
      <c r="C630" s="115" t="n"/>
      <c r="D630" s="115">
        <f>IFERROR(__xludf.DUMMYFUNCTION("IF(J630="""",""n/a"",IFERROR(SPLIT(J630,""/"")))"),"Suncrest Food")</f>
        <v/>
      </c>
      <c r="E630" s="115">
        <f>IFERROR(__xludf.DUMMYFUNCTION("""COMPUTED_VALUE"""),"pack (10pcsx34grams)")</f>
        <v/>
      </c>
      <c r="F630" s="115" t="n"/>
      <c r="G630" s="115" t="n"/>
      <c r="H630" s="11" t="inlineStr">
        <is>
          <t>CIP</t>
        </is>
      </c>
      <c r="I630" s="95" t="n"/>
      <c r="J630" s="99" t="inlineStr">
        <is>
          <t>Suncrest Food/pack (10pcsx34grams)</t>
        </is>
      </c>
      <c r="K630" s="103" t="n"/>
      <c r="L630" s="100" t="n">
        <v>7.39</v>
      </c>
      <c r="M630" s="199" t="n">
        <v>100</v>
      </c>
      <c r="N630" s="91" t="n">
        <v>1</v>
      </c>
      <c r="O630" s="13">
        <f>E630</f>
        <v/>
      </c>
      <c r="P630" s="91" t="inlineStr">
        <is>
          <t>pieces</t>
        </is>
      </c>
      <c r="Q630" s="2" t="n"/>
      <c r="R630" s="1" t="n"/>
      <c r="S630" s="229">
        <f>M630*N630</f>
        <v/>
      </c>
      <c r="T630" s="230">
        <f>CONCATENATE(S630,Q630,P630)</f>
        <v/>
      </c>
      <c r="U630" s="206">
        <f>L630*M630</f>
        <v/>
      </c>
      <c r="V630" s="4" t="n"/>
      <c r="W630" s="4" t="n"/>
      <c r="X630" s="4" t="n"/>
    </row>
    <row r="631" ht="15.75" customHeight="1" thickBot="1">
      <c r="A631" s="185" t="n">
        <v>428</v>
      </c>
      <c r="B631" s="115" t="inlineStr">
        <is>
          <t>Tortillos - BBQ</t>
        </is>
      </c>
      <c r="C631" s="115" t="n"/>
      <c r="D631" s="115">
        <f>IFERROR(__xludf.DUMMYFUNCTION("IF(J631="""",""n/a"",IFERROR(SPLIT(J631,""/"")))"),"Granny Goose")</f>
        <v/>
      </c>
      <c r="E631" s="115">
        <f>IFERROR(__xludf.DUMMYFUNCTION("""COMPUTED_VALUE"""),"box(50pcsx100grams)")</f>
        <v/>
      </c>
      <c r="F631" s="115" t="n"/>
      <c r="G631" s="115" t="n"/>
      <c r="H631" s="11" t="inlineStr">
        <is>
          <t>CIP</t>
        </is>
      </c>
      <c r="I631" s="95" t="n"/>
      <c r="J631" s="99" t="inlineStr">
        <is>
          <t>Granny Goose/box(50pcsx100grams)</t>
        </is>
      </c>
      <c r="K631" s="103" t="n"/>
      <c r="L631" s="100" t="n">
        <v>24.37</v>
      </c>
      <c r="M631" s="199" t="n">
        <v>50</v>
      </c>
      <c r="N631" s="91" t="n">
        <v>1</v>
      </c>
      <c r="O631" s="13">
        <f>E631</f>
        <v/>
      </c>
      <c r="P631" s="91" t="inlineStr">
        <is>
          <t>pieces</t>
        </is>
      </c>
      <c r="Q631" s="2" t="n"/>
      <c r="R631" s="1" t="n"/>
      <c r="S631" s="229">
        <f>M631*N631</f>
        <v/>
      </c>
      <c r="T631" s="230">
        <f>CONCATENATE(S631,Q631,P631)</f>
        <v/>
      </c>
      <c r="U631" s="206">
        <f>L631*M631</f>
        <v/>
      </c>
      <c r="V631" s="4" t="n"/>
      <c r="W631" s="4" t="n"/>
      <c r="X631" s="4" t="n"/>
    </row>
    <row r="632" ht="15.75" customHeight="1" thickBot="1">
      <c r="A632" s="185" t="n">
        <v>429</v>
      </c>
      <c r="B632" s="115" t="inlineStr">
        <is>
          <t>Tortillos Cheese</t>
        </is>
      </c>
      <c r="C632" s="115" t="n"/>
      <c r="D632" s="115">
        <f>IFERROR(__xludf.DUMMYFUNCTION("IF(J632="""",""n/a"",IFERROR(SPLIT(J632,""/"")))"),"Granny Goose")</f>
        <v/>
      </c>
      <c r="E632" s="115">
        <f>IFERROR(__xludf.DUMMYFUNCTION("""COMPUTED_VALUE"""),"box(50pcsx72grams)")</f>
        <v/>
      </c>
      <c r="F632" s="115" t="n"/>
      <c r="G632" s="115" t="n"/>
      <c r="H632" s="11" t="inlineStr">
        <is>
          <t>Annex</t>
        </is>
      </c>
      <c r="I632" s="6" t="n"/>
      <c r="J632" s="32" t="inlineStr">
        <is>
          <t>Granny Goose/box(50pcsx72grams)</t>
        </is>
      </c>
      <c r="K632" s="173" t="n"/>
      <c r="L632" s="179" t="n">
        <v>32.77</v>
      </c>
      <c r="M632" s="200" t="n">
        <v>11</v>
      </c>
      <c r="N632" s="172" t="n">
        <v>1</v>
      </c>
      <c r="O632" s="13">
        <f>E632</f>
        <v/>
      </c>
      <c r="P632" s="25" t="inlineStr">
        <is>
          <t>pieces</t>
        </is>
      </c>
      <c r="Q632" s="174" t="n"/>
      <c r="R632" s="175">
        <f>CONCATENATE(N632,P632)</f>
        <v/>
      </c>
      <c r="S632" s="229">
        <f>M632*N632</f>
        <v/>
      </c>
      <c r="T632" s="230">
        <f>CONCATENATE(S632,Q632,P632)</f>
        <v/>
      </c>
      <c r="U632" s="206">
        <f>L632*M632</f>
        <v/>
      </c>
      <c r="V632" s="34" t="n"/>
      <c r="W632" s="34" t="n"/>
      <c r="X632" s="34" t="n"/>
    </row>
    <row r="633" ht="15.75" customHeight="1" thickBot="1">
      <c r="A633" s="185" t="n">
        <v>430</v>
      </c>
      <c r="B633" s="115" t="inlineStr">
        <is>
          <t>Trash Bag Black</t>
        </is>
      </c>
      <c r="C633" s="115" t="n"/>
      <c r="D633" s="115">
        <f>IFERROR(__xludf.DUMMYFUNCTION("IF(J633="""",""n/a"",IFERROR(SPLIT(J633,""/"")))"),"n/a")</f>
        <v/>
      </c>
      <c r="E633" s="115" t="n"/>
      <c r="F633" s="115" t="n"/>
      <c r="G633" s="115" t="n"/>
      <c r="H633" s="11" t="inlineStr">
        <is>
          <t>Annex</t>
        </is>
      </c>
      <c r="I633" s="6" t="n"/>
      <c r="J633" s="32" t="n"/>
      <c r="K633" s="42" t="n"/>
      <c r="L633" s="30" t="n">
        <v>5.8</v>
      </c>
      <c r="M633" s="200" t="n">
        <v>100</v>
      </c>
      <c r="N633" s="172" t="n">
        <v>1</v>
      </c>
      <c r="O633" s="13">
        <f>E633</f>
        <v/>
      </c>
      <c r="P633" s="25" t="inlineStr">
        <is>
          <t>pieces</t>
        </is>
      </c>
      <c r="Q633" s="174" t="n"/>
      <c r="R633" s="175">
        <f>CONCATENATE(N633,P633)</f>
        <v/>
      </c>
      <c r="S633" s="229">
        <f>M633*N633</f>
        <v/>
      </c>
      <c r="T633" s="230">
        <f>CONCATENATE(S633,Q633,P633)</f>
        <v/>
      </c>
      <c r="U633" s="206">
        <f>L633*M633</f>
        <v/>
      </c>
      <c r="V633" s="231" t="n"/>
      <c r="W633" s="236" t="n"/>
      <c r="X633" s="71" t="n"/>
    </row>
    <row r="634" ht="15.75" customHeight="1" thickBot="1">
      <c r="A634" s="185" t="n">
        <v>430</v>
      </c>
      <c r="B634" s="115" t="inlineStr">
        <is>
          <t>Trash Bag Black</t>
        </is>
      </c>
      <c r="C634" s="115" t="n"/>
      <c r="D634" s="115">
        <f>IFERROR(__xludf.DUMMYFUNCTION("IF(J634="""",""n/a"",IFERROR(SPLIT(J634,""/"")))"),"Superb")</f>
        <v/>
      </c>
      <c r="E634" s="115">
        <f>IFERROR(__xludf.DUMMYFUNCTION("""COMPUTED_VALUE"""),"rollx10pcs")</f>
        <v/>
      </c>
      <c r="F634" s="115">
        <f>IFERROR(__xludf.DUMMYFUNCTION("""COMPUTED_VALUE"""),"XXL")</f>
        <v/>
      </c>
      <c r="G634" s="115" t="n"/>
      <c r="H634" s="11" t="inlineStr">
        <is>
          <t>Annex</t>
        </is>
      </c>
      <c r="I634" s="6" t="n"/>
      <c r="J634" s="32" t="inlineStr">
        <is>
          <t>Superb/rollx10pcs/XXL</t>
        </is>
      </c>
      <c r="K634" s="42" t="n"/>
      <c r="L634" s="30" t="n">
        <v>62.97</v>
      </c>
      <c r="M634" s="200" t="n">
        <v>28</v>
      </c>
      <c r="N634" s="172" t="n">
        <v>1</v>
      </c>
      <c r="O634" s="13">
        <f>E634</f>
        <v/>
      </c>
      <c r="P634" s="25" t="inlineStr">
        <is>
          <t>roll</t>
        </is>
      </c>
      <c r="Q634" s="174" t="n"/>
      <c r="R634" s="175">
        <f>CONCATENATE(N634,P634)</f>
        <v/>
      </c>
      <c r="S634" s="229">
        <f>M634*N634</f>
        <v/>
      </c>
      <c r="T634" s="230">
        <f>CONCATENATE(S634,Q634,P634)</f>
        <v/>
      </c>
      <c r="U634" s="206">
        <f>L634*M634</f>
        <v/>
      </c>
      <c r="V634" s="231" t="n"/>
      <c r="W634" s="236" t="n"/>
      <c r="X634" s="71" t="n"/>
    </row>
    <row r="635" ht="15.75" customHeight="1" thickBot="1">
      <c r="A635" s="185" t="n">
        <v>430</v>
      </c>
      <c r="B635" s="122" t="inlineStr">
        <is>
          <t>Trash Bag Black</t>
        </is>
      </c>
      <c r="C635" s="122" t="n"/>
      <c r="D635" s="115">
        <f>IFERROR(__xludf.DUMMYFUNCTION("IF(J635="""",""n/a"",IFERROR(SPLIT(J635,""/"")))"),"Superb")</f>
        <v/>
      </c>
      <c r="E635" s="122">
        <f>IFERROR(__xludf.DUMMYFUNCTION("""COMPUTED_VALUE"""),"rollx10pcs")</f>
        <v/>
      </c>
      <c r="F635" s="122">
        <f>IFERROR(__xludf.DUMMYFUNCTION("""COMPUTED_VALUE"""),"XXL")</f>
        <v/>
      </c>
      <c r="G635" s="122" t="n"/>
      <c r="H635" s="11" t="inlineStr">
        <is>
          <t>CIP</t>
        </is>
      </c>
      <c r="I635" s="95" t="n"/>
      <c r="J635" s="32" t="inlineStr">
        <is>
          <t>Superb/rollx10pcs/XXL</t>
        </is>
      </c>
      <c r="K635" s="103" t="n"/>
      <c r="L635" s="100" t="n">
        <v>65</v>
      </c>
      <c r="M635" s="199" t="n">
        <v>30</v>
      </c>
      <c r="N635" s="91" t="n">
        <v>1</v>
      </c>
      <c r="O635" s="13">
        <f>E635</f>
        <v/>
      </c>
      <c r="P635" s="91" t="inlineStr">
        <is>
          <t>roll</t>
        </is>
      </c>
      <c r="Q635" s="2" t="n"/>
      <c r="R635" s="1" t="n"/>
      <c r="S635" s="229">
        <f>M635*N635</f>
        <v/>
      </c>
      <c r="T635" s="230">
        <f>CONCATENATE(S635,Q635,P635)</f>
        <v/>
      </c>
      <c r="U635" s="206">
        <f>L635*M635</f>
        <v/>
      </c>
      <c r="V635" s="4" t="n"/>
      <c r="W635" s="4" t="n"/>
      <c r="X635" s="4" t="n"/>
    </row>
    <row r="636" ht="15.75" customHeight="1" thickBot="1">
      <c r="A636" s="185" t="n">
        <v>431</v>
      </c>
      <c r="B636" s="114" t="inlineStr">
        <is>
          <t>Trash Bag xl-White</t>
        </is>
      </c>
      <c r="C636" s="114" t="n"/>
      <c r="D636" s="115">
        <f>IFERROR(__xludf.DUMMYFUNCTION("IF(J636="""",""n/a"",IFERROR(SPLIT(J636,""/"")))"),"n/a")</f>
        <v/>
      </c>
      <c r="E636" s="114" t="n"/>
      <c r="F636" s="114" t="n"/>
      <c r="G636" s="114" t="n"/>
      <c r="H636" s="84" t="inlineStr">
        <is>
          <t>F1</t>
        </is>
      </c>
      <c r="I636" s="7" t="n"/>
      <c r="J636" s="32" t="n"/>
      <c r="K636" s="24" t="n"/>
      <c r="L636" s="36" t="n">
        <v>508.05</v>
      </c>
      <c r="M636" s="204" t="n">
        <v>1</v>
      </c>
      <c r="N636" s="176" t="n">
        <v>1</v>
      </c>
      <c r="O636" s="13">
        <f>E636</f>
        <v/>
      </c>
      <c r="P636" s="25" t="inlineStr">
        <is>
          <t>roll</t>
        </is>
      </c>
      <c r="Q636" s="2" t="n"/>
      <c r="R636" s="1" t="n"/>
      <c r="S636" s="229">
        <f>M636*N636</f>
        <v/>
      </c>
      <c r="T636" s="230">
        <f>CONCATENATE(S636,Q636,P636)</f>
        <v/>
      </c>
      <c r="U636" s="206">
        <f>L636*M636</f>
        <v/>
      </c>
      <c r="V636" s="4" t="n"/>
      <c r="W636" s="4" t="n"/>
      <c r="X636" s="4" t="n"/>
    </row>
    <row r="637" ht="15.75" customHeight="1" thickBot="1">
      <c r="A637" s="185" t="n">
        <v>432</v>
      </c>
      <c r="B637" s="114" t="inlineStr">
        <is>
          <t>Trash Bag xxl-Black</t>
        </is>
      </c>
      <c r="C637" s="114" t="n"/>
      <c r="D637" s="115">
        <f>IFERROR(__xludf.DUMMYFUNCTION("IF(J637="""",""n/a"",IFERROR(SPLIT(J637,""/"")))"),"n/a")</f>
        <v/>
      </c>
      <c r="E637" s="114" t="n"/>
      <c r="F637" s="114" t="n"/>
      <c r="G637" s="114" t="n"/>
      <c r="H637" s="84" t="inlineStr">
        <is>
          <t>F1</t>
        </is>
      </c>
      <c r="I637" s="7" t="n"/>
      <c r="J637" s="32" t="n"/>
      <c r="K637" s="24" t="n"/>
      <c r="L637" s="36" t="n">
        <v>629.7</v>
      </c>
      <c r="M637" s="204" t="n">
        <v>1</v>
      </c>
      <c r="N637" s="176" t="n">
        <v>1</v>
      </c>
      <c r="O637" s="13">
        <f>E637</f>
        <v/>
      </c>
      <c r="P637" s="25" t="inlineStr">
        <is>
          <t>pieces</t>
        </is>
      </c>
      <c r="Q637" s="2" t="n"/>
      <c r="R637" s="1" t="n"/>
      <c r="S637" s="229">
        <f>M637*N637</f>
        <v/>
      </c>
      <c r="T637" s="230">
        <f>CONCATENATE(S637,Q637,P637)</f>
        <v/>
      </c>
      <c r="U637" s="206">
        <f>L637*M637</f>
        <v/>
      </c>
      <c r="V637" s="4" t="n"/>
      <c r="W637" s="4" t="n"/>
      <c r="X637" s="4" t="n"/>
    </row>
    <row r="638" ht="15.75" customHeight="1" thickBot="1">
      <c r="A638" s="185" t="n">
        <v>433</v>
      </c>
      <c r="B638" s="114" t="inlineStr">
        <is>
          <t>Trash Bag xxl-White</t>
        </is>
      </c>
      <c r="C638" s="114" t="n"/>
      <c r="D638" s="115">
        <f>IFERROR(__xludf.DUMMYFUNCTION("IF(J638="""",""n/a"",IFERROR(SPLIT(J638,""/"")))"),"n/a")</f>
        <v/>
      </c>
      <c r="E638" s="114" t="n"/>
      <c r="F638" s="114" t="n"/>
      <c r="G638" s="114" t="n"/>
      <c r="H638" s="84" t="inlineStr">
        <is>
          <t>F1</t>
        </is>
      </c>
      <c r="I638" s="7" t="n"/>
      <c r="J638" s="32" t="n"/>
      <c r="K638" s="24" t="n"/>
      <c r="L638" s="36" t="n">
        <v>668</v>
      </c>
      <c r="M638" s="204" t="n">
        <v>1</v>
      </c>
      <c r="N638" s="176" t="n">
        <v>1</v>
      </c>
      <c r="O638" s="13">
        <f>E638</f>
        <v/>
      </c>
      <c r="P638" s="25" t="inlineStr">
        <is>
          <t>roll</t>
        </is>
      </c>
      <c r="Q638" s="2" t="n"/>
      <c r="R638" s="1" t="n"/>
      <c r="S638" s="229">
        <f>M638*N638</f>
        <v/>
      </c>
      <c r="T638" s="230">
        <f>CONCATENATE(S638,Q638,P638)</f>
        <v/>
      </c>
      <c r="U638" s="206">
        <f>L638*M638</f>
        <v/>
      </c>
      <c r="V638" s="4" t="n"/>
      <c r="W638" s="4" t="n"/>
      <c r="X638" s="4" t="n"/>
    </row>
    <row r="639" ht="15.75" customHeight="1" thickBot="1">
      <c r="A639" s="185" t="n">
        <v>434</v>
      </c>
      <c r="B639" s="114" t="inlineStr">
        <is>
          <t>Tuna Afritada</t>
        </is>
      </c>
      <c r="C639" s="114" t="n"/>
      <c r="D639" s="115">
        <f>IFERROR(__xludf.DUMMYFUNCTION("IF(J639="""",""n/a"",IFERROR(SPLIT(J639,""/"")))"),"n/a")</f>
        <v/>
      </c>
      <c r="E639" s="114" t="n"/>
      <c r="F639" s="114" t="n"/>
      <c r="G639" s="114" t="n"/>
      <c r="H639" s="84" t="inlineStr">
        <is>
          <t>F1</t>
        </is>
      </c>
      <c r="I639" s="7" t="n"/>
      <c r="J639" s="32" t="n"/>
      <c r="K639" s="24" t="n"/>
      <c r="L639" s="36" t="n">
        <v>26.82</v>
      </c>
      <c r="M639" s="201" t="n">
        <v>50</v>
      </c>
      <c r="N639" s="176" t="n">
        <v>1</v>
      </c>
      <c r="O639" s="13">
        <f>E639</f>
        <v/>
      </c>
      <c r="P639" s="25" t="inlineStr">
        <is>
          <t>pieces</t>
        </is>
      </c>
      <c r="Q639" s="2" t="n"/>
      <c r="R639" s="1" t="n"/>
      <c r="S639" s="229">
        <f>M639*N639</f>
        <v/>
      </c>
      <c r="T639" s="230">
        <f>CONCATENATE(S639,Q639,P639)</f>
        <v/>
      </c>
      <c r="U639" s="206">
        <f>L639*M639</f>
        <v/>
      </c>
      <c r="V639" s="4" t="n"/>
      <c r="W639" s="4" t="n"/>
      <c r="X639" s="4" t="n"/>
    </row>
    <row r="640" ht="15.75" customHeight="1" thickBot="1">
      <c r="A640" s="185" t="n">
        <v>435</v>
      </c>
      <c r="B640" s="115" t="inlineStr">
        <is>
          <t>Tuna Flakes in Oil</t>
        </is>
      </c>
      <c r="C640" s="115" t="n"/>
      <c r="D640" s="115">
        <f>IFERROR(__xludf.DUMMYFUNCTION("IF(J640="""",""n/a"",IFERROR(SPLIT(J640,""/"")))"),"Maya")</f>
        <v/>
      </c>
      <c r="E640" s="115">
        <f>IFERROR(__xludf.DUMMYFUNCTION("""COMPUTED_VALUE"""),"box")</f>
        <v/>
      </c>
      <c r="F640" s="115">
        <f>IFERROR(__xludf.DUMMYFUNCTION("""COMPUTED_VALUE"""),"500grams")</f>
        <v/>
      </c>
      <c r="G640" s="115" t="n"/>
      <c r="H640" s="11" t="inlineStr">
        <is>
          <t>Annex</t>
        </is>
      </c>
      <c r="I640" s="6" t="n"/>
      <c r="J640" s="32" t="inlineStr">
        <is>
          <t>Maya/box/500grams</t>
        </is>
      </c>
      <c r="K640" s="42" t="n"/>
      <c r="L640" s="30" t="n">
        <v>0.1148</v>
      </c>
      <c r="M640" s="200" t="n">
        <v>7000</v>
      </c>
      <c r="N640" s="172" t="n">
        <v>500</v>
      </c>
      <c r="O640" s="13">
        <f>E640</f>
        <v/>
      </c>
      <c r="P640" s="25" t="inlineStr">
        <is>
          <t>grams</t>
        </is>
      </c>
      <c r="Q640" s="174" t="n"/>
      <c r="R640" s="175">
        <f>CONCATENATE(N640,P640)</f>
        <v/>
      </c>
      <c r="S640" s="229">
        <f>M640*N640</f>
        <v/>
      </c>
      <c r="T640" s="230">
        <f>CONCATENATE(S640,Q640,P640)</f>
        <v/>
      </c>
      <c r="U640" s="206">
        <f>L640*M640</f>
        <v/>
      </c>
      <c r="V640" s="231" t="n"/>
      <c r="W640" s="236" t="n"/>
      <c r="X640" s="71" t="n"/>
    </row>
    <row r="641" ht="15.75" customHeight="1" thickBot="1">
      <c r="A641" s="185" t="n">
        <v>435</v>
      </c>
      <c r="B641" s="115" t="inlineStr">
        <is>
          <t>Tuna Flakes in Oil</t>
        </is>
      </c>
      <c r="C641" s="115" t="n"/>
      <c r="D641" s="115">
        <f>IFERROR(__xludf.DUMMYFUNCTION("IF(J641="""",""n/a"",IFERROR(SPLIT(J641,""/"")))"),"Century")</f>
        <v/>
      </c>
      <c r="E641" s="115">
        <f>IFERROR(__xludf.DUMMYFUNCTION("""COMPUTED_VALUE"""),"can420grams")</f>
        <v/>
      </c>
      <c r="F641" s="115" t="n"/>
      <c r="G641" s="115" t="n"/>
      <c r="H641" s="11" t="inlineStr">
        <is>
          <t>Annex</t>
        </is>
      </c>
      <c r="I641" s="6" t="n"/>
      <c r="J641" s="32" t="inlineStr">
        <is>
          <t>Century/can420grams</t>
        </is>
      </c>
      <c r="K641" s="42" t="n"/>
      <c r="L641" s="30" t="n">
        <v>0.2302380952380952</v>
      </c>
      <c r="M641" s="200" t="n">
        <v>2520</v>
      </c>
      <c r="N641" s="172" t="n">
        <v>420</v>
      </c>
      <c r="O641" s="13">
        <f>E641</f>
        <v/>
      </c>
      <c r="P641" s="180" t="inlineStr">
        <is>
          <t>grams</t>
        </is>
      </c>
      <c r="Q641" s="174" t="n"/>
      <c r="R641" s="175">
        <f>CONCATENATE(N641,P641)</f>
        <v/>
      </c>
      <c r="S641" s="229">
        <f>M641*N641</f>
        <v/>
      </c>
      <c r="T641" s="230">
        <f>CONCATENATE(S641,Q641,P641)</f>
        <v/>
      </c>
      <c r="U641" s="206">
        <f>L641*M641</f>
        <v/>
      </c>
      <c r="V641" s="231" t="n"/>
      <c r="W641" s="236" t="n"/>
      <c r="X641" s="71" t="n"/>
    </row>
    <row r="642" ht="15.75" customHeight="1" thickBot="1">
      <c r="A642" s="185" t="n">
        <v>436</v>
      </c>
      <c r="B642" s="114" t="inlineStr">
        <is>
          <t>Tuna Loin</t>
        </is>
      </c>
      <c r="C642" s="114" t="n"/>
      <c r="D642" s="115">
        <f>IFERROR(__xludf.DUMMYFUNCTION("IF(J642="""",""n/a"",IFERROR(SPLIT(J642,""/"")))"),"n/a")</f>
        <v/>
      </c>
      <c r="E642" s="114" t="n"/>
      <c r="F642" s="114" t="n"/>
      <c r="G642" s="114" t="n"/>
      <c r="H642" s="84" t="inlineStr">
        <is>
          <t>F1</t>
        </is>
      </c>
      <c r="I642" s="7" t="n"/>
      <c r="J642" s="32" t="n"/>
      <c r="K642" s="24" t="n"/>
      <c r="L642" s="36" t="n">
        <v>0.44</v>
      </c>
      <c r="M642" s="201" t="n">
        <v>2000</v>
      </c>
      <c r="N642" s="176" t="n">
        <v>1000</v>
      </c>
      <c r="O642" s="13">
        <f>E642</f>
        <v/>
      </c>
      <c r="P642" s="25" t="inlineStr">
        <is>
          <t>grams</t>
        </is>
      </c>
      <c r="Q642" s="2" t="n"/>
      <c r="R642" s="1" t="n"/>
      <c r="S642" s="229">
        <f>M642*N642</f>
        <v/>
      </c>
      <c r="T642" s="230">
        <f>CONCATENATE(S642,Q642,P642)</f>
        <v/>
      </c>
      <c r="U642" s="206">
        <f>L642*M642</f>
        <v/>
      </c>
      <c r="V642" s="4" t="n"/>
      <c r="W642" s="4" t="n"/>
      <c r="X642" s="4" t="n"/>
    </row>
    <row r="643" ht="15.75" customHeight="1" thickBot="1">
      <c r="A643" s="185" t="n">
        <v>437</v>
      </c>
      <c r="B643" s="115" t="inlineStr">
        <is>
          <t>Upo</t>
        </is>
      </c>
      <c r="C643" s="115" t="n"/>
      <c r="D643" s="115">
        <f>IFERROR(__xludf.DUMMYFUNCTION("IF(J643="""",""n/a"",IFERROR(SPLIT(J643,""/"")))"),"Fresh")</f>
        <v/>
      </c>
      <c r="E643" s="115" t="n"/>
      <c r="F643" s="115" t="n"/>
      <c r="G643" s="115" t="n"/>
      <c r="H643" s="11" t="inlineStr">
        <is>
          <t>Annex</t>
        </is>
      </c>
      <c r="I643" s="6" t="n"/>
      <c r="J643" s="32" t="inlineStr">
        <is>
          <t>Fresh</t>
        </is>
      </c>
      <c r="K643" s="173" t="n"/>
      <c r="L643" s="150" t="n">
        <v>55</v>
      </c>
      <c r="M643" s="200" t="n">
        <v>5</v>
      </c>
      <c r="N643" s="172" t="n">
        <v>1</v>
      </c>
      <c r="O643" s="13">
        <f>E643</f>
        <v/>
      </c>
      <c r="P643" s="25" t="inlineStr">
        <is>
          <t>grams</t>
        </is>
      </c>
      <c r="Q643" s="174" t="n"/>
      <c r="R643" s="175">
        <f>CONCATENATE(N643,P643)</f>
        <v/>
      </c>
      <c r="S643" s="229">
        <f>M643*N643</f>
        <v/>
      </c>
      <c r="T643" s="230">
        <f>CONCATENATE(S643,Q643,P643)</f>
        <v/>
      </c>
      <c r="U643" s="206">
        <f>L643*M643</f>
        <v/>
      </c>
      <c r="V643" s="34" t="n"/>
      <c r="W643" s="34" t="n"/>
      <c r="X643" s="34" t="n"/>
    </row>
    <row r="644" ht="15.75" customHeight="1" thickBot="1">
      <c r="A644" s="185" t="n">
        <v>437</v>
      </c>
      <c r="B644" s="115" t="inlineStr">
        <is>
          <t>Upo</t>
        </is>
      </c>
      <c r="C644" s="115" t="n"/>
      <c r="D644" s="115">
        <f>IFERROR(__xludf.DUMMYFUNCTION("IF(J644="""",""n/a"",IFERROR(SPLIT(J644,""/"")))"),"Fresh")</f>
        <v/>
      </c>
      <c r="E644" s="115" t="n"/>
      <c r="F644" s="115" t="n"/>
      <c r="G644" s="115" t="n"/>
      <c r="H644" s="11" t="inlineStr">
        <is>
          <t>CIP</t>
        </is>
      </c>
      <c r="I644" s="95" t="n"/>
      <c r="J644" s="99" t="inlineStr">
        <is>
          <t>Fresh</t>
        </is>
      </c>
      <c r="K644" s="103" t="n"/>
      <c r="L644" s="100" t="n">
        <v>35</v>
      </c>
      <c r="M644" s="199" t="n">
        <v>2</v>
      </c>
      <c r="N644" s="91" t="n">
        <v>1</v>
      </c>
      <c r="O644" s="13">
        <f>E644</f>
        <v/>
      </c>
      <c r="P644" s="91" t="inlineStr">
        <is>
          <t>grams</t>
        </is>
      </c>
      <c r="Q644" s="2" t="n"/>
      <c r="R644" s="1" t="n"/>
      <c r="S644" s="229">
        <f>M644*N644</f>
        <v/>
      </c>
      <c r="T644" s="230">
        <f>CONCATENATE(S644,Q644,P644)</f>
        <v/>
      </c>
      <c r="U644" s="206">
        <f>L644*M644</f>
        <v/>
      </c>
      <c r="V644" s="4" t="n"/>
      <c r="W644" s="4" t="n"/>
      <c r="X644" s="4" t="n"/>
    </row>
    <row r="645" ht="15.75" customHeight="1" thickBot="1">
      <c r="A645" s="185" t="n">
        <v>438</v>
      </c>
      <c r="B645" s="115" t="inlineStr">
        <is>
          <t>Vanilla Flavor</t>
        </is>
      </c>
      <c r="C645" s="115" t="n"/>
      <c r="D645" s="115">
        <f>IFERROR(__xludf.DUMMYFUNCTION("IF(J645="""",""n/a"",IFERROR(SPLIT(J645,""/"")))"),"Orion")</f>
        <v/>
      </c>
      <c r="E645" s="115">
        <f>IFERROR(__xludf.DUMMYFUNCTION("""COMPUTED_VALUE"""),"bottle")</f>
        <v/>
      </c>
      <c r="F645" s="115">
        <f>IFERROR(__xludf.DUMMYFUNCTION("""COMPUTED_VALUE"""),"375ml")</f>
        <v/>
      </c>
      <c r="G645" s="115" t="n"/>
      <c r="H645" s="11" t="inlineStr">
        <is>
          <t>CIP</t>
        </is>
      </c>
      <c r="I645" s="95" t="n"/>
      <c r="J645" s="32" t="inlineStr">
        <is>
          <t>Orion/bottle/375ml</t>
        </is>
      </c>
      <c r="K645" s="35" t="n"/>
      <c r="L645" s="100" t="n">
        <v>50</v>
      </c>
      <c r="M645" s="199" t="n">
        <v>4</v>
      </c>
      <c r="N645" s="91" t="n">
        <v>375</v>
      </c>
      <c r="O645" s="13">
        <f>E645</f>
        <v/>
      </c>
      <c r="P645" s="91" t="inlineStr">
        <is>
          <t>ml</t>
        </is>
      </c>
      <c r="Q645" s="2" t="n"/>
      <c r="R645" s="1" t="n"/>
      <c r="S645" s="229">
        <f>M645*N645</f>
        <v/>
      </c>
      <c r="T645" s="230">
        <f>CONCATENATE(S645,Q645,P645)</f>
        <v/>
      </c>
      <c r="U645" s="206">
        <f>L645*M645</f>
        <v/>
      </c>
      <c r="V645" s="4" t="n"/>
      <c r="W645" s="4" t="n"/>
      <c r="X645" s="4" t="n"/>
    </row>
    <row r="646" ht="15.75" customHeight="1" thickBot="1">
      <c r="A646" s="185" t="n">
        <v>439</v>
      </c>
      <c r="B646" s="115" t="inlineStr">
        <is>
          <t>Vienna Sausage</t>
        </is>
      </c>
      <c r="C646" s="115" t="n"/>
      <c r="D646" s="115">
        <f>IFERROR(__xludf.DUMMYFUNCTION("IF(J646="""",""n/a"",IFERROR(SPLIT(J646,""/"")))"),"Argentina")</f>
        <v/>
      </c>
      <c r="E646" s="115">
        <f>IFERROR(__xludf.DUMMYFUNCTION("""COMPUTED_VALUE"""),"can")</f>
        <v/>
      </c>
      <c r="F646" s="115">
        <f>IFERROR(__xludf.DUMMYFUNCTION("""COMPUTED_VALUE"""),"260grams")</f>
        <v/>
      </c>
      <c r="G646" s="115" t="n"/>
      <c r="H646" s="11" t="inlineStr">
        <is>
          <t>Annex</t>
        </is>
      </c>
      <c r="I646" s="6" t="n"/>
      <c r="J646" s="32" t="inlineStr">
        <is>
          <t>Argentina/can/260grams</t>
        </is>
      </c>
      <c r="K646" s="42" t="n"/>
      <c r="L646" s="30" t="n">
        <v>0.1915384615384615</v>
      </c>
      <c r="M646" s="200" t="n">
        <v>2860</v>
      </c>
      <c r="N646" s="172" t="n">
        <v>260</v>
      </c>
      <c r="O646" s="13">
        <f>E646</f>
        <v/>
      </c>
      <c r="P646" s="180" t="inlineStr">
        <is>
          <t>drained weight grams</t>
        </is>
      </c>
      <c r="Q646" s="174" t="n"/>
      <c r="R646" s="175">
        <f>CONCATENATE(N646,P646)</f>
        <v/>
      </c>
      <c r="S646" s="229">
        <f>M646*N646</f>
        <v/>
      </c>
      <c r="T646" s="230">
        <f>CONCATENATE(S646,Q646,P646)</f>
        <v/>
      </c>
      <c r="U646" s="206">
        <f>L646*M646</f>
        <v/>
      </c>
      <c r="V646" s="231" t="n"/>
      <c r="W646" s="236" t="n"/>
      <c r="X646" s="71" t="n"/>
    </row>
    <row r="647" ht="15.75" customHeight="1" thickBot="1">
      <c r="A647" s="185" t="n">
        <v>439</v>
      </c>
      <c r="B647" s="125" t="inlineStr">
        <is>
          <t>Vienna Sausage</t>
        </is>
      </c>
      <c r="C647" s="125" t="n"/>
      <c r="D647" s="115">
        <f>IFERROR(__xludf.DUMMYFUNCTION("IF(J647="""",""n/a"",IFERROR(SPLIT(J647,""/"")))"),"Argentina")</f>
        <v/>
      </c>
      <c r="E647" s="125">
        <f>IFERROR(__xludf.DUMMYFUNCTION("""COMPUTED_VALUE"""),"can")</f>
        <v/>
      </c>
      <c r="F647" s="125">
        <f>IFERROR(__xludf.DUMMYFUNCTION("""COMPUTED_VALUE"""),"260grams")</f>
        <v/>
      </c>
      <c r="G647" s="125">
        <f>IFERROR(__xludf.DUMMYFUNCTION("""COMPUTED_VALUE"""),"155drained weight")</f>
        <v/>
      </c>
      <c r="H647" s="11" t="inlineStr">
        <is>
          <t>CIP</t>
        </is>
      </c>
      <c r="I647" s="95" t="n"/>
      <c r="J647" s="99" t="inlineStr">
        <is>
          <t>Argentina/can/260grams/155drained weight</t>
        </is>
      </c>
      <c r="K647" s="103" t="n"/>
      <c r="L647" s="100" t="n">
        <v>49.92</v>
      </c>
      <c r="M647" s="199" t="n">
        <v>19</v>
      </c>
      <c r="N647" s="91" t="n">
        <v>1</v>
      </c>
      <c r="O647" s="13">
        <f>E647</f>
        <v/>
      </c>
      <c r="P647" s="91" t="inlineStr">
        <is>
          <t>drained weight grams</t>
        </is>
      </c>
      <c r="Q647" s="2" t="n"/>
      <c r="R647" s="1" t="n"/>
      <c r="S647" s="229">
        <f>M647*N647</f>
        <v/>
      </c>
      <c r="T647" s="230">
        <f>CONCATENATE(S647,Q647,P647)</f>
        <v/>
      </c>
      <c r="U647" s="206">
        <f>L647*M647</f>
        <v/>
      </c>
      <c r="V647" s="4" t="n"/>
      <c r="W647" s="4" t="n"/>
      <c r="X647" s="4" t="n"/>
    </row>
    <row r="648" ht="15.75" customHeight="1" thickBot="1">
      <c r="A648" s="185" t="n">
        <v>440</v>
      </c>
      <c r="B648" s="115" t="inlineStr">
        <is>
          <t>Vinegar</t>
        </is>
      </c>
      <c r="C648" s="115" t="n"/>
      <c r="D648" s="115">
        <f>IFERROR(__xludf.DUMMYFUNCTION("IF(J648="""",""n/a"",IFERROR(SPLIT(J648,""/"")))"),"Ticman")</f>
        <v/>
      </c>
      <c r="E648" s="115">
        <f>IFERROR(__xludf.DUMMYFUNCTION("""COMPUTED_VALUE"""),"gallon")</f>
        <v/>
      </c>
      <c r="F648" s="115">
        <f>IFERROR(__xludf.DUMMYFUNCTION("""COMPUTED_VALUE"""),"3500ml")</f>
        <v/>
      </c>
      <c r="G648" s="115" t="n"/>
      <c r="H648" s="11" t="inlineStr">
        <is>
          <t>Annex</t>
        </is>
      </c>
      <c r="I648" s="6" t="n"/>
      <c r="J648" s="32" t="inlineStr">
        <is>
          <t>Ticman/gallon/3500ml</t>
        </is>
      </c>
      <c r="K648" s="42" t="n"/>
      <c r="L648" s="163" t="n">
        <v>70</v>
      </c>
      <c r="M648" s="200" t="n">
        <v>15</v>
      </c>
      <c r="N648" s="172" t="n">
        <v>1</v>
      </c>
      <c r="O648" s="13">
        <f>E648</f>
        <v/>
      </c>
      <c r="P648" s="25" t="inlineStr">
        <is>
          <t>ml</t>
        </is>
      </c>
      <c r="Q648" s="174" t="n"/>
      <c r="R648" s="175">
        <f>CONCATENATE(N648,P648)</f>
        <v/>
      </c>
      <c r="S648" s="229">
        <f>M648*N648</f>
        <v/>
      </c>
      <c r="T648" s="230">
        <f>CONCATENATE(S648,Q648,P648)</f>
        <v/>
      </c>
      <c r="U648" s="206">
        <f>L648*M648</f>
        <v/>
      </c>
      <c r="V648" s="231" t="n"/>
      <c r="W648" s="34" t="n"/>
      <c r="X648" s="34" t="n"/>
    </row>
    <row r="649" ht="15.75" customHeight="1" thickBot="1">
      <c r="A649" s="185" t="n">
        <v>440</v>
      </c>
      <c r="B649" s="114" t="inlineStr">
        <is>
          <t>Vinegar</t>
        </is>
      </c>
      <c r="C649" s="114" t="n"/>
      <c r="D649" s="115">
        <f>IFERROR(__xludf.DUMMYFUNCTION("IF(J649="""",""n/a"",IFERROR(SPLIT(J649,""/"")))"),"Ticman")</f>
        <v/>
      </c>
      <c r="E649" s="114">
        <f>IFERROR(__xludf.DUMMYFUNCTION("""COMPUTED_VALUE"""),"gallon")</f>
        <v/>
      </c>
      <c r="F649" s="114">
        <f>IFERROR(__xludf.DUMMYFUNCTION("""COMPUTED_VALUE"""),"3500ml")</f>
        <v/>
      </c>
      <c r="G649" s="114" t="n"/>
      <c r="H649" s="11" t="inlineStr">
        <is>
          <t>CIP</t>
        </is>
      </c>
      <c r="I649" s="95" t="n"/>
      <c r="J649" s="99" t="inlineStr">
        <is>
          <t>Ticman/gallon/3500ml</t>
        </is>
      </c>
      <c r="K649" s="103" t="n"/>
      <c r="L649" s="100" t="n">
        <v>70</v>
      </c>
      <c r="M649" s="199" t="n">
        <v>30</v>
      </c>
      <c r="N649" s="91" t="n">
        <v>1</v>
      </c>
      <c r="O649" s="13">
        <f>E649</f>
        <v/>
      </c>
      <c r="P649" s="91" t="inlineStr">
        <is>
          <t>gal</t>
        </is>
      </c>
      <c r="Q649" s="2" t="n"/>
      <c r="R649" s="1" t="n"/>
      <c r="S649" s="229">
        <f>M649*N649</f>
        <v/>
      </c>
      <c r="T649" s="230">
        <f>CONCATENATE(S649,Q649,P649)</f>
        <v/>
      </c>
      <c r="U649" s="206">
        <f>L649*M649</f>
        <v/>
      </c>
      <c r="V649" s="4" t="n"/>
      <c r="W649" s="4" t="n"/>
      <c r="X649" s="4" t="n"/>
    </row>
    <row r="650" ht="15.75" customHeight="1" thickBot="1">
      <c r="A650" s="185" t="n">
        <v>440</v>
      </c>
      <c r="B650" s="115" t="inlineStr">
        <is>
          <t>Vinegar</t>
        </is>
      </c>
      <c r="C650" s="115" t="n"/>
      <c r="D650" s="115">
        <f>IFERROR(__xludf.DUMMYFUNCTION("IF(J650="""",""n/a"",IFERROR(SPLIT(J650,""/"")))"),"n/a")</f>
        <v/>
      </c>
      <c r="E650" s="115" t="n"/>
      <c r="F650" s="115" t="n"/>
      <c r="G650" s="115" t="n"/>
      <c r="H650" s="84" t="inlineStr">
        <is>
          <t>F1</t>
        </is>
      </c>
      <c r="I650" s="7" t="n"/>
      <c r="J650" s="32" t="n"/>
      <c r="K650" s="24" t="n"/>
      <c r="L650" s="36" t="n">
        <v>70</v>
      </c>
      <c r="M650" s="201" t="n">
        <v>5</v>
      </c>
      <c r="N650" s="176" t="n">
        <v>1</v>
      </c>
      <c r="O650" s="13">
        <f>E650</f>
        <v/>
      </c>
      <c r="P650" s="25" t="inlineStr">
        <is>
          <t>gal</t>
        </is>
      </c>
      <c r="Q650" s="2" t="n"/>
      <c r="R650" s="1" t="n"/>
      <c r="S650" s="229">
        <f>M650*N650</f>
        <v/>
      </c>
      <c r="T650" s="230">
        <f>CONCATENATE(S650,Q650,P650)</f>
        <v/>
      </c>
      <c r="U650" s="206">
        <f>L650*M650</f>
        <v/>
      </c>
      <c r="V650" s="4" t="n"/>
      <c r="W650" s="4" t="n"/>
      <c r="X650" s="4" t="n"/>
    </row>
    <row r="651" ht="15.75" customHeight="1" thickBot="1">
      <c r="A651" s="185" t="n">
        <v>440</v>
      </c>
      <c r="B651" s="115" t="inlineStr">
        <is>
          <t>Vinegar</t>
        </is>
      </c>
      <c r="C651" s="115" t="n"/>
      <c r="D651" s="115">
        <f>IFERROR(__xludf.DUMMYFUNCTION("IF(J651="""",""n/a"",IFERROR(SPLIT(J651,""/"")))"),"n/a")</f>
        <v/>
      </c>
      <c r="E651" s="115" t="n"/>
      <c r="F651" s="115" t="n"/>
      <c r="G651" s="115" t="n"/>
      <c r="H651" s="84" t="inlineStr">
        <is>
          <t>F1</t>
        </is>
      </c>
      <c r="I651" s="7" t="n"/>
      <c r="J651" s="32" t="n"/>
      <c r="K651" s="24" t="n"/>
      <c r="L651" s="36" t="n">
        <v>0.1911111111111111</v>
      </c>
      <c r="M651" s="201" t="n">
        <v>1000</v>
      </c>
      <c r="N651" s="176" t="n">
        <v>1800</v>
      </c>
      <c r="O651" s="13">
        <f>E651</f>
        <v/>
      </c>
      <c r="P651" s="25" t="inlineStr">
        <is>
          <t>grams</t>
        </is>
      </c>
      <c r="Q651" s="2" t="n"/>
      <c r="R651" s="1" t="n"/>
      <c r="S651" s="229">
        <f>M651*N651</f>
        <v/>
      </c>
      <c r="T651" s="230">
        <f>CONCATENATE(S651,Q651,P651)</f>
        <v/>
      </c>
      <c r="U651" s="206">
        <f>L651*M651</f>
        <v/>
      </c>
      <c r="V651" s="4" t="n"/>
      <c r="W651" s="4" t="n"/>
      <c r="X651" s="4" t="n"/>
    </row>
    <row r="652" ht="15.75" customHeight="1" thickBot="1">
      <c r="A652" s="185" t="n">
        <v>441</v>
      </c>
      <c r="B652" s="115" t="inlineStr">
        <is>
          <t>Wafertime</t>
        </is>
      </c>
      <c r="C652" s="115" t="n"/>
      <c r="D652" s="115">
        <f>IFERROR(__xludf.DUMMYFUNCTION("IF(J652="""",""n/a"",IFERROR(SPLIT(J652,""/"")))"),"Rebisco (10pcsxgrams)")</f>
        <v/>
      </c>
      <c r="E652" s="115" t="n"/>
      <c r="F652" s="115" t="n"/>
      <c r="G652" s="115" t="n"/>
      <c r="H652" s="11" t="inlineStr">
        <is>
          <t>CIP</t>
        </is>
      </c>
      <c r="I652" s="95" t="n"/>
      <c r="J652" s="99" t="inlineStr">
        <is>
          <t>Rebisco (10pcsxgrams)</t>
        </is>
      </c>
      <c r="K652" s="103" t="n"/>
      <c r="L652" s="100" t="n">
        <v>7.03</v>
      </c>
      <c r="M652" s="199" t="n">
        <v>240</v>
      </c>
      <c r="N652" s="91" t="n">
        <v>1</v>
      </c>
      <c r="O652" s="13">
        <f>E652</f>
        <v/>
      </c>
      <c r="P652" s="91" t="inlineStr">
        <is>
          <t>pieces</t>
        </is>
      </c>
      <c r="Q652" s="2" t="n"/>
      <c r="R652" s="1" t="n"/>
      <c r="S652" s="229">
        <f>M652*N652</f>
        <v/>
      </c>
      <c r="T652" s="230">
        <f>CONCATENATE(S652,Q652,P652)</f>
        <v/>
      </c>
      <c r="U652" s="206">
        <f>L652*M652</f>
        <v/>
      </c>
      <c r="V652" s="4" t="n"/>
      <c r="W652" s="4" t="n"/>
      <c r="X652" s="4" t="n"/>
    </row>
    <row r="653" ht="15.75" customHeight="1" thickBot="1">
      <c r="A653" s="185" t="n">
        <v>442</v>
      </c>
      <c r="B653" s="115" t="inlineStr">
        <is>
          <t>Wakame</t>
        </is>
      </c>
      <c r="C653" s="115" t="n"/>
      <c r="D653" s="115">
        <f>IFERROR(__xludf.DUMMYFUNCTION("IF(J653="""",""n/a"",IFERROR(SPLIT(J653,""/"")))"),"n/a")</f>
        <v/>
      </c>
      <c r="E653" s="115" t="n"/>
      <c r="F653" s="115" t="n"/>
      <c r="G653" s="115" t="n"/>
      <c r="H653" s="11" t="inlineStr">
        <is>
          <t>Annex</t>
        </is>
      </c>
      <c r="I653" s="6" t="n"/>
      <c r="J653" s="32" t="n"/>
      <c r="K653" s="42" t="n"/>
      <c r="L653" s="163" t="n">
        <v>0.72</v>
      </c>
      <c r="M653" s="200" t="n">
        <v>1000</v>
      </c>
      <c r="N653" s="172" t="n">
        <v>1000</v>
      </c>
      <c r="O653" s="13">
        <f>E653</f>
        <v/>
      </c>
      <c r="P653" s="25" t="inlineStr">
        <is>
          <t>grams</t>
        </is>
      </c>
      <c r="Q653" s="174" t="n"/>
      <c r="R653" s="175">
        <f>CONCATENATE(N653,P653)</f>
        <v/>
      </c>
      <c r="S653" s="229">
        <f>M653*N653</f>
        <v/>
      </c>
      <c r="T653" s="230">
        <f>CONCATENATE(S653,Q653,P653)</f>
        <v/>
      </c>
      <c r="U653" s="206">
        <f>L653*M653</f>
        <v/>
      </c>
      <c r="V653" s="34" t="n"/>
      <c r="W653" s="34" t="n"/>
      <c r="X653" s="34" t="n"/>
    </row>
    <row r="654" ht="15.75" customHeight="1" thickBot="1">
      <c r="A654" s="185" t="n">
        <v>442</v>
      </c>
      <c r="B654" s="115" t="inlineStr">
        <is>
          <t>Wakame</t>
        </is>
      </c>
      <c r="C654" s="115" t="n"/>
      <c r="D654" s="115">
        <f>IFERROR(__xludf.DUMMYFUNCTION("IF(J654="""",""n/a"",IFERROR(SPLIT(J654,""/"")))"),"n/a")</f>
        <v/>
      </c>
      <c r="E654" s="115" t="n"/>
      <c r="F654" s="115" t="n"/>
      <c r="G654" s="115" t="n"/>
      <c r="H654" s="11" t="inlineStr">
        <is>
          <t>Annex</t>
        </is>
      </c>
      <c r="I654" s="6" t="n"/>
      <c r="J654" s="32" t="n"/>
      <c r="K654" s="42" t="n"/>
      <c r="L654" s="163" t="n">
        <v>1.88</v>
      </c>
      <c r="M654" s="203" t="n">
        <v>200</v>
      </c>
      <c r="N654" s="172" t="n">
        <v>100</v>
      </c>
      <c r="O654" s="13">
        <f>E654</f>
        <v/>
      </c>
      <c r="P654" s="25" t="inlineStr">
        <is>
          <t>grams</t>
        </is>
      </c>
      <c r="Q654" s="174" t="n"/>
      <c r="R654" s="175">
        <f>CONCATENATE(N654,P654)</f>
        <v/>
      </c>
      <c r="S654" s="229">
        <f>M654*N654</f>
        <v/>
      </c>
      <c r="T654" s="230">
        <f>CONCATENATE(S654,Q654,P654)</f>
        <v/>
      </c>
      <c r="U654" s="206">
        <f>L654*M654</f>
        <v/>
      </c>
      <c r="V654" s="34" t="n"/>
      <c r="W654" s="34" t="n"/>
      <c r="X654" s="34" t="n"/>
    </row>
    <row r="655" ht="15.75" customHeight="1" thickBot="1">
      <c r="A655" s="185" t="n">
        <v>442</v>
      </c>
      <c r="B655" s="115" t="inlineStr">
        <is>
          <t>Wakame</t>
        </is>
      </c>
      <c r="C655" s="115" t="n"/>
      <c r="D655" s="115">
        <f>IFERROR(__xludf.DUMMYFUNCTION("IF(J655="""",""n/a"",IFERROR(SPLIT(J655,""/"")))"),"grams")</f>
        <v/>
      </c>
      <c r="E655" s="115" t="n"/>
      <c r="F655" s="115" t="n"/>
      <c r="G655" s="115" t="n"/>
      <c r="H655" s="11" t="inlineStr">
        <is>
          <t>CIP</t>
        </is>
      </c>
      <c r="I655" s="95" t="n"/>
      <c r="J655" s="99" t="inlineStr">
        <is>
          <t>grams</t>
        </is>
      </c>
      <c r="K655" s="103" t="n"/>
      <c r="L655" s="100" t="n">
        <v>188</v>
      </c>
      <c r="M655" s="199" t="n">
        <v>2</v>
      </c>
      <c r="N655" s="91" t="n">
        <v>1</v>
      </c>
      <c r="O655" s="13">
        <f>E655</f>
        <v/>
      </c>
      <c r="P655" s="91" t="inlineStr">
        <is>
          <t>grams</t>
        </is>
      </c>
      <c r="Q655" s="2" t="n"/>
      <c r="R655" s="1" t="n"/>
      <c r="S655" s="229">
        <f>M655*N655</f>
        <v/>
      </c>
      <c r="T655" s="230">
        <f>CONCATENATE(S655,Q655,P655)</f>
        <v/>
      </c>
      <c r="U655" s="206">
        <f>L655*M655</f>
        <v/>
      </c>
      <c r="V655" s="4" t="n"/>
      <c r="W655" s="4" t="n"/>
      <c r="X655" s="4" t="n"/>
    </row>
    <row r="656" ht="15.75" customHeight="1" thickBot="1">
      <c r="A656" s="185" t="n">
        <v>442</v>
      </c>
      <c r="B656" s="115" t="inlineStr">
        <is>
          <t>Wakame</t>
        </is>
      </c>
      <c r="C656" s="115" t="n"/>
      <c r="D656" s="115">
        <f>IFERROR(__xludf.DUMMYFUNCTION("IF(J656="""",""n/a"",IFERROR(SPLIT(J656,""/"")))"),"n/a")</f>
        <v/>
      </c>
      <c r="E656" s="115" t="n"/>
      <c r="F656" s="115" t="n"/>
      <c r="G656" s="115" t="n"/>
      <c r="H656" s="84" t="inlineStr">
        <is>
          <t>F1</t>
        </is>
      </c>
      <c r="I656" s="7" t="n"/>
      <c r="J656" s="32" t="n"/>
      <c r="K656" s="24" t="n"/>
      <c r="L656" s="36" t="n">
        <v>1</v>
      </c>
      <c r="M656" s="201" t="n">
        <v>300</v>
      </c>
      <c r="N656" s="176" t="n">
        <v>100</v>
      </c>
      <c r="O656" s="13">
        <f>E656</f>
        <v/>
      </c>
      <c r="P656" s="25" t="inlineStr">
        <is>
          <t>grams</t>
        </is>
      </c>
      <c r="Q656" s="2" t="n"/>
      <c r="R656" s="1" t="n"/>
      <c r="S656" s="229">
        <f>M656*N656</f>
        <v/>
      </c>
      <c r="T656" s="230">
        <f>CONCATENATE(S656,Q656,P656)</f>
        <v/>
      </c>
      <c r="U656" s="206">
        <f>L656*M656</f>
        <v/>
      </c>
      <c r="V656" s="4" t="n"/>
      <c r="W656" s="4" t="n"/>
      <c r="X656" s="4" t="n"/>
    </row>
    <row r="657" ht="15.75" customHeight="1" thickBot="1">
      <c r="A657" s="185" t="n">
        <v>443</v>
      </c>
      <c r="B657" s="115" t="inlineStr">
        <is>
          <t>White Beans</t>
        </is>
      </c>
      <c r="C657" s="115" t="n"/>
      <c r="D657" s="115">
        <f>IFERROR(__xludf.DUMMYFUNCTION("IF(J657="""",""n/a"",IFERROR(SPLIT(J657,""/"")))"),"Amparos")</f>
        <v/>
      </c>
      <c r="E657" s="115">
        <f>IFERROR(__xludf.DUMMYFUNCTION("""COMPUTED_VALUE"""),"pack")</f>
        <v/>
      </c>
      <c r="F657" s="115">
        <f>IFERROR(__xludf.DUMMYFUNCTION("""COMPUTED_VALUE"""),"500grams")</f>
        <v/>
      </c>
      <c r="G657" s="115" t="n"/>
      <c r="H657" s="11" t="inlineStr">
        <is>
          <t>Annex</t>
        </is>
      </c>
      <c r="I657" s="6" t="n"/>
      <c r="J657" s="32" t="inlineStr">
        <is>
          <t>Amparos/pack/500grams</t>
        </is>
      </c>
      <c r="K657" s="42" t="n"/>
      <c r="L657" s="163" t="n">
        <v>0.225</v>
      </c>
      <c r="M657" s="200" t="n">
        <v>400</v>
      </c>
      <c r="N657" s="172" t="n">
        <v>200</v>
      </c>
      <c r="O657" s="13">
        <f>E657</f>
        <v/>
      </c>
      <c r="P657" s="25" t="inlineStr">
        <is>
          <t>grams</t>
        </is>
      </c>
      <c r="Q657" s="174" t="n"/>
      <c r="R657" s="175">
        <f>CONCATENATE(N657,P657)</f>
        <v/>
      </c>
      <c r="S657" s="229">
        <f>M657*N657</f>
        <v/>
      </c>
      <c r="T657" s="230">
        <f>CONCATENATE(S657,Q657,P657)</f>
        <v/>
      </c>
      <c r="U657" s="206">
        <f>L657*M657</f>
        <v/>
      </c>
      <c r="V657" s="231" t="n"/>
      <c r="W657" s="34" t="n"/>
      <c r="X657" s="34" t="n"/>
    </row>
    <row r="658" ht="15.75" customHeight="1" thickBot="1">
      <c r="A658" s="185" t="n">
        <v>444</v>
      </c>
      <c r="B658" s="114" t="inlineStr">
        <is>
          <t>Whole Corn Kernel</t>
        </is>
      </c>
      <c r="C658" s="114" t="n"/>
      <c r="D658" s="115">
        <f>IFERROR(__xludf.DUMMYFUNCTION("IF(J658="""",""n/a"",IFERROR(SPLIT(J658,""/"")))"),"n/a")</f>
        <v/>
      </c>
      <c r="E658" s="114" t="n"/>
      <c r="F658" s="114" t="n"/>
      <c r="G658" s="114" t="n"/>
      <c r="H658" s="84" t="inlineStr">
        <is>
          <t>F1</t>
        </is>
      </c>
      <c r="I658" s="7" t="n"/>
      <c r="J658" s="32" t="n"/>
      <c r="K658" s="24" t="n"/>
      <c r="L658" s="36" t="n">
        <v>0.1608</v>
      </c>
      <c r="M658" s="204" t="n">
        <v>4000</v>
      </c>
      <c r="N658" s="176" t="n">
        <v>250</v>
      </c>
      <c r="O658" s="13">
        <f>E658</f>
        <v/>
      </c>
      <c r="P658" s="181" t="inlineStr">
        <is>
          <t>grams</t>
        </is>
      </c>
      <c r="Q658" s="2" t="n"/>
      <c r="R658" s="1" t="n"/>
      <c r="S658" s="229">
        <f>M658*N658</f>
        <v/>
      </c>
      <c r="T658" s="230">
        <f>CONCATENATE(S658,Q658,P658)</f>
        <v/>
      </c>
      <c r="U658" s="206">
        <f>L658*M658</f>
        <v/>
      </c>
      <c r="V658" s="4" t="n"/>
      <c r="W658" s="4" t="n"/>
      <c r="X658" s="4" t="n"/>
    </row>
    <row r="659" ht="15.75" customHeight="1" thickBot="1">
      <c r="A659" s="185" t="n">
        <v>445</v>
      </c>
      <c r="B659" s="115" t="inlineStr">
        <is>
          <t>Whoopie Marshmallow Cake - Strawberry</t>
        </is>
      </c>
      <c r="C659" s="115" t="n"/>
      <c r="D659" s="115">
        <f>IFERROR(__xludf.DUMMYFUNCTION("IF(J659="""",""n/a"",IFERROR(SPLIT(J659,""/"")))"),"Suncrest Food")</f>
        <v/>
      </c>
      <c r="E659" s="115">
        <f>IFERROR(__xludf.DUMMYFUNCTION("""COMPUTED_VALUE"""),"pack(10pcsx32grams)")</f>
        <v/>
      </c>
      <c r="F659" s="115" t="n"/>
      <c r="G659" s="115" t="n"/>
      <c r="H659" s="11" t="inlineStr">
        <is>
          <t>CIP</t>
        </is>
      </c>
      <c r="I659" s="95" t="n"/>
      <c r="J659" s="99" t="inlineStr">
        <is>
          <t>Suncrest Food/pack(10pcsx32grams)</t>
        </is>
      </c>
      <c r="K659" s="103" t="n"/>
      <c r="L659" s="100" t="n">
        <v>8.890000000000001</v>
      </c>
      <c r="M659" s="199" t="n">
        <v>150</v>
      </c>
      <c r="N659" s="91" t="n">
        <v>1</v>
      </c>
      <c r="O659" s="13">
        <f>E659</f>
        <v/>
      </c>
      <c r="P659" s="91" t="inlineStr">
        <is>
          <t>pieces</t>
        </is>
      </c>
      <c r="Q659" s="2" t="n"/>
      <c r="R659" s="1" t="n"/>
      <c r="S659" s="229">
        <f>M659*N659</f>
        <v/>
      </c>
      <c r="T659" s="230">
        <f>CONCATENATE(S659,Q659,P659)</f>
        <v/>
      </c>
      <c r="U659" s="206">
        <f>L659*M659</f>
        <v/>
      </c>
      <c r="V659" s="4" t="n"/>
      <c r="W659" s="4" t="n"/>
      <c r="X659" s="4" t="n"/>
    </row>
    <row r="660" ht="15.75" customHeight="1" thickBot="1">
      <c r="A660" s="185" t="n">
        <v>446</v>
      </c>
      <c r="B660" s="115" t="inlineStr">
        <is>
          <t>Wooden Fork</t>
        </is>
      </c>
      <c r="C660" s="115" t="n"/>
      <c r="D660" s="115">
        <f>IFERROR(__xludf.DUMMYFUNCTION("IF(J660="""",""n/a"",IFERROR(SPLIT(J660,""/"")))"),"Versa")</f>
        <v/>
      </c>
      <c r="E660" s="115">
        <f>IFERROR(__xludf.DUMMYFUNCTION("""COMPUTED_VALUE"""),"pack by 25s'")</f>
        <v/>
      </c>
      <c r="F660" s="115" t="n"/>
      <c r="G660" s="115" t="n"/>
      <c r="H660" s="11" t="inlineStr">
        <is>
          <t>Annex</t>
        </is>
      </c>
      <c r="I660" s="6" t="n"/>
      <c r="J660" s="32" t="inlineStr">
        <is>
          <t>Versa/pack by 25s'</t>
        </is>
      </c>
      <c r="K660" s="42" t="n"/>
      <c r="L660" s="163" t="n">
        <v>22</v>
      </c>
      <c r="M660" s="200" t="n">
        <v>1</v>
      </c>
      <c r="N660" s="172" t="n">
        <v>1</v>
      </c>
      <c r="O660" s="13">
        <f>E660</f>
        <v/>
      </c>
      <c r="P660" s="25" t="inlineStr">
        <is>
          <t>packs</t>
        </is>
      </c>
      <c r="Q660" s="174" t="n"/>
      <c r="R660" s="175">
        <f>CONCATENATE(N660,P660)</f>
        <v/>
      </c>
      <c r="S660" s="229">
        <f>M660*N660</f>
        <v/>
      </c>
      <c r="T660" s="230">
        <f>CONCATENATE(S660,Q660,P660)</f>
        <v/>
      </c>
      <c r="U660" s="206">
        <f>L660*M660</f>
        <v/>
      </c>
      <c r="V660" s="34" t="n"/>
      <c r="W660" s="34" t="n"/>
      <c r="X660" s="34" t="n"/>
    </row>
    <row r="661" ht="15.75" customHeight="1" thickBot="1">
      <c r="A661" s="185" t="n">
        <v>447</v>
      </c>
      <c r="B661" s="115" t="inlineStr">
        <is>
          <t>Wooden Spoon</t>
        </is>
      </c>
      <c r="C661" s="115" t="n"/>
      <c r="D661" s="115">
        <f>IFERROR(__xludf.DUMMYFUNCTION("IF(J661="""",""n/a"",IFERROR(SPLIT(J661,""/"")))"),"Versa")</f>
        <v/>
      </c>
      <c r="E661" s="115">
        <f>IFERROR(__xludf.DUMMYFUNCTION("""COMPUTED_VALUE"""),"pack by 25s'")</f>
        <v/>
      </c>
      <c r="F661" s="115" t="n"/>
      <c r="G661" s="115" t="n"/>
      <c r="H661" s="11" t="inlineStr">
        <is>
          <t>Annex</t>
        </is>
      </c>
      <c r="I661" s="6" t="n"/>
      <c r="J661" s="32" t="inlineStr">
        <is>
          <t>Versa/pack by 25s'</t>
        </is>
      </c>
      <c r="K661" s="42" t="n"/>
      <c r="L661" s="30" t="n">
        <v>22</v>
      </c>
      <c r="M661" s="200" t="n">
        <v>1</v>
      </c>
      <c r="N661" s="172" t="n">
        <v>1</v>
      </c>
      <c r="O661" s="13">
        <f>E661</f>
        <v/>
      </c>
      <c r="P661" s="25" t="inlineStr">
        <is>
          <t>packs</t>
        </is>
      </c>
      <c r="Q661" s="174" t="n"/>
      <c r="R661" s="175">
        <f>CONCATENATE(N661,P661)</f>
        <v/>
      </c>
      <c r="S661" s="229">
        <f>M661*N661</f>
        <v/>
      </c>
      <c r="T661" s="230">
        <f>CONCATENATE(S661,Q661,P661)</f>
        <v/>
      </c>
      <c r="U661" s="206">
        <f>L661*M661</f>
        <v/>
      </c>
      <c r="V661" s="34" t="n"/>
      <c r="W661" s="34" t="n"/>
      <c r="X661" s="34" t="n"/>
    </row>
    <row r="662" ht="15.75" customHeight="1" thickBot="1">
      <c r="A662" s="185" t="n">
        <v>448</v>
      </c>
      <c r="B662" s="115" t="inlineStr">
        <is>
          <t>Worcestireshire Sauce</t>
        </is>
      </c>
      <c r="C662" s="115" t="n"/>
      <c r="D662" s="115">
        <f>IFERROR(__xludf.DUMMYFUNCTION("IF(J662="""",""n/a"",IFERROR(SPLIT(J662,""/"")))"),"Lea &amp; Perrins")</f>
        <v/>
      </c>
      <c r="E662" s="115">
        <f>IFERROR(__xludf.DUMMYFUNCTION("""COMPUTED_VALUE"""),"bottle")</f>
        <v/>
      </c>
      <c r="F662" s="115">
        <f>IFERROR(__xludf.DUMMYFUNCTION("""COMPUTED_VALUE"""),270)</f>
        <v/>
      </c>
      <c r="G662" s="115" t="n"/>
      <c r="H662" s="11" t="inlineStr">
        <is>
          <t>Annex</t>
        </is>
      </c>
      <c r="I662" s="6" t="n"/>
      <c r="J662" s="32" t="inlineStr">
        <is>
          <t>Lea &amp; Perrins/bottle/270</t>
        </is>
      </c>
      <c r="K662" s="42" t="n"/>
      <c r="L662" s="163" t="n">
        <v>0.9181481481481482</v>
      </c>
      <c r="M662" s="200" t="n">
        <v>270</v>
      </c>
      <c r="N662" s="172" t="n">
        <v>270</v>
      </c>
      <c r="O662" s="13">
        <f>E662</f>
        <v/>
      </c>
      <c r="P662" s="25" t="inlineStr">
        <is>
          <t>grams</t>
        </is>
      </c>
      <c r="Q662" s="174" t="n"/>
      <c r="R662" s="175">
        <f>CONCATENATE(N662,P662)</f>
        <v/>
      </c>
      <c r="S662" s="229">
        <f>M662*N662</f>
        <v/>
      </c>
      <c r="T662" s="230">
        <f>CONCATENATE(S662,Q662,P662)</f>
        <v/>
      </c>
      <c r="U662" s="206">
        <f>L662*M662</f>
        <v/>
      </c>
      <c r="V662" s="231" t="n"/>
      <c r="W662" s="34" t="n"/>
      <c r="X662" s="34" t="n"/>
    </row>
    <row r="663" ht="15.75" customHeight="1" thickBot="1">
      <c r="A663" s="185" t="n">
        <v>449</v>
      </c>
      <c r="B663" s="114" t="inlineStr">
        <is>
          <t>Yellow Label Tea</t>
        </is>
      </c>
      <c r="C663" s="114" t="n"/>
      <c r="D663" s="115">
        <f>IFERROR(__xludf.DUMMYFUNCTION("IF(J663="""",""n/a"",IFERROR(SPLIT(J663,""/"")))"),"n/a")</f>
        <v/>
      </c>
      <c r="E663" s="114" t="n"/>
      <c r="F663" s="114" t="n"/>
      <c r="G663" s="114" t="n"/>
      <c r="H663" s="84" t="inlineStr">
        <is>
          <t>F1</t>
        </is>
      </c>
      <c r="I663" s="7" t="n"/>
      <c r="J663" s="32" t="n"/>
      <c r="K663" s="24" t="n"/>
      <c r="L663" s="36" t="n">
        <v>3.82</v>
      </c>
      <c r="M663" s="204" t="n">
        <v>108</v>
      </c>
      <c r="N663" s="176" t="n">
        <v>100</v>
      </c>
      <c r="O663" s="13">
        <f>E663</f>
        <v/>
      </c>
      <c r="P663" s="139" t="inlineStr">
        <is>
          <t>pieces</t>
        </is>
      </c>
      <c r="Q663" s="2" t="n"/>
      <c r="R663" s="1" t="n"/>
      <c r="S663" s="229">
        <f>M663*N663</f>
        <v/>
      </c>
      <c r="T663" s="230">
        <f>CONCATENATE(S663,Q663,P663)</f>
        <v/>
      </c>
      <c r="U663" s="206">
        <f>L663*M663</f>
        <v/>
      </c>
      <c r="V663" s="4" t="n"/>
      <c r="W663" s="4" t="n"/>
      <c r="X663" s="4" t="n"/>
    </row>
    <row r="664" ht="15.75" customHeight="1" thickBot="1">
      <c r="A664" s="185" t="n">
        <v>450</v>
      </c>
      <c r="B664" s="114" t="inlineStr">
        <is>
          <t>Young Corn Cuts</t>
        </is>
      </c>
      <c r="C664" s="114" t="n"/>
      <c r="D664" s="115">
        <f>IFERROR(__xludf.DUMMYFUNCTION("IF(J664="""",""n/a"",IFERROR(SPLIT(J664,""/"")))"),"n/a")</f>
        <v/>
      </c>
      <c r="E664" s="114" t="n"/>
      <c r="F664" s="114" t="n"/>
      <c r="G664" s="114" t="n"/>
      <c r="H664" s="84" t="inlineStr">
        <is>
          <t>F1</t>
        </is>
      </c>
      <c r="I664" s="7" t="n"/>
      <c r="J664" s="32" t="n"/>
      <c r="K664" s="24" t="n"/>
      <c r="L664" s="36" t="n">
        <v>0.269</v>
      </c>
      <c r="M664" s="204" t="n">
        <v>200</v>
      </c>
      <c r="N664" s="176" t="n">
        <v>200</v>
      </c>
      <c r="O664" s="13">
        <f>E664</f>
        <v/>
      </c>
      <c r="P664" s="181" t="inlineStr">
        <is>
          <t>grams</t>
        </is>
      </c>
      <c r="Q664" s="2" t="n"/>
      <c r="R664" s="1" t="n"/>
      <c r="S664" s="229">
        <f>M664*N664</f>
        <v/>
      </c>
      <c r="T664" s="230">
        <f>CONCATENATE(S664,Q664,P664)</f>
        <v/>
      </c>
      <c r="U664" s="206">
        <f>L664*M664</f>
        <v/>
      </c>
      <c r="V664" s="4" t="n"/>
      <c r="W664" s="4" t="n"/>
      <c r="X664" s="4" t="n"/>
    </row>
    <row r="665" ht="15.75" customHeight="1" thickBot="1">
      <c r="A665" s="185" t="n">
        <v>451</v>
      </c>
      <c r="B665" s="124" t="inlineStr">
        <is>
          <t>Zesto Big Apple</t>
        </is>
      </c>
      <c r="C665" s="124" t="n"/>
      <c r="D665" s="115">
        <f>IFERROR(__xludf.DUMMYFUNCTION("IF(J665="""",""n/a"",IFERROR(SPLIT(J665,""/"")))"),"n/a")</f>
        <v/>
      </c>
      <c r="E665" s="124" t="n"/>
      <c r="F665" s="124" t="n"/>
      <c r="G665" s="124" t="n"/>
      <c r="H665" s="84" t="inlineStr">
        <is>
          <t>F1</t>
        </is>
      </c>
      <c r="I665" s="7" t="n"/>
      <c r="J665" s="32" t="n"/>
      <c r="K665" s="24" t="n"/>
      <c r="L665" s="36" t="n">
        <v>8.859999999999999</v>
      </c>
      <c r="M665" s="204" t="n">
        <v>10</v>
      </c>
      <c r="N665" s="177" t="n">
        <v>10</v>
      </c>
      <c r="O665" s="13">
        <f>E665</f>
        <v/>
      </c>
      <c r="P665" s="139" t="inlineStr">
        <is>
          <t>pieces</t>
        </is>
      </c>
      <c r="Q665" s="2" t="n"/>
      <c r="R665" s="1" t="n"/>
      <c r="S665" s="229">
        <f>M665*N665</f>
        <v/>
      </c>
      <c r="T665" s="230">
        <f>CONCATENATE(S665,Q665,P665)</f>
        <v/>
      </c>
      <c r="U665" s="206">
        <f>L665*M665</f>
        <v/>
      </c>
      <c r="V665" s="4" t="n"/>
      <c r="W665" s="4" t="n"/>
      <c r="X665" s="4" t="n"/>
    </row>
    <row r="666" ht="15.75" customHeight="1" thickBot="1">
      <c r="A666" s="185" t="n">
        <v>452</v>
      </c>
      <c r="B666" s="124" t="inlineStr">
        <is>
          <t>Zesto Big Orange</t>
        </is>
      </c>
      <c r="C666" s="124" t="n"/>
      <c r="D666" s="115">
        <f>IFERROR(__xludf.DUMMYFUNCTION("IF(J666="""",""n/a"",IFERROR(SPLIT(J666,""/"")))"),"n/a")</f>
        <v/>
      </c>
      <c r="E666" s="124" t="n"/>
      <c r="F666" s="124" t="n"/>
      <c r="G666" s="124" t="n"/>
      <c r="H666" s="84" t="inlineStr">
        <is>
          <t>F1</t>
        </is>
      </c>
      <c r="I666" s="7" t="n"/>
      <c r="J666" s="32" t="n"/>
      <c r="K666" s="24" t="n"/>
      <c r="L666" s="36" t="n">
        <v>8.859999999999999</v>
      </c>
      <c r="M666" s="204" t="n">
        <v>29</v>
      </c>
      <c r="N666" s="177" t="n">
        <v>10</v>
      </c>
      <c r="O666" s="13">
        <f>E666</f>
        <v/>
      </c>
      <c r="P666" s="139" t="inlineStr">
        <is>
          <t>pieces</t>
        </is>
      </c>
      <c r="Q666" s="2" t="n"/>
      <c r="R666" s="1" t="n"/>
      <c r="S666" s="229">
        <f>M666*N666</f>
        <v/>
      </c>
      <c r="T666" s="230">
        <f>CONCATENATE(S666,Q666,P666)</f>
        <v/>
      </c>
      <c r="U666" s="206">
        <f>L666*M666</f>
        <v/>
      </c>
      <c r="V666" s="4" t="n"/>
      <c r="W666" s="4" t="n"/>
      <c r="X666" s="4" t="n"/>
    </row>
    <row r="667" ht="15.75" customHeight="1" thickBot="1">
      <c r="A667" s="185" t="n">
        <v>453</v>
      </c>
      <c r="B667" s="124" t="inlineStr">
        <is>
          <t>Zesto Big PineApple</t>
        </is>
      </c>
      <c r="C667" s="124" t="n"/>
      <c r="D667" s="115">
        <f>IFERROR(__xludf.DUMMYFUNCTION("IF(J667="""",""n/a"",IFERROR(SPLIT(J667,""/"")))"),"n/a")</f>
        <v/>
      </c>
      <c r="E667" s="124" t="n"/>
      <c r="F667" s="124" t="n"/>
      <c r="G667" s="124" t="n"/>
      <c r="H667" s="84" t="inlineStr">
        <is>
          <t>F1</t>
        </is>
      </c>
      <c r="I667" s="7" t="n"/>
      <c r="J667" s="32" t="n"/>
      <c r="K667" s="24" t="n"/>
      <c r="L667" s="36" t="n">
        <v>8.859999999999999</v>
      </c>
      <c r="M667" s="204" t="n">
        <v>20</v>
      </c>
      <c r="N667" s="177" t="n">
        <v>10</v>
      </c>
      <c r="O667" s="13">
        <f>E667</f>
        <v/>
      </c>
      <c r="P667" s="139" t="inlineStr">
        <is>
          <t>pieces</t>
        </is>
      </c>
      <c r="Q667" s="2" t="n"/>
      <c r="R667" s="1" t="n"/>
      <c r="S667" s="229">
        <f>M667*N667</f>
        <v/>
      </c>
      <c r="T667" s="230">
        <f>CONCATENATE(S667,Q667,P667)</f>
        <v/>
      </c>
      <c r="U667" s="206">
        <f>L667*M667</f>
        <v/>
      </c>
      <c r="V667" s="4" t="n"/>
      <c r="W667" s="4" t="n"/>
      <c r="X667" s="4" t="n"/>
    </row>
    <row r="668" ht="15.75" customHeight="1" thickBot="1">
      <c r="A668" s="186" t="n">
        <v>454</v>
      </c>
      <c r="B668" s="213" t="inlineStr">
        <is>
          <t>3in1 Coffee</t>
        </is>
      </c>
      <c r="C668" s="124" t="n"/>
      <c r="D668" s="115" t="n"/>
      <c r="E668" s="124" t="n"/>
      <c r="F668" s="124" t="n"/>
      <c r="G668" s="124" t="n"/>
      <c r="H668" s="84" t="n"/>
      <c r="I668" s="7" t="n"/>
      <c r="J668" s="32" t="inlineStr">
        <is>
          <t>Kopiko - Blanca</t>
        </is>
      </c>
      <c r="K668" s="24" t="n"/>
      <c r="L668" s="36" t="n">
        <v>8.5</v>
      </c>
      <c r="M668" s="204" t="n">
        <v>113</v>
      </c>
      <c r="N668" s="177" t="n">
        <v>20</v>
      </c>
      <c r="O668" s="13" t="n"/>
      <c r="P668" s="139" t="inlineStr">
        <is>
          <t>grams</t>
        </is>
      </c>
      <c r="Q668" s="2" t="n"/>
      <c r="R668" s="1" t="n"/>
      <c r="S668" s="229">
        <f>M668*N668</f>
        <v/>
      </c>
      <c r="T668" s="230">
        <f>CONCATENATE(S668,Q668,P668)</f>
        <v/>
      </c>
      <c r="U668" s="206">
        <f>L668*M668</f>
        <v/>
      </c>
      <c r="V668" s="219" t="inlineStr">
        <is>
          <t>jenelyn</t>
        </is>
      </c>
      <c r="W668" s="4" t="n"/>
      <c r="X668" s="4" t="n"/>
    </row>
    <row r="669" ht="15.75" customHeight="1" thickBot="1">
      <c r="A669" s="186" t="n">
        <v>454</v>
      </c>
      <c r="B669" s="214" t="inlineStr">
        <is>
          <t>3in1 Coffee</t>
        </is>
      </c>
      <c r="C669" s="124" t="n"/>
      <c r="D669" s="115" t="n"/>
      <c r="E669" s="124" t="n"/>
      <c r="F669" s="124" t="n"/>
      <c r="G669" s="124" t="n"/>
      <c r="H669" s="84" t="n"/>
      <c r="I669" s="7" t="n"/>
      <c r="J669" s="32" t="inlineStr">
        <is>
          <t>Kopiko - Blanca</t>
        </is>
      </c>
      <c r="K669" s="24" t="n"/>
      <c r="L669" s="36" t="n">
        <v>8.529999999999999</v>
      </c>
      <c r="M669" s="204" t="n">
        <v>16</v>
      </c>
      <c r="N669" s="177" t="n">
        <v>30</v>
      </c>
      <c r="O669" s="13" t="n"/>
      <c r="P669" s="139" t="inlineStr">
        <is>
          <t>grams</t>
        </is>
      </c>
      <c r="Q669" s="2" t="n"/>
      <c r="R669" s="1" t="n"/>
      <c r="S669" s="229">
        <f>M669*N669</f>
        <v/>
      </c>
      <c r="T669" s="230">
        <f>CONCATENATE(S669,Q669,P669)</f>
        <v/>
      </c>
      <c r="U669" s="206">
        <f>L669*M669</f>
        <v/>
      </c>
      <c r="V669" s="4" t="n"/>
      <c r="W669" s="4" t="n"/>
      <c r="X669" s="4" t="n"/>
    </row>
    <row r="670" ht="15.75" customHeight="1" thickBot="1">
      <c r="A670" s="186" t="n">
        <v>454</v>
      </c>
      <c r="B670" s="214" t="inlineStr">
        <is>
          <t>3in1 Coffee</t>
        </is>
      </c>
      <c r="C670" s="124" t="n"/>
      <c r="D670" s="115" t="n"/>
      <c r="E670" s="124" t="n"/>
      <c r="F670" s="124" t="n"/>
      <c r="G670" s="124" t="n"/>
      <c r="H670" s="84" t="n"/>
      <c r="I670" s="7" t="n"/>
      <c r="J670" s="32" t="inlineStr">
        <is>
          <t>Kopiko - Blanca</t>
        </is>
      </c>
      <c r="K670" s="24" t="n"/>
      <c r="L670" s="36" t="n">
        <v>8.5</v>
      </c>
      <c r="M670" s="204" t="n">
        <v>92</v>
      </c>
      <c r="N670" s="177" t="n">
        <v>20</v>
      </c>
      <c r="O670" s="13" t="n"/>
      <c r="P670" s="139" t="inlineStr">
        <is>
          <t>grams</t>
        </is>
      </c>
      <c r="Q670" s="2" t="n"/>
      <c r="R670" s="1" t="n"/>
      <c r="S670" s="229">
        <f>M670*N670</f>
        <v/>
      </c>
      <c r="T670" s="230">
        <f>CONCATENATE(S670,Q670,P670)</f>
        <v/>
      </c>
      <c r="U670" s="206">
        <f>L670*M670</f>
        <v/>
      </c>
      <c r="V670" s="4" t="n"/>
      <c r="W670" s="4" t="n"/>
      <c r="X670" s="4" t="n"/>
    </row>
    <row r="671" ht="15.75" customHeight="1" thickBot="1">
      <c r="A671" s="186" t="n">
        <v>454</v>
      </c>
      <c r="B671" s="214" t="inlineStr">
        <is>
          <t>3in1 Coffee</t>
        </is>
      </c>
      <c r="C671" s="124" t="n"/>
      <c r="D671" s="115" t="n"/>
      <c r="E671" s="124" t="n"/>
      <c r="F671" s="124" t="n"/>
      <c r="G671" s="124" t="n"/>
      <c r="H671" s="84" t="n"/>
      <c r="I671" s="7" t="n"/>
      <c r="J671" s="32" t="inlineStr">
        <is>
          <t>Kopiko - Brown</t>
        </is>
      </c>
      <c r="K671" s="24" t="n"/>
      <c r="L671" s="36" t="n">
        <v>8.5</v>
      </c>
      <c r="M671" s="204" t="n">
        <v>21</v>
      </c>
      <c r="N671" s="177" t="n">
        <v>20</v>
      </c>
      <c r="O671" s="13" t="n"/>
      <c r="P671" s="139" t="inlineStr">
        <is>
          <t>grams</t>
        </is>
      </c>
      <c r="Q671" s="2" t="n"/>
      <c r="R671" s="1" t="n"/>
      <c r="S671" s="229">
        <f>M671*N671</f>
        <v/>
      </c>
      <c r="T671" s="230">
        <f>CONCATENATE(S671,Q671,P671)</f>
        <v/>
      </c>
      <c r="U671" s="206">
        <f>L671*M671</f>
        <v/>
      </c>
      <c r="V671" s="4" t="n"/>
      <c r="W671" s="4" t="n"/>
      <c r="X671" s="4" t="n"/>
    </row>
    <row r="672" ht="15.75" customHeight="1" thickBot="1">
      <c r="A672" s="186" t="n">
        <v>454</v>
      </c>
      <c r="B672" s="214" t="inlineStr">
        <is>
          <t>3in1 Coffee</t>
        </is>
      </c>
      <c r="C672" s="124" t="n"/>
      <c r="D672" s="115" t="n"/>
      <c r="E672" s="124" t="n"/>
      <c r="F672" s="124" t="n"/>
      <c r="G672" s="124" t="n"/>
      <c r="H672" s="84" t="n"/>
      <c r="I672" s="7" t="n"/>
      <c r="J672" s="32" t="inlineStr">
        <is>
          <t>Kopiko - Brown</t>
        </is>
      </c>
      <c r="K672" s="24" t="n"/>
      <c r="L672" s="36" t="n">
        <v>7.7</v>
      </c>
      <c r="M672" s="204" t="n">
        <v>15</v>
      </c>
      <c r="N672" s="177" t="n">
        <v>26</v>
      </c>
      <c r="O672" s="13" t="n"/>
      <c r="P672" s="139" t="inlineStr">
        <is>
          <t>grams</t>
        </is>
      </c>
      <c r="Q672" s="2" t="n"/>
      <c r="R672" s="1" t="n"/>
      <c r="S672" s="229">
        <f>M672*N672</f>
        <v/>
      </c>
      <c r="T672" s="230">
        <f>CONCATENATE(S672,Q672,P672)</f>
        <v/>
      </c>
      <c r="U672" s="206">
        <f>L672*M672</f>
        <v/>
      </c>
      <c r="V672" s="4" t="n"/>
      <c r="W672" s="4" t="n"/>
      <c r="X672" s="4" t="n"/>
    </row>
    <row r="673" ht="15.75" customHeight="1" thickBot="1">
      <c r="A673" s="186" t="n">
        <v>454</v>
      </c>
      <c r="B673" s="214" t="inlineStr">
        <is>
          <t>3in1 Coffee</t>
        </is>
      </c>
      <c r="C673" s="124" t="n"/>
      <c r="D673" s="115" t="n"/>
      <c r="E673" s="124" t="n"/>
      <c r="F673" s="124" t="n"/>
      <c r="G673" s="124" t="n"/>
      <c r="H673" s="84" t="n"/>
      <c r="I673" s="7" t="n"/>
      <c r="J673" s="32" t="inlineStr">
        <is>
          <t>Kopiko - Blanca</t>
        </is>
      </c>
      <c r="K673" s="24" t="n"/>
      <c r="L673" s="36" t="n">
        <v>7.7</v>
      </c>
      <c r="M673" s="204" t="n">
        <v>18</v>
      </c>
      <c r="N673" s="177" t="n">
        <v>30</v>
      </c>
      <c r="O673" s="13" t="n"/>
      <c r="P673" s="139" t="inlineStr">
        <is>
          <t>grams</t>
        </is>
      </c>
      <c r="Q673" s="2" t="n"/>
      <c r="R673" s="1" t="n"/>
      <c r="S673" s="229">
        <f>M673*N673</f>
        <v/>
      </c>
      <c r="T673" s="230">
        <f>CONCATENATE(S673,Q673,P673)</f>
        <v/>
      </c>
      <c r="U673" s="206">
        <f>L673*M673</f>
        <v/>
      </c>
      <c r="V673" s="4" t="n"/>
      <c r="W673" s="4" t="n"/>
      <c r="X673" s="4" t="n"/>
    </row>
    <row r="674" ht="15.75" customHeight="1" thickBot="1">
      <c r="A674" s="186" t="n">
        <v>454</v>
      </c>
      <c r="B674" s="214" t="inlineStr">
        <is>
          <t>3in1 Coffee</t>
        </is>
      </c>
      <c r="C674" s="124" t="n"/>
      <c r="D674" s="115" t="n"/>
      <c r="E674" s="124" t="n"/>
      <c r="F674" s="124" t="n"/>
      <c r="G674" s="124" t="n"/>
      <c r="H674" s="84" t="n"/>
      <c r="I674" s="7" t="n"/>
      <c r="J674" s="32" t="inlineStr">
        <is>
          <t>Kopiko - Blanca</t>
        </is>
      </c>
      <c r="K674" s="24" t="n"/>
      <c r="L674" s="36" t="n">
        <v>7.7</v>
      </c>
      <c r="M674" s="204" t="n">
        <v>10</v>
      </c>
      <c r="N674" s="177" t="n">
        <v>30</v>
      </c>
      <c r="O674" s="13" t="n"/>
      <c r="P674" s="139" t="inlineStr">
        <is>
          <t>grams</t>
        </is>
      </c>
      <c r="Q674" s="2" t="n"/>
      <c r="R674" s="1" t="n"/>
      <c r="S674" s="229">
        <f>M674*N674</f>
        <v/>
      </c>
      <c r="T674" s="230">
        <f>CONCATENATE(S674,Q674,P674)</f>
        <v/>
      </c>
      <c r="U674" s="206">
        <f>L674*M674</f>
        <v/>
      </c>
      <c r="V674" s="4" t="n"/>
      <c r="W674" s="4" t="n"/>
      <c r="X674" s="4" t="n"/>
    </row>
    <row r="675" ht="15.75" customHeight="1" thickBot="1">
      <c r="A675" s="186" t="n">
        <v>454</v>
      </c>
      <c r="B675" s="214" t="inlineStr">
        <is>
          <t>3in1 Coffee</t>
        </is>
      </c>
      <c r="C675" s="124" t="n"/>
      <c r="D675" s="115" t="n"/>
      <c r="E675" s="124" t="n"/>
      <c r="F675" s="124" t="n"/>
      <c r="G675" s="124" t="n"/>
      <c r="H675" s="84" t="n"/>
      <c r="I675" s="7" t="n"/>
      <c r="J675" s="32" t="inlineStr">
        <is>
          <t>Kopiko - Brown</t>
        </is>
      </c>
      <c r="K675" s="24" t="n"/>
      <c r="L675" s="36" t="n">
        <v>7.74</v>
      </c>
      <c r="M675" s="204" t="n">
        <v>8</v>
      </c>
      <c r="N675" s="177" t="n">
        <v>28</v>
      </c>
      <c r="O675" s="13" t="n"/>
      <c r="P675" s="139" t="inlineStr">
        <is>
          <t>grams</t>
        </is>
      </c>
      <c r="Q675" s="2" t="n"/>
      <c r="R675" s="1" t="n"/>
      <c r="S675" s="229">
        <f>M675*N675</f>
        <v/>
      </c>
      <c r="T675" s="230">
        <f>CONCATENATE(S675,Q675,P675)</f>
        <v/>
      </c>
      <c r="U675" s="206">
        <f>L675*M675</f>
        <v/>
      </c>
      <c r="V675" s="4" t="n"/>
      <c r="W675" s="4" t="n"/>
      <c r="X675" s="4" t="n"/>
    </row>
    <row r="676" ht="15.75" customHeight="1" thickBot="1">
      <c r="A676" s="186" t="n">
        <v>454</v>
      </c>
      <c r="B676" s="214" t="inlineStr">
        <is>
          <t>3in1 Coffee</t>
        </is>
      </c>
      <c r="C676" s="124" t="n"/>
      <c r="D676" s="115" t="n"/>
      <c r="E676" s="124" t="n"/>
      <c r="F676" s="124" t="n"/>
      <c r="G676" s="124" t="n"/>
      <c r="H676" s="84" t="n"/>
      <c r="I676" s="7" t="n"/>
      <c r="J676" s="32" t="inlineStr">
        <is>
          <t>Kopiko - L.A. Coffee</t>
        </is>
      </c>
      <c r="K676" s="24" t="n"/>
      <c r="L676" s="36" t="n">
        <v>8.699999999999999</v>
      </c>
      <c r="M676" s="204" t="n">
        <v>5</v>
      </c>
      <c r="N676" s="177" t="n">
        <v>25</v>
      </c>
      <c r="O676" s="13" t="n"/>
      <c r="P676" s="139" t="inlineStr">
        <is>
          <t>grams</t>
        </is>
      </c>
      <c r="Q676" s="2" t="n"/>
      <c r="R676" s="1" t="n"/>
      <c r="S676" s="229">
        <f>M676*N676</f>
        <v/>
      </c>
      <c r="T676" s="230">
        <f>CONCATENATE(S676,Q676,P676)</f>
        <v/>
      </c>
      <c r="U676" s="206">
        <f>L676*M676</f>
        <v/>
      </c>
      <c r="V676" s="4" t="n"/>
      <c r="W676" s="4" t="n"/>
      <c r="X676" s="4" t="n"/>
    </row>
    <row r="677" ht="15.75" customHeight="1" thickBot="1">
      <c r="A677" s="186" t="n">
        <v>454</v>
      </c>
      <c r="B677" s="214" t="inlineStr">
        <is>
          <t>3in1 Coffee</t>
        </is>
      </c>
      <c r="C677" s="124" t="n"/>
      <c r="D677" s="115" t="n"/>
      <c r="E677" s="124" t="n"/>
      <c r="F677" s="124" t="n"/>
      <c r="G677" s="124" t="n"/>
      <c r="H677" s="84" t="n"/>
      <c r="I677" s="7" t="n"/>
      <c r="J677" s="32" t="inlineStr">
        <is>
          <t>Kopiko - L.A. Coffee</t>
        </is>
      </c>
      <c r="K677" s="24" t="n"/>
      <c r="L677" s="36" t="n">
        <v>7.7</v>
      </c>
      <c r="M677" s="204" t="n">
        <v>2</v>
      </c>
      <c r="N677" s="177" t="n">
        <v>30</v>
      </c>
      <c r="O677" s="13" t="n"/>
      <c r="P677" s="139" t="inlineStr">
        <is>
          <t>grams</t>
        </is>
      </c>
      <c r="Q677" s="2" t="n"/>
      <c r="R677" s="1" t="n"/>
      <c r="S677" s="229">
        <f>M677*N677</f>
        <v/>
      </c>
      <c r="T677" s="230">
        <f>CONCATENATE(S677,Q677,P677)</f>
        <v/>
      </c>
      <c r="U677" s="206">
        <f>L677*M677</f>
        <v/>
      </c>
      <c r="V677" s="4" t="n"/>
      <c r="W677" s="4" t="n"/>
      <c r="X677" s="4" t="n"/>
    </row>
    <row r="678" ht="15.75" customHeight="1" thickBot="1">
      <c r="A678" s="186" t="n">
        <v>454</v>
      </c>
      <c r="B678" s="214" t="inlineStr">
        <is>
          <t>3in1 Coffee</t>
        </is>
      </c>
      <c r="C678" s="124" t="n"/>
      <c r="D678" s="115" t="n"/>
      <c r="E678" s="124" t="n"/>
      <c r="F678" s="124" t="n"/>
      <c r="G678" s="124" t="n"/>
      <c r="H678" s="84" t="n"/>
      <c r="I678" s="7" t="n"/>
      <c r="J678" s="32" t="inlineStr">
        <is>
          <t>Nestle - Nescafe Original</t>
        </is>
      </c>
      <c r="K678" s="24" t="n"/>
      <c r="L678" s="36" t="n">
        <v>7.65</v>
      </c>
      <c r="M678" s="204" t="n">
        <v>763</v>
      </c>
      <c r="N678" s="177" t="n">
        <v>26</v>
      </c>
      <c r="O678" s="13" t="n"/>
      <c r="P678" s="139" t="inlineStr">
        <is>
          <t>grams</t>
        </is>
      </c>
      <c r="Q678" s="2" t="n"/>
      <c r="R678" s="1" t="n"/>
      <c r="S678" s="229">
        <f>M678*N678</f>
        <v/>
      </c>
      <c r="T678" s="230">
        <f>CONCATENATE(S678,Q678,P678)</f>
        <v/>
      </c>
      <c r="U678" s="206">
        <f>L678*M678</f>
        <v/>
      </c>
      <c r="V678" s="4" t="n"/>
      <c r="W678" s="4" t="n"/>
      <c r="X678" s="4" t="n"/>
    </row>
    <row r="679" ht="15.75" customHeight="1" thickBot="1">
      <c r="A679" s="186" t="n">
        <v>454</v>
      </c>
      <c r="B679" s="214" t="inlineStr">
        <is>
          <t>3in1 Coffee</t>
        </is>
      </c>
      <c r="C679" s="124" t="n"/>
      <c r="D679" s="115" t="n"/>
      <c r="E679" s="124" t="n"/>
      <c r="F679" s="124" t="n"/>
      <c r="G679" s="124" t="n"/>
      <c r="H679" s="84" t="n"/>
      <c r="I679" s="7" t="n"/>
      <c r="J679" s="32" t="inlineStr">
        <is>
          <t>Nestle - Nescafe Creamy White</t>
        </is>
      </c>
      <c r="K679" s="24" t="n"/>
      <c r="L679" s="36" t="n">
        <v>13.9</v>
      </c>
      <c r="M679" s="204" t="n">
        <v>34</v>
      </c>
      <c r="N679" s="177" t="n">
        <v>52</v>
      </c>
      <c r="O679" s="13" t="n"/>
      <c r="P679" s="139" t="inlineStr">
        <is>
          <t>grams</t>
        </is>
      </c>
      <c r="Q679" s="2" t="n"/>
      <c r="R679" s="1" t="n"/>
      <c r="S679" s="229">
        <f>M679*N679</f>
        <v/>
      </c>
      <c r="T679" s="230">
        <f>CONCATENATE(S679,Q679,P679)</f>
        <v/>
      </c>
      <c r="U679" s="206">
        <f>L679*M679</f>
        <v/>
      </c>
      <c r="V679" s="4" t="n"/>
      <c r="W679" s="4" t="n"/>
      <c r="X679" s="4" t="n"/>
    </row>
    <row r="680" ht="15.75" customHeight="1" thickBot="1">
      <c r="A680" s="186" t="n">
        <v>454</v>
      </c>
      <c r="B680" s="214" t="inlineStr">
        <is>
          <t>3in1 Coffee</t>
        </is>
      </c>
      <c r="C680" s="124" t="n"/>
      <c r="D680" s="115" t="n"/>
      <c r="E680" s="124" t="n"/>
      <c r="F680" s="124" t="n"/>
      <c r="G680" s="124" t="n"/>
      <c r="H680" s="84" t="n"/>
      <c r="I680" s="7" t="n"/>
      <c r="J680" s="32" t="inlineStr">
        <is>
          <t>Nestle - Nescafe Creamy White</t>
        </is>
      </c>
      <c r="K680" s="24" t="n"/>
      <c r="L680" s="36" t="n">
        <v>8.6</v>
      </c>
      <c r="M680" s="204" t="n">
        <v>493</v>
      </c>
      <c r="N680" s="177" t="n">
        <v>26</v>
      </c>
      <c r="O680" s="13" t="n"/>
      <c r="P680" s="139" t="inlineStr">
        <is>
          <t>grams</t>
        </is>
      </c>
      <c r="Q680" s="2" t="n"/>
      <c r="R680" s="1" t="n"/>
      <c r="S680" s="229">
        <f>M680*N680</f>
        <v/>
      </c>
      <c r="T680" s="230">
        <f>CONCATENATE(S680,Q680,P680)</f>
        <v/>
      </c>
      <c r="U680" s="206">
        <f>L680*M680</f>
        <v/>
      </c>
      <c r="V680" s="4" t="n"/>
      <c r="W680" s="4" t="n"/>
      <c r="X680" s="4" t="n"/>
    </row>
    <row r="681" ht="15.75" customHeight="1" thickBot="1">
      <c r="A681" s="186" t="n">
        <v>454</v>
      </c>
      <c r="B681" s="214" t="inlineStr">
        <is>
          <t>3in1 Coffee</t>
        </is>
      </c>
      <c r="C681" s="124" t="n"/>
      <c r="D681" s="115" t="n"/>
      <c r="E681" s="124" t="n"/>
      <c r="F681" s="124" t="n"/>
      <c r="G681" s="124" t="n"/>
      <c r="H681" s="84" t="n"/>
      <c r="I681" s="7" t="n"/>
      <c r="J681" s="32" t="inlineStr">
        <is>
          <t>Nestle - Nescafe Creamy White</t>
        </is>
      </c>
      <c r="K681" s="24" t="n"/>
      <c r="L681" s="36" t="n">
        <v>8.51</v>
      </c>
      <c r="M681" s="204" t="n">
        <v>7</v>
      </c>
      <c r="N681" s="177" t="n">
        <v>20</v>
      </c>
      <c r="O681" s="13" t="n"/>
      <c r="P681" s="139" t="inlineStr">
        <is>
          <t>grams</t>
        </is>
      </c>
      <c r="Q681" s="2" t="n"/>
      <c r="R681" s="1" t="n"/>
      <c r="S681" s="229">
        <f>M681*N681</f>
        <v/>
      </c>
      <c r="T681" s="230">
        <f>CONCATENATE(S681,Q681,P681)</f>
        <v/>
      </c>
      <c r="U681" s="206">
        <f>L681*M681</f>
        <v/>
      </c>
      <c r="V681" s="4" t="n"/>
      <c r="W681" s="4" t="n"/>
      <c r="X681" s="4" t="n"/>
    </row>
    <row r="682" ht="15.75" customHeight="1" thickBot="1">
      <c r="A682" s="186" t="n">
        <v>454</v>
      </c>
      <c r="B682" s="214" t="inlineStr">
        <is>
          <t>3in1 Coffee</t>
        </is>
      </c>
      <c r="C682" s="124" t="n"/>
      <c r="D682" s="115" t="n"/>
      <c r="E682" s="124" t="n"/>
      <c r="F682" s="124" t="n"/>
      <c r="G682" s="124" t="n"/>
      <c r="H682" s="84" t="n"/>
      <c r="I682" s="7" t="n"/>
      <c r="J682" s="32" t="inlineStr">
        <is>
          <t>Nestle - Nescafe Creamy White</t>
        </is>
      </c>
      <c r="K682" s="24" t="n"/>
      <c r="L682" s="36" t="n">
        <v>8.6</v>
      </c>
      <c r="M682" s="204" t="n">
        <v>27</v>
      </c>
      <c r="N682" s="177" t="n">
        <v>20</v>
      </c>
      <c r="O682" s="13" t="n"/>
      <c r="P682" s="139" t="inlineStr">
        <is>
          <t>grams</t>
        </is>
      </c>
      <c r="Q682" s="2" t="n"/>
      <c r="R682" s="1" t="n"/>
      <c r="S682" s="229">
        <f>M682*N682</f>
        <v/>
      </c>
      <c r="T682" s="230">
        <f>CONCATENATE(S682,Q682,P682)</f>
        <v/>
      </c>
      <c r="U682" s="206">
        <f>L682*M682</f>
        <v/>
      </c>
      <c r="V682" s="4" t="n"/>
      <c r="W682" s="4" t="n"/>
      <c r="X682" s="4" t="n"/>
    </row>
    <row r="683" ht="15.75" customHeight="1" thickBot="1">
      <c r="A683" s="186" t="n">
        <v>454</v>
      </c>
      <c r="B683" s="214" t="inlineStr">
        <is>
          <t>3in1 Coffee</t>
        </is>
      </c>
      <c r="C683" s="124" t="n"/>
      <c r="D683" s="115" t="n"/>
      <c r="E683" s="124" t="n"/>
      <c r="F683" s="124" t="n"/>
      <c r="G683" s="124" t="n"/>
      <c r="H683" s="84" t="n"/>
      <c r="I683" s="7" t="n"/>
      <c r="J683" s="32" t="inlineStr">
        <is>
          <t>Nestle - Nescafe Creamylatte</t>
        </is>
      </c>
      <c r="K683" s="24" t="n"/>
      <c r="L683" s="36" t="n">
        <v>13.9</v>
      </c>
      <c r="M683" s="204" t="n">
        <v>62</v>
      </c>
      <c r="N683" s="177" t="n">
        <v>40</v>
      </c>
      <c r="O683" s="13" t="n"/>
      <c r="P683" s="139" t="inlineStr">
        <is>
          <t>grams</t>
        </is>
      </c>
      <c r="Q683" s="2" t="n"/>
      <c r="R683" s="1" t="n"/>
      <c r="S683" s="229">
        <f>M683*N683</f>
        <v/>
      </c>
      <c r="T683" s="230">
        <f>CONCATENATE(S683,Q683,P683)</f>
        <v/>
      </c>
      <c r="U683" s="206">
        <f>L683*M683</f>
        <v/>
      </c>
      <c r="V683" s="4" t="n"/>
      <c r="W683" s="4" t="n"/>
      <c r="X683" s="4" t="n"/>
    </row>
    <row r="684" ht="15.75" customHeight="1" thickBot="1">
      <c r="A684" s="186" t="n">
        <v>454</v>
      </c>
      <c r="B684" s="214" t="inlineStr">
        <is>
          <t>3in1 Coffee</t>
        </is>
      </c>
      <c r="C684" s="124" t="n"/>
      <c r="D684" s="115" t="n"/>
      <c r="E684" s="124" t="n"/>
      <c r="F684" s="124" t="n"/>
      <c r="G684" s="124" t="n"/>
      <c r="H684" s="84" t="n"/>
      <c r="I684" s="7" t="n"/>
      <c r="J684" s="32" t="inlineStr">
        <is>
          <t>Nestle - Nescafe Creamylatte twin</t>
        </is>
      </c>
      <c r="K684" s="24" t="n"/>
      <c r="L684" s="36" t="n">
        <v>12.26</v>
      </c>
      <c r="M684" s="204" t="n">
        <v>255</v>
      </c>
      <c r="N684" s="177" t="n">
        <v>51</v>
      </c>
      <c r="O684" s="13" t="n"/>
      <c r="P684" s="139" t="inlineStr">
        <is>
          <t>grams</t>
        </is>
      </c>
      <c r="Q684" s="2" t="n"/>
      <c r="R684" s="1" t="n"/>
      <c r="S684" s="229">
        <f>M684*N684</f>
        <v/>
      </c>
      <c r="T684" s="230">
        <f>CONCATENATE(S684,Q684,P684)</f>
        <v/>
      </c>
      <c r="U684" s="206">
        <f>L684*M684</f>
        <v/>
      </c>
      <c r="V684" s="4" t="n"/>
      <c r="W684" s="4" t="n"/>
      <c r="X684" s="4" t="n"/>
    </row>
    <row r="685" ht="15.75" customHeight="1" thickBot="1">
      <c r="A685" s="186" t="n">
        <v>454</v>
      </c>
      <c r="B685" s="214" t="inlineStr">
        <is>
          <t>3in1 Coffee</t>
        </is>
      </c>
      <c r="C685" s="124" t="n"/>
      <c r="D685" s="115" t="n"/>
      <c r="E685" s="124" t="n"/>
      <c r="F685" s="124" t="n"/>
      <c r="G685" s="124" t="n"/>
      <c r="H685" s="84" t="n"/>
      <c r="I685" s="7" t="n"/>
      <c r="J685" s="32" t="inlineStr">
        <is>
          <t>Nestle - Nescafe Creamylatte twin</t>
        </is>
      </c>
      <c r="K685" s="24" t="n"/>
      <c r="L685" s="36" t="n">
        <v>8.51</v>
      </c>
      <c r="M685" s="204" t="n">
        <v>15</v>
      </c>
      <c r="N685" s="177" t="n">
        <v>51</v>
      </c>
      <c r="O685" s="13" t="n"/>
      <c r="P685" s="139" t="inlineStr">
        <is>
          <t>grams</t>
        </is>
      </c>
      <c r="Q685" s="2" t="n"/>
      <c r="R685" s="1" t="n"/>
      <c r="S685" s="229">
        <f>M685*N685</f>
        <v/>
      </c>
      <c r="T685" s="230">
        <f>CONCATENATE(S685,Q685,P685)</f>
        <v/>
      </c>
      <c r="U685" s="206">
        <f>L685*M685</f>
        <v/>
      </c>
      <c r="V685" s="4" t="n"/>
      <c r="W685" s="4" t="n"/>
      <c r="X685" s="4" t="n"/>
    </row>
    <row r="686" ht="15.75" customHeight="1" thickBot="1">
      <c r="A686" s="186" t="n">
        <v>454</v>
      </c>
      <c r="B686" s="214" t="inlineStr">
        <is>
          <t>3in1 Coffee</t>
        </is>
      </c>
      <c r="C686" s="124" t="n"/>
      <c r="D686" s="115" t="n"/>
      <c r="E686" s="124" t="n"/>
      <c r="F686" s="124" t="n"/>
      <c r="G686" s="124" t="n"/>
      <c r="H686" s="84" t="n"/>
      <c r="I686" s="7" t="n"/>
      <c r="J686" s="32" t="inlineStr">
        <is>
          <t>Nestle - Nescafe Original</t>
        </is>
      </c>
      <c r="K686" s="24" t="n"/>
      <c r="L686" s="36" t="n">
        <v>7.7</v>
      </c>
      <c r="M686" s="204" t="n">
        <v>30</v>
      </c>
      <c r="N686" s="177" t="n">
        <v>26</v>
      </c>
      <c r="O686" s="13" t="n"/>
      <c r="P686" s="139" t="inlineStr">
        <is>
          <t>grams</t>
        </is>
      </c>
      <c r="Q686" s="2" t="n"/>
      <c r="R686" s="1" t="n"/>
      <c r="S686" s="229">
        <f>M686*N686</f>
        <v/>
      </c>
      <c r="T686" s="230">
        <f>CONCATENATE(S686,Q686,P686)</f>
        <v/>
      </c>
      <c r="U686" s="206">
        <f>L686*M686</f>
        <v/>
      </c>
      <c r="V686" s="4" t="n"/>
      <c r="W686" s="4" t="n"/>
      <c r="X686" s="4" t="n"/>
    </row>
    <row r="687" ht="15.75" customHeight="1" thickBot="1">
      <c r="A687" s="186" t="n">
        <v>454</v>
      </c>
      <c r="B687" s="214" t="inlineStr">
        <is>
          <t>3in1 Coffee</t>
        </is>
      </c>
      <c r="C687" s="124" t="n"/>
      <c r="D687" s="115" t="n"/>
      <c r="E687" s="124" t="n"/>
      <c r="F687" s="124" t="n"/>
      <c r="G687" s="124" t="n"/>
      <c r="H687" s="84" t="n"/>
      <c r="I687" s="7" t="n"/>
      <c r="J687" s="32" t="inlineStr">
        <is>
          <t>Nestle - Nescafe Original</t>
        </is>
      </c>
      <c r="K687" s="24" t="n"/>
      <c r="L687" s="36" t="n">
        <v>7.7</v>
      </c>
      <c r="M687" s="204" t="n">
        <v>126</v>
      </c>
      <c r="N687" s="177" t="n">
        <v>20</v>
      </c>
      <c r="O687" s="13" t="n"/>
      <c r="P687" s="139" t="inlineStr">
        <is>
          <t>grams</t>
        </is>
      </c>
      <c r="Q687" s="2" t="n"/>
      <c r="R687" s="1" t="n"/>
      <c r="S687" s="229">
        <f>M687*N687</f>
        <v/>
      </c>
      <c r="T687" s="230">
        <f>CONCATENATE(S687,Q687,P687)</f>
        <v/>
      </c>
      <c r="U687" s="206">
        <f>L687*M687</f>
        <v/>
      </c>
      <c r="V687" s="4" t="n"/>
      <c r="W687" s="4" t="n"/>
      <c r="X687" s="4" t="n"/>
    </row>
    <row r="688" ht="15.75" customHeight="1" thickBot="1">
      <c r="A688" s="186" t="n">
        <v>454</v>
      </c>
      <c r="B688" s="215" t="inlineStr">
        <is>
          <t>3in1 Coffee</t>
        </is>
      </c>
      <c r="C688" s="124" t="n"/>
      <c r="D688" s="115" t="n"/>
      <c r="E688" s="124" t="n"/>
      <c r="F688" s="124" t="n"/>
      <c r="G688" s="124" t="n"/>
      <c r="H688" s="84" t="n"/>
      <c r="I688" s="7" t="n"/>
      <c r="J688" s="32" t="inlineStr">
        <is>
          <t>San Mig Coffee - Original</t>
        </is>
      </c>
      <c r="K688" s="24" t="n"/>
      <c r="L688" s="36" t="n">
        <v>7.37</v>
      </c>
      <c r="M688" s="204" t="n">
        <v>2</v>
      </c>
      <c r="N688" s="177" t="n">
        <v>1</v>
      </c>
      <c r="O688" s="13" t="n"/>
      <c r="P688" s="139" t="inlineStr">
        <is>
          <t>grams</t>
        </is>
      </c>
      <c r="Q688" s="2" t="n"/>
      <c r="R688" s="1" t="n"/>
      <c r="S688" s="229">
        <f>M688*N688</f>
        <v/>
      </c>
      <c r="T688" s="230">
        <f>CONCATENATE(S688,Q688,P688)</f>
        <v/>
      </c>
      <c r="U688" s="206">
        <f>L688*M688</f>
        <v/>
      </c>
      <c r="V688" s="4" t="n"/>
      <c r="W688" s="4" t="n"/>
      <c r="X688" s="4" t="n"/>
    </row>
    <row r="689" ht="15.75" customHeight="1" thickBot="1">
      <c r="A689" s="186" t="n">
        <v>3</v>
      </c>
      <c r="B689" s="214" t="inlineStr">
        <is>
          <t>Alamang</t>
        </is>
      </c>
      <c r="C689" s="124" t="n"/>
      <c r="D689" s="115" t="n"/>
      <c r="E689" s="124" t="n"/>
      <c r="F689" s="124" t="n"/>
      <c r="G689" s="124" t="n"/>
      <c r="H689" s="84" t="n"/>
      <c r="I689" s="7" t="n"/>
      <c r="J689" s="32" t="n"/>
      <c r="K689" s="24" t="n"/>
      <c r="L689" s="36" t="n">
        <v>60</v>
      </c>
      <c r="M689" s="204" t="n">
        <v>2</v>
      </c>
      <c r="N689" s="177" t="n">
        <v>1</v>
      </c>
      <c r="O689" s="13" t="n"/>
      <c r="P689" s="139" t="inlineStr">
        <is>
          <t>kilos</t>
        </is>
      </c>
      <c r="Q689" s="2" t="n"/>
      <c r="R689" s="1" t="n"/>
      <c r="S689" s="229">
        <f>M689*N689</f>
        <v/>
      </c>
      <c r="T689" s="230">
        <f>CONCATENATE(S689,Q689,P689)</f>
        <v/>
      </c>
      <c r="U689" s="206">
        <f>L689*M689</f>
        <v/>
      </c>
      <c r="V689" s="4" t="n"/>
      <c r="W689" s="4" t="n"/>
      <c r="X689" s="4" t="n"/>
    </row>
    <row r="690" ht="15.75" customHeight="1" thickBot="1">
      <c r="A690" s="186" t="n">
        <v>3</v>
      </c>
      <c r="B690" s="214" t="inlineStr">
        <is>
          <t>Alamang</t>
        </is>
      </c>
      <c r="C690" s="124" t="n"/>
      <c r="D690" s="115" t="n"/>
      <c r="E690" s="124" t="n"/>
      <c r="F690" s="124" t="n"/>
      <c r="G690" s="124" t="n"/>
      <c r="H690" s="84" t="n"/>
      <c r="I690" s="7" t="n"/>
      <c r="J690" s="32" t="n"/>
      <c r="K690" s="24" t="n"/>
      <c r="L690" s="36" t="n">
        <v>60</v>
      </c>
      <c r="M690" s="204" t="n">
        <v>5</v>
      </c>
      <c r="N690" s="177" t="n">
        <v>1</v>
      </c>
      <c r="O690" s="13" t="n"/>
      <c r="P690" s="139" t="inlineStr">
        <is>
          <t>kilos</t>
        </is>
      </c>
      <c r="Q690" s="2" t="n"/>
      <c r="R690" s="1" t="n"/>
      <c r="S690" s="229">
        <f>M690*N690</f>
        <v/>
      </c>
      <c r="T690" s="230">
        <f>CONCATENATE(S690,Q690,P690)</f>
        <v/>
      </c>
      <c r="U690" s="206">
        <f>L690*M690</f>
        <v/>
      </c>
      <c r="V690" s="4" t="n"/>
      <c r="W690" s="4" t="n"/>
      <c r="X690" s="4" t="n"/>
    </row>
    <row r="691" ht="15.75" customHeight="1" thickBot="1">
      <c r="A691" s="186" t="n">
        <v>3</v>
      </c>
      <c r="B691" s="214" t="inlineStr">
        <is>
          <t>Alamang</t>
        </is>
      </c>
      <c r="C691" s="124" t="n"/>
      <c r="D691" s="115" t="n"/>
      <c r="E691" s="124" t="n"/>
      <c r="F691" s="124" t="n"/>
      <c r="G691" s="124" t="n"/>
      <c r="H691" s="84" t="n"/>
      <c r="I691" s="7" t="n"/>
      <c r="J691" s="32" t="n"/>
      <c r="K691" s="24" t="n"/>
      <c r="L691" s="36" t="n">
        <v>90</v>
      </c>
      <c r="M691" s="204" t="n">
        <v>1</v>
      </c>
      <c r="N691" s="177" t="n">
        <v>1</v>
      </c>
      <c r="O691" s="13" t="n"/>
      <c r="P691" s="139" t="inlineStr">
        <is>
          <t>kilos</t>
        </is>
      </c>
      <c r="Q691" s="2" t="n"/>
      <c r="R691" s="1" t="n"/>
      <c r="S691" s="229">
        <f>M691*N691</f>
        <v/>
      </c>
      <c r="T691" s="230">
        <f>CONCATENATE(S691,Q691,P691)</f>
        <v/>
      </c>
      <c r="U691" s="206">
        <f>L691*M691</f>
        <v/>
      </c>
      <c r="V691" s="4" t="n"/>
      <c r="W691" s="4" t="n"/>
      <c r="X691" s="4" t="n"/>
    </row>
    <row r="692" ht="15.75" customHeight="1" thickBot="1">
      <c r="A692" s="186" t="n">
        <v>5</v>
      </c>
      <c r="B692" s="214" t="inlineStr">
        <is>
          <t>All Purpose Cream</t>
        </is>
      </c>
      <c r="C692" s="124" t="n"/>
      <c r="D692" s="115" t="n"/>
      <c r="E692" s="124" t="n"/>
      <c r="F692" s="124" t="n"/>
      <c r="G692" s="124" t="n"/>
      <c r="H692" s="84" t="n"/>
      <c r="I692" s="7" t="n"/>
      <c r="J692" s="32" t="inlineStr">
        <is>
          <t>Nestle</t>
        </is>
      </c>
      <c r="K692" s="24" t="n"/>
      <c r="L692" s="36" t="n">
        <v>69.8</v>
      </c>
      <c r="M692" s="204" t="n">
        <v>7</v>
      </c>
      <c r="N692" s="177" t="n">
        <v>250</v>
      </c>
      <c r="O692" s="13" t="n"/>
      <c r="P692" s="139" t="inlineStr">
        <is>
          <t>ml</t>
        </is>
      </c>
      <c r="Q692" s="2" t="n"/>
      <c r="R692" s="1" t="n"/>
      <c r="S692" s="229">
        <f>M692*N692</f>
        <v/>
      </c>
      <c r="T692" s="230">
        <f>CONCATENATE(S692,Q692,P692)</f>
        <v/>
      </c>
      <c r="U692" s="206">
        <f>L692*M692</f>
        <v/>
      </c>
      <c r="V692" s="4" t="n"/>
      <c r="W692" s="4" t="n"/>
      <c r="X692" s="4" t="n"/>
    </row>
    <row r="693" ht="15.75" customHeight="1" thickBot="1">
      <c r="A693" s="186" t="n">
        <v>5</v>
      </c>
      <c r="B693" s="214" t="inlineStr">
        <is>
          <t>All Purpose Cream</t>
        </is>
      </c>
      <c r="C693" s="124" t="n"/>
      <c r="D693" s="115" t="n"/>
      <c r="E693" s="124" t="n"/>
      <c r="F693" s="124" t="n"/>
      <c r="G693" s="124" t="n"/>
      <c r="H693" s="84" t="n"/>
      <c r="I693" s="7" t="n"/>
      <c r="J693" s="32" t="inlineStr">
        <is>
          <t>Alaska</t>
        </is>
      </c>
      <c r="K693" s="24" t="n"/>
      <c r="L693" s="36" t="n">
        <v>42.7</v>
      </c>
      <c r="M693" s="204" t="n">
        <v>13</v>
      </c>
      <c r="N693" s="177" t="n">
        <v>250</v>
      </c>
      <c r="O693" s="13" t="n"/>
      <c r="P693" s="139" t="inlineStr">
        <is>
          <t>ml</t>
        </is>
      </c>
      <c r="Q693" s="2" t="n"/>
      <c r="R693" s="1" t="n"/>
      <c r="S693" s="229">
        <f>M693*N693</f>
        <v/>
      </c>
      <c r="T693" s="230">
        <f>CONCATENATE(S693,Q693,P693)</f>
        <v/>
      </c>
      <c r="U693" s="206">
        <f>L693*M693</f>
        <v/>
      </c>
      <c r="V693" s="4" t="n"/>
      <c r="W693" s="4" t="n"/>
      <c r="X693" s="4" t="n"/>
    </row>
    <row r="694" ht="15.75" customHeight="1" thickBot="1">
      <c r="A694" s="186" t="n">
        <v>5</v>
      </c>
      <c r="B694" s="214" t="inlineStr">
        <is>
          <t>All Purpose Cream</t>
        </is>
      </c>
      <c r="C694" s="124" t="n"/>
      <c r="D694" s="115" t="n"/>
      <c r="E694" s="124" t="n"/>
      <c r="F694" s="124" t="n"/>
      <c r="G694" s="124" t="n"/>
      <c r="H694" s="84" t="n"/>
      <c r="I694" s="7" t="n"/>
      <c r="J694" s="32" t="inlineStr">
        <is>
          <t>Nestle</t>
        </is>
      </c>
      <c r="K694" s="24" t="n"/>
      <c r="L694" s="36" t="n">
        <v>61.88</v>
      </c>
      <c r="M694" s="204" t="n">
        <v>2</v>
      </c>
      <c r="N694" s="177" t="n">
        <v>250</v>
      </c>
      <c r="O694" s="13" t="n"/>
      <c r="P694" s="139" t="inlineStr">
        <is>
          <t>ml</t>
        </is>
      </c>
      <c r="Q694" s="2" t="n"/>
      <c r="R694" s="1" t="n"/>
      <c r="S694" s="229">
        <f>M694*N694</f>
        <v/>
      </c>
      <c r="T694" s="230">
        <f>CONCATENATE(S694,Q694,P694)</f>
        <v/>
      </c>
      <c r="U694" s="206">
        <f>L694*M694</f>
        <v/>
      </c>
      <c r="V694" s="4" t="n"/>
      <c r="W694" s="4" t="n"/>
      <c r="X694" s="4" t="n"/>
    </row>
    <row r="695" ht="15.75" customHeight="1" thickBot="1">
      <c r="A695" s="186" t="n">
        <v>5</v>
      </c>
      <c r="B695" s="214" t="inlineStr">
        <is>
          <t>All Purpose Cream</t>
        </is>
      </c>
      <c r="C695" s="124" t="n"/>
      <c r="D695" s="115" t="n"/>
      <c r="E695" s="124" t="n"/>
      <c r="F695" s="124" t="n"/>
      <c r="G695" s="124" t="n"/>
      <c r="H695" s="84" t="n"/>
      <c r="I695" s="7" t="n"/>
      <c r="J695" s="32" t="inlineStr">
        <is>
          <t>Nestle</t>
        </is>
      </c>
      <c r="K695" s="24" t="n"/>
      <c r="L695" s="36" t="n">
        <v>68.90000000000001</v>
      </c>
      <c r="M695" s="204" t="n">
        <v>49</v>
      </c>
      <c r="N695" s="177" t="n">
        <v>250</v>
      </c>
      <c r="O695" s="13" t="n"/>
      <c r="P695" s="139" t="inlineStr">
        <is>
          <t>ml</t>
        </is>
      </c>
      <c r="Q695" s="2" t="n"/>
      <c r="R695" s="1" t="n"/>
      <c r="S695" s="229">
        <f>M695*N695</f>
        <v/>
      </c>
      <c r="T695" s="230">
        <f>CONCATENATE(S695,Q695,P695)</f>
        <v/>
      </c>
      <c r="U695" s="206">
        <f>L695*M695</f>
        <v/>
      </c>
      <c r="V695" s="4" t="n"/>
      <c r="W695" s="4" t="n"/>
      <c r="X695" s="4" t="n"/>
    </row>
    <row r="696" ht="15.75" customHeight="1" thickBot="1">
      <c r="A696" s="186" t="n">
        <v>5</v>
      </c>
      <c r="B696" s="214" t="inlineStr">
        <is>
          <t>All Purpose Cream</t>
        </is>
      </c>
      <c r="C696" s="124" t="n"/>
      <c r="D696" s="115" t="n"/>
      <c r="E696" s="124" t="n"/>
      <c r="F696" s="124" t="n"/>
      <c r="G696" s="124" t="n"/>
      <c r="H696" s="84" t="n"/>
      <c r="I696" s="7" t="n"/>
      <c r="J696" s="32" t="inlineStr">
        <is>
          <t>Nestle</t>
        </is>
      </c>
      <c r="K696" s="24" t="n"/>
      <c r="L696" s="36" t="n">
        <v>69.8</v>
      </c>
      <c r="M696" s="204" t="n">
        <v>36</v>
      </c>
      <c r="N696" s="177" t="n">
        <v>250</v>
      </c>
      <c r="O696" s="13" t="n"/>
      <c r="P696" s="139" t="inlineStr">
        <is>
          <t>ml</t>
        </is>
      </c>
      <c r="Q696" s="2" t="n"/>
      <c r="R696" s="1" t="n"/>
      <c r="S696" s="229">
        <f>M696*N696</f>
        <v/>
      </c>
      <c r="T696" s="230">
        <f>CONCATENATE(S696,Q696,P696)</f>
        <v/>
      </c>
      <c r="U696" s="206">
        <f>L696*M696</f>
        <v/>
      </c>
      <c r="V696" s="4" t="n"/>
      <c r="W696" s="4" t="n"/>
      <c r="X696" s="4" t="n"/>
    </row>
    <row r="697" ht="15.75" customHeight="1" thickBot="1">
      <c r="A697" s="186" t="n">
        <v>5</v>
      </c>
      <c r="B697" s="215" t="inlineStr">
        <is>
          <t>All Purpose Cream</t>
        </is>
      </c>
      <c r="C697" s="124" t="n"/>
      <c r="D697" s="115" t="n"/>
      <c r="E697" s="124" t="n"/>
      <c r="F697" s="124" t="n"/>
      <c r="G697" s="124" t="n"/>
      <c r="H697" s="84" t="n"/>
      <c r="I697" s="7" t="n"/>
      <c r="J697" s="32" t="inlineStr">
        <is>
          <t>Nestle</t>
        </is>
      </c>
      <c r="K697" s="24" t="n"/>
      <c r="L697" s="36" t="n">
        <v>63.5</v>
      </c>
      <c r="M697" s="204" t="n">
        <v>3</v>
      </c>
      <c r="N697" s="177" t="n">
        <v>250</v>
      </c>
      <c r="O697" s="13" t="n"/>
      <c r="P697" s="139" t="inlineStr">
        <is>
          <t>ml</t>
        </is>
      </c>
      <c r="Q697" s="2" t="n"/>
      <c r="R697" s="1" t="n"/>
      <c r="S697" s="229">
        <f>M697*N697</f>
        <v/>
      </c>
      <c r="T697" s="230">
        <f>CONCATENATE(S697,Q697,P697)</f>
        <v/>
      </c>
      <c r="U697" s="206">
        <f>L697*M697</f>
        <v/>
      </c>
      <c r="V697" s="4" t="n"/>
      <c r="W697" s="4" t="n"/>
      <c r="X697" s="4" t="n"/>
    </row>
    <row r="698" ht="15.75" customHeight="1" thickBot="1">
      <c r="A698" s="186" t="n">
        <v>5</v>
      </c>
      <c r="B698" s="214" t="inlineStr">
        <is>
          <t>All Purpose Cream</t>
        </is>
      </c>
      <c r="C698" s="124" t="n"/>
      <c r="D698" s="115" t="n"/>
      <c r="E698" s="124" t="n"/>
      <c r="F698" s="124" t="n"/>
      <c r="G698" s="124" t="n"/>
      <c r="H698" s="84" t="n"/>
      <c r="I698" s="7" t="n"/>
      <c r="J698" s="32" t="inlineStr">
        <is>
          <t>Angel</t>
        </is>
      </c>
      <c r="K698" s="24" t="n"/>
      <c r="L698" s="36" t="n">
        <v>47.6</v>
      </c>
      <c r="M698" s="204" t="n">
        <v>7</v>
      </c>
      <c r="N698" s="177" t="n">
        <v>250</v>
      </c>
      <c r="O698" s="13" t="n"/>
      <c r="P698" s="139" t="inlineStr">
        <is>
          <t>ml</t>
        </is>
      </c>
      <c r="Q698" s="2" t="n"/>
      <c r="R698" s="1" t="n"/>
      <c r="S698" s="229">
        <f>M698*N698</f>
        <v/>
      </c>
      <c r="T698" s="230">
        <f>CONCATENATE(S698,Q698,P698)</f>
        <v/>
      </c>
      <c r="U698" s="206">
        <f>L698*M698</f>
        <v/>
      </c>
      <c r="V698" s="4" t="n"/>
      <c r="W698" s="4" t="n"/>
      <c r="X698" s="4" t="n"/>
    </row>
    <row r="699" ht="15.75" customHeight="1" thickBot="1">
      <c r="A699" s="186" t="n">
        <v>6</v>
      </c>
      <c r="B699" s="214" t="inlineStr">
        <is>
          <t>All Purpose Dressing</t>
        </is>
      </c>
      <c r="C699" s="124" t="n"/>
      <c r="D699" s="115" t="n"/>
      <c r="E699" s="124" t="n"/>
      <c r="F699" s="124" t="n"/>
      <c r="G699" s="124" t="n"/>
      <c r="H699" s="84" t="n"/>
      <c r="I699" s="7" t="n"/>
      <c r="J699" s="32" t="inlineStr">
        <is>
          <t>Best Foods</t>
        </is>
      </c>
      <c r="K699" s="24" t="n"/>
      <c r="L699" s="36" t="n">
        <v>420.6</v>
      </c>
      <c r="M699" s="204" t="n">
        <v>2</v>
      </c>
      <c r="N699" s="177" t="n">
        <v>3500</v>
      </c>
      <c r="O699" s="13" t="n"/>
      <c r="P699" s="139" t="inlineStr">
        <is>
          <t>ml</t>
        </is>
      </c>
      <c r="Q699" s="2" t="n"/>
      <c r="R699" s="1" t="n"/>
      <c r="S699" s="229">
        <f>M699*N699</f>
        <v/>
      </c>
      <c r="T699" s="230">
        <f>CONCATENATE(S699,Q699,P699)</f>
        <v/>
      </c>
      <c r="U699" s="206">
        <f>L699*M699</f>
        <v/>
      </c>
      <c r="V699" s="4" t="n"/>
      <c r="W699" s="4" t="n"/>
      <c r="X699" s="4" t="n"/>
    </row>
    <row r="700" ht="15.75" customHeight="1" thickBot="1">
      <c r="A700" s="186" t="n">
        <v>6</v>
      </c>
      <c r="B700" s="214" t="inlineStr">
        <is>
          <t>All Purpose Dressing</t>
        </is>
      </c>
      <c r="C700" s="124" t="n"/>
      <c r="D700" s="115" t="n"/>
      <c r="E700" s="124" t="n"/>
      <c r="F700" s="124" t="n"/>
      <c r="G700" s="124" t="n"/>
      <c r="H700" s="84" t="n"/>
      <c r="I700" s="7" t="n"/>
      <c r="J700" s="32" t="inlineStr">
        <is>
          <t>Best Foods</t>
        </is>
      </c>
      <c r="K700" s="24" t="n"/>
      <c r="L700" s="36" t="n">
        <v>420.6</v>
      </c>
      <c r="M700" s="204" t="n">
        <v>1</v>
      </c>
      <c r="N700" s="177" t="n">
        <v>3500</v>
      </c>
      <c r="O700" s="13" t="n"/>
      <c r="P700" s="139" t="inlineStr">
        <is>
          <t>ml</t>
        </is>
      </c>
      <c r="Q700" s="2" t="n"/>
      <c r="R700" s="1" t="n"/>
      <c r="S700" s="229">
        <f>M700*N700</f>
        <v/>
      </c>
      <c r="T700" s="230">
        <f>CONCATENATE(S700,Q700,P700)</f>
        <v/>
      </c>
      <c r="U700" s="206">
        <f>L700*M700</f>
        <v/>
      </c>
      <c r="V700" s="4" t="n"/>
      <c r="W700" s="4" t="n"/>
      <c r="X700" s="4" t="n"/>
    </row>
    <row r="701" ht="15.75" customHeight="1" thickBot="1">
      <c r="A701" s="186" t="n">
        <v>6</v>
      </c>
      <c r="B701" s="214" t="inlineStr">
        <is>
          <t>All Purpose Dressing</t>
        </is>
      </c>
      <c r="C701" s="124" t="n"/>
      <c r="D701" s="115" t="n"/>
      <c r="E701" s="124" t="n"/>
      <c r="F701" s="124" t="n"/>
      <c r="G701" s="124" t="n"/>
      <c r="H701" s="84" t="n"/>
      <c r="I701" s="7" t="n"/>
      <c r="J701" s="32" t="inlineStr">
        <is>
          <t>Best Foods</t>
        </is>
      </c>
      <c r="K701" s="24" t="n"/>
      <c r="L701" s="36" t="n">
        <v>420.6</v>
      </c>
      <c r="M701" s="204" t="n">
        <v>1</v>
      </c>
      <c r="N701" s="177" t="n">
        <v>3500</v>
      </c>
      <c r="O701" s="13" t="n"/>
      <c r="P701" s="139" t="inlineStr">
        <is>
          <t>ml</t>
        </is>
      </c>
      <c r="Q701" s="2" t="n"/>
      <c r="R701" s="1" t="n"/>
      <c r="S701" s="229">
        <f>M701*N701</f>
        <v/>
      </c>
      <c r="T701" s="230">
        <f>CONCATENATE(S701,Q701,P701)</f>
        <v/>
      </c>
      <c r="U701" s="206">
        <f>L701*M701</f>
        <v/>
      </c>
      <c r="V701" s="4" t="n"/>
      <c r="W701" s="4" t="n"/>
      <c r="X701" s="4" t="n"/>
    </row>
    <row r="702" ht="15.75" customHeight="1" thickBot="1">
      <c r="A702" s="186" t="n">
        <v>7</v>
      </c>
      <c r="B702" s="214" t="inlineStr">
        <is>
          <t>All Purpose Flour</t>
        </is>
      </c>
      <c r="C702" s="124" t="n"/>
      <c r="D702" s="115" t="n"/>
      <c r="E702" s="124" t="n"/>
      <c r="F702" s="124" t="n"/>
      <c r="G702" s="124" t="n"/>
      <c r="H702" s="84" t="n"/>
      <c r="I702" s="7" t="n"/>
      <c r="J702" s="32" t="inlineStr">
        <is>
          <t>Wellington</t>
        </is>
      </c>
      <c r="K702" s="24" t="n"/>
      <c r="L702" s="36" t="n">
        <v>48</v>
      </c>
      <c r="M702" s="204" t="n">
        <v>1</v>
      </c>
      <c r="N702" s="177" t="n">
        <v>1</v>
      </c>
      <c r="O702" s="13" t="n"/>
      <c r="P702" s="139" t="inlineStr">
        <is>
          <t>kilos</t>
        </is>
      </c>
      <c r="Q702" s="2" t="n"/>
      <c r="R702" s="1" t="n"/>
      <c r="S702" s="229">
        <f>M702*N702</f>
        <v/>
      </c>
      <c r="T702" s="230">
        <f>CONCATENATE(S702,Q702,P702)</f>
        <v/>
      </c>
      <c r="U702" s="206">
        <f>L702*M702</f>
        <v/>
      </c>
      <c r="V702" s="4" t="n"/>
      <c r="W702" s="4" t="n"/>
      <c r="X702" s="4" t="n"/>
    </row>
    <row r="703" ht="15.75" customHeight="1" thickBot="1">
      <c r="A703" s="186" t="n">
        <v>7</v>
      </c>
      <c r="B703" s="214" t="inlineStr">
        <is>
          <t>All Purpose Flour</t>
        </is>
      </c>
      <c r="C703" s="124" t="n"/>
      <c r="D703" s="115" t="n"/>
      <c r="E703" s="124" t="n"/>
      <c r="F703" s="124" t="n"/>
      <c r="G703" s="124" t="n"/>
      <c r="H703" s="84" t="n"/>
      <c r="I703" s="7" t="n"/>
      <c r="J703" s="32" t="inlineStr">
        <is>
          <t>Maya</t>
        </is>
      </c>
      <c r="K703" s="24" t="n"/>
      <c r="L703" s="36" t="n">
        <v>42.53</v>
      </c>
      <c r="M703" s="204" t="n">
        <v>21</v>
      </c>
      <c r="N703" s="177" t="n">
        <v>400</v>
      </c>
      <c r="O703" s="13" t="n"/>
      <c r="P703" s="139" t="inlineStr">
        <is>
          <t>grams</t>
        </is>
      </c>
      <c r="Q703" s="2" t="n"/>
      <c r="R703" s="1" t="n"/>
      <c r="S703" s="229">
        <f>M703*N703</f>
        <v/>
      </c>
      <c r="T703" s="230">
        <f>CONCATENATE(S703,Q703,P703)</f>
        <v/>
      </c>
      <c r="U703" s="206">
        <f>L703*M703</f>
        <v/>
      </c>
      <c r="V703" s="4" t="n"/>
      <c r="W703" s="4" t="n"/>
      <c r="X703" s="4" t="n"/>
    </row>
    <row r="704" ht="15.75" customHeight="1" thickBot="1">
      <c r="A704" s="186" t="n">
        <v>7</v>
      </c>
      <c r="B704" s="214" t="inlineStr">
        <is>
          <t>All Purpose Flour</t>
        </is>
      </c>
      <c r="C704" s="124" t="n"/>
      <c r="D704" s="115" t="n"/>
      <c r="E704" s="124" t="n"/>
      <c r="F704" s="124" t="n"/>
      <c r="G704" s="124" t="n"/>
      <c r="H704" s="84" t="n"/>
      <c r="I704" s="7" t="n"/>
      <c r="J704" s="32" t="inlineStr">
        <is>
          <t>Magnolia</t>
        </is>
      </c>
      <c r="K704" s="24" t="n"/>
      <c r="L704" s="36" t="n">
        <v>455</v>
      </c>
      <c r="M704" s="204" t="n">
        <v>1</v>
      </c>
      <c r="N704" s="177" t="n">
        <v>4000</v>
      </c>
      <c r="O704" s="13" t="n"/>
      <c r="P704" s="139" t="inlineStr">
        <is>
          <t>grams</t>
        </is>
      </c>
      <c r="Q704" s="2" t="n"/>
      <c r="R704" s="1" t="n"/>
      <c r="S704" s="229">
        <f>M704*N704</f>
        <v/>
      </c>
      <c r="T704" s="230">
        <f>CONCATENATE(S704,Q704,P704)</f>
        <v/>
      </c>
      <c r="U704" s="206">
        <f>L704*M704</f>
        <v/>
      </c>
      <c r="V704" s="4" t="n"/>
      <c r="W704" s="4" t="n"/>
      <c r="X704" s="4" t="n"/>
    </row>
    <row r="705" ht="15.75" customHeight="1" thickBot="1">
      <c r="A705" s="186" t="n">
        <v>7</v>
      </c>
      <c r="B705" s="214" t="inlineStr">
        <is>
          <t>All Purpose Flour</t>
        </is>
      </c>
      <c r="C705" s="124" t="n"/>
      <c r="D705" s="115" t="n"/>
      <c r="E705" s="124" t="n"/>
      <c r="F705" s="124" t="n"/>
      <c r="G705" s="124" t="n"/>
      <c r="H705" s="84" t="n"/>
      <c r="I705" s="7" t="n"/>
      <c r="J705" s="32" t="inlineStr">
        <is>
          <t>Amparo's</t>
        </is>
      </c>
      <c r="K705" s="24" t="n"/>
      <c r="L705" s="36" t="n">
        <v>65</v>
      </c>
      <c r="M705" s="204" t="n">
        <v>15</v>
      </c>
      <c r="N705" s="177" t="n">
        <v>1000</v>
      </c>
      <c r="O705" s="13" t="n"/>
      <c r="P705" s="139" t="inlineStr">
        <is>
          <t>grams</t>
        </is>
      </c>
      <c r="Q705" s="2" t="n"/>
      <c r="R705" s="1" t="n"/>
      <c r="S705" s="229">
        <f>M705*N705</f>
        <v/>
      </c>
      <c r="T705" s="230">
        <f>CONCATENATE(S705,Q705,P705)</f>
        <v/>
      </c>
      <c r="U705" s="206">
        <f>L705*M705</f>
        <v/>
      </c>
      <c r="V705" s="4" t="n"/>
      <c r="W705" s="4" t="n"/>
      <c r="X705" s="4" t="n"/>
    </row>
    <row r="706" ht="15.75" customHeight="1" thickBot="1">
      <c r="A706" s="186" t="n">
        <v>7</v>
      </c>
      <c r="B706" s="214" t="inlineStr">
        <is>
          <t>All Purpose Flour</t>
        </is>
      </c>
      <c r="C706" s="124" t="n"/>
      <c r="D706" s="115" t="n"/>
      <c r="E706" s="124" t="n"/>
      <c r="F706" s="124" t="n"/>
      <c r="G706" s="124" t="n"/>
      <c r="H706" s="84" t="n"/>
      <c r="I706" s="7" t="n"/>
      <c r="J706" s="32" t="inlineStr">
        <is>
          <t>Penguin</t>
        </is>
      </c>
      <c r="K706" s="24" t="n"/>
      <c r="L706" s="36" t="n">
        <v>52</v>
      </c>
      <c r="M706" s="204" t="n">
        <v>9</v>
      </c>
      <c r="N706" s="177" t="n">
        <v>1000</v>
      </c>
      <c r="O706" s="13" t="n"/>
      <c r="P706" s="139" t="inlineStr">
        <is>
          <t>kilos</t>
        </is>
      </c>
      <c r="Q706" s="2" t="n"/>
      <c r="R706" s="1" t="n"/>
      <c r="S706" s="229">
        <f>M706*N706</f>
        <v/>
      </c>
      <c r="T706" s="230">
        <f>CONCATENATE(S706,Q706,P706)</f>
        <v/>
      </c>
      <c r="U706" s="206">
        <f>L706*M706</f>
        <v/>
      </c>
      <c r="V706" s="4" t="n"/>
      <c r="W706" s="4" t="n"/>
      <c r="X706" s="4" t="n"/>
    </row>
    <row r="707" ht="15.75" customHeight="1" thickBot="1">
      <c r="A707" s="186" t="n">
        <v>7</v>
      </c>
      <c r="B707" s="214" t="inlineStr">
        <is>
          <t>All Purpose Flour</t>
        </is>
      </c>
      <c r="C707" s="124" t="n"/>
      <c r="D707" s="115" t="n"/>
      <c r="E707" s="124" t="n"/>
      <c r="F707" s="124" t="n"/>
      <c r="G707" s="124" t="n"/>
      <c r="H707" s="84" t="n"/>
      <c r="I707" s="7" t="n"/>
      <c r="J707" s="32" t="inlineStr">
        <is>
          <t>Maya</t>
        </is>
      </c>
      <c r="K707" s="24" t="n"/>
      <c r="L707" s="36" t="n">
        <v>66.5</v>
      </c>
      <c r="M707" s="204" t="n">
        <v>2</v>
      </c>
      <c r="N707" s="177" t="n">
        <v>500</v>
      </c>
      <c r="O707" s="13" t="n"/>
      <c r="P707" s="139" t="inlineStr">
        <is>
          <t>grams</t>
        </is>
      </c>
      <c r="Q707" s="2" t="n"/>
      <c r="R707" s="1" t="n"/>
      <c r="S707" s="229">
        <f>M707*N707</f>
        <v/>
      </c>
      <c r="T707" s="230">
        <f>CONCATENATE(S707,Q707,P707)</f>
        <v/>
      </c>
      <c r="U707" s="206">
        <f>L707*M707</f>
        <v/>
      </c>
      <c r="V707" s="4" t="n"/>
      <c r="W707" s="4" t="n"/>
      <c r="X707" s="4" t="n"/>
    </row>
    <row r="708" ht="15.75" customHeight="1" thickBot="1">
      <c r="A708" s="186" t="n">
        <v>7</v>
      </c>
      <c r="B708" s="214" t="inlineStr">
        <is>
          <t>All Purpose Flour</t>
        </is>
      </c>
      <c r="C708" s="124" t="n"/>
      <c r="D708" s="115" t="n"/>
      <c r="E708" s="124" t="n"/>
      <c r="F708" s="124" t="n"/>
      <c r="G708" s="124" t="n"/>
      <c r="H708" s="84" t="n"/>
      <c r="I708" s="7" t="n"/>
      <c r="J708" s="32" t="inlineStr">
        <is>
          <t>Wellington</t>
        </is>
      </c>
      <c r="K708" s="24" t="n"/>
      <c r="L708" s="36" t="n">
        <v>48</v>
      </c>
      <c r="M708" s="204" t="n">
        <v>27</v>
      </c>
      <c r="N708" s="177" t="n">
        <v>1000</v>
      </c>
      <c r="O708" s="13" t="n"/>
      <c r="P708" s="139" t="inlineStr">
        <is>
          <t>grams</t>
        </is>
      </c>
      <c r="Q708" s="2" t="n"/>
      <c r="R708" s="1" t="n"/>
      <c r="S708" s="229">
        <f>M708*N708</f>
        <v/>
      </c>
      <c r="T708" s="230">
        <f>CONCATENATE(S708,Q708,P708)</f>
        <v/>
      </c>
      <c r="U708" s="206">
        <f>L708*M708</f>
        <v/>
      </c>
      <c r="V708" s="4" t="n"/>
      <c r="W708" s="4" t="n"/>
      <c r="X708" s="4" t="n"/>
    </row>
    <row r="709" ht="15.75" customHeight="1" thickBot="1">
      <c r="A709" s="186" t="n">
        <v>7</v>
      </c>
      <c r="B709" s="214" t="inlineStr">
        <is>
          <t>All Purpose Flour</t>
        </is>
      </c>
      <c r="C709" s="124" t="n"/>
      <c r="D709" s="115" t="n"/>
      <c r="E709" s="124" t="n"/>
      <c r="F709" s="124" t="n"/>
      <c r="G709" s="124" t="n"/>
      <c r="H709" s="84" t="n"/>
      <c r="I709" s="7" t="n"/>
      <c r="J709" s="32" t="n"/>
      <c r="K709" s="24" t="n"/>
      <c r="L709" s="36" t="n">
        <v>42</v>
      </c>
      <c r="M709" s="204" t="n">
        <v>3</v>
      </c>
      <c r="N709" s="177" t="n">
        <v>1</v>
      </c>
      <c r="O709" s="13" t="n"/>
      <c r="P709" s="139" t="inlineStr">
        <is>
          <t>kilos</t>
        </is>
      </c>
      <c r="Q709" s="2" t="n"/>
      <c r="R709" s="1" t="n"/>
      <c r="S709" s="229">
        <f>M709*N709</f>
        <v/>
      </c>
      <c r="T709" s="230">
        <f>CONCATENATE(S709,Q709,P709)</f>
        <v/>
      </c>
      <c r="U709" s="206">
        <f>L709*M709</f>
        <v/>
      </c>
      <c r="V709" s="4" t="n"/>
      <c r="W709" s="4" t="n"/>
      <c r="X709" s="4" t="n"/>
    </row>
    <row r="710" ht="15.75" customHeight="1" thickBot="1">
      <c r="A710" s="186" t="n">
        <v>7</v>
      </c>
      <c r="B710" s="214" t="inlineStr">
        <is>
          <t>All Purpose Flour</t>
        </is>
      </c>
      <c r="C710" s="124" t="n"/>
      <c r="D710" s="115" t="n"/>
      <c r="E710" s="124" t="n"/>
      <c r="F710" s="124" t="n"/>
      <c r="G710" s="124" t="n"/>
      <c r="H710" s="84" t="n"/>
      <c r="I710" s="7" t="n"/>
      <c r="J710" s="32" t="inlineStr">
        <is>
          <t>Queen</t>
        </is>
      </c>
      <c r="K710" s="24" t="n"/>
      <c r="L710" s="36" t="n">
        <v>55</v>
      </c>
      <c r="M710" s="204" t="n">
        <v>3</v>
      </c>
      <c r="N710" s="177" t="n">
        <v>1000</v>
      </c>
      <c r="O710" s="13" t="n"/>
      <c r="P710" s="139" t="inlineStr">
        <is>
          <t>kilos</t>
        </is>
      </c>
      <c r="Q710" s="2" t="n"/>
      <c r="R710" s="1" t="n"/>
      <c r="S710" s="229">
        <f>M710*N710</f>
        <v/>
      </c>
      <c r="T710" s="230">
        <f>CONCATENATE(S710,Q710,P710)</f>
        <v/>
      </c>
      <c r="U710" s="206">
        <f>L710*M710</f>
        <v/>
      </c>
      <c r="V710" s="4" t="n"/>
      <c r="W710" s="4" t="n"/>
      <c r="X710" s="4" t="n"/>
    </row>
    <row r="711" ht="15.75" customHeight="1" thickBot="1">
      <c r="A711" s="186" t="n">
        <v>455</v>
      </c>
      <c r="B711" s="215" t="inlineStr">
        <is>
          <t>All Purpose Flour - 1st Class</t>
        </is>
      </c>
      <c r="C711" s="124" t="n"/>
      <c r="D711" s="115" t="n"/>
      <c r="E711" s="124" t="n"/>
      <c r="F711" s="124" t="n"/>
      <c r="G711" s="124" t="n"/>
      <c r="H711" s="84" t="n"/>
      <c r="I711" s="7" t="n"/>
      <c r="J711" s="32" t="n"/>
      <c r="K711" s="24" t="n"/>
      <c r="L711" s="36" t="n">
        <v>37.6</v>
      </c>
      <c r="M711" s="204" t="n">
        <v>10</v>
      </c>
      <c r="N711" s="177" t="n">
        <v>1000</v>
      </c>
      <c r="O711" s="13" t="n"/>
      <c r="P711" s="139" t="inlineStr">
        <is>
          <t>grams</t>
        </is>
      </c>
      <c r="Q711" s="2" t="n"/>
      <c r="R711" s="1" t="n"/>
      <c r="S711" s="229">
        <f>M711*N711</f>
        <v/>
      </c>
      <c r="T711" s="230">
        <f>CONCATENATE(S711,Q711,P711)</f>
        <v/>
      </c>
      <c r="U711" s="206">
        <f>L711*M711</f>
        <v/>
      </c>
      <c r="V711" s="4" t="n"/>
      <c r="W711" s="4" t="n"/>
      <c r="X711" s="4" t="n"/>
    </row>
    <row r="712" ht="15.75" customHeight="1" thickBot="1">
      <c r="A712" s="186" t="n">
        <v>8</v>
      </c>
      <c r="B712" s="214" t="inlineStr">
        <is>
          <t>All Purpose Flour - 3rd class</t>
        </is>
      </c>
      <c r="C712" s="124" t="n"/>
      <c r="D712" s="115" t="n"/>
      <c r="E712" s="124" t="n"/>
      <c r="F712" s="124" t="n"/>
      <c r="G712" s="124" t="n"/>
      <c r="H712" s="84" t="n"/>
      <c r="I712" s="7" t="n"/>
      <c r="J712" s="32" t="inlineStr">
        <is>
          <t>Penguin</t>
        </is>
      </c>
      <c r="K712" s="24" t="n"/>
      <c r="L712" s="36" t="n">
        <v>48</v>
      </c>
      <c r="M712" s="204" t="n">
        <v>1</v>
      </c>
      <c r="N712" s="177" t="n">
        <v>1</v>
      </c>
      <c r="O712" s="13" t="n"/>
      <c r="P712" s="139" t="inlineStr">
        <is>
          <t>kilos</t>
        </is>
      </c>
      <c r="Q712" s="2" t="n"/>
      <c r="R712" s="1" t="n"/>
      <c r="S712" s="229">
        <f>M712*N712</f>
        <v/>
      </c>
      <c r="T712" s="230">
        <f>CONCATENATE(S712,Q712,P712)</f>
        <v/>
      </c>
      <c r="U712" s="206">
        <f>L712*M712</f>
        <v/>
      </c>
      <c r="V712" s="4" t="n"/>
      <c r="W712" s="4" t="n"/>
      <c r="X712" s="4" t="n"/>
    </row>
    <row r="713" ht="15.75" customHeight="1" thickBot="1">
      <c r="A713" s="186" t="n">
        <v>8</v>
      </c>
      <c r="B713" s="215" t="inlineStr">
        <is>
          <t>All Purpose Flour - 3rd class</t>
        </is>
      </c>
      <c r="C713" s="124" t="n"/>
      <c r="D713" s="115" t="n"/>
      <c r="E713" s="124" t="n"/>
      <c r="F713" s="124" t="n"/>
      <c r="G713" s="124" t="n"/>
      <c r="H713" s="84" t="n"/>
      <c r="I713" s="7" t="n"/>
      <c r="J713" s="32" t="n"/>
      <c r="K713" s="24" t="n"/>
      <c r="L713" s="36" t="n">
        <v>50</v>
      </c>
      <c r="M713" s="204" t="n">
        <v>18</v>
      </c>
      <c r="N713" s="177" t="n">
        <v>1000</v>
      </c>
      <c r="O713" s="13" t="n"/>
      <c r="P713" s="139" t="inlineStr">
        <is>
          <t>grams</t>
        </is>
      </c>
      <c r="Q713" s="2" t="n"/>
      <c r="R713" s="1" t="n"/>
      <c r="S713" s="229">
        <f>M713*N713</f>
        <v/>
      </c>
      <c r="T713" s="230">
        <f>CONCATENATE(S713,Q713,P713)</f>
        <v/>
      </c>
      <c r="U713" s="206">
        <f>L713*M713</f>
        <v/>
      </c>
      <c r="V713" s="4" t="n"/>
      <c r="W713" s="4" t="n"/>
      <c r="X713" s="4" t="n"/>
    </row>
    <row r="714" ht="15.75" customHeight="1" thickBot="1">
      <c r="A714" s="186" t="n">
        <v>456</v>
      </c>
      <c r="B714" s="215" t="inlineStr">
        <is>
          <t>All Spice Ground</t>
        </is>
      </c>
      <c r="C714" s="124" t="n"/>
      <c r="D714" s="115" t="n"/>
      <c r="E714" s="124" t="n"/>
      <c r="F714" s="124" t="n"/>
      <c r="G714" s="124" t="n"/>
      <c r="H714" s="84" t="n"/>
      <c r="I714" s="7" t="n"/>
      <c r="J714" s="32" t="inlineStr">
        <is>
          <t>McCormick</t>
        </is>
      </c>
      <c r="K714" s="24" t="n"/>
      <c r="L714" s="36" t="n">
        <v>88</v>
      </c>
      <c r="M714" s="204" t="n">
        <v>2</v>
      </c>
      <c r="N714" s="177" t="n">
        <v>32</v>
      </c>
      <c r="O714" s="13" t="n"/>
      <c r="P714" s="139" t="inlineStr">
        <is>
          <t>grams</t>
        </is>
      </c>
      <c r="Q714" s="2" t="n"/>
      <c r="R714" s="1" t="n"/>
      <c r="S714" s="229">
        <f>M714*N714</f>
        <v/>
      </c>
      <c r="T714" s="230">
        <f>CONCATENATE(S714,Q714,P714)</f>
        <v/>
      </c>
      <c r="U714" s="206">
        <f>L714*M714</f>
        <v/>
      </c>
      <c r="V714" s="4" t="n"/>
      <c r="W714" s="4" t="n"/>
      <c r="X714" s="4" t="n"/>
    </row>
    <row r="715" ht="15.75" customHeight="1" thickBot="1">
      <c r="A715" s="186" t="n">
        <v>457</v>
      </c>
      <c r="B715" s="214" t="inlineStr">
        <is>
          <t>Alugbati</t>
        </is>
      </c>
      <c r="C715" s="124" t="n"/>
      <c r="D715" s="115" t="n"/>
      <c r="E715" s="124" t="n"/>
      <c r="F715" s="124" t="n"/>
      <c r="G715" s="124" t="n"/>
      <c r="H715" s="84" t="n"/>
      <c r="I715" s="7" t="n"/>
      <c r="J715" s="32" t="n"/>
      <c r="K715" s="24" t="n"/>
      <c r="L715" s="36" t="n">
        <v>80</v>
      </c>
      <c r="M715" s="204" t="n">
        <v>1</v>
      </c>
      <c r="N715" s="177" t="n">
        <v>1</v>
      </c>
      <c r="O715" s="13" t="n"/>
      <c r="P715" s="139" t="inlineStr">
        <is>
          <t>kilos</t>
        </is>
      </c>
      <c r="Q715" s="2" t="n"/>
      <c r="R715" s="1" t="n"/>
      <c r="S715" s="229">
        <f>M715*N715</f>
        <v/>
      </c>
      <c r="T715" s="230">
        <f>CONCATENATE(S715,Q715,P715)</f>
        <v/>
      </c>
      <c r="U715" s="206">
        <f>L715*M715</f>
        <v/>
      </c>
      <c r="V715" s="4" t="n"/>
      <c r="W715" s="4" t="n"/>
      <c r="X715" s="4" t="n"/>
    </row>
    <row r="716" ht="15.75" customHeight="1" thickBot="1">
      <c r="A716" s="186" t="n">
        <v>457</v>
      </c>
      <c r="B716" s="214" t="inlineStr">
        <is>
          <t>Alugbati</t>
        </is>
      </c>
      <c r="C716" s="124" t="n"/>
      <c r="D716" s="115" t="n"/>
      <c r="E716" s="124" t="n"/>
      <c r="F716" s="124" t="n"/>
      <c r="G716" s="124" t="n"/>
      <c r="H716" s="84" t="n"/>
      <c r="I716" s="7" t="n"/>
      <c r="J716" s="32" t="n"/>
      <c r="K716" s="24" t="n"/>
      <c r="L716" s="36" t="n">
        <v>60</v>
      </c>
      <c r="M716" s="204" t="n">
        <v>1</v>
      </c>
      <c r="N716" s="177" t="n">
        <v>1</v>
      </c>
      <c r="O716" s="13" t="n"/>
      <c r="P716" s="139" t="inlineStr">
        <is>
          <t>kilos</t>
        </is>
      </c>
      <c r="Q716" s="2" t="n"/>
      <c r="R716" s="1" t="n"/>
      <c r="S716" s="229">
        <f>M716*N716</f>
        <v/>
      </c>
      <c r="T716" s="230">
        <f>CONCATENATE(S716,Q716,P716)</f>
        <v/>
      </c>
      <c r="U716" s="206">
        <f>L716*M716</f>
        <v/>
      </c>
      <c r="V716" s="4" t="n"/>
      <c r="W716" s="4" t="n"/>
      <c r="X716" s="4" t="n"/>
    </row>
    <row r="717" ht="15.75" customHeight="1" thickBot="1">
      <c r="A717" s="186" t="n">
        <v>458</v>
      </c>
      <c r="B717" s="214" t="inlineStr">
        <is>
          <t>Alumahan</t>
        </is>
      </c>
      <c r="C717" s="124" t="n"/>
      <c r="D717" s="115" t="n"/>
      <c r="E717" s="124" t="n"/>
      <c r="F717" s="124" t="n"/>
      <c r="G717" s="124" t="n"/>
      <c r="H717" s="84" t="n"/>
      <c r="I717" s="7" t="n"/>
      <c r="J717" s="32" t="n"/>
      <c r="K717" s="24" t="n"/>
      <c r="L717" s="36" t="n">
        <v>310</v>
      </c>
      <c r="M717" s="204" t="n">
        <v>8</v>
      </c>
      <c r="N717" s="177" t="n">
        <v>1</v>
      </c>
      <c r="O717" s="13" t="n"/>
      <c r="P717" s="139" t="inlineStr">
        <is>
          <t>kilos</t>
        </is>
      </c>
      <c r="Q717" s="2" t="n"/>
      <c r="R717" s="1" t="n"/>
      <c r="S717" s="229">
        <f>M717*N717</f>
        <v/>
      </c>
      <c r="T717" s="230">
        <f>CONCATENATE(S717,Q717,P717)</f>
        <v/>
      </c>
      <c r="U717" s="206">
        <f>L717*M717</f>
        <v/>
      </c>
      <c r="V717" s="4" t="n"/>
      <c r="W717" s="4" t="n"/>
      <c r="X717" s="4" t="n"/>
    </row>
    <row r="718" ht="15.75" customHeight="1" thickBot="1">
      <c r="A718" s="186" t="n">
        <v>458</v>
      </c>
      <c r="B718" s="214" t="inlineStr">
        <is>
          <t>Alumahan</t>
        </is>
      </c>
      <c r="C718" s="124" t="n"/>
      <c r="D718" s="115" t="n"/>
      <c r="E718" s="124" t="n"/>
      <c r="F718" s="124" t="n"/>
      <c r="G718" s="124" t="n"/>
      <c r="H718" s="84" t="n"/>
      <c r="I718" s="7" t="n"/>
      <c r="J718" s="32" t="n"/>
      <c r="K718" s="24" t="n"/>
      <c r="L718" s="36" t="n">
        <v>220</v>
      </c>
      <c r="M718" s="204" t="n">
        <v>3</v>
      </c>
      <c r="N718" s="177" t="n">
        <v>1</v>
      </c>
      <c r="O718" s="13" t="n"/>
      <c r="P718" s="139" t="inlineStr">
        <is>
          <t>kilos</t>
        </is>
      </c>
      <c r="Q718" s="2" t="n"/>
      <c r="R718" s="1" t="n"/>
      <c r="S718" s="229">
        <f>M718*N718</f>
        <v/>
      </c>
      <c r="T718" s="230">
        <f>CONCATENATE(S718,Q718,P718)</f>
        <v/>
      </c>
      <c r="U718" s="206">
        <f>L718*M718</f>
        <v/>
      </c>
      <c r="V718" s="4" t="n"/>
      <c r="W718" s="4" t="n"/>
      <c r="X718" s="4" t="n"/>
    </row>
    <row r="719" ht="15.75" customHeight="1" thickBot="1">
      <c r="A719" s="186" t="n">
        <v>459</v>
      </c>
      <c r="B719" s="214" t="inlineStr">
        <is>
          <t>Aluminum Foil</t>
        </is>
      </c>
      <c r="C719" s="124" t="n"/>
      <c r="D719" s="115" t="n"/>
      <c r="E719" s="124" t="n"/>
      <c r="F719" s="124" t="n"/>
      <c r="G719" s="124" t="n"/>
      <c r="H719" s="84" t="n"/>
      <c r="I719" s="7" t="n"/>
      <c r="J719" s="32" t="inlineStr">
        <is>
          <t>Suy Sing - My Everyday</t>
        </is>
      </c>
      <c r="K719" s="24" t="n"/>
      <c r="L719" s="36" t="n">
        <v>21.8</v>
      </c>
      <c r="M719" s="204" t="n">
        <v>6</v>
      </c>
      <c r="N719" s="177" t="n">
        <v>1</v>
      </c>
      <c r="O719" s="13" t="n"/>
      <c r="P719" s="139" t="inlineStr">
        <is>
          <t>pieces</t>
        </is>
      </c>
      <c r="Q719" s="2" t="n"/>
      <c r="R719" s="1" t="n"/>
      <c r="S719" s="229">
        <f>M719*N719</f>
        <v/>
      </c>
      <c r="T719" s="230">
        <f>CONCATENATE(S719,Q719,P719)</f>
        <v/>
      </c>
      <c r="U719" s="206">
        <f>L719*M719</f>
        <v/>
      </c>
      <c r="V719" s="4" t="n"/>
      <c r="W719" s="4" t="n"/>
      <c r="X719" s="4" t="n"/>
    </row>
    <row r="720" ht="15.75" customHeight="1" thickBot="1">
      <c r="A720" s="186" t="n">
        <v>459</v>
      </c>
      <c r="B720" s="215" t="inlineStr">
        <is>
          <t>Aluminum Foil</t>
        </is>
      </c>
      <c r="C720" s="124" t="n"/>
      <c r="D720" s="115" t="n"/>
      <c r="E720" s="124" t="n"/>
      <c r="F720" s="124" t="n"/>
      <c r="G720" s="124" t="n"/>
      <c r="H720" s="84" t="n"/>
      <c r="I720" s="7" t="n"/>
      <c r="J720" s="32" t="inlineStr">
        <is>
          <t>Gold Wrap</t>
        </is>
      </c>
      <c r="K720" s="24" t="n"/>
      <c r="L720" s="36" t="n">
        <v>700</v>
      </c>
      <c r="M720" s="204" t="n">
        <v>1</v>
      </c>
      <c r="N720" s="177" t="n">
        <v>1</v>
      </c>
      <c r="O720" s="13" t="n"/>
      <c r="P720" s="139" t="inlineStr">
        <is>
          <t>roll</t>
        </is>
      </c>
      <c r="Q720" s="2" t="n"/>
      <c r="R720" s="1" t="n"/>
      <c r="S720" s="229">
        <f>M720*N720</f>
        <v/>
      </c>
      <c r="T720" s="230">
        <f>CONCATENATE(S720,Q720,P720)</f>
        <v/>
      </c>
      <c r="U720" s="206">
        <f>L720*M720</f>
        <v/>
      </c>
      <c r="V720" s="4" t="n"/>
      <c r="W720" s="4" t="n"/>
      <c r="X720" s="4" t="n"/>
    </row>
    <row r="721" ht="15.75" customHeight="1" thickBot="1">
      <c r="A721" s="186" t="n">
        <v>460</v>
      </c>
      <c r="B721" s="214" t="inlineStr">
        <is>
          <t>Ampalaya</t>
        </is>
      </c>
      <c r="C721" s="124" t="n"/>
      <c r="D721" s="115" t="n"/>
      <c r="E721" s="124" t="n"/>
      <c r="F721" s="124" t="n"/>
      <c r="G721" s="124" t="n"/>
      <c r="H721" s="84" t="n"/>
      <c r="I721" s="7" t="n"/>
      <c r="J721" s="32" t="n"/>
      <c r="K721" s="24" t="n"/>
      <c r="L721" s="36" t="n">
        <v>150</v>
      </c>
      <c r="M721" s="204" t="n">
        <v>1</v>
      </c>
      <c r="N721" s="177" t="n">
        <v>1</v>
      </c>
      <c r="O721" s="13" t="n"/>
      <c r="P721" s="139" t="inlineStr">
        <is>
          <t>kilos</t>
        </is>
      </c>
      <c r="Q721" s="2" t="n"/>
      <c r="R721" s="1" t="n"/>
      <c r="S721" s="229">
        <f>M721*N721</f>
        <v/>
      </c>
      <c r="T721" s="230">
        <f>CONCATENATE(S721,Q721,P721)</f>
        <v/>
      </c>
      <c r="U721" s="206">
        <f>L721*M721</f>
        <v/>
      </c>
      <c r="V721" s="4" t="n"/>
      <c r="W721" s="4" t="n"/>
      <c r="X721" s="4" t="n"/>
    </row>
    <row r="722" ht="15.75" customHeight="1" thickBot="1">
      <c r="A722" s="186" t="n">
        <v>460</v>
      </c>
      <c r="B722" s="214" t="inlineStr">
        <is>
          <t>Ampalaya</t>
        </is>
      </c>
      <c r="C722" s="124" t="n"/>
      <c r="D722" s="115" t="n"/>
      <c r="E722" s="124" t="n"/>
      <c r="F722" s="124" t="n"/>
      <c r="G722" s="124" t="n"/>
      <c r="H722" s="84" t="n"/>
      <c r="I722" s="7" t="n"/>
      <c r="J722" s="32" t="n"/>
      <c r="K722" s="24" t="n"/>
      <c r="L722" s="36" t="n">
        <v>160</v>
      </c>
      <c r="M722" s="204" t="n">
        <v>3</v>
      </c>
      <c r="N722" s="177" t="n">
        <v>1</v>
      </c>
      <c r="O722" s="13" t="n"/>
      <c r="P722" s="139" t="inlineStr">
        <is>
          <t>kilos</t>
        </is>
      </c>
      <c r="Q722" s="2" t="n"/>
      <c r="R722" s="1" t="n"/>
      <c r="S722" s="229">
        <f>M722*N722</f>
        <v/>
      </c>
      <c r="T722" s="230">
        <f>CONCATENATE(S722,Q722,P722)</f>
        <v/>
      </c>
      <c r="U722" s="206">
        <f>L722*M722</f>
        <v/>
      </c>
      <c r="V722" s="4" t="n"/>
      <c r="W722" s="4" t="n"/>
      <c r="X722" s="4" t="n"/>
    </row>
    <row r="723" ht="15.75" customHeight="1" thickBot="1">
      <c r="A723" s="186" t="n">
        <v>461</v>
      </c>
      <c r="B723" s="214" t="inlineStr">
        <is>
          <t>Apple</t>
        </is>
      </c>
      <c r="C723" s="124" t="n"/>
      <c r="D723" s="115" t="n"/>
      <c r="E723" s="124" t="n"/>
      <c r="F723" s="124" t="n"/>
      <c r="G723" s="124" t="n"/>
      <c r="H723" s="84" t="n"/>
      <c r="I723" s="7" t="n"/>
      <c r="J723" s="32" t="n"/>
      <c r="K723" s="24" t="n"/>
      <c r="L723" s="36" t="n">
        <v>30</v>
      </c>
      <c r="M723" s="204" t="n">
        <v>4</v>
      </c>
      <c r="N723" s="177" t="n">
        <v>1</v>
      </c>
      <c r="O723" s="13" t="n"/>
      <c r="P723" s="139" t="inlineStr">
        <is>
          <t>pieces</t>
        </is>
      </c>
      <c r="Q723" s="2" t="n"/>
      <c r="R723" s="1" t="n"/>
      <c r="S723" s="229">
        <f>M723*N723</f>
        <v/>
      </c>
      <c r="T723" s="230">
        <f>CONCATENATE(S723,Q723,P723)</f>
        <v/>
      </c>
      <c r="U723" s="206">
        <f>L723*M723</f>
        <v/>
      </c>
      <c r="V723" s="4" t="n"/>
      <c r="W723" s="4" t="n"/>
      <c r="X723" s="4" t="n"/>
    </row>
    <row r="724" ht="15.75" customHeight="1" thickBot="1">
      <c r="A724" s="186" t="n">
        <v>461</v>
      </c>
      <c r="B724" s="214" t="inlineStr">
        <is>
          <t>Apple</t>
        </is>
      </c>
      <c r="C724" s="124" t="n"/>
      <c r="D724" s="115" t="n"/>
      <c r="E724" s="124" t="n"/>
      <c r="F724" s="124" t="n"/>
      <c r="G724" s="124" t="n"/>
      <c r="H724" s="84" t="n"/>
      <c r="I724" s="7" t="n"/>
      <c r="J724" s="32" t="n"/>
      <c r="K724" s="24" t="n"/>
      <c r="L724" s="36" t="n">
        <v>40</v>
      </c>
      <c r="M724" s="204" t="n">
        <v>2</v>
      </c>
      <c r="N724" s="177" t="n">
        <v>1</v>
      </c>
      <c r="O724" s="13" t="n"/>
      <c r="P724" s="139" t="inlineStr">
        <is>
          <t>pieces</t>
        </is>
      </c>
      <c r="Q724" s="2" t="n"/>
      <c r="R724" s="1" t="n"/>
      <c r="S724" s="229">
        <f>M724*N724</f>
        <v/>
      </c>
      <c r="T724" s="230">
        <f>CONCATENATE(S724,Q724,P724)</f>
        <v/>
      </c>
      <c r="U724" s="206">
        <f>L724*M724</f>
        <v/>
      </c>
      <c r="V724" s="4" t="n"/>
      <c r="W724" s="4" t="n"/>
      <c r="X724" s="4" t="n"/>
    </row>
    <row r="725" ht="15.75" customHeight="1" thickBot="1">
      <c r="A725" s="186" t="n">
        <v>462</v>
      </c>
      <c r="B725" s="214" t="inlineStr">
        <is>
          <t>Apple Cider Vinegar</t>
        </is>
      </c>
      <c r="C725" s="124" t="n"/>
      <c r="D725" s="115" t="n"/>
      <c r="E725" s="124" t="n"/>
      <c r="F725" s="124" t="n"/>
      <c r="G725" s="124" t="n"/>
      <c r="H725" s="84" t="n"/>
      <c r="I725" s="7" t="n"/>
      <c r="J725" s="32" t="inlineStr">
        <is>
          <t>Essential Everyday</t>
        </is>
      </c>
      <c r="K725" s="24" t="n"/>
      <c r="L725" s="36" t="n">
        <v>159.5</v>
      </c>
      <c r="M725" s="204" t="n">
        <v>1</v>
      </c>
      <c r="N725" s="177" t="n">
        <v>473</v>
      </c>
      <c r="O725" s="13" t="n"/>
      <c r="P725" s="139" t="inlineStr">
        <is>
          <t>ml</t>
        </is>
      </c>
      <c r="Q725" s="2" t="n"/>
      <c r="R725" s="1" t="n"/>
      <c r="S725" s="229">
        <f>M725*N725</f>
        <v/>
      </c>
      <c r="T725" s="230">
        <f>CONCATENATE(S725,Q725,P725)</f>
        <v/>
      </c>
      <c r="U725" s="206">
        <f>L725*M725</f>
        <v/>
      </c>
      <c r="V725" s="4" t="n"/>
      <c r="W725" s="4" t="n"/>
      <c r="X725" s="4" t="n"/>
    </row>
    <row r="726" ht="15.75" customHeight="1" thickBot="1">
      <c r="A726" s="186" t="n">
        <v>463</v>
      </c>
      <c r="B726" s="215" t="inlineStr">
        <is>
          <t>Asparagus Cut</t>
        </is>
      </c>
      <c r="C726" s="124" t="n"/>
      <c r="D726" s="115" t="n"/>
      <c r="E726" s="124" t="n"/>
      <c r="F726" s="124" t="n"/>
      <c r="G726" s="124" t="n"/>
      <c r="H726" s="84" t="n"/>
      <c r="I726" s="7" t="n"/>
      <c r="J726" s="32" t="inlineStr">
        <is>
          <t>Jolly</t>
        </is>
      </c>
      <c r="K726" s="24" t="n"/>
      <c r="L726" s="36" t="n">
        <v>92</v>
      </c>
      <c r="M726" s="204" t="n">
        <v>2</v>
      </c>
      <c r="N726" s="177" t="n">
        <v>270</v>
      </c>
      <c r="O726" s="13" t="n"/>
      <c r="P726" s="139" t="inlineStr">
        <is>
          <t>grams</t>
        </is>
      </c>
      <c r="Q726" s="2" t="n"/>
      <c r="R726" s="1" t="n"/>
      <c r="S726" s="229">
        <f>M726*N726</f>
        <v/>
      </c>
      <c r="T726" s="230">
        <f>CONCATENATE(S726,Q726,P726)</f>
        <v/>
      </c>
      <c r="U726" s="206">
        <f>L726*M726</f>
        <v/>
      </c>
      <c r="V726" s="4" t="n"/>
      <c r="W726" s="4" t="n"/>
      <c r="X726" s="4" t="n"/>
    </row>
    <row r="727" ht="15.75" customHeight="1" thickBot="1">
      <c r="A727" s="186" t="n">
        <v>464</v>
      </c>
      <c r="B727" s="214" t="inlineStr">
        <is>
          <t>Atsuete</t>
        </is>
      </c>
      <c r="C727" s="124" t="n"/>
      <c r="D727" s="115" t="n"/>
      <c r="E727" s="124" t="n"/>
      <c r="F727" s="124" t="n"/>
      <c r="G727" s="124" t="n"/>
      <c r="H727" s="84" t="n"/>
      <c r="I727" s="7" t="n"/>
      <c r="J727" s="32" t="n"/>
      <c r="K727" s="24" t="n"/>
      <c r="L727" s="36" t="n">
        <v>87.5</v>
      </c>
      <c r="M727" s="204" t="n">
        <v>1</v>
      </c>
      <c r="N727" s="177" t="n">
        <v>250</v>
      </c>
      <c r="O727" s="13" t="n"/>
      <c r="P727" s="139" t="inlineStr">
        <is>
          <t>grams</t>
        </is>
      </c>
      <c r="Q727" s="2" t="n"/>
      <c r="R727" s="1" t="n"/>
      <c r="S727" s="229">
        <f>M727*N727</f>
        <v/>
      </c>
      <c r="T727" s="230">
        <f>CONCATENATE(S727,Q727,P727)</f>
        <v/>
      </c>
      <c r="U727" s="206">
        <f>L727*M727</f>
        <v/>
      </c>
      <c r="V727" s="4" t="n"/>
      <c r="W727" s="4" t="n"/>
      <c r="X727" s="4" t="n"/>
    </row>
    <row r="728" ht="15.75" customHeight="1" thickBot="1">
      <c r="A728" s="186" t="n">
        <v>464</v>
      </c>
      <c r="B728" s="214" t="inlineStr">
        <is>
          <t>Atsuete</t>
        </is>
      </c>
      <c r="C728" s="124" t="n"/>
      <c r="D728" s="115" t="n"/>
      <c r="E728" s="124" t="n"/>
      <c r="F728" s="124" t="n"/>
      <c r="G728" s="124" t="n"/>
      <c r="H728" s="84" t="n"/>
      <c r="I728" s="7" t="n"/>
      <c r="J728" s="32" t="inlineStr">
        <is>
          <t>Edward Edit</t>
        </is>
      </c>
      <c r="K728" s="24" t="n"/>
      <c r="L728" s="36" t="n">
        <v>550</v>
      </c>
      <c r="M728" s="204" t="n">
        <v>0</v>
      </c>
      <c r="N728" s="177" t="n">
        <v>1</v>
      </c>
      <c r="O728" s="13" t="n"/>
      <c r="P728" s="139" t="inlineStr">
        <is>
          <t>kilos</t>
        </is>
      </c>
      <c r="Q728" s="2" t="n"/>
      <c r="R728" s="1" t="n"/>
      <c r="S728" s="229">
        <f>M728*N728</f>
        <v/>
      </c>
      <c r="T728" s="230">
        <f>CONCATENATE(S728,Q728,P728)</f>
        <v/>
      </c>
      <c r="U728" s="206">
        <f>L728*M728</f>
        <v/>
      </c>
      <c r="V728" s="4" t="n"/>
      <c r="W728" s="4" t="n"/>
      <c r="X728" s="4" t="n"/>
    </row>
    <row r="729" ht="15.75" customHeight="1" thickBot="1">
      <c r="A729" s="186" t="n">
        <v>464</v>
      </c>
      <c r="B729" s="214" t="inlineStr">
        <is>
          <t>Atsuete</t>
        </is>
      </c>
      <c r="C729" s="124" t="n"/>
      <c r="D729" s="115" t="n"/>
      <c r="E729" s="124" t="n"/>
      <c r="F729" s="124" t="n"/>
      <c r="G729" s="124" t="n"/>
      <c r="H729" s="84" t="n"/>
      <c r="I729" s="7" t="n"/>
      <c r="J729" s="32" t="n"/>
      <c r="K729" s="24" t="n"/>
      <c r="L729" s="36" t="n">
        <v>650</v>
      </c>
      <c r="M729" s="204" t="n">
        <v>4</v>
      </c>
      <c r="N729" s="177" t="n">
        <v>1</v>
      </c>
      <c r="O729" s="13" t="n"/>
      <c r="P729" s="139" t="inlineStr">
        <is>
          <t>kilos</t>
        </is>
      </c>
      <c r="Q729" s="2" t="n"/>
      <c r="R729" s="1" t="n"/>
      <c r="S729" s="229">
        <f>M729*N729</f>
        <v/>
      </c>
      <c r="T729" s="230">
        <f>CONCATENATE(S729,Q729,P729)</f>
        <v/>
      </c>
      <c r="U729" s="206">
        <f>L729*M729</f>
        <v/>
      </c>
      <c r="V729" s="4" t="n"/>
      <c r="W729" s="4" t="n"/>
      <c r="X729" s="4" t="n"/>
    </row>
    <row r="730" ht="15.75" customHeight="1" thickBot="1">
      <c r="A730" s="186" t="n">
        <v>464</v>
      </c>
      <c r="B730" s="214" t="inlineStr">
        <is>
          <t>Atsuete</t>
        </is>
      </c>
      <c r="C730" s="124" t="n"/>
      <c r="D730" s="115" t="n"/>
      <c r="E730" s="124" t="n"/>
      <c r="F730" s="124" t="n"/>
      <c r="G730" s="124" t="n"/>
      <c r="H730" s="84" t="n"/>
      <c r="I730" s="7" t="n"/>
      <c r="J730" s="32" t="inlineStr">
        <is>
          <t>Edward Edit</t>
        </is>
      </c>
      <c r="K730" s="24" t="n"/>
      <c r="L730" s="36" t="n">
        <v>450</v>
      </c>
      <c r="M730" s="204" t="n">
        <v>3</v>
      </c>
      <c r="N730" s="177" t="n">
        <v>1</v>
      </c>
      <c r="O730" s="13" t="n"/>
      <c r="P730" s="139" t="inlineStr">
        <is>
          <t>kilos</t>
        </is>
      </c>
      <c r="Q730" s="2" t="n"/>
      <c r="R730" s="1" t="n"/>
      <c r="S730" s="229">
        <f>M730*N730</f>
        <v/>
      </c>
      <c r="T730" s="230">
        <f>CONCATENATE(S730,Q730,P730)</f>
        <v/>
      </c>
      <c r="U730" s="206">
        <f>L730*M730</f>
        <v/>
      </c>
      <c r="V730" s="4" t="n"/>
      <c r="W730" s="4" t="n"/>
      <c r="X730" s="4" t="n"/>
    </row>
    <row r="731" ht="15.75" customHeight="1" thickBot="1">
      <c r="A731" s="186" t="n">
        <v>464</v>
      </c>
      <c r="B731" s="214" t="inlineStr">
        <is>
          <t>Atsuete</t>
        </is>
      </c>
      <c r="C731" s="124" t="n"/>
      <c r="D731" s="115" t="n"/>
      <c r="E731" s="124" t="n"/>
      <c r="F731" s="124" t="n"/>
      <c r="G731" s="124" t="n"/>
      <c r="H731" s="84" t="n"/>
      <c r="I731" s="7" t="n"/>
      <c r="J731" s="32" t="n"/>
      <c r="K731" s="24" t="n"/>
      <c r="L731" s="36" t="n">
        <v>220</v>
      </c>
      <c r="M731" s="204" t="n">
        <v>1</v>
      </c>
      <c r="N731" s="177" t="n">
        <v>100</v>
      </c>
      <c r="O731" s="13" t="n"/>
      <c r="P731" s="139" t="inlineStr">
        <is>
          <t>grams</t>
        </is>
      </c>
      <c r="Q731" s="2" t="n"/>
      <c r="R731" s="1" t="n"/>
      <c r="S731" s="229">
        <f>M731*N731</f>
        <v/>
      </c>
      <c r="T731" s="230">
        <f>CONCATENATE(S731,Q731,P731)</f>
        <v/>
      </c>
      <c r="U731" s="206">
        <f>L731*M731</f>
        <v/>
      </c>
      <c r="V731" s="4" t="n"/>
      <c r="W731" s="4" t="n"/>
      <c r="X731" s="4" t="n"/>
    </row>
    <row r="732" ht="15.75" customHeight="1" thickBot="1">
      <c r="A732" s="186" t="n">
        <v>465</v>
      </c>
      <c r="B732" s="214" t="inlineStr">
        <is>
          <t>Bacon</t>
        </is>
      </c>
      <c r="C732" s="124" t="n"/>
      <c r="D732" s="115" t="n"/>
      <c r="E732" s="124" t="n"/>
      <c r="F732" s="124" t="n"/>
      <c r="G732" s="124" t="n"/>
      <c r="H732" s="84" t="n"/>
      <c r="I732" s="7" t="n"/>
      <c r="J732" s="32" t="inlineStr">
        <is>
          <t>Vida</t>
        </is>
      </c>
      <c r="K732" s="24" t="n"/>
      <c r="L732" s="36" t="n">
        <v>180.25</v>
      </c>
      <c r="M732" s="204" t="n">
        <v>2</v>
      </c>
      <c r="N732" s="177" t="n">
        <v>250</v>
      </c>
      <c r="O732" s="13" t="n"/>
      <c r="P732" s="139" t="inlineStr">
        <is>
          <t>grams</t>
        </is>
      </c>
      <c r="Q732" s="2" t="n"/>
      <c r="R732" s="1" t="n"/>
      <c r="S732" s="229">
        <f>M732*N732</f>
        <v/>
      </c>
      <c r="T732" s="230">
        <f>CONCATENATE(S732,Q732,P732)</f>
        <v/>
      </c>
      <c r="U732" s="206">
        <f>L732*M732</f>
        <v/>
      </c>
      <c r="V732" s="4" t="n"/>
      <c r="W732" s="4" t="n"/>
      <c r="X732" s="4" t="n"/>
    </row>
    <row r="733" ht="15.75" customHeight="1" thickBot="1">
      <c r="A733" s="186" t="n">
        <v>465</v>
      </c>
      <c r="B733" s="214" t="inlineStr">
        <is>
          <t>Bacon</t>
        </is>
      </c>
      <c r="C733" s="124" t="n"/>
      <c r="D733" s="115" t="n"/>
      <c r="E733" s="124" t="n"/>
      <c r="F733" s="124" t="n"/>
      <c r="G733" s="124" t="n"/>
      <c r="H733" s="84" t="n"/>
      <c r="I733" s="7" t="n"/>
      <c r="J733" s="32" t="inlineStr">
        <is>
          <t>Purefoods</t>
        </is>
      </c>
      <c r="K733" s="24" t="n"/>
      <c r="L733" s="36" t="n">
        <v>185</v>
      </c>
      <c r="M733" s="204" t="n">
        <v>1</v>
      </c>
      <c r="N733" s="177" t="n">
        <v>200</v>
      </c>
      <c r="O733" s="13" t="n"/>
      <c r="P733" s="139" t="inlineStr">
        <is>
          <t>grams</t>
        </is>
      </c>
      <c r="Q733" s="2" t="n"/>
      <c r="R733" s="1" t="n"/>
      <c r="S733" s="229">
        <f>M733*N733</f>
        <v/>
      </c>
      <c r="T733" s="230">
        <f>CONCATENATE(S733,Q733,P733)</f>
        <v/>
      </c>
      <c r="U733" s="206">
        <f>L733*M733</f>
        <v/>
      </c>
      <c r="V733" s="4" t="n"/>
      <c r="W733" s="4" t="n"/>
      <c r="X733" s="4" t="n"/>
    </row>
    <row r="734" ht="15.75" customHeight="1" thickBot="1">
      <c r="A734" s="186" t="n">
        <v>465</v>
      </c>
      <c r="B734" s="214" t="inlineStr">
        <is>
          <t>Bacon</t>
        </is>
      </c>
      <c r="C734" s="124" t="n"/>
      <c r="D734" s="115" t="n"/>
      <c r="E734" s="124" t="n"/>
      <c r="F734" s="124" t="n"/>
      <c r="G734" s="124" t="n"/>
      <c r="H734" s="84" t="n"/>
      <c r="I734" s="7" t="n"/>
      <c r="J734" s="32" t="inlineStr">
        <is>
          <t>Bossing</t>
        </is>
      </c>
      <c r="K734" s="24" t="n"/>
      <c r="L734" s="36" t="n">
        <v>75</v>
      </c>
      <c r="M734" s="204" t="n">
        <v>2</v>
      </c>
      <c r="N734" s="177" t="n">
        <v>230</v>
      </c>
      <c r="O734" s="13" t="n"/>
      <c r="P734" s="139" t="inlineStr">
        <is>
          <t>grams</t>
        </is>
      </c>
      <c r="Q734" s="2" t="n"/>
      <c r="R734" s="1" t="n"/>
      <c r="S734" s="229">
        <f>M734*N734</f>
        <v/>
      </c>
      <c r="T734" s="230">
        <f>CONCATENATE(S734,Q734,P734)</f>
        <v/>
      </c>
      <c r="U734" s="206">
        <f>L734*M734</f>
        <v/>
      </c>
      <c r="V734" s="4" t="n"/>
      <c r="W734" s="4" t="n"/>
      <c r="X734" s="4" t="n"/>
    </row>
    <row r="735" ht="15.75" customHeight="1" thickBot="1">
      <c r="A735" s="186" t="n">
        <v>466</v>
      </c>
      <c r="B735" s="215" t="inlineStr">
        <is>
          <t>Bagoong - Boneless</t>
        </is>
      </c>
      <c r="C735" s="124" t="n"/>
      <c r="D735" s="115" t="n"/>
      <c r="E735" s="124" t="n"/>
      <c r="F735" s="124" t="n"/>
      <c r="G735" s="124" t="n"/>
      <c r="H735" s="84" t="n"/>
      <c r="I735" s="7" t="n"/>
      <c r="J735" s="32" t="inlineStr">
        <is>
          <t>JP</t>
        </is>
      </c>
      <c r="K735" s="24" t="n"/>
      <c r="L735" s="36" t="n">
        <v>32</v>
      </c>
      <c r="M735" s="204" t="n">
        <v>2</v>
      </c>
      <c r="N735" s="177" t="n">
        <v>290</v>
      </c>
      <c r="O735" s="13" t="n"/>
      <c r="P735" s="139" t="inlineStr">
        <is>
          <t>grams</t>
        </is>
      </c>
      <c r="Q735" s="2" t="n"/>
      <c r="R735" s="1" t="n"/>
      <c r="S735" s="229">
        <f>M735*N735</f>
        <v/>
      </c>
      <c r="T735" s="230">
        <f>CONCATENATE(S735,Q735,P735)</f>
        <v/>
      </c>
      <c r="U735" s="206">
        <f>L735*M735</f>
        <v/>
      </c>
      <c r="V735" s="4" t="n"/>
      <c r="W735" s="4" t="n"/>
      <c r="X735" s="4" t="n"/>
    </row>
    <row r="736" ht="15.75" customHeight="1" thickBot="1">
      <c r="A736" s="186" t="n">
        <v>467</v>
      </c>
      <c r="B736" s="215" t="inlineStr">
        <is>
          <t>Bagoong Alamang</t>
        </is>
      </c>
      <c r="C736" s="124" t="n"/>
      <c r="D736" s="115" t="n"/>
      <c r="E736" s="124" t="n"/>
      <c r="F736" s="124" t="n"/>
      <c r="G736" s="124" t="n"/>
      <c r="H736" s="84" t="n"/>
      <c r="I736" s="7" t="n"/>
      <c r="J736" s="32" t="inlineStr">
        <is>
          <t>Barrio Fiesta</t>
        </is>
      </c>
      <c r="K736" s="24" t="n"/>
      <c r="L736" s="36" t="n">
        <v>110</v>
      </c>
      <c r="M736" s="204" t="n">
        <v>1</v>
      </c>
      <c r="N736" s="177" t="n">
        <v>250</v>
      </c>
      <c r="O736" s="13" t="n"/>
      <c r="P736" s="139" t="inlineStr">
        <is>
          <t>grams</t>
        </is>
      </c>
      <c r="Q736" s="2" t="n"/>
      <c r="R736" s="1" t="n"/>
      <c r="S736" s="229">
        <f>M736*N736</f>
        <v/>
      </c>
      <c r="T736" s="230">
        <f>CONCATENATE(S736,Q736,P736)</f>
        <v/>
      </c>
      <c r="U736" s="206">
        <f>L736*M736</f>
        <v/>
      </c>
      <c r="V736" s="4" t="n"/>
      <c r="W736" s="4" t="n"/>
      <c r="X736" s="4" t="n"/>
    </row>
    <row r="737" ht="15.75" customHeight="1" thickBot="1">
      <c r="A737" s="186" t="n">
        <v>468</v>
      </c>
      <c r="B737" s="215" t="inlineStr">
        <is>
          <t>Bagoong Alamang - Sweet</t>
        </is>
      </c>
      <c r="C737" s="124" t="n"/>
      <c r="D737" s="115" t="n"/>
      <c r="E737" s="124" t="n"/>
      <c r="F737" s="124" t="n"/>
      <c r="G737" s="124" t="n"/>
      <c r="H737" s="84" t="n"/>
      <c r="I737" s="7" t="n"/>
      <c r="J737" s="32" t="inlineStr">
        <is>
          <t>Barrio Fiesta</t>
        </is>
      </c>
      <c r="K737" s="24" t="n"/>
      <c r="L737" s="36" t="n">
        <v>107.5</v>
      </c>
      <c r="M737" s="204" t="n">
        <v>1</v>
      </c>
      <c r="N737" s="177" t="n">
        <v>250</v>
      </c>
      <c r="O737" s="13" t="n"/>
      <c r="P737" s="139" t="inlineStr">
        <is>
          <t>grams</t>
        </is>
      </c>
      <c r="Q737" s="2" t="n"/>
      <c r="R737" s="1" t="n"/>
      <c r="S737" s="229">
        <f>M737*N737</f>
        <v/>
      </c>
      <c r="T737" s="230">
        <f>CONCATENATE(S737,Q737,P737)</f>
        <v/>
      </c>
      <c r="U737" s="206">
        <f>L737*M737</f>
        <v/>
      </c>
      <c r="V737" s="4" t="n"/>
      <c r="W737" s="4" t="n"/>
      <c r="X737" s="4" t="n"/>
    </row>
    <row r="738" ht="15.75" customHeight="1" thickBot="1">
      <c r="A738" s="186" t="n">
        <v>10</v>
      </c>
      <c r="B738" s="214" t="inlineStr">
        <is>
          <t>Bagoong Isda Balayan</t>
        </is>
      </c>
      <c r="C738" s="124" t="n"/>
      <c r="D738" s="115" t="n"/>
      <c r="E738" s="124" t="n"/>
      <c r="F738" s="124" t="n"/>
      <c r="G738" s="124" t="n"/>
      <c r="H738" s="84" t="n"/>
      <c r="I738" s="7" t="n"/>
      <c r="J738" s="32" t="inlineStr">
        <is>
          <t>La Marina</t>
        </is>
      </c>
      <c r="K738" s="24" t="n"/>
      <c r="L738" s="36" t="n">
        <v>35</v>
      </c>
      <c r="M738" s="204" t="n">
        <v>2</v>
      </c>
      <c r="N738" s="177" t="n">
        <v>340</v>
      </c>
      <c r="O738" s="13" t="n"/>
      <c r="P738" s="139" t="inlineStr">
        <is>
          <t>grams</t>
        </is>
      </c>
      <c r="Q738" s="2" t="n"/>
      <c r="R738" s="1" t="n"/>
      <c r="S738" s="229">
        <f>M738*N738</f>
        <v/>
      </c>
      <c r="T738" s="230">
        <f>CONCATENATE(S738,Q738,P738)</f>
        <v/>
      </c>
      <c r="U738" s="206">
        <f>L738*M738</f>
        <v/>
      </c>
      <c r="V738" s="4" t="n"/>
      <c r="W738" s="4" t="n"/>
      <c r="X738" s="4" t="n"/>
    </row>
    <row r="739" ht="15.75" customHeight="1" thickBot="1">
      <c r="A739" s="186" t="n">
        <v>469</v>
      </c>
      <c r="B739" s="214" t="inlineStr">
        <is>
          <t>Baguio Beans</t>
        </is>
      </c>
      <c r="C739" s="124" t="n"/>
      <c r="D739" s="115" t="n"/>
      <c r="E739" s="124" t="n"/>
      <c r="F739" s="124" t="n"/>
      <c r="G739" s="124" t="n"/>
      <c r="H739" s="84" t="n"/>
      <c r="I739" s="7" t="n"/>
      <c r="J739" s="32" t="n"/>
      <c r="K739" s="24" t="n"/>
      <c r="L739" s="36" t="n">
        <v>60</v>
      </c>
      <c r="M739" s="204" t="n">
        <v>5</v>
      </c>
      <c r="N739" s="177" t="n">
        <v>1</v>
      </c>
      <c r="O739" s="13" t="n"/>
      <c r="P739" s="139" t="inlineStr">
        <is>
          <t>kilos</t>
        </is>
      </c>
      <c r="Q739" s="2" t="n"/>
      <c r="R739" s="1" t="n"/>
      <c r="S739" s="229">
        <f>M739*N739</f>
        <v/>
      </c>
      <c r="T739" s="230">
        <f>CONCATENATE(S739,Q739,P739)</f>
        <v/>
      </c>
      <c r="U739" s="206">
        <f>L739*M739</f>
        <v/>
      </c>
      <c r="V739" s="4" t="n"/>
      <c r="W739" s="4" t="n"/>
      <c r="X739" s="4" t="n"/>
    </row>
    <row r="740" ht="15.75" customHeight="1" thickBot="1">
      <c r="A740" s="186" t="n">
        <v>469</v>
      </c>
      <c r="B740" s="214" t="inlineStr">
        <is>
          <t>Baguio Beans</t>
        </is>
      </c>
      <c r="C740" s="124" t="n"/>
      <c r="D740" s="115" t="n"/>
      <c r="E740" s="124" t="n"/>
      <c r="F740" s="124" t="n"/>
      <c r="G740" s="124" t="n"/>
      <c r="H740" s="84" t="n"/>
      <c r="I740" s="7" t="n"/>
      <c r="J740" s="32" t="n"/>
      <c r="K740" s="24" t="n"/>
      <c r="L740" s="36" t="n">
        <v>160</v>
      </c>
      <c r="M740" s="204" t="n">
        <v>0</v>
      </c>
      <c r="N740" s="177" t="n">
        <v>1</v>
      </c>
      <c r="O740" s="13" t="n"/>
      <c r="P740" s="139" t="inlineStr">
        <is>
          <t>kilos</t>
        </is>
      </c>
      <c r="Q740" s="2" t="n"/>
      <c r="R740" s="1" t="n"/>
      <c r="S740" s="229">
        <f>M740*N740</f>
        <v/>
      </c>
      <c r="T740" s="230">
        <f>CONCATENATE(S740,Q740,P740)</f>
        <v/>
      </c>
      <c r="U740" s="206">
        <f>L740*M740</f>
        <v/>
      </c>
      <c r="V740" s="4" t="n"/>
      <c r="W740" s="4" t="n"/>
      <c r="X740" s="4" t="n"/>
    </row>
    <row r="741" ht="15.75" customHeight="1" thickBot="1">
      <c r="A741" s="186" t="n">
        <v>469</v>
      </c>
      <c r="B741" s="214" t="inlineStr">
        <is>
          <t>Baguio Beans</t>
        </is>
      </c>
      <c r="C741" s="124" t="n"/>
      <c r="D741" s="115" t="n"/>
      <c r="E741" s="124" t="n"/>
      <c r="F741" s="124" t="n"/>
      <c r="G741" s="124" t="n"/>
      <c r="H741" s="84" t="n"/>
      <c r="I741" s="7" t="n"/>
      <c r="J741" s="32" t="n"/>
      <c r="K741" s="24" t="n"/>
      <c r="L741" s="36" t="n">
        <v>200</v>
      </c>
      <c r="M741" s="204" t="n">
        <v>1</v>
      </c>
      <c r="N741" s="177" t="n">
        <v>1</v>
      </c>
      <c r="O741" s="13" t="n"/>
      <c r="P741" s="139" t="inlineStr">
        <is>
          <t>kilos</t>
        </is>
      </c>
      <c r="Q741" s="2" t="n"/>
      <c r="R741" s="1" t="n"/>
      <c r="S741" s="229">
        <f>M741*N741</f>
        <v/>
      </c>
      <c r="T741" s="230">
        <f>CONCATENATE(S741,Q741,P741)</f>
        <v/>
      </c>
      <c r="U741" s="206">
        <f>L741*M741</f>
        <v/>
      </c>
      <c r="V741" s="4" t="n"/>
      <c r="W741" s="4" t="n"/>
      <c r="X741" s="4" t="n"/>
    </row>
    <row r="742" ht="15.75" customHeight="1" thickBot="1">
      <c r="A742" s="186" t="n">
        <v>469</v>
      </c>
      <c r="B742" s="214" t="inlineStr">
        <is>
          <t>Baguio Beans</t>
        </is>
      </c>
      <c r="C742" s="124" t="n"/>
      <c r="D742" s="115" t="n"/>
      <c r="E742" s="124" t="n"/>
      <c r="F742" s="124" t="n"/>
      <c r="G742" s="124" t="n"/>
      <c r="H742" s="84" t="n"/>
      <c r="I742" s="7" t="n"/>
      <c r="J742" s="32" t="n"/>
      <c r="K742" s="24" t="n"/>
      <c r="L742" s="36" t="n">
        <v>170</v>
      </c>
      <c r="M742" s="204" t="n">
        <v>0</v>
      </c>
      <c r="N742" s="177" t="n">
        <v>1</v>
      </c>
      <c r="O742" s="13" t="n"/>
      <c r="P742" s="139" t="inlineStr">
        <is>
          <t>kilos</t>
        </is>
      </c>
      <c r="Q742" s="2" t="n"/>
      <c r="R742" s="1" t="n"/>
      <c r="S742" s="229">
        <f>M742*N742</f>
        <v/>
      </c>
      <c r="T742" s="230">
        <f>CONCATENATE(S742,Q742,P742)</f>
        <v/>
      </c>
      <c r="U742" s="206">
        <f>L742*M742</f>
        <v/>
      </c>
      <c r="V742" s="4" t="n"/>
      <c r="W742" s="4" t="n"/>
      <c r="X742" s="4" t="n"/>
    </row>
    <row r="743" ht="15.75" customHeight="1" thickBot="1">
      <c r="A743" s="186" t="n">
        <v>12</v>
      </c>
      <c r="B743" s="214" t="inlineStr">
        <is>
          <t>Baking Powder</t>
        </is>
      </c>
      <c r="C743" s="124" t="n"/>
      <c r="D743" s="115" t="n"/>
      <c r="E743" s="124" t="n"/>
      <c r="F743" s="124" t="n"/>
      <c r="G743" s="124" t="n"/>
      <c r="H743" s="84" t="n"/>
      <c r="I743" s="7" t="n"/>
      <c r="J743" s="32" t="inlineStr">
        <is>
          <t>Calumet</t>
        </is>
      </c>
      <c r="K743" s="24" t="n"/>
      <c r="L743" s="36" t="n">
        <v>16.5</v>
      </c>
      <c r="M743" s="204" t="n">
        <v>1</v>
      </c>
      <c r="N743" s="177" t="n">
        <v>50</v>
      </c>
      <c r="O743" s="13" t="n"/>
      <c r="P743" s="139" t="inlineStr">
        <is>
          <t>grams</t>
        </is>
      </c>
      <c r="Q743" s="2" t="n"/>
      <c r="R743" s="1" t="n"/>
      <c r="S743" s="229">
        <f>M743*N743</f>
        <v/>
      </c>
      <c r="T743" s="230">
        <f>CONCATENATE(S743,Q743,P743)</f>
        <v/>
      </c>
      <c r="U743" s="206">
        <f>L743*M743</f>
        <v/>
      </c>
      <c r="V743" s="4" t="n"/>
      <c r="W743" s="4" t="n"/>
      <c r="X743" s="4" t="n"/>
    </row>
    <row r="744" ht="15.75" customHeight="1" thickBot="1">
      <c r="A744" s="186" t="n">
        <v>12</v>
      </c>
      <c r="B744" s="214" t="inlineStr">
        <is>
          <t>Baking Powder</t>
        </is>
      </c>
      <c r="C744" s="124" t="n"/>
      <c r="D744" s="115" t="n"/>
      <c r="E744" s="124" t="n"/>
      <c r="F744" s="124" t="n"/>
      <c r="G744" s="124" t="n"/>
      <c r="H744" s="84" t="n"/>
      <c r="I744" s="7" t="n"/>
      <c r="J744" s="32" t="inlineStr">
        <is>
          <t>Calumet</t>
        </is>
      </c>
      <c r="K744" s="24" t="n"/>
      <c r="L744" s="36" t="n">
        <v>21</v>
      </c>
      <c r="M744" s="204" t="n">
        <v>1</v>
      </c>
      <c r="N744" s="177" t="n">
        <v>50</v>
      </c>
      <c r="O744" s="13" t="n"/>
      <c r="P744" s="139" t="inlineStr">
        <is>
          <t>grams</t>
        </is>
      </c>
      <c r="Q744" s="2" t="n"/>
      <c r="R744" s="1" t="n"/>
      <c r="S744" s="229">
        <f>M744*N744</f>
        <v/>
      </c>
      <c r="T744" s="230">
        <f>CONCATENATE(S744,Q744,P744)</f>
        <v/>
      </c>
      <c r="U744" s="206">
        <f>L744*M744</f>
        <v/>
      </c>
      <c r="V744" s="4" t="n"/>
      <c r="W744" s="4" t="n"/>
      <c r="X744" s="4" t="n"/>
    </row>
    <row r="745" ht="15.75" customHeight="1" thickBot="1">
      <c r="A745" s="186" t="n">
        <v>12</v>
      </c>
      <c r="B745" s="214" t="inlineStr">
        <is>
          <t>Baking Powder</t>
        </is>
      </c>
      <c r="C745" s="124" t="n"/>
      <c r="D745" s="115" t="n"/>
      <c r="E745" s="124" t="n"/>
      <c r="F745" s="124" t="n"/>
      <c r="G745" s="124" t="n"/>
      <c r="H745" s="84" t="n"/>
      <c r="I745" s="7" t="n"/>
      <c r="J745" s="32" t="inlineStr">
        <is>
          <t>Calumet</t>
        </is>
      </c>
      <c r="K745" s="24" t="n"/>
      <c r="L745" s="36" t="n">
        <v>15.3</v>
      </c>
      <c r="M745" s="204" t="n">
        <v>3</v>
      </c>
      <c r="N745" s="177" t="n">
        <v>50</v>
      </c>
      <c r="O745" s="13" t="n"/>
      <c r="P745" s="139" t="inlineStr">
        <is>
          <t>grams</t>
        </is>
      </c>
      <c r="Q745" s="2" t="n"/>
      <c r="R745" s="1" t="n"/>
      <c r="S745" s="229">
        <f>M745*N745</f>
        <v/>
      </c>
      <c r="T745" s="230">
        <f>CONCATENATE(S745,Q745,P745)</f>
        <v/>
      </c>
      <c r="U745" s="206">
        <f>L745*M745</f>
        <v/>
      </c>
      <c r="V745" s="4" t="n"/>
      <c r="W745" s="4" t="n"/>
      <c r="X745" s="4" t="n"/>
    </row>
    <row r="746" ht="15.75" customHeight="1" thickBot="1">
      <c r="A746" s="186" t="n">
        <v>12</v>
      </c>
      <c r="B746" s="214" t="inlineStr">
        <is>
          <t>Baking Powder</t>
        </is>
      </c>
      <c r="C746" s="124" t="n"/>
      <c r="D746" s="115" t="n"/>
      <c r="E746" s="124" t="n"/>
      <c r="F746" s="124" t="n"/>
      <c r="G746" s="124" t="n"/>
      <c r="H746" s="84" t="n"/>
      <c r="I746" s="7" t="n"/>
      <c r="J746" s="32" t="inlineStr">
        <is>
          <t>Calumet</t>
        </is>
      </c>
      <c r="K746" s="24" t="n"/>
      <c r="L746" s="36" t="n">
        <v>16.5</v>
      </c>
      <c r="M746" s="204" t="n">
        <v>3</v>
      </c>
      <c r="N746" s="177" t="n">
        <v>50</v>
      </c>
      <c r="O746" s="13" t="n"/>
      <c r="P746" s="139" t="inlineStr">
        <is>
          <t>grams</t>
        </is>
      </c>
      <c r="Q746" s="2" t="n"/>
      <c r="R746" s="1" t="n"/>
      <c r="S746" s="229">
        <f>M746*N746</f>
        <v/>
      </c>
      <c r="T746" s="230">
        <f>CONCATENATE(S746,Q746,P746)</f>
        <v/>
      </c>
      <c r="U746" s="206">
        <f>L746*M746</f>
        <v/>
      </c>
      <c r="V746" s="4" t="n"/>
      <c r="W746" s="4" t="n"/>
      <c r="X746" s="4" t="n"/>
    </row>
    <row r="747" ht="15.75" customHeight="1" thickBot="1">
      <c r="A747" s="186" t="n">
        <v>12</v>
      </c>
      <c r="B747" s="214" t="inlineStr">
        <is>
          <t>Baking Powder</t>
        </is>
      </c>
      <c r="C747" s="124" t="n"/>
      <c r="D747" s="115" t="n"/>
      <c r="E747" s="124" t="n"/>
      <c r="F747" s="124" t="n"/>
      <c r="G747" s="124" t="n"/>
      <c r="H747" s="84" t="n"/>
      <c r="I747" s="7" t="n"/>
      <c r="J747" s="32" t="inlineStr">
        <is>
          <t>Calumet</t>
        </is>
      </c>
      <c r="K747" s="24" t="n"/>
      <c r="L747" s="36" t="n">
        <v>20</v>
      </c>
      <c r="M747" s="204" t="n">
        <v>1</v>
      </c>
      <c r="N747" s="177" t="n">
        <v>50</v>
      </c>
      <c r="O747" s="13" t="n"/>
      <c r="P747" s="139" t="inlineStr">
        <is>
          <t>grams</t>
        </is>
      </c>
      <c r="Q747" s="2" t="n"/>
      <c r="R747" s="1" t="n"/>
      <c r="S747" s="229">
        <f>M747*N747</f>
        <v/>
      </c>
      <c r="T747" s="230">
        <f>CONCATENATE(S747,Q747,P747)</f>
        <v/>
      </c>
      <c r="U747" s="206">
        <f>L747*M747</f>
        <v/>
      </c>
      <c r="V747" s="4" t="n"/>
      <c r="W747" s="4" t="n"/>
      <c r="X747" s="4" t="n"/>
    </row>
    <row r="748" ht="15.75" customHeight="1" thickBot="1">
      <c r="A748" s="186" t="n">
        <v>12</v>
      </c>
      <c r="B748" s="214" t="inlineStr">
        <is>
          <t>Baking Powder</t>
        </is>
      </c>
      <c r="C748" s="124" t="n"/>
      <c r="D748" s="115" t="n"/>
      <c r="E748" s="124" t="n"/>
      <c r="F748" s="124" t="n"/>
      <c r="G748" s="124" t="n"/>
      <c r="H748" s="84" t="n"/>
      <c r="I748" s="7" t="n"/>
      <c r="J748" s="32" t="inlineStr">
        <is>
          <t>Calumet</t>
        </is>
      </c>
      <c r="K748" s="24" t="n"/>
      <c r="L748" s="36" t="n">
        <v>208</v>
      </c>
      <c r="M748" s="204" t="n">
        <v>1</v>
      </c>
      <c r="N748" s="177" t="n">
        <v>1000</v>
      </c>
      <c r="O748" s="13" t="n"/>
      <c r="P748" s="139" t="inlineStr">
        <is>
          <t>grams</t>
        </is>
      </c>
      <c r="Q748" s="2" t="n"/>
      <c r="R748" s="1" t="n"/>
      <c r="S748" s="229">
        <f>M748*N748</f>
        <v/>
      </c>
      <c r="T748" s="230">
        <f>CONCATENATE(S748,Q748,P748)</f>
        <v/>
      </c>
      <c r="U748" s="206">
        <f>L748*M748</f>
        <v/>
      </c>
      <c r="V748" s="4" t="n"/>
      <c r="W748" s="4" t="n"/>
      <c r="X748" s="4" t="n"/>
    </row>
    <row r="749" ht="15.75" customHeight="1" thickBot="1">
      <c r="A749" s="186" t="n">
        <v>12</v>
      </c>
      <c r="B749" s="214" t="inlineStr">
        <is>
          <t>Baking Powder</t>
        </is>
      </c>
      <c r="C749" s="124" t="n"/>
      <c r="D749" s="115" t="n"/>
      <c r="E749" s="124" t="n"/>
      <c r="F749" s="124" t="n"/>
      <c r="G749" s="124" t="n"/>
      <c r="H749" s="84" t="n"/>
      <c r="I749" s="7" t="n"/>
      <c r="J749" s="32" t="inlineStr">
        <is>
          <t>Calumet</t>
        </is>
      </c>
      <c r="K749" s="24" t="n"/>
      <c r="L749" s="36" t="n">
        <v>15</v>
      </c>
      <c r="M749" s="204" t="n">
        <v>44</v>
      </c>
      <c r="N749" s="177" t="n">
        <v>50</v>
      </c>
      <c r="O749" s="13" t="n"/>
      <c r="P749" s="139" t="inlineStr">
        <is>
          <t>grams</t>
        </is>
      </c>
      <c r="Q749" s="2" t="n"/>
      <c r="R749" s="1" t="n"/>
      <c r="S749" s="229">
        <f>M749*N749</f>
        <v/>
      </c>
      <c r="T749" s="230">
        <f>CONCATENATE(S749,Q749,P749)</f>
        <v/>
      </c>
      <c r="U749" s="206">
        <f>L749*M749</f>
        <v/>
      </c>
      <c r="V749" s="4" t="n"/>
      <c r="W749" s="4" t="n"/>
      <c r="X749" s="4" t="n"/>
    </row>
    <row r="750" ht="15.75" customHeight="1" thickBot="1">
      <c r="A750" s="186" t="n">
        <v>12</v>
      </c>
      <c r="B750" s="214" t="inlineStr">
        <is>
          <t>Baking Powder</t>
        </is>
      </c>
      <c r="C750" s="124" t="n"/>
      <c r="D750" s="115" t="n"/>
      <c r="E750" s="124" t="n"/>
      <c r="F750" s="124" t="n"/>
      <c r="G750" s="124" t="n"/>
      <c r="H750" s="84" t="n"/>
      <c r="I750" s="7" t="n"/>
      <c r="J750" s="32" t="inlineStr">
        <is>
          <t>Calumet</t>
        </is>
      </c>
      <c r="K750" s="24" t="n"/>
      <c r="L750" s="36" t="n">
        <v>20</v>
      </c>
      <c r="M750" s="204" t="n">
        <v>5</v>
      </c>
      <c r="N750" s="177" t="n">
        <v>50</v>
      </c>
      <c r="O750" s="13" t="n"/>
      <c r="P750" s="139" t="inlineStr">
        <is>
          <t>grams</t>
        </is>
      </c>
      <c r="Q750" s="2" t="n"/>
      <c r="R750" s="1" t="n"/>
      <c r="S750" s="229">
        <f>M750*N750</f>
        <v/>
      </c>
      <c r="T750" s="230">
        <f>CONCATENATE(S750,Q750,P750)</f>
        <v/>
      </c>
      <c r="U750" s="206">
        <f>L750*M750</f>
        <v/>
      </c>
      <c r="V750" s="4" t="n"/>
      <c r="W750" s="4" t="n"/>
      <c r="X750" s="4" t="n"/>
    </row>
    <row r="751" ht="15.75" customHeight="1" thickBot="1">
      <c r="A751" s="186" t="n">
        <v>13</v>
      </c>
      <c r="B751" s="214" t="inlineStr">
        <is>
          <t>Baking Soda</t>
        </is>
      </c>
      <c r="C751" s="124" t="n"/>
      <c r="D751" s="115" t="n"/>
      <c r="E751" s="124" t="n"/>
      <c r="F751" s="124" t="n"/>
      <c r="G751" s="124" t="n"/>
      <c r="H751" s="84" t="n"/>
      <c r="I751" s="7" t="n"/>
      <c r="J751" s="32" t="inlineStr">
        <is>
          <t>Queen</t>
        </is>
      </c>
      <c r="K751" s="24" t="n"/>
      <c r="L751" s="36" t="n">
        <v>32.1</v>
      </c>
      <c r="M751" s="204" t="n">
        <v>3</v>
      </c>
      <c r="N751" s="177" t="n">
        <v>250</v>
      </c>
      <c r="O751" s="13" t="n"/>
      <c r="P751" s="139" t="inlineStr">
        <is>
          <t>grams</t>
        </is>
      </c>
      <c r="Q751" s="2" t="n"/>
      <c r="R751" s="1" t="n"/>
      <c r="S751" s="229">
        <f>M751*N751</f>
        <v/>
      </c>
      <c r="T751" s="230">
        <f>CONCATENATE(S751,Q751,P751)</f>
        <v/>
      </c>
      <c r="U751" s="206">
        <f>L751*M751</f>
        <v/>
      </c>
      <c r="V751" s="4" t="n"/>
      <c r="W751" s="4" t="n"/>
      <c r="X751" s="4" t="n"/>
    </row>
    <row r="752" ht="15.75" customHeight="1" thickBot="1">
      <c r="A752" s="186" t="n">
        <v>13</v>
      </c>
      <c r="B752" s="214" t="inlineStr">
        <is>
          <t>Baking Soda</t>
        </is>
      </c>
      <c r="C752" s="124" t="n"/>
      <c r="D752" s="115" t="n"/>
      <c r="E752" s="124" t="n"/>
      <c r="F752" s="124" t="n"/>
      <c r="G752" s="124" t="n"/>
      <c r="H752" s="84" t="n"/>
      <c r="I752" s="7" t="n"/>
      <c r="J752" s="32" t="inlineStr">
        <is>
          <t>Queen</t>
        </is>
      </c>
      <c r="K752" s="24" t="n"/>
      <c r="L752" s="36" t="n">
        <v>32.1</v>
      </c>
      <c r="M752" s="204" t="n">
        <v>1</v>
      </c>
      <c r="N752" s="177" t="n">
        <v>250</v>
      </c>
      <c r="O752" s="13" t="n"/>
      <c r="P752" s="139" t="inlineStr">
        <is>
          <t>grams</t>
        </is>
      </c>
      <c r="Q752" s="2" t="n"/>
      <c r="R752" s="1" t="n"/>
      <c r="S752" s="229">
        <f>M752*N752</f>
        <v/>
      </c>
      <c r="T752" s="230">
        <f>CONCATENATE(S752,Q752,P752)</f>
        <v/>
      </c>
      <c r="U752" s="206">
        <f>L752*M752</f>
        <v/>
      </c>
      <c r="V752" s="4" t="n"/>
      <c r="W752" s="4" t="n"/>
      <c r="X752" s="4" t="n"/>
    </row>
    <row r="753" ht="15.75" customHeight="1" thickBot="1">
      <c r="A753" s="186" t="n">
        <v>13</v>
      </c>
      <c r="B753" s="214" t="inlineStr">
        <is>
          <t>Baking Soda</t>
        </is>
      </c>
      <c r="C753" s="124" t="n"/>
      <c r="D753" s="115" t="n"/>
      <c r="E753" s="124" t="n"/>
      <c r="F753" s="124" t="n"/>
      <c r="G753" s="124" t="n"/>
      <c r="H753" s="84" t="n"/>
      <c r="I753" s="7" t="n"/>
      <c r="J753" s="32" t="inlineStr">
        <is>
          <t>Arm &amp; Hammer</t>
        </is>
      </c>
      <c r="K753" s="24" t="n"/>
      <c r="L753" s="36" t="n">
        <v>64.5</v>
      </c>
      <c r="M753" s="204" t="n">
        <v>1</v>
      </c>
      <c r="N753" s="177" t="n">
        <v>454</v>
      </c>
      <c r="O753" s="13" t="n"/>
      <c r="P753" s="139" t="inlineStr">
        <is>
          <t>grams</t>
        </is>
      </c>
      <c r="Q753" s="2" t="n"/>
      <c r="R753" s="1" t="n"/>
      <c r="S753" s="229">
        <f>M753*N753</f>
        <v/>
      </c>
      <c r="T753" s="230">
        <f>CONCATENATE(S753,Q753,P753)</f>
        <v/>
      </c>
      <c r="U753" s="206">
        <f>L753*M753</f>
        <v/>
      </c>
      <c r="V753" s="4" t="n"/>
      <c r="W753" s="4" t="n"/>
      <c r="X753" s="4" t="n"/>
    </row>
    <row r="754" ht="15.75" customHeight="1" thickBot="1">
      <c r="A754" s="186" t="n">
        <v>13</v>
      </c>
      <c r="B754" s="214" t="inlineStr">
        <is>
          <t>Baking Soda</t>
        </is>
      </c>
      <c r="C754" s="124" t="n"/>
      <c r="D754" s="115" t="n"/>
      <c r="E754" s="124" t="n"/>
      <c r="F754" s="124" t="n"/>
      <c r="G754" s="124" t="n"/>
      <c r="H754" s="84" t="n"/>
      <c r="I754" s="7" t="n"/>
      <c r="J754" s="32" t="inlineStr">
        <is>
          <t>Queen</t>
        </is>
      </c>
      <c r="K754" s="24" t="n"/>
      <c r="L754" s="36" t="n">
        <v>118</v>
      </c>
      <c r="M754" s="204" t="n">
        <v>3</v>
      </c>
      <c r="N754" s="177" t="n">
        <v>250</v>
      </c>
      <c r="O754" s="13" t="n"/>
      <c r="P754" s="139" t="inlineStr">
        <is>
          <t>grams</t>
        </is>
      </c>
      <c r="Q754" s="2" t="n"/>
      <c r="R754" s="1" t="n"/>
      <c r="S754" s="229">
        <f>M754*N754</f>
        <v/>
      </c>
      <c r="T754" s="230">
        <f>CONCATENATE(S754,Q754,P754)</f>
        <v/>
      </c>
      <c r="U754" s="206">
        <f>L754*M754</f>
        <v/>
      </c>
      <c r="V754" s="4" t="n"/>
      <c r="W754" s="4" t="n"/>
      <c r="X754" s="4" t="n"/>
    </row>
    <row r="755" ht="15.75" customHeight="1" thickBot="1">
      <c r="A755" s="186" t="n">
        <v>13</v>
      </c>
      <c r="B755" s="214" t="inlineStr">
        <is>
          <t>Baking Soda</t>
        </is>
      </c>
      <c r="C755" s="124" t="n"/>
      <c r="D755" s="115" t="n"/>
      <c r="E755" s="124" t="n"/>
      <c r="F755" s="124" t="n"/>
      <c r="G755" s="124" t="n"/>
      <c r="H755" s="84" t="n"/>
      <c r="I755" s="7" t="n"/>
      <c r="J755" s="32" t="inlineStr">
        <is>
          <t>Queen</t>
        </is>
      </c>
      <c r="K755" s="24" t="n"/>
      <c r="L755" s="36" t="n">
        <v>26</v>
      </c>
      <c r="M755" s="204" t="n">
        <v>1</v>
      </c>
      <c r="N755" s="177" t="n">
        <v>250</v>
      </c>
      <c r="O755" s="13" t="n"/>
      <c r="P755" s="139" t="inlineStr">
        <is>
          <t>grams</t>
        </is>
      </c>
      <c r="Q755" s="2" t="n"/>
      <c r="R755" s="1" t="n"/>
      <c r="S755" s="229">
        <f>M755*N755</f>
        <v/>
      </c>
      <c r="T755" s="230">
        <f>CONCATENATE(S755,Q755,P755)</f>
        <v/>
      </c>
      <c r="U755" s="206">
        <f>L755*M755</f>
        <v/>
      </c>
      <c r="V755" s="4" t="n"/>
      <c r="W755" s="4" t="n"/>
      <c r="X755" s="4" t="n"/>
    </row>
    <row r="756" ht="15.75" customHeight="1" thickBot="1">
      <c r="A756" s="186" t="n">
        <v>13</v>
      </c>
      <c r="B756" s="214" t="inlineStr">
        <is>
          <t>Baking Soda</t>
        </is>
      </c>
      <c r="C756" s="124" t="n"/>
      <c r="D756" s="115" t="n"/>
      <c r="E756" s="124" t="n"/>
      <c r="F756" s="124" t="n"/>
      <c r="G756" s="124" t="n"/>
      <c r="H756" s="84" t="n"/>
      <c r="I756" s="7" t="n"/>
      <c r="J756" s="32" t="inlineStr">
        <is>
          <t>Queen</t>
        </is>
      </c>
      <c r="K756" s="24" t="n"/>
      <c r="L756" s="36" t="n">
        <v>13.8</v>
      </c>
      <c r="M756" s="204" t="n">
        <v>1</v>
      </c>
      <c r="N756" s="177" t="n">
        <v>125</v>
      </c>
      <c r="O756" s="13" t="n"/>
      <c r="P756" s="139" t="inlineStr">
        <is>
          <t>grams</t>
        </is>
      </c>
      <c r="Q756" s="2" t="n"/>
      <c r="R756" s="1" t="n"/>
      <c r="S756" s="229">
        <f>M756*N756</f>
        <v/>
      </c>
      <c r="T756" s="230">
        <f>CONCATENATE(S756,Q756,P756)</f>
        <v/>
      </c>
      <c r="U756" s="206">
        <f>L756*M756</f>
        <v/>
      </c>
      <c r="V756" s="4" t="n"/>
      <c r="W756" s="4" t="n"/>
      <c r="X756" s="4" t="n"/>
    </row>
    <row r="757" ht="15.75" customHeight="1" thickBot="1">
      <c r="A757" s="186" t="n">
        <v>14</v>
      </c>
      <c r="B757" s="214" t="inlineStr">
        <is>
          <t>Balsamic Vinegar</t>
        </is>
      </c>
      <c r="C757" s="124" t="n"/>
      <c r="D757" s="115" t="n"/>
      <c r="E757" s="124" t="n"/>
      <c r="F757" s="124" t="n"/>
      <c r="G757" s="124" t="n"/>
      <c r="H757" s="84" t="n"/>
      <c r="I757" s="7" t="n"/>
      <c r="J757" s="32" t="inlineStr">
        <is>
          <t>Filippo Berio</t>
        </is>
      </c>
      <c r="K757" s="24" t="n"/>
      <c r="L757" s="36" t="n">
        <v>169.8</v>
      </c>
      <c r="M757" s="204" t="n">
        <v>1</v>
      </c>
      <c r="N757" s="177" t="n">
        <v>250</v>
      </c>
      <c r="O757" s="13" t="n"/>
      <c r="P757" s="139" t="inlineStr">
        <is>
          <t>ml</t>
        </is>
      </c>
      <c r="Q757" s="2" t="n"/>
      <c r="R757" s="1" t="n"/>
      <c r="S757" s="229">
        <f>M757*N757</f>
        <v/>
      </c>
      <c r="T757" s="230">
        <f>CONCATENATE(S757,Q757,P757)</f>
        <v/>
      </c>
      <c r="U757" s="206">
        <f>L757*M757</f>
        <v/>
      </c>
      <c r="V757" s="4" t="n"/>
      <c r="W757" s="4" t="n"/>
      <c r="X757" s="4" t="n"/>
    </row>
    <row r="758" ht="15.75" customHeight="1" thickBot="1">
      <c r="A758" s="186" t="n">
        <v>14</v>
      </c>
      <c r="B758" s="214" t="inlineStr">
        <is>
          <t>Balsamic Vinegar</t>
        </is>
      </c>
      <c r="C758" s="124" t="n"/>
      <c r="D758" s="115" t="n"/>
      <c r="E758" s="124" t="n"/>
      <c r="F758" s="124" t="n"/>
      <c r="G758" s="124" t="n"/>
      <c r="H758" s="84" t="n"/>
      <c r="I758" s="7" t="n"/>
      <c r="J758" s="32" t="inlineStr">
        <is>
          <t>Filippo Berio</t>
        </is>
      </c>
      <c r="K758" s="24" t="n"/>
      <c r="L758" s="36" t="n">
        <v>198</v>
      </c>
      <c r="M758" s="204" t="n">
        <v>1</v>
      </c>
      <c r="N758" s="177" t="n">
        <v>330</v>
      </c>
      <c r="O758" s="13" t="n"/>
      <c r="P758" s="139" t="inlineStr">
        <is>
          <t>ml</t>
        </is>
      </c>
      <c r="Q758" s="2" t="n"/>
      <c r="R758" s="1" t="n"/>
      <c r="S758" s="229">
        <f>M758*N758</f>
        <v/>
      </c>
      <c r="T758" s="230">
        <f>CONCATENATE(S758,Q758,P758)</f>
        <v/>
      </c>
      <c r="U758" s="206">
        <f>L758*M758</f>
        <v/>
      </c>
      <c r="V758" s="4" t="n"/>
      <c r="W758" s="4" t="n"/>
      <c r="X758" s="4" t="n"/>
    </row>
    <row r="759" ht="15.75" customHeight="1" thickBot="1">
      <c r="A759" s="186" t="n">
        <v>14</v>
      </c>
      <c r="B759" s="214" t="inlineStr">
        <is>
          <t>Balsamic Vinegar</t>
        </is>
      </c>
      <c r="C759" s="124" t="n"/>
      <c r="D759" s="115" t="n"/>
      <c r="E759" s="124" t="n"/>
      <c r="F759" s="124" t="n"/>
      <c r="G759" s="124" t="n"/>
      <c r="H759" s="84" t="n"/>
      <c r="I759" s="7" t="n"/>
      <c r="J759" s="32" t="inlineStr">
        <is>
          <t>Capri</t>
        </is>
      </c>
      <c r="K759" s="24" t="n"/>
      <c r="L759" s="36" t="n">
        <v>256</v>
      </c>
      <c r="M759" s="204" t="n">
        <v>1</v>
      </c>
      <c r="N759" s="177" t="n">
        <v>500</v>
      </c>
      <c r="O759" s="13" t="n"/>
      <c r="P759" s="139" t="inlineStr">
        <is>
          <t>ml</t>
        </is>
      </c>
      <c r="Q759" s="2" t="n"/>
      <c r="R759" s="1" t="n"/>
      <c r="S759" s="229">
        <f>M759*N759</f>
        <v/>
      </c>
      <c r="T759" s="230">
        <f>CONCATENATE(S759,Q759,P759)</f>
        <v/>
      </c>
      <c r="U759" s="206">
        <f>L759*M759</f>
        <v/>
      </c>
      <c r="V759" s="4" t="n"/>
      <c r="W759" s="4" t="n"/>
      <c r="X759" s="4" t="n"/>
    </row>
    <row r="760" ht="15.75" customHeight="1" thickBot="1">
      <c r="A760" s="186" t="n">
        <v>470</v>
      </c>
      <c r="B760" s="215" t="inlineStr">
        <is>
          <t>Bamboo Toothpick</t>
        </is>
      </c>
      <c r="C760" s="124" t="n"/>
      <c r="D760" s="115" t="n"/>
      <c r="E760" s="124" t="n"/>
      <c r="F760" s="124" t="n"/>
      <c r="G760" s="124" t="n"/>
      <c r="H760" s="84" t="n"/>
      <c r="I760" s="7" t="n"/>
      <c r="J760" s="32" t="inlineStr">
        <is>
          <t>Pad Bear</t>
        </is>
      </c>
      <c r="K760" s="24" t="n"/>
      <c r="L760" s="36" t="n">
        <v>145</v>
      </c>
      <c r="M760" s="204" t="n">
        <v>2</v>
      </c>
      <c r="N760" s="177" t="n">
        <v>1</v>
      </c>
      <c r="O760" s="13" t="n"/>
      <c r="P760" s="139" t="inlineStr">
        <is>
          <t>packs</t>
        </is>
      </c>
      <c r="Q760" s="2" t="n"/>
      <c r="R760" s="1" t="n"/>
      <c r="S760" s="229">
        <f>M760*N760</f>
        <v/>
      </c>
      <c r="T760" s="230">
        <f>CONCATENATE(S760,Q760,P760)</f>
        <v/>
      </c>
      <c r="U760" s="206">
        <f>L760*M760</f>
        <v/>
      </c>
      <c r="V760" s="4" t="n"/>
      <c r="W760" s="4" t="n"/>
      <c r="X760" s="4" t="n"/>
    </row>
    <row r="761" ht="15.75" customHeight="1" thickBot="1">
      <c r="A761" s="186" t="n">
        <v>471</v>
      </c>
      <c r="B761" s="214" t="inlineStr">
        <is>
          <t>Banana Blossom</t>
        </is>
      </c>
      <c r="C761" s="124" t="n"/>
      <c r="D761" s="115" t="n"/>
      <c r="E761" s="124" t="n"/>
      <c r="F761" s="124" t="n"/>
      <c r="G761" s="124" t="n"/>
      <c r="H761" s="84" t="n"/>
      <c r="I761" s="7" t="n"/>
      <c r="J761" s="32" t="n"/>
      <c r="K761" s="24" t="n"/>
      <c r="L761" s="36" t="n">
        <v>40</v>
      </c>
      <c r="M761" s="204" t="n">
        <v>1</v>
      </c>
      <c r="N761" s="177" t="n">
        <v>1</v>
      </c>
      <c r="O761" s="13" t="n"/>
      <c r="P761" s="139" t="inlineStr">
        <is>
          <t>kilos</t>
        </is>
      </c>
      <c r="Q761" s="2" t="n"/>
      <c r="R761" s="1" t="n"/>
      <c r="S761" s="229">
        <f>M761*N761</f>
        <v/>
      </c>
      <c r="T761" s="230">
        <f>CONCATENATE(S761,Q761,P761)</f>
        <v/>
      </c>
      <c r="U761" s="206">
        <f>L761*M761</f>
        <v/>
      </c>
      <c r="V761" s="4" t="n"/>
      <c r="W761" s="4" t="n"/>
      <c r="X761" s="4" t="n"/>
    </row>
    <row r="762" ht="15.75" customHeight="1" thickBot="1">
      <c r="A762" s="186" t="n">
        <v>472</v>
      </c>
      <c r="B762" s="214" t="inlineStr">
        <is>
          <t>Banana Blossom - Gayat</t>
        </is>
      </c>
      <c r="C762" s="124" t="n"/>
      <c r="D762" s="115" t="n"/>
      <c r="E762" s="124" t="n"/>
      <c r="F762" s="124" t="n"/>
      <c r="G762" s="124" t="n"/>
      <c r="H762" s="84" t="n"/>
      <c r="I762" s="7" t="n"/>
      <c r="J762" s="32" t="n"/>
      <c r="K762" s="24" t="n"/>
      <c r="L762" s="36" t="n">
        <v>110</v>
      </c>
      <c r="M762" s="204" t="n">
        <v>2</v>
      </c>
      <c r="N762" s="177" t="n">
        <v>1</v>
      </c>
      <c r="O762" s="13" t="n"/>
      <c r="P762" s="139" t="inlineStr">
        <is>
          <t>kilos</t>
        </is>
      </c>
      <c r="Q762" s="2" t="n"/>
      <c r="R762" s="1" t="n"/>
      <c r="S762" s="229">
        <f>M762*N762</f>
        <v/>
      </c>
      <c r="T762" s="230">
        <f>CONCATENATE(S762,Q762,P762)</f>
        <v/>
      </c>
      <c r="U762" s="206">
        <f>L762*M762</f>
        <v/>
      </c>
      <c r="V762" s="4" t="n"/>
      <c r="W762" s="4" t="n"/>
      <c r="X762" s="4" t="n"/>
    </row>
    <row r="763" ht="15.75" customHeight="1" thickBot="1">
      <c r="A763" s="186" t="n">
        <v>473</v>
      </c>
      <c r="B763" s="214" t="inlineStr">
        <is>
          <t>Banana Blossoms</t>
        </is>
      </c>
      <c r="C763" s="124" t="n"/>
      <c r="D763" s="115" t="n"/>
      <c r="E763" s="124" t="n"/>
      <c r="F763" s="124" t="n"/>
      <c r="G763" s="124" t="n"/>
      <c r="H763" s="84" t="n"/>
      <c r="I763" s="7" t="n"/>
      <c r="J763" s="32" t="inlineStr">
        <is>
          <t>Rehnalyn Corpuz</t>
        </is>
      </c>
      <c r="K763" s="24" t="n"/>
      <c r="L763" s="36" t="n">
        <v>36</v>
      </c>
      <c r="M763" s="204" t="n">
        <v>2</v>
      </c>
      <c r="N763" s="177" t="n">
        <v>30</v>
      </c>
      <c r="O763" s="13" t="n"/>
      <c r="P763" s="139" t="inlineStr">
        <is>
          <t>grams</t>
        </is>
      </c>
      <c r="Q763" s="2" t="n"/>
      <c r="R763" s="1" t="n"/>
      <c r="S763" s="229">
        <f>M763*N763</f>
        <v/>
      </c>
      <c r="T763" s="230">
        <f>CONCATENATE(S763,Q763,P763)</f>
        <v/>
      </c>
      <c r="U763" s="206">
        <f>L763*M763</f>
        <v/>
      </c>
      <c r="V763" s="4" t="n"/>
      <c r="W763" s="4" t="n"/>
      <c r="X763" s="4" t="n"/>
    </row>
    <row r="764" ht="15.75" customHeight="1" thickBot="1">
      <c r="A764" s="186" t="n">
        <v>474</v>
      </c>
      <c r="B764" s="215" t="inlineStr">
        <is>
          <t>Banana Essence</t>
        </is>
      </c>
      <c r="C764" s="124" t="n"/>
      <c r="D764" s="115" t="n"/>
      <c r="E764" s="124" t="n"/>
      <c r="F764" s="124" t="n"/>
      <c r="G764" s="124" t="n"/>
      <c r="H764" s="84" t="n"/>
      <c r="I764" s="7" t="n"/>
      <c r="J764" s="32" t="inlineStr">
        <is>
          <t>Twin Brand</t>
        </is>
      </c>
      <c r="K764" s="24" t="n"/>
      <c r="L764" s="36" t="n">
        <v>55</v>
      </c>
      <c r="M764" s="204" t="n">
        <v>1</v>
      </c>
      <c r="N764" s="177" t="n">
        <v>25</v>
      </c>
      <c r="O764" s="13" t="n"/>
      <c r="P764" s="139" t="inlineStr">
        <is>
          <t>ml</t>
        </is>
      </c>
      <c r="Q764" s="2" t="n"/>
      <c r="R764" s="1" t="n"/>
      <c r="S764" s="229">
        <f>M764*N764</f>
        <v/>
      </c>
      <c r="T764" s="230">
        <f>CONCATENATE(S764,Q764,P764)</f>
        <v/>
      </c>
      <c r="U764" s="206">
        <f>L764*M764</f>
        <v/>
      </c>
      <c r="V764" s="4" t="n"/>
      <c r="W764" s="4" t="n"/>
      <c r="X764" s="4" t="n"/>
    </row>
    <row r="765" ht="15.75" customHeight="1" thickBot="1">
      <c r="A765" s="186" t="n">
        <v>474</v>
      </c>
      <c r="B765" s="215" t="inlineStr">
        <is>
          <t>Banana Essence</t>
        </is>
      </c>
      <c r="C765" s="124" t="n"/>
      <c r="D765" s="115" t="n"/>
      <c r="E765" s="124" t="n"/>
      <c r="F765" s="124" t="n"/>
      <c r="G765" s="124" t="n"/>
      <c r="H765" s="84" t="n"/>
      <c r="I765" s="7" t="n"/>
      <c r="J765" s="32" t="inlineStr">
        <is>
          <t>White Rose</t>
        </is>
      </c>
      <c r="K765" s="24" t="n"/>
      <c r="L765" s="36" t="n">
        <v>41</v>
      </c>
      <c r="M765" s="204" t="n">
        <v>2</v>
      </c>
      <c r="N765" s="177" t="n">
        <v>25</v>
      </c>
      <c r="O765" s="13" t="n"/>
      <c r="P765" s="139" t="inlineStr">
        <is>
          <t>ml</t>
        </is>
      </c>
      <c r="Q765" s="2" t="n"/>
      <c r="R765" s="1" t="n"/>
      <c r="S765" s="229">
        <f>M765*N765</f>
        <v/>
      </c>
      <c r="T765" s="230">
        <f>CONCATENATE(S765,Q765,P765)</f>
        <v/>
      </c>
      <c r="U765" s="206">
        <f>L765*M765</f>
        <v/>
      </c>
      <c r="V765" s="4" t="n"/>
      <c r="W765" s="4" t="n"/>
      <c r="X765" s="4" t="n"/>
    </row>
    <row r="766" ht="15.75" customHeight="1" thickBot="1">
      <c r="A766" s="186" t="n">
        <v>15</v>
      </c>
      <c r="B766" s="214" t="inlineStr">
        <is>
          <t>Bangus</t>
        </is>
      </c>
      <c r="C766" s="124" t="n"/>
      <c r="D766" s="115" t="n"/>
      <c r="E766" s="124" t="n"/>
      <c r="F766" s="124" t="n"/>
      <c r="G766" s="124" t="n"/>
      <c r="H766" s="84" t="n"/>
      <c r="I766" s="7" t="n"/>
      <c r="J766" s="32" t="n"/>
      <c r="K766" s="24" t="n"/>
      <c r="L766" s="36" t="n">
        <v>260</v>
      </c>
      <c r="M766" s="204" t="n">
        <v>20</v>
      </c>
      <c r="N766" s="177" t="n">
        <v>1</v>
      </c>
      <c r="O766" s="13" t="n"/>
      <c r="P766" s="139" t="inlineStr">
        <is>
          <t>kilos</t>
        </is>
      </c>
      <c r="Q766" s="2" t="n"/>
      <c r="R766" s="1" t="n"/>
      <c r="S766" s="229">
        <f>M766*N766</f>
        <v/>
      </c>
      <c r="T766" s="230">
        <f>CONCATENATE(S766,Q766,P766)</f>
        <v/>
      </c>
      <c r="U766" s="206">
        <f>L766*M766</f>
        <v/>
      </c>
      <c r="V766" s="4" t="n"/>
      <c r="W766" s="4" t="n"/>
      <c r="X766" s="4" t="n"/>
    </row>
    <row r="767" ht="15.75" customHeight="1" thickBot="1">
      <c r="A767" s="186" t="n">
        <v>15</v>
      </c>
      <c r="B767" s="214" t="inlineStr">
        <is>
          <t>Bangus</t>
        </is>
      </c>
      <c r="C767" s="124" t="n"/>
      <c r="D767" s="115" t="n"/>
      <c r="E767" s="124" t="n"/>
      <c r="F767" s="124" t="n"/>
      <c r="G767" s="124" t="n"/>
      <c r="H767" s="84" t="n"/>
      <c r="I767" s="7" t="n"/>
      <c r="J767" s="32" t="n"/>
      <c r="K767" s="24" t="n"/>
      <c r="L767" s="36" t="n">
        <v>200</v>
      </c>
      <c r="M767" s="204" t="n">
        <v>4</v>
      </c>
      <c r="N767" s="177" t="n">
        <v>1</v>
      </c>
      <c r="O767" s="13" t="n"/>
      <c r="P767" s="139" t="inlineStr">
        <is>
          <t>kilos</t>
        </is>
      </c>
      <c r="Q767" s="2" t="n"/>
      <c r="R767" s="1" t="n"/>
      <c r="S767" s="229">
        <f>M767*N767</f>
        <v/>
      </c>
      <c r="T767" s="230">
        <f>CONCATENATE(S767,Q767,P767)</f>
        <v/>
      </c>
      <c r="U767" s="206">
        <f>L767*M767</f>
        <v/>
      </c>
      <c r="V767" s="4" t="n"/>
      <c r="W767" s="4" t="n"/>
      <c r="X767" s="4" t="n"/>
    </row>
    <row r="768" ht="15.75" customHeight="1" thickBot="1">
      <c r="A768" s="186" t="n">
        <v>15</v>
      </c>
      <c r="B768" s="214" t="inlineStr">
        <is>
          <t>Bangus</t>
        </is>
      </c>
      <c r="C768" s="124" t="n"/>
      <c r="D768" s="115" t="n"/>
      <c r="E768" s="124" t="n"/>
      <c r="F768" s="124" t="n"/>
      <c r="G768" s="124" t="n"/>
      <c r="H768" s="84" t="n"/>
      <c r="I768" s="7" t="n"/>
      <c r="J768" s="32" t="n"/>
      <c r="K768" s="24" t="n"/>
      <c r="L768" s="36" t="n">
        <v>280</v>
      </c>
      <c r="M768" s="204" t="n">
        <v>3</v>
      </c>
      <c r="N768" s="177" t="n">
        <v>1</v>
      </c>
      <c r="O768" s="13" t="n"/>
      <c r="P768" s="139" t="inlineStr">
        <is>
          <t>kilos</t>
        </is>
      </c>
      <c r="Q768" s="2" t="n"/>
      <c r="R768" s="1" t="n"/>
      <c r="S768" s="229">
        <f>M768*N768</f>
        <v/>
      </c>
      <c r="T768" s="230">
        <f>CONCATENATE(S768,Q768,P768)</f>
        <v/>
      </c>
      <c r="U768" s="206">
        <f>L768*M768</f>
        <v/>
      </c>
      <c r="V768" s="4" t="n"/>
      <c r="W768" s="4" t="n"/>
      <c r="X768" s="4" t="n"/>
    </row>
    <row r="769" ht="15.75" customHeight="1" thickBot="1">
      <c r="A769" s="186" t="n">
        <v>15</v>
      </c>
      <c r="B769" s="214" t="inlineStr">
        <is>
          <t>Bangus</t>
        </is>
      </c>
      <c r="C769" s="124" t="n"/>
      <c r="D769" s="115" t="n"/>
      <c r="E769" s="124" t="n"/>
      <c r="F769" s="124" t="n"/>
      <c r="G769" s="124" t="n"/>
      <c r="H769" s="84" t="n"/>
      <c r="I769" s="7" t="n"/>
      <c r="J769" s="32" t="n"/>
      <c r="K769" s="24" t="n"/>
      <c r="L769" s="36" t="n">
        <v>200</v>
      </c>
      <c r="M769" s="204" t="n">
        <v>7</v>
      </c>
      <c r="N769" s="177" t="n">
        <v>1</v>
      </c>
      <c r="O769" s="13" t="n"/>
      <c r="P769" s="139" t="inlineStr">
        <is>
          <t>kilos</t>
        </is>
      </c>
      <c r="Q769" s="2" t="n"/>
      <c r="R769" s="1" t="n"/>
      <c r="S769" s="229">
        <f>M769*N769</f>
        <v/>
      </c>
      <c r="T769" s="230">
        <f>CONCATENATE(S769,Q769,P769)</f>
        <v/>
      </c>
      <c r="U769" s="206">
        <f>L769*M769</f>
        <v/>
      </c>
      <c r="V769" s="4" t="n"/>
      <c r="W769" s="4" t="n"/>
      <c r="X769" s="4" t="n"/>
    </row>
    <row r="770" ht="15.75" customHeight="1" thickBot="1">
      <c r="A770" s="186" t="n">
        <v>15</v>
      </c>
      <c r="B770" s="214" t="inlineStr">
        <is>
          <t>Bangus</t>
        </is>
      </c>
      <c r="C770" s="124" t="n"/>
      <c r="D770" s="115" t="n"/>
      <c r="E770" s="124" t="n"/>
      <c r="F770" s="124" t="n"/>
      <c r="G770" s="124" t="n"/>
      <c r="H770" s="84" t="n"/>
      <c r="I770" s="7" t="n"/>
      <c r="J770" s="32" t="n"/>
      <c r="K770" s="24" t="n"/>
      <c r="L770" s="36" t="n">
        <v>300</v>
      </c>
      <c r="M770" s="204" t="n">
        <v>3</v>
      </c>
      <c r="N770" s="177" t="n">
        <v>1</v>
      </c>
      <c r="O770" s="13" t="n"/>
      <c r="P770" s="139" t="inlineStr">
        <is>
          <t>kilos</t>
        </is>
      </c>
      <c r="Q770" s="2" t="n"/>
      <c r="R770" s="1" t="n"/>
      <c r="S770" s="229">
        <f>M770*N770</f>
        <v/>
      </c>
      <c r="T770" s="230">
        <f>CONCATENATE(S770,Q770,P770)</f>
        <v/>
      </c>
      <c r="U770" s="206">
        <f>L770*M770</f>
        <v/>
      </c>
      <c r="V770" s="4" t="n"/>
      <c r="W770" s="4" t="n"/>
      <c r="X770" s="4" t="n"/>
    </row>
    <row r="771" ht="15.75" customHeight="1" thickBot="1">
      <c r="A771" s="186" t="n">
        <v>15</v>
      </c>
      <c r="B771" s="214" t="inlineStr">
        <is>
          <t>Bangus</t>
        </is>
      </c>
      <c r="C771" s="124" t="n"/>
      <c r="D771" s="115" t="n"/>
      <c r="E771" s="124" t="n"/>
      <c r="F771" s="124" t="n"/>
      <c r="G771" s="124" t="n"/>
      <c r="H771" s="84" t="n"/>
      <c r="I771" s="7" t="n"/>
      <c r="J771" s="32" t="n"/>
      <c r="K771" s="24" t="n"/>
      <c r="L771" s="36" t="n">
        <v>220</v>
      </c>
      <c r="M771" s="204" t="n">
        <v>1</v>
      </c>
      <c r="N771" s="177" t="n">
        <v>1</v>
      </c>
      <c r="O771" s="13" t="n"/>
      <c r="P771" s="139" t="inlineStr">
        <is>
          <t>kilos</t>
        </is>
      </c>
      <c r="Q771" s="2" t="n"/>
      <c r="R771" s="1" t="n"/>
      <c r="S771" s="229">
        <f>M771*N771</f>
        <v/>
      </c>
      <c r="T771" s="230">
        <f>CONCATENATE(S771,Q771,P771)</f>
        <v/>
      </c>
      <c r="U771" s="206">
        <f>L771*M771</f>
        <v/>
      </c>
      <c r="V771" s="4" t="n"/>
      <c r="W771" s="4" t="n"/>
      <c r="X771" s="4" t="n"/>
    </row>
    <row r="772" ht="15.75" customHeight="1" thickBot="1">
      <c r="A772" s="186" t="n">
        <v>15</v>
      </c>
      <c r="B772" s="214" t="inlineStr">
        <is>
          <t>Bangus</t>
        </is>
      </c>
      <c r="C772" s="124" t="n"/>
      <c r="D772" s="115" t="n"/>
      <c r="E772" s="124" t="n"/>
      <c r="F772" s="124" t="n"/>
      <c r="G772" s="124" t="n"/>
      <c r="H772" s="84" t="n"/>
      <c r="I772" s="7" t="n"/>
      <c r="J772" s="32" t="n"/>
      <c r="K772" s="24" t="n"/>
      <c r="L772" s="36" t="n">
        <v>150</v>
      </c>
      <c r="M772" s="204" t="n">
        <v>5</v>
      </c>
      <c r="N772" s="177" t="n">
        <v>1</v>
      </c>
      <c r="O772" s="13" t="n"/>
      <c r="P772" s="139" t="inlineStr">
        <is>
          <t>kilos</t>
        </is>
      </c>
      <c r="Q772" s="2" t="n"/>
      <c r="R772" s="1" t="n"/>
      <c r="S772" s="229">
        <f>M772*N772</f>
        <v/>
      </c>
      <c r="T772" s="230">
        <f>CONCATENATE(S772,Q772,P772)</f>
        <v/>
      </c>
      <c r="U772" s="206">
        <f>L772*M772</f>
        <v/>
      </c>
      <c r="V772" s="4" t="n"/>
      <c r="W772" s="4" t="n"/>
      <c r="X772" s="4" t="n"/>
    </row>
    <row r="773" ht="15.75" customHeight="1" thickBot="1">
      <c r="A773" s="186" t="n">
        <v>475</v>
      </c>
      <c r="B773" s="214" t="inlineStr">
        <is>
          <t>Bangus - Boneless</t>
        </is>
      </c>
      <c r="C773" s="124" t="n"/>
      <c r="D773" s="115" t="n"/>
      <c r="E773" s="124" t="n"/>
      <c r="F773" s="124" t="n"/>
      <c r="G773" s="124" t="n"/>
      <c r="H773" s="84" t="n"/>
      <c r="I773" s="7" t="n"/>
      <c r="J773" s="32" t="inlineStr">
        <is>
          <t>Sarangani Bay</t>
        </is>
      </c>
      <c r="K773" s="24" t="n"/>
      <c r="L773" s="36" t="n">
        <v>265</v>
      </c>
      <c r="M773" s="204" t="n">
        <v>1</v>
      </c>
      <c r="N773" s="177" t="n">
        <v>1</v>
      </c>
      <c r="O773" s="13" t="n"/>
      <c r="P773" s="139" t="inlineStr">
        <is>
          <t>kilos</t>
        </is>
      </c>
      <c r="Q773" s="2" t="n"/>
      <c r="R773" s="1" t="n"/>
      <c r="S773" s="229">
        <f>M773*N773</f>
        <v/>
      </c>
      <c r="T773" s="230">
        <f>CONCATENATE(S773,Q773,P773)</f>
        <v/>
      </c>
      <c r="U773" s="206">
        <f>L773*M773</f>
        <v/>
      </c>
      <c r="V773" s="4" t="n"/>
      <c r="W773" s="4" t="n"/>
      <c r="X773" s="4" t="n"/>
    </row>
    <row r="774" ht="15.75" customHeight="1" thickBot="1">
      <c r="A774" s="186" t="n">
        <v>476</v>
      </c>
      <c r="B774" s="215" t="inlineStr">
        <is>
          <t>Barako Grind</t>
        </is>
      </c>
      <c r="C774" s="124" t="n"/>
      <c r="D774" s="115" t="n"/>
      <c r="E774" s="124" t="n"/>
      <c r="F774" s="124" t="n"/>
      <c r="G774" s="124" t="n"/>
      <c r="H774" s="84" t="n"/>
      <c r="I774" s="7" t="n"/>
      <c r="J774" s="32" t="inlineStr">
        <is>
          <t>Gourmet</t>
        </is>
      </c>
      <c r="K774" s="24" t="n"/>
      <c r="L774" s="36" t="n">
        <v>559</v>
      </c>
      <c r="M774" s="204" t="n">
        <v>1</v>
      </c>
      <c r="N774" s="177" t="n">
        <v>1000</v>
      </c>
      <c r="O774" s="13" t="n"/>
      <c r="P774" s="139" t="inlineStr">
        <is>
          <t>grams</t>
        </is>
      </c>
      <c r="Q774" s="2" t="n"/>
      <c r="R774" s="1" t="n"/>
      <c r="S774" s="229">
        <f>M774*N774</f>
        <v/>
      </c>
      <c r="T774" s="230">
        <f>CONCATENATE(S774,Q774,P774)</f>
        <v/>
      </c>
      <c r="U774" s="206">
        <f>L774*M774</f>
        <v/>
      </c>
      <c r="V774" s="4" t="n"/>
      <c r="W774" s="4" t="n"/>
      <c r="X774" s="4" t="n"/>
    </row>
    <row r="775" ht="15.75" customHeight="1" thickBot="1">
      <c r="A775" s="186" t="n">
        <v>477</v>
      </c>
      <c r="B775" s="214" t="inlineStr">
        <is>
          <t>Barbecue Stick</t>
        </is>
      </c>
      <c r="C775" s="124" t="n"/>
      <c r="D775" s="115" t="n"/>
      <c r="E775" s="124" t="n"/>
      <c r="F775" s="124" t="n"/>
      <c r="G775" s="124" t="n"/>
      <c r="H775" s="84" t="n"/>
      <c r="I775" s="7" t="n"/>
      <c r="J775" s="32" t="inlineStr">
        <is>
          <t>Stack and Stock</t>
        </is>
      </c>
      <c r="K775" s="24" t="n"/>
      <c r="L775" s="36" t="n">
        <v>34.75</v>
      </c>
      <c r="M775" s="204" t="n">
        <v>2</v>
      </c>
      <c r="N775" s="177" t="n">
        <v>1</v>
      </c>
      <c r="O775" s="13" t="n"/>
      <c r="P775" s="139" t="inlineStr">
        <is>
          <t>packs</t>
        </is>
      </c>
      <c r="Q775" s="2" t="n"/>
      <c r="R775" s="1" t="n"/>
      <c r="S775" s="229">
        <f>M775*N775</f>
        <v/>
      </c>
      <c r="T775" s="230">
        <f>CONCATENATE(S775,Q775,P775)</f>
        <v/>
      </c>
      <c r="U775" s="206">
        <f>L775*M775</f>
        <v/>
      </c>
      <c r="V775" s="4" t="n"/>
      <c r="W775" s="4" t="n"/>
      <c r="X775" s="4" t="n"/>
    </row>
    <row r="776" ht="15.75" customHeight="1" thickBot="1">
      <c r="A776" s="186" t="n">
        <v>477</v>
      </c>
      <c r="B776" s="214" t="inlineStr">
        <is>
          <t>Barbecue Stick</t>
        </is>
      </c>
      <c r="C776" s="124" t="n"/>
      <c r="D776" s="115" t="n"/>
      <c r="E776" s="124" t="n"/>
      <c r="F776" s="124" t="n"/>
      <c r="G776" s="124" t="n"/>
      <c r="H776" s="84" t="n"/>
      <c r="I776" s="7" t="n"/>
      <c r="J776" s="32" t="inlineStr">
        <is>
          <t>Mama Sita's</t>
        </is>
      </c>
      <c r="K776" s="24" t="n"/>
      <c r="L776" s="36" t="n">
        <v>32</v>
      </c>
      <c r="M776" s="204" t="n">
        <v>1</v>
      </c>
      <c r="N776" s="177" t="n">
        <v>110</v>
      </c>
      <c r="O776" s="13" t="n"/>
      <c r="P776" s="139" t="inlineStr">
        <is>
          <t>grams</t>
        </is>
      </c>
      <c r="Q776" s="2" t="n"/>
      <c r="R776" s="1" t="n"/>
      <c r="S776" s="229">
        <f>M776*N776</f>
        <v/>
      </c>
      <c r="T776" s="230">
        <f>CONCATENATE(S776,Q776,P776)</f>
        <v/>
      </c>
      <c r="U776" s="206">
        <f>L776*M776</f>
        <v/>
      </c>
      <c r="V776" s="4" t="n"/>
      <c r="W776" s="4" t="n"/>
      <c r="X776" s="4" t="n"/>
    </row>
    <row r="777" ht="15.75" customHeight="1" thickBot="1">
      <c r="A777" s="186" t="n">
        <v>478</v>
      </c>
      <c r="B777" s="215" t="inlineStr">
        <is>
          <t>Barbeque Marinade</t>
        </is>
      </c>
      <c r="C777" s="124" t="n"/>
      <c r="D777" s="115" t="n"/>
      <c r="E777" s="124" t="n"/>
      <c r="F777" s="124" t="n"/>
      <c r="G777" s="124" t="n"/>
      <c r="H777" s="84" t="n"/>
      <c r="I777" s="7" t="n"/>
      <c r="J777" s="32" t="inlineStr">
        <is>
          <t>Mama Sita's</t>
        </is>
      </c>
      <c r="K777" s="24" t="n"/>
      <c r="L777" s="36" t="n">
        <v>77</v>
      </c>
      <c r="M777" s="204" t="n">
        <v>1</v>
      </c>
      <c r="N777" s="177" t="n">
        <v>350</v>
      </c>
      <c r="O777" s="13" t="n"/>
      <c r="P777" s="139" t="inlineStr">
        <is>
          <t>ml</t>
        </is>
      </c>
      <c r="Q777" s="2" t="n"/>
      <c r="R777" s="1" t="n"/>
      <c r="S777" s="229">
        <f>M777*N777</f>
        <v/>
      </c>
      <c r="T777" s="230">
        <f>CONCATENATE(S777,Q777,P777)</f>
        <v/>
      </c>
      <c r="U777" s="206">
        <f>L777*M777</f>
        <v/>
      </c>
      <c r="V777" s="4" t="n"/>
      <c r="W777" s="4" t="n"/>
      <c r="X777" s="4" t="n"/>
    </row>
    <row r="778" ht="15.75" customHeight="1" thickBot="1">
      <c r="A778" s="186" t="n">
        <v>479</v>
      </c>
      <c r="B778" s="214" t="inlineStr">
        <is>
          <t>Barbeque Stick</t>
        </is>
      </c>
      <c r="C778" s="124" t="n"/>
      <c r="D778" s="115" t="n"/>
      <c r="E778" s="124" t="n"/>
      <c r="F778" s="124" t="n"/>
      <c r="G778" s="124" t="n"/>
      <c r="H778" s="84" t="n"/>
      <c r="I778" s="7" t="n"/>
      <c r="J778" s="32" t="inlineStr">
        <is>
          <t>Uncle John's</t>
        </is>
      </c>
      <c r="K778" s="24" t="n"/>
      <c r="L778" s="36" t="n">
        <v>17</v>
      </c>
      <c r="M778" s="204" t="n">
        <v>3</v>
      </c>
      <c r="N778" s="177" t="n">
        <v>1</v>
      </c>
      <c r="O778" s="13" t="n"/>
      <c r="P778" s="139" t="inlineStr">
        <is>
          <t>packs</t>
        </is>
      </c>
      <c r="Q778" s="2" t="n"/>
      <c r="R778" s="1" t="n"/>
      <c r="S778" s="229">
        <f>M778*N778</f>
        <v/>
      </c>
      <c r="T778" s="230">
        <f>CONCATENATE(S778,Q778,P778)</f>
        <v/>
      </c>
      <c r="U778" s="206">
        <f>L778*M778</f>
        <v/>
      </c>
      <c r="V778" s="4" t="n"/>
      <c r="W778" s="4" t="n"/>
      <c r="X778" s="4" t="n"/>
    </row>
    <row r="779" ht="15.75" customHeight="1" thickBot="1">
      <c r="A779" s="186" t="n">
        <v>479</v>
      </c>
      <c r="B779" s="214" t="inlineStr">
        <is>
          <t>Barbeque Stick</t>
        </is>
      </c>
      <c r="C779" s="124" t="n"/>
      <c r="D779" s="115" t="n"/>
      <c r="E779" s="124" t="n"/>
      <c r="F779" s="124" t="n"/>
      <c r="G779" s="124" t="n"/>
      <c r="H779" s="84" t="n"/>
      <c r="I779" s="7" t="n"/>
      <c r="J779" s="32" t="inlineStr">
        <is>
          <t>Suy Sing - My Everyday</t>
        </is>
      </c>
      <c r="K779" s="24" t="n"/>
      <c r="L779" s="36" t="n">
        <v>25.56</v>
      </c>
      <c r="M779" s="204" t="n">
        <v>9</v>
      </c>
      <c r="N779" s="177" t="n">
        <v>100</v>
      </c>
      <c r="O779" s="13" t="n"/>
      <c r="P779" s="139" t="inlineStr">
        <is>
          <t>pieces</t>
        </is>
      </c>
      <c r="Q779" s="2" t="n"/>
      <c r="R779" s="1" t="n"/>
      <c r="S779" s="229">
        <f>M779*N779</f>
        <v/>
      </c>
      <c r="T779" s="230">
        <f>CONCATENATE(S779,Q779,P779)</f>
        <v/>
      </c>
      <c r="U779" s="206">
        <f>L779*M779</f>
        <v/>
      </c>
      <c r="V779" s="4" t="n"/>
      <c r="W779" s="4" t="n"/>
      <c r="X779" s="4" t="n"/>
    </row>
    <row r="780" ht="15.75" customHeight="1" thickBot="1">
      <c r="A780" s="186" t="n">
        <v>479</v>
      </c>
      <c r="B780" s="214" t="inlineStr">
        <is>
          <t>Barbeque Stick</t>
        </is>
      </c>
      <c r="C780" s="124" t="n"/>
      <c r="D780" s="115" t="n"/>
      <c r="E780" s="124" t="n"/>
      <c r="F780" s="124" t="n"/>
      <c r="G780" s="124" t="n"/>
      <c r="H780" s="84" t="n"/>
      <c r="I780" s="7" t="n"/>
      <c r="J780" s="32" t="inlineStr">
        <is>
          <t>Uncle John's</t>
        </is>
      </c>
      <c r="K780" s="24" t="n"/>
      <c r="L780" s="36" t="n">
        <v>25</v>
      </c>
      <c r="M780" s="204" t="n">
        <v>1</v>
      </c>
      <c r="N780" s="177" t="n">
        <v>1</v>
      </c>
      <c r="O780" s="13" t="n"/>
      <c r="P780" s="139" t="inlineStr">
        <is>
          <t>packs</t>
        </is>
      </c>
      <c r="Q780" s="2" t="n"/>
      <c r="R780" s="1" t="n"/>
      <c r="S780" s="229">
        <f>M780*N780</f>
        <v/>
      </c>
      <c r="T780" s="230">
        <f>CONCATENATE(S780,Q780,P780)</f>
        <v/>
      </c>
      <c r="U780" s="206">
        <f>L780*M780</f>
        <v/>
      </c>
      <c r="V780" s="4" t="n"/>
      <c r="W780" s="4" t="n"/>
      <c r="X780" s="4" t="n"/>
    </row>
    <row r="781" ht="15.75" customHeight="1" thickBot="1">
      <c r="A781" s="186" t="n">
        <v>479</v>
      </c>
      <c r="B781" s="214" t="inlineStr">
        <is>
          <t>Barbeque Stick</t>
        </is>
      </c>
      <c r="C781" s="124" t="n"/>
      <c r="D781" s="115" t="n"/>
      <c r="E781" s="124" t="n"/>
      <c r="F781" s="124" t="n"/>
      <c r="G781" s="124" t="n"/>
      <c r="H781" s="84" t="n"/>
      <c r="I781" s="7" t="n"/>
      <c r="J781" s="32" t="inlineStr">
        <is>
          <t>Super 8</t>
        </is>
      </c>
      <c r="K781" s="24" t="n"/>
      <c r="L781" s="36" t="n">
        <v>18</v>
      </c>
      <c r="M781" s="204" t="n">
        <v>4</v>
      </c>
      <c r="N781" s="177" t="n">
        <v>1</v>
      </c>
      <c r="O781" s="13" t="n"/>
      <c r="P781" s="139" t="inlineStr">
        <is>
          <t>packs</t>
        </is>
      </c>
      <c r="Q781" s="2" t="n"/>
      <c r="R781" s="1" t="n"/>
      <c r="S781" s="229">
        <f>M781*N781</f>
        <v/>
      </c>
      <c r="T781" s="230">
        <f>CONCATENATE(S781,Q781,P781)</f>
        <v/>
      </c>
      <c r="U781" s="206">
        <f>L781*M781</f>
        <v/>
      </c>
      <c r="V781" s="4" t="n"/>
      <c r="W781" s="4" t="n"/>
      <c r="X781" s="4" t="n"/>
    </row>
    <row r="782" ht="15.75" customHeight="1" thickBot="1">
      <c r="A782" s="186" t="n">
        <v>479</v>
      </c>
      <c r="B782" s="214" t="inlineStr">
        <is>
          <t>Barbeque Stick</t>
        </is>
      </c>
      <c r="C782" s="124" t="n"/>
      <c r="D782" s="115" t="n"/>
      <c r="E782" s="124" t="n"/>
      <c r="F782" s="124" t="n"/>
      <c r="G782" s="124" t="n"/>
      <c r="H782" s="84" t="n"/>
      <c r="I782" s="7" t="n"/>
      <c r="J782" s="32" t="n"/>
      <c r="K782" s="24" t="n"/>
      <c r="L782" s="36" t="n">
        <v>22.27</v>
      </c>
      <c r="M782" s="204" t="n">
        <v>1</v>
      </c>
      <c r="N782" s="177" t="n">
        <v>100</v>
      </c>
      <c r="O782" s="13" t="n"/>
      <c r="P782" s="139" t="inlineStr">
        <is>
          <t>pieces</t>
        </is>
      </c>
      <c r="Q782" s="2" t="n"/>
      <c r="R782" s="1" t="n"/>
      <c r="S782" s="229">
        <f>M782*N782</f>
        <v/>
      </c>
      <c r="T782" s="230">
        <f>CONCATENATE(S782,Q782,P782)</f>
        <v/>
      </c>
      <c r="U782" s="206">
        <f>L782*M782</f>
        <v/>
      </c>
      <c r="V782" s="4" t="n"/>
      <c r="W782" s="4" t="n"/>
      <c r="X782" s="4" t="n"/>
    </row>
    <row r="783" ht="15.75" customHeight="1" thickBot="1">
      <c r="A783" s="186" t="n">
        <v>480</v>
      </c>
      <c r="B783" s="215" t="inlineStr">
        <is>
          <t>Basil Leaves Whole</t>
        </is>
      </c>
      <c r="C783" s="124" t="n"/>
      <c r="D783" s="115" t="n"/>
      <c r="E783" s="124" t="n"/>
      <c r="F783" s="124" t="n"/>
      <c r="G783" s="124" t="n"/>
      <c r="H783" s="84" t="n"/>
      <c r="I783" s="7" t="n"/>
      <c r="J783" s="32" t="inlineStr">
        <is>
          <t>McCormick</t>
        </is>
      </c>
      <c r="K783" s="24" t="n"/>
      <c r="L783" s="36" t="n">
        <v>68</v>
      </c>
      <c r="M783" s="204" t="n">
        <v>1</v>
      </c>
      <c r="N783" s="177" t="n">
        <v>9</v>
      </c>
      <c r="O783" s="13" t="n"/>
      <c r="P783" s="139" t="inlineStr">
        <is>
          <t>grams</t>
        </is>
      </c>
      <c r="Q783" s="2" t="n"/>
      <c r="R783" s="1" t="n"/>
      <c r="S783" s="229">
        <f>M783*N783</f>
        <v/>
      </c>
      <c r="T783" s="230">
        <f>CONCATENATE(S783,Q783,P783)</f>
        <v/>
      </c>
      <c r="U783" s="206">
        <f>L783*M783</f>
        <v/>
      </c>
      <c r="V783" s="4" t="n"/>
      <c r="W783" s="4" t="n"/>
      <c r="X783" s="4" t="n"/>
    </row>
    <row r="784" ht="15.75" customHeight="1" thickBot="1">
      <c r="A784" s="186" t="n">
        <v>480</v>
      </c>
      <c r="B784" s="215" t="inlineStr">
        <is>
          <t>Basil Leaves Whole</t>
        </is>
      </c>
      <c r="C784" s="124" t="n"/>
      <c r="D784" s="115" t="n"/>
      <c r="E784" s="124" t="n"/>
      <c r="F784" s="124" t="n"/>
      <c r="G784" s="124" t="n"/>
      <c r="H784" s="84" t="n"/>
      <c r="I784" s="7" t="n"/>
      <c r="J784" s="32" t="inlineStr">
        <is>
          <t>McCormick</t>
        </is>
      </c>
      <c r="K784" s="24" t="n"/>
      <c r="L784" s="36" t="n">
        <v>59.5</v>
      </c>
      <c r="M784" s="204" t="n">
        <v>4</v>
      </c>
      <c r="N784" s="177" t="n">
        <v>9</v>
      </c>
      <c r="O784" s="13" t="n"/>
      <c r="P784" s="139" t="inlineStr">
        <is>
          <t>grams</t>
        </is>
      </c>
      <c r="Q784" s="2" t="n"/>
      <c r="R784" s="1" t="n"/>
      <c r="S784" s="229">
        <f>M784*N784</f>
        <v/>
      </c>
      <c r="T784" s="230">
        <f>CONCATENATE(S784,Q784,P784)</f>
        <v/>
      </c>
      <c r="U784" s="206">
        <f>L784*M784</f>
        <v/>
      </c>
      <c r="V784" s="4" t="n"/>
      <c r="W784" s="4" t="n"/>
      <c r="X784" s="4" t="n"/>
    </row>
    <row r="785" ht="15.75" customHeight="1" thickBot="1">
      <c r="A785" s="186" t="n">
        <v>481</v>
      </c>
      <c r="B785" s="215" t="inlineStr">
        <is>
          <t>Basmati Rice</t>
        </is>
      </c>
      <c r="C785" s="124" t="n"/>
      <c r="D785" s="115" t="n"/>
      <c r="E785" s="124" t="n"/>
      <c r="F785" s="124" t="n"/>
      <c r="G785" s="124" t="n"/>
      <c r="H785" s="84" t="n"/>
      <c r="I785" s="7" t="n"/>
      <c r="J785" s="32" t="inlineStr">
        <is>
          <t>Jordan Farm</t>
        </is>
      </c>
      <c r="K785" s="24" t="n"/>
      <c r="L785" s="36" t="n">
        <v>252</v>
      </c>
      <c r="M785" s="204" t="n">
        <v>1</v>
      </c>
      <c r="N785" s="177" t="n">
        <v>2</v>
      </c>
      <c r="O785" s="13" t="n"/>
      <c r="P785" s="139" t="inlineStr">
        <is>
          <t>kilos</t>
        </is>
      </c>
      <c r="Q785" s="2" t="n"/>
      <c r="R785" s="1" t="n"/>
      <c r="S785" s="229">
        <f>M785*N785</f>
        <v/>
      </c>
      <c r="T785" s="230">
        <f>CONCATENATE(S785,Q785,P785)</f>
        <v/>
      </c>
      <c r="U785" s="206">
        <f>L785*M785</f>
        <v/>
      </c>
      <c r="V785" s="4" t="n"/>
      <c r="W785" s="4" t="n"/>
      <c r="X785" s="4" t="n"/>
    </row>
    <row r="786" ht="15.75" customHeight="1" thickBot="1">
      <c r="A786" s="186" t="n">
        <v>482</v>
      </c>
      <c r="B786" s="214" t="inlineStr">
        <is>
          <t>Bawang</t>
        </is>
      </c>
      <c r="C786" s="124" t="n"/>
      <c r="D786" s="115" t="n"/>
      <c r="E786" s="124" t="n"/>
      <c r="F786" s="124" t="n"/>
      <c r="G786" s="124" t="n"/>
      <c r="H786" s="84" t="n"/>
      <c r="I786" s="7" t="n"/>
      <c r="J786" s="32" t="n"/>
      <c r="K786" s="24" t="n"/>
      <c r="L786" s="36" t="n">
        <v>130</v>
      </c>
      <c r="M786" s="204" t="n">
        <v>2</v>
      </c>
      <c r="N786" s="177" t="n">
        <v>2</v>
      </c>
      <c r="O786" s="13" t="n"/>
      <c r="P786" s="139" t="inlineStr">
        <is>
          <t>kilos</t>
        </is>
      </c>
      <c r="Q786" s="2" t="n"/>
      <c r="R786" s="1" t="n"/>
      <c r="S786" s="229">
        <f>M786*N786</f>
        <v/>
      </c>
      <c r="T786" s="230">
        <f>CONCATENATE(S786,Q786,P786)</f>
        <v/>
      </c>
      <c r="U786" s="206">
        <f>L786*M786</f>
        <v/>
      </c>
      <c r="V786" s="4" t="n"/>
      <c r="W786" s="4" t="n"/>
      <c r="X786" s="4" t="n"/>
    </row>
    <row r="787" ht="15.75" customHeight="1" thickBot="1">
      <c r="A787" s="186" t="n">
        <v>483</v>
      </c>
      <c r="B787" s="214" t="inlineStr">
        <is>
          <t>Beef Giniling</t>
        </is>
      </c>
      <c r="C787" s="124" t="n"/>
      <c r="D787" s="115" t="n"/>
      <c r="E787" s="124" t="n"/>
      <c r="F787" s="124" t="n"/>
      <c r="G787" s="124" t="n"/>
      <c r="H787" s="84" t="n"/>
      <c r="I787" s="7" t="n"/>
      <c r="J787" s="32" t="inlineStr">
        <is>
          <t>Francis Trebajo</t>
        </is>
      </c>
      <c r="K787" s="24" t="n"/>
      <c r="L787" s="36" t="n">
        <v>380</v>
      </c>
      <c r="M787" s="204" t="n">
        <v>7</v>
      </c>
      <c r="N787" s="177" t="n">
        <v>2</v>
      </c>
      <c r="O787" s="13" t="n"/>
      <c r="P787" s="139" t="inlineStr">
        <is>
          <t>kilos</t>
        </is>
      </c>
      <c r="Q787" s="2" t="n"/>
      <c r="R787" s="1" t="n"/>
      <c r="S787" s="229">
        <f>M787*N787</f>
        <v/>
      </c>
      <c r="T787" s="230">
        <f>CONCATENATE(S787,Q787,P787)</f>
        <v/>
      </c>
      <c r="U787" s="206">
        <f>L787*M787</f>
        <v/>
      </c>
      <c r="V787" s="4" t="n"/>
      <c r="W787" s="4" t="n"/>
      <c r="X787" s="4" t="n"/>
    </row>
    <row r="788" ht="15.75" customHeight="1" thickBot="1">
      <c r="A788" s="186" t="n">
        <v>483</v>
      </c>
      <c r="B788" s="214" t="inlineStr">
        <is>
          <t>Beef Giniling</t>
        </is>
      </c>
      <c r="C788" s="124" t="n"/>
      <c r="D788" s="115" t="n"/>
      <c r="E788" s="124" t="n"/>
      <c r="F788" s="124" t="n"/>
      <c r="G788" s="124" t="n"/>
      <c r="H788" s="84" t="n"/>
      <c r="I788" s="7" t="n"/>
      <c r="J788" s="32" t="inlineStr">
        <is>
          <t>Francis Trebajo</t>
        </is>
      </c>
      <c r="K788" s="24" t="n"/>
      <c r="L788" s="36" t="n">
        <v>385</v>
      </c>
      <c r="M788" s="204" t="n">
        <v>3</v>
      </c>
      <c r="N788" s="177" t="n">
        <v>1</v>
      </c>
      <c r="O788" s="13" t="n"/>
      <c r="P788" s="139" t="inlineStr">
        <is>
          <t>kilos</t>
        </is>
      </c>
      <c r="Q788" s="2" t="n"/>
      <c r="R788" s="1" t="n"/>
      <c r="S788" s="229">
        <f>M788*N788</f>
        <v/>
      </c>
      <c r="T788" s="230">
        <f>CONCATENATE(S788,Q788,P788)</f>
        <v/>
      </c>
      <c r="U788" s="206">
        <f>L788*M788</f>
        <v/>
      </c>
      <c r="V788" s="4" t="n"/>
      <c r="W788" s="4" t="n"/>
      <c r="X788" s="4" t="n"/>
    </row>
    <row r="789" ht="15.75" customHeight="1" thickBot="1">
      <c r="A789" s="186" t="n">
        <v>484</v>
      </c>
      <c r="B789" s="214" t="inlineStr">
        <is>
          <t>Beef Laman</t>
        </is>
      </c>
      <c r="C789" s="124" t="n"/>
      <c r="D789" s="115" t="n"/>
      <c r="E789" s="124" t="n"/>
      <c r="F789" s="124" t="n"/>
      <c r="G789" s="124" t="n"/>
      <c r="H789" s="84" t="n"/>
      <c r="I789" s="7" t="n"/>
      <c r="J789" s="32" t="n"/>
      <c r="K789" s="24" t="n"/>
      <c r="L789" s="36" t="n">
        <v>312</v>
      </c>
      <c r="M789" s="204" t="n">
        <v>20</v>
      </c>
      <c r="N789" s="177" t="n">
        <v>1</v>
      </c>
      <c r="O789" s="13" t="n"/>
      <c r="P789" s="139" t="inlineStr">
        <is>
          <t>kilos</t>
        </is>
      </c>
      <c r="Q789" s="2" t="n"/>
      <c r="R789" s="1" t="n"/>
      <c r="S789" s="229">
        <f>M789*N789</f>
        <v/>
      </c>
      <c r="T789" s="230">
        <f>CONCATENATE(S789,Q789,P789)</f>
        <v/>
      </c>
      <c r="U789" s="206">
        <f>L789*M789</f>
        <v/>
      </c>
      <c r="V789" s="4" t="n"/>
      <c r="W789" s="4" t="n"/>
      <c r="X789" s="4" t="n"/>
    </row>
    <row r="790" ht="15.75" customHeight="1" thickBot="1">
      <c r="A790" s="186" t="n">
        <v>484</v>
      </c>
      <c r="B790" s="214" t="inlineStr">
        <is>
          <t>Beef Laman</t>
        </is>
      </c>
      <c r="C790" s="124" t="n"/>
      <c r="D790" s="115" t="n"/>
      <c r="E790" s="124" t="n"/>
      <c r="F790" s="124" t="n"/>
      <c r="G790" s="124" t="n"/>
      <c r="H790" s="84" t="n"/>
      <c r="I790" s="7" t="n"/>
      <c r="J790" s="32" t="n"/>
      <c r="K790" s="24" t="n"/>
      <c r="L790" s="36" t="n">
        <v>385</v>
      </c>
      <c r="M790" s="204" t="n">
        <v>13</v>
      </c>
      <c r="N790" s="177" t="n">
        <v>1</v>
      </c>
      <c r="O790" s="13" t="n"/>
      <c r="P790" s="139" t="inlineStr">
        <is>
          <t>kilos</t>
        </is>
      </c>
      <c r="Q790" s="2" t="n"/>
      <c r="R790" s="1" t="n"/>
      <c r="S790" s="229">
        <f>M790*N790</f>
        <v/>
      </c>
      <c r="T790" s="230">
        <f>CONCATENATE(S790,Q790,P790)</f>
        <v/>
      </c>
      <c r="U790" s="206">
        <f>L790*M790</f>
        <v/>
      </c>
      <c r="V790" s="4" t="n"/>
      <c r="W790" s="4" t="n"/>
      <c r="X790" s="4" t="n"/>
    </row>
    <row r="791" ht="15.75" customHeight="1" thickBot="1">
      <c r="A791" s="186" t="n">
        <v>484</v>
      </c>
      <c r="B791" s="214" t="inlineStr">
        <is>
          <t>Beef Laman</t>
        </is>
      </c>
      <c r="C791" s="124" t="n"/>
      <c r="D791" s="115" t="n"/>
      <c r="E791" s="124" t="n"/>
      <c r="F791" s="124" t="n"/>
      <c r="G791" s="124" t="n"/>
      <c r="H791" s="84" t="n"/>
      <c r="I791" s="7" t="n"/>
      <c r="J791" s="32" t="inlineStr">
        <is>
          <t>Francis Trebajo</t>
        </is>
      </c>
      <c r="K791" s="24" t="n"/>
      <c r="L791" s="36" t="n">
        <v>380</v>
      </c>
      <c r="M791" s="204" t="n">
        <v>20</v>
      </c>
      <c r="N791" s="177" t="n">
        <v>1</v>
      </c>
      <c r="O791" s="13" t="n"/>
      <c r="P791" s="139" t="inlineStr">
        <is>
          <t>kilos</t>
        </is>
      </c>
      <c r="Q791" s="2" t="n"/>
      <c r="R791" s="1" t="n"/>
      <c r="S791" s="229">
        <f>M791*N791</f>
        <v/>
      </c>
      <c r="T791" s="230">
        <f>CONCATENATE(S791,Q791,P791)</f>
        <v/>
      </c>
      <c r="U791" s="206">
        <f>L791*M791</f>
        <v/>
      </c>
      <c r="V791" s="4" t="n"/>
      <c r="W791" s="4" t="n"/>
      <c r="X791" s="4" t="n"/>
    </row>
    <row r="792" ht="15.75" customHeight="1" thickBot="1">
      <c r="A792" s="186" t="n">
        <v>484</v>
      </c>
      <c r="B792" s="214" t="inlineStr">
        <is>
          <t>Beef Laman</t>
        </is>
      </c>
      <c r="C792" s="124" t="n"/>
      <c r="D792" s="115" t="n"/>
      <c r="E792" s="124" t="n"/>
      <c r="F792" s="124" t="n"/>
      <c r="G792" s="124" t="n"/>
      <c r="H792" s="84" t="n"/>
      <c r="I792" s="7" t="n"/>
      <c r="J792" s="32" t="inlineStr">
        <is>
          <t>Francis Trebajo</t>
        </is>
      </c>
      <c r="K792" s="24" t="n"/>
      <c r="L792" s="36" t="n">
        <v>385</v>
      </c>
      <c r="M792" s="204" t="n">
        <v>17</v>
      </c>
      <c r="N792" s="177" t="n">
        <v>1</v>
      </c>
      <c r="O792" s="13" t="n"/>
      <c r="P792" s="139" t="inlineStr">
        <is>
          <t>kilos</t>
        </is>
      </c>
      <c r="Q792" s="2" t="n"/>
      <c r="R792" s="1" t="n"/>
      <c r="S792" s="229">
        <f>M792*N792</f>
        <v/>
      </c>
      <c r="T792" s="230">
        <f>CONCATENATE(S792,Q792,P792)</f>
        <v/>
      </c>
      <c r="U792" s="206">
        <f>L792*M792</f>
        <v/>
      </c>
      <c r="V792" s="4" t="n"/>
      <c r="W792" s="4" t="n"/>
      <c r="X792" s="4" t="n"/>
    </row>
    <row r="793" ht="15.75" customHeight="1" thickBot="1">
      <c r="A793" s="186" t="n">
        <v>484</v>
      </c>
      <c r="B793" s="214" t="inlineStr">
        <is>
          <t>Beef Laman</t>
        </is>
      </c>
      <c r="C793" s="124" t="n"/>
      <c r="D793" s="115" t="n"/>
      <c r="E793" s="124" t="n"/>
      <c r="F793" s="124" t="n"/>
      <c r="G793" s="124" t="n"/>
      <c r="H793" s="84" t="n"/>
      <c r="I793" s="7" t="n"/>
      <c r="J793" s="32" t="inlineStr">
        <is>
          <t>K&amp;K Frozen Food Trading</t>
        </is>
      </c>
      <c r="K793" s="24" t="n"/>
      <c r="L793" s="36" t="n">
        <v>320</v>
      </c>
      <c r="M793" s="204" t="n">
        <v>62</v>
      </c>
      <c r="N793" s="177" t="n">
        <v>1</v>
      </c>
      <c r="O793" s="13" t="n"/>
      <c r="P793" s="139" t="inlineStr">
        <is>
          <t>kilos</t>
        </is>
      </c>
      <c r="Q793" s="2" t="n"/>
      <c r="R793" s="1" t="n"/>
      <c r="S793" s="229">
        <f>M793*N793</f>
        <v/>
      </c>
      <c r="T793" s="230">
        <f>CONCATENATE(S793,Q793,P793)</f>
        <v/>
      </c>
      <c r="U793" s="206">
        <f>L793*M793</f>
        <v/>
      </c>
      <c r="V793" s="4" t="n"/>
      <c r="W793" s="4" t="n"/>
      <c r="X793" s="4" t="n"/>
    </row>
    <row r="794" ht="15.75" customHeight="1" thickBot="1">
      <c r="A794" s="186" t="n">
        <v>22</v>
      </c>
      <c r="B794" s="214" t="inlineStr">
        <is>
          <t>Beef Loaf</t>
        </is>
      </c>
      <c r="C794" s="124" t="n"/>
      <c r="D794" s="115" t="n"/>
      <c r="E794" s="124" t="n"/>
      <c r="F794" s="124" t="n"/>
      <c r="G794" s="124" t="n"/>
      <c r="H794" s="84" t="n"/>
      <c r="I794" s="7" t="n"/>
      <c r="J794" s="32" t="inlineStr">
        <is>
          <t>Century - Argentina</t>
        </is>
      </c>
      <c r="K794" s="24" t="n"/>
      <c r="L794" s="36" t="n">
        <v>31</v>
      </c>
      <c r="M794" s="204" t="n">
        <v>4</v>
      </c>
      <c r="N794" s="177" t="n">
        <v>250</v>
      </c>
      <c r="O794" s="13" t="n"/>
      <c r="P794" s="139" t="inlineStr">
        <is>
          <t>grams</t>
        </is>
      </c>
      <c r="Q794" s="2" t="n"/>
      <c r="R794" s="1" t="n"/>
      <c r="S794" s="229">
        <f>M794*N794</f>
        <v/>
      </c>
      <c r="T794" s="230">
        <f>CONCATENATE(S794,Q794,P794)</f>
        <v/>
      </c>
      <c r="U794" s="206">
        <f>L794*M794</f>
        <v/>
      </c>
      <c r="V794" s="4" t="n"/>
      <c r="W794" s="4" t="n"/>
      <c r="X794" s="4" t="n"/>
    </row>
    <row r="795" ht="15.75" customHeight="1" thickBot="1">
      <c r="A795" s="186" t="n">
        <v>22</v>
      </c>
      <c r="B795" s="214" t="inlineStr">
        <is>
          <t>Beef Loaf</t>
        </is>
      </c>
      <c r="C795" s="124" t="n"/>
      <c r="D795" s="115" t="n"/>
      <c r="E795" s="124" t="n"/>
      <c r="F795" s="124" t="n"/>
      <c r="G795" s="124" t="n"/>
      <c r="H795" s="84" t="n"/>
      <c r="I795" s="7" t="n"/>
      <c r="J795" s="32" t="inlineStr">
        <is>
          <t>Century - Argentina</t>
        </is>
      </c>
      <c r="K795" s="24" t="n"/>
      <c r="L795" s="36" t="n">
        <v>35</v>
      </c>
      <c r="M795" s="204" t="n">
        <v>10</v>
      </c>
      <c r="N795" s="177" t="n">
        <v>250</v>
      </c>
      <c r="O795" s="13" t="n"/>
      <c r="P795" s="139" t="inlineStr">
        <is>
          <t>grams</t>
        </is>
      </c>
      <c r="Q795" s="2" t="n"/>
      <c r="R795" s="1" t="n"/>
      <c r="S795" s="229">
        <f>M795*N795</f>
        <v/>
      </c>
      <c r="T795" s="230">
        <f>CONCATENATE(S795,Q795,P795)</f>
        <v/>
      </c>
      <c r="U795" s="206">
        <f>L795*M795</f>
        <v/>
      </c>
      <c r="V795" s="4" t="n"/>
      <c r="W795" s="4" t="n"/>
      <c r="X795" s="4" t="n"/>
    </row>
    <row r="796" ht="15.75" customHeight="1" thickBot="1">
      <c r="A796" s="186" t="n">
        <v>22</v>
      </c>
      <c r="B796" s="214" t="inlineStr">
        <is>
          <t>Beef Loaf</t>
        </is>
      </c>
      <c r="C796" s="124" t="n"/>
      <c r="D796" s="115" t="n"/>
      <c r="E796" s="124" t="n"/>
      <c r="F796" s="124" t="n"/>
      <c r="G796" s="124" t="n"/>
      <c r="H796" s="84" t="n"/>
      <c r="I796" s="7" t="n"/>
      <c r="J796" s="32" t="inlineStr">
        <is>
          <t>Century - Argentina</t>
        </is>
      </c>
      <c r="K796" s="24" t="n"/>
      <c r="L796" s="36" t="n">
        <v>31</v>
      </c>
      <c r="M796" s="204" t="n">
        <v>3</v>
      </c>
      <c r="N796" s="177" t="n">
        <v>250</v>
      </c>
      <c r="O796" s="13" t="n"/>
      <c r="P796" s="139" t="inlineStr">
        <is>
          <t>grams</t>
        </is>
      </c>
      <c r="Q796" s="2" t="n"/>
      <c r="R796" s="1" t="n"/>
      <c r="S796" s="229">
        <f>M796*N796</f>
        <v/>
      </c>
      <c r="T796" s="230">
        <f>CONCATENATE(S796,Q796,P796)</f>
        <v/>
      </c>
      <c r="U796" s="206">
        <f>L796*M796</f>
        <v/>
      </c>
      <c r="V796" s="4" t="n"/>
      <c r="W796" s="4" t="n"/>
      <c r="X796" s="4" t="n"/>
    </row>
    <row r="797" ht="15.75" customHeight="1" thickBot="1">
      <c r="A797" s="186" t="n">
        <v>22</v>
      </c>
      <c r="B797" s="214" t="inlineStr">
        <is>
          <t>Beef Loaf</t>
        </is>
      </c>
      <c r="C797" s="124" t="n"/>
      <c r="D797" s="115" t="n"/>
      <c r="E797" s="124" t="n"/>
      <c r="F797" s="124" t="n"/>
      <c r="G797" s="124" t="n"/>
      <c r="H797" s="84" t="n"/>
      <c r="I797" s="7" t="n"/>
      <c r="J797" s="32" t="inlineStr">
        <is>
          <t>Century - Argentina</t>
        </is>
      </c>
      <c r="K797" s="24" t="n"/>
      <c r="L797" s="36" t="n">
        <v>31</v>
      </c>
      <c r="M797" s="204" t="n">
        <v>6</v>
      </c>
      <c r="N797" s="177" t="n">
        <v>250</v>
      </c>
      <c r="O797" s="13" t="n"/>
      <c r="P797" s="139" t="inlineStr">
        <is>
          <t>grams</t>
        </is>
      </c>
      <c r="Q797" s="2" t="n"/>
      <c r="R797" s="1" t="n"/>
      <c r="S797" s="229">
        <f>M797*N797</f>
        <v/>
      </c>
      <c r="T797" s="230">
        <f>CONCATENATE(S797,Q797,P797)</f>
        <v/>
      </c>
      <c r="U797" s="206">
        <f>L797*M797</f>
        <v/>
      </c>
      <c r="V797" s="4" t="n"/>
      <c r="W797" s="4" t="n"/>
      <c r="X797" s="4" t="n"/>
    </row>
    <row r="798" ht="15.75" customHeight="1" thickBot="1">
      <c r="A798" s="186" t="n">
        <v>485</v>
      </c>
      <c r="B798" s="214" t="inlineStr">
        <is>
          <t>Bell Pepper</t>
        </is>
      </c>
      <c r="C798" s="124" t="n"/>
      <c r="D798" s="115" t="n"/>
      <c r="E798" s="124" t="n"/>
      <c r="F798" s="124" t="n"/>
      <c r="G798" s="124" t="n"/>
      <c r="H798" s="84" t="n"/>
      <c r="I798" s="7" t="n"/>
      <c r="J798" s="32" t="n"/>
      <c r="K798" s="24" t="n"/>
      <c r="L798" s="36" t="n">
        <v>700</v>
      </c>
      <c r="M798" s="204" t="n">
        <v>0</v>
      </c>
      <c r="N798" s="177" t="n">
        <v>1000</v>
      </c>
      <c r="O798" s="13" t="n"/>
      <c r="P798" s="139" t="inlineStr">
        <is>
          <t>grams</t>
        </is>
      </c>
      <c r="Q798" s="2" t="n"/>
      <c r="R798" s="1" t="n"/>
      <c r="S798" s="229">
        <f>M798*N798</f>
        <v/>
      </c>
      <c r="T798" s="230">
        <f>CONCATENATE(S798,Q798,P798)</f>
        <v/>
      </c>
      <c r="U798" s="206">
        <f>L798*M798</f>
        <v/>
      </c>
      <c r="V798" s="4" t="n"/>
      <c r="W798" s="4" t="n"/>
      <c r="X798" s="4" t="n"/>
    </row>
    <row r="799" ht="15.75" customHeight="1" thickBot="1">
      <c r="A799" s="186" t="n">
        <v>485</v>
      </c>
      <c r="B799" s="214" t="inlineStr">
        <is>
          <t>Bell Pepper</t>
        </is>
      </c>
      <c r="C799" s="124" t="n"/>
      <c r="D799" s="115" t="n"/>
      <c r="E799" s="124" t="n"/>
      <c r="F799" s="124" t="n"/>
      <c r="G799" s="124" t="n"/>
      <c r="H799" s="84" t="n"/>
      <c r="I799" s="7" t="n"/>
      <c r="J799" s="32" t="n"/>
      <c r="K799" s="24" t="n"/>
      <c r="L799" s="36" t="n">
        <v>195</v>
      </c>
      <c r="M799" s="204" t="n">
        <v>0</v>
      </c>
      <c r="N799" s="177" t="n">
        <v>1000</v>
      </c>
      <c r="O799" s="13" t="n"/>
      <c r="P799" s="139" t="inlineStr">
        <is>
          <t>grams</t>
        </is>
      </c>
      <c r="Q799" s="2" t="n"/>
      <c r="R799" s="1" t="n"/>
      <c r="S799" s="229">
        <f>M799*N799</f>
        <v/>
      </c>
      <c r="T799" s="230">
        <f>CONCATENATE(S799,Q799,P799)</f>
        <v/>
      </c>
      <c r="U799" s="206">
        <f>L799*M799</f>
        <v/>
      </c>
      <c r="V799" s="4" t="n"/>
      <c r="W799" s="4" t="n"/>
      <c r="X799" s="4" t="n"/>
    </row>
    <row r="800" ht="15.75" customHeight="1" thickBot="1">
      <c r="A800" s="186" t="n">
        <v>485</v>
      </c>
      <c r="B800" s="214" t="inlineStr">
        <is>
          <t>Bell Pepper</t>
        </is>
      </c>
      <c r="C800" s="124" t="n"/>
      <c r="D800" s="115" t="n"/>
      <c r="E800" s="124" t="n"/>
      <c r="F800" s="124" t="n"/>
      <c r="G800" s="124" t="n"/>
      <c r="H800" s="84" t="n"/>
      <c r="I800" s="7" t="n"/>
      <c r="J800" s="32" t="inlineStr">
        <is>
          <t>Hernan Logmao</t>
        </is>
      </c>
      <c r="K800" s="24" t="n"/>
      <c r="L800" s="36" t="n">
        <v>195</v>
      </c>
      <c r="M800" s="204" t="n">
        <v>0</v>
      </c>
      <c r="N800" s="177" t="n">
        <v>1000</v>
      </c>
      <c r="O800" s="13" t="n"/>
      <c r="P800" s="139" t="inlineStr">
        <is>
          <t>grams</t>
        </is>
      </c>
      <c r="Q800" s="2" t="n"/>
      <c r="R800" s="1" t="n"/>
      <c r="S800" s="229">
        <f>M800*N800</f>
        <v/>
      </c>
      <c r="T800" s="230">
        <f>CONCATENATE(S800,Q800,P800)</f>
        <v/>
      </c>
      <c r="U800" s="206">
        <f>L800*M800</f>
        <v/>
      </c>
      <c r="V800" s="4" t="n"/>
      <c r="W800" s="4" t="n"/>
      <c r="X800" s="4" t="n"/>
    </row>
    <row r="801" ht="15.75" customHeight="1" thickBot="1">
      <c r="A801" s="186" t="n">
        <v>486</v>
      </c>
      <c r="B801" s="214" t="inlineStr">
        <is>
          <t>Bento 5 diviison box</t>
        </is>
      </c>
      <c r="C801" s="124" t="n"/>
      <c r="D801" s="115" t="n"/>
      <c r="E801" s="124" t="n"/>
      <c r="F801" s="124" t="n"/>
      <c r="G801" s="124" t="n"/>
      <c r="H801" s="84" t="n"/>
      <c r="I801" s="7" t="n"/>
      <c r="J801" s="32" t="n"/>
      <c r="K801" s="24" t="n"/>
      <c r="L801" s="36" t="n">
        <v>7</v>
      </c>
      <c r="M801" s="204" t="n">
        <v>8</v>
      </c>
      <c r="N801" s="177" t="n">
        <v>1</v>
      </c>
      <c r="O801" s="13" t="n"/>
      <c r="P801" s="139" t="inlineStr">
        <is>
          <t>pieces</t>
        </is>
      </c>
      <c r="Q801" s="2" t="n"/>
      <c r="R801" s="1" t="n"/>
      <c r="S801" s="229">
        <f>M801*N801</f>
        <v/>
      </c>
      <c r="T801" s="230">
        <f>CONCATENATE(S801,Q801,P801)</f>
        <v/>
      </c>
      <c r="U801" s="206">
        <f>L801*M801</f>
        <v/>
      </c>
      <c r="V801" s="4" t="n"/>
      <c r="W801" s="4" t="n"/>
      <c r="X801" s="4" t="n"/>
    </row>
    <row r="802" ht="15.75" customHeight="1" thickBot="1">
      <c r="A802" s="186" t="n">
        <v>487</v>
      </c>
      <c r="B802" s="214" t="inlineStr">
        <is>
          <t>Bento Box - black</t>
        </is>
      </c>
      <c r="C802" s="124" t="n"/>
      <c r="D802" s="115" t="n"/>
      <c r="E802" s="124" t="n"/>
      <c r="F802" s="124" t="n"/>
      <c r="G802" s="124" t="n"/>
      <c r="H802" s="84" t="n"/>
      <c r="I802" s="7" t="n"/>
      <c r="J802" s="32" t="inlineStr">
        <is>
          <t>3 division</t>
        </is>
      </c>
      <c r="K802" s="24" t="n"/>
      <c r="L802" s="36" t="n">
        <v>10</v>
      </c>
      <c r="M802" s="204" t="n">
        <v>33</v>
      </c>
      <c r="N802" s="177" t="n">
        <v>1</v>
      </c>
      <c r="O802" s="13" t="n"/>
      <c r="P802" s="139" t="inlineStr">
        <is>
          <t>pieces</t>
        </is>
      </c>
      <c r="Q802" s="2" t="n"/>
      <c r="R802" s="1" t="n"/>
      <c r="S802" s="229">
        <f>M802*N802</f>
        <v/>
      </c>
      <c r="T802" s="230">
        <f>CONCATENATE(S802,Q802,P802)</f>
        <v/>
      </c>
      <c r="U802" s="206">
        <f>L802*M802</f>
        <v/>
      </c>
      <c r="V802" s="4" t="n"/>
      <c r="W802" s="4" t="n"/>
      <c r="X802" s="4" t="n"/>
    </row>
    <row r="803" ht="15.75" customHeight="1" thickBot="1">
      <c r="A803" s="186" t="n">
        <v>488</v>
      </c>
      <c r="B803" s="215" t="inlineStr">
        <is>
          <t>Bibingka Flour</t>
        </is>
      </c>
      <c r="C803" s="124" t="n"/>
      <c r="D803" s="115" t="n"/>
      <c r="E803" s="124" t="n"/>
      <c r="F803" s="124" t="n"/>
      <c r="G803" s="124" t="n"/>
      <c r="H803" s="84" t="n"/>
      <c r="I803" s="7" t="n"/>
      <c r="J803" s="32" t="inlineStr">
        <is>
          <t>White King</t>
        </is>
      </c>
      <c r="K803" s="24" t="n"/>
      <c r="L803" s="36" t="n">
        <v>102</v>
      </c>
      <c r="M803" s="204" t="n">
        <v>3</v>
      </c>
      <c r="N803" s="177" t="n">
        <v>500</v>
      </c>
      <c r="O803" s="13" t="n"/>
      <c r="P803" s="139" t="inlineStr">
        <is>
          <t>grams</t>
        </is>
      </c>
      <c r="Q803" s="2" t="n"/>
      <c r="R803" s="1" t="n"/>
      <c r="S803" s="229">
        <f>M803*N803</f>
        <v/>
      </c>
      <c r="T803" s="230">
        <f>CONCATENATE(S803,Q803,P803)</f>
        <v/>
      </c>
      <c r="U803" s="206">
        <f>L803*M803</f>
        <v/>
      </c>
      <c r="V803" s="4" t="n"/>
      <c r="W803" s="4" t="n"/>
      <c r="X803" s="4" t="n"/>
    </row>
    <row r="804" ht="15.75" customHeight="1" thickBot="1">
      <c r="A804" s="186" t="n">
        <v>488</v>
      </c>
      <c r="B804" s="215" t="inlineStr">
        <is>
          <t>Bibingka Flour</t>
        </is>
      </c>
      <c r="C804" s="124" t="n"/>
      <c r="D804" s="115" t="n"/>
      <c r="E804" s="124" t="n"/>
      <c r="F804" s="124" t="n"/>
      <c r="G804" s="124" t="n"/>
      <c r="H804" s="84" t="n"/>
      <c r="I804" s="7" t="n"/>
      <c r="J804" s="32" t="inlineStr">
        <is>
          <t>Sarap Pinoy</t>
        </is>
      </c>
      <c r="K804" s="24" t="n"/>
      <c r="L804" s="36" t="n">
        <v>89</v>
      </c>
      <c r="M804" s="204" t="n">
        <v>2</v>
      </c>
      <c r="N804" s="177" t="n">
        <v>320</v>
      </c>
      <c r="O804" s="13" t="n"/>
      <c r="P804" s="139" t="inlineStr">
        <is>
          <t>grams</t>
        </is>
      </c>
      <c r="Q804" s="2" t="n"/>
      <c r="R804" s="1" t="n"/>
      <c r="S804" s="229">
        <f>M804*N804</f>
        <v/>
      </c>
      <c r="T804" s="230">
        <f>CONCATENATE(S804,Q804,P804)</f>
        <v/>
      </c>
      <c r="U804" s="206">
        <f>L804*M804</f>
        <v/>
      </c>
      <c r="V804" s="4" t="n"/>
      <c r="W804" s="4" t="n"/>
      <c r="X804" s="4" t="n"/>
    </row>
    <row r="805" ht="15.75" customHeight="1" thickBot="1">
      <c r="A805" s="186" t="n">
        <v>25</v>
      </c>
      <c r="B805" s="214" t="inlineStr">
        <is>
          <t>Bihon</t>
        </is>
      </c>
      <c r="C805" s="124" t="n"/>
      <c r="D805" s="115" t="n"/>
      <c r="E805" s="124" t="n"/>
      <c r="F805" s="124" t="n"/>
      <c r="G805" s="124" t="n"/>
      <c r="H805" s="84" t="n"/>
      <c r="I805" s="7" t="n"/>
      <c r="J805" s="32" t="inlineStr">
        <is>
          <t>Super Q</t>
        </is>
      </c>
      <c r="K805" s="24" t="n"/>
      <c r="L805" s="36" t="n">
        <v>41.9</v>
      </c>
      <c r="M805" s="204" t="n">
        <v>6</v>
      </c>
      <c r="N805" s="177" t="n">
        <v>500</v>
      </c>
      <c r="O805" s="13" t="n"/>
      <c r="P805" s="139" t="inlineStr">
        <is>
          <t>grams</t>
        </is>
      </c>
      <c r="Q805" s="2" t="n"/>
      <c r="R805" s="1" t="n"/>
      <c r="S805" s="229">
        <f>M805*N805</f>
        <v/>
      </c>
      <c r="T805" s="230">
        <f>CONCATENATE(S805,Q805,P805)</f>
        <v/>
      </c>
      <c r="U805" s="206">
        <f>L805*M805</f>
        <v/>
      </c>
      <c r="V805" s="4" t="n"/>
      <c r="W805" s="4" t="n"/>
      <c r="X805" s="4" t="n"/>
    </row>
    <row r="806" ht="15.75" customHeight="1" thickBot="1">
      <c r="A806" s="186" t="n">
        <v>25</v>
      </c>
      <c r="B806" s="214" t="inlineStr">
        <is>
          <t>Bihon</t>
        </is>
      </c>
      <c r="C806" s="124" t="n"/>
      <c r="D806" s="115" t="n"/>
      <c r="E806" s="124" t="n"/>
      <c r="F806" s="124" t="n"/>
      <c r="G806" s="124" t="n"/>
      <c r="H806" s="84" t="n"/>
      <c r="I806" s="7" t="n"/>
      <c r="J806" s="32" t="inlineStr">
        <is>
          <t>Super Q</t>
        </is>
      </c>
      <c r="K806" s="24" t="n"/>
      <c r="L806" s="36" t="n">
        <v>41.9</v>
      </c>
      <c r="M806" s="204" t="n">
        <v>28</v>
      </c>
      <c r="N806" s="177" t="n">
        <v>500</v>
      </c>
      <c r="O806" s="13" t="n"/>
      <c r="P806" s="139" t="inlineStr">
        <is>
          <t>grams</t>
        </is>
      </c>
      <c r="Q806" s="2" t="n"/>
      <c r="R806" s="1" t="n"/>
      <c r="S806" s="229">
        <f>M806*N806</f>
        <v/>
      </c>
      <c r="T806" s="230">
        <f>CONCATENATE(S806,Q806,P806)</f>
        <v/>
      </c>
      <c r="U806" s="206">
        <f>L806*M806</f>
        <v/>
      </c>
      <c r="V806" s="4" t="n"/>
      <c r="W806" s="4" t="n"/>
      <c r="X806" s="4" t="n"/>
    </row>
    <row r="807" ht="15.75" customHeight="1" thickBot="1">
      <c r="A807" s="186" t="n">
        <v>25</v>
      </c>
      <c r="B807" s="214" t="inlineStr">
        <is>
          <t>Bihon</t>
        </is>
      </c>
      <c r="C807" s="124" t="n"/>
      <c r="D807" s="115" t="n"/>
      <c r="E807" s="124" t="n"/>
      <c r="F807" s="124" t="n"/>
      <c r="G807" s="124" t="n"/>
      <c r="H807" s="84" t="n"/>
      <c r="I807" s="7" t="n"/>
      <c r="J807" s="32" t="inlineStr">
        <is>
          <t>Super Q</t>
        </is>
      </c>
      <c r="K807" s="24" t="n"/>
      <c r="L807" s="36" t="n">
        <v>41.9</v>
      </c>
      <c r="M807" s="204" t="n">
        <v>4</v>
      </c>
      <c r="N807" s="177" t="n">
        <v>500</v>
      </c>
      <c r="O807" s="13" t="n"/>
      <c r="P807" s="139" t="inlineStr">
        <is>
          <t>grams</t>
        </is>
      </c>
      <c r="Q807" s="2" t="n"/>
      <c r="R807" s="1" t="n"/>
      <c r="S807" s="229">
        <f>M807*N807</f>
        <v/>
      </c>
      <c r="T807" s="230">
        <f>CONCATENATE(S807,Q807,P807)</f>
        <v/>
      </c>
      <c r="U807" s="206">
        <f>L807*M807</f>
        <v/>
      </c>
      <c r="V807" s="4" t="n"/>
      <c r="W807" s="4" t="n"/>
      <c r="X807" s="4" t="n"/>
    </row>
    <row r="808" ht="15.75" customHeight="1" thickBot="1">
      <c r="A808" s="186" t="n">
        <v>25</v>
      </c>
      <c r="B808" s="214" t="inlineStr">
        <is>
          <t>Bihon</t>
        </is>
      </c>
      <c r="C808" s="124" t="n"/>
      <c r="D808" s="115" t="n"/>
      <c r="E808" s="124" t="n"/>
      <c r="F808" s="124" t="n"/>
      <c r="G808" s="124" t="n"/>
      <c r="H808" s="84" t="n"/>
      <c r="I808" s="7" t="n"/>
      <c r="J808" s="32" t="inlineStr">
        <is>
          <t>Super Q</t>
        </is>
      </c>
      <c r="K808" s="24" t="n"/>
      <c r="L808" s="36" t="n">
        <v>41.9</v>
      </c>
      <c r="M808" s="204" t="n">
        <v>2</v>
      </c>
      <c r="N808" s="177" t="n">
        <v>500</v>
      </c>
      <c r="O808" s="13" t="n"/>
      <c r="P808" s="139" t="inlineStr">
        <is>
          <t>grams</t>
        </is>
      </c>
      <c r="Q808" s="2" t="n"/>
      <c r="R808" s="1" t="n"/>
      <c r="S808" s="229">
        <f>M808*N808</f>
        <v/>
      </c>
      <c r="T808" s="230">
        <f>CONCATENATE(S808,Q808,P808)</f>
        <v/>
      </c>
      <c r="U808" s="206">
        <f>L808*M808</f>
        <v/>
      </c>
      <c r="V808" s="4" t="n"/>
      <c r="W808" s="4" t="n"/>
      <c r="X808" s="4" t="n"/>
    </row>
    <row r="809" ht="15.75" customHeight="1" thickBot="1">
      <c r="A809" s="186" t="n">
        <v>25</v>
      </c>
      <c r="B809" s="214" t="inlineStr">
        <is>
          <t>Bihon</t>
        </is>
      </c>
      <c r="C809" s="124" t="n"/>
      <c r="D809" s="115" t="n"/>
      <c r="E809" s="124" t="n"/>
      <c r="F809" s="124" t="n"/>
      <c r="G809" s="124" t="n"/>
      <c r="H809" s="84" t="n"/>
      <c r="I809" s="7" t="n"/>
      <c r="J809" s="32" t="inlineStr">
        <is>
          <t>Hobe</t>
        </is>
      </c>
      <c r="K809" s="24" t="n"/>
      <c r="L809" s="36" t="n">
        <v>78.5</v>
      </c>
      <c r="M809" s="204" t="n">
        <v>1</v>
      </c>
      <c r="N809" s="177" t="n">
        <v>907</v>
      </c>
      <c r="O809" s="13" t="n"/>
      <c r="P809" s="139" t="inlineStr">
        <is>
          <t>grams</t>
        </is>
      </c>
      <c r="Q809" s="2" t="n"/>
      <c r="R809" s="1" t="n"/>
      <c r="S809" s="229">
        <f>M809*N809</f>
        <v/>
      </c>
      <c r="T809" s="230">
        <f>CONCATENATE(S809,Q809,P809)</f>
        <v/>
      </c>
      <c r="U809" s="206">
        <f>L809*M809</f>
        <v/>
      </c>
      <c r="V809" s="4" t="n"/>
      <c r="W809" s="4" t="n"/>
      <c r="X809" s="4" t="n"/>
    </row>
    <row r="810" ht="15.75" customHeight="1" thickBot="1">
      <c r="A810" s="186" t="n">
        <v>25</v>
      </c>
      <c r="B810" s="214" t="inlineStr">
        <is>
          <t>Bihon</t>
        </is>
      </c>
      <c r="C810" s="124" t="n"/>
      <c r="D810" s="115" t="n"/>
      <c r="E810" s="124" t="n"/>
      <c r="F810" s="124" t="n"/>
      <c r="G810" s="124" t="n"/>
      <c r="H810" s="84" t="n"/>
      <c r="I810" s="7" t="n"/>
      <c r="J810" s="32" t="inlineStr">
        <is>
          <t>Super Q</t>
        </is>
      </c>
      <c r="K810" s="24" t="n"/>
      <c r="L810" s="36" t="n">
        <v>41.9</v>
      </c>
      <c r="M810" s="204" t="n">
        <v>7</v>
      </c>
      <c r="N810" s="177" t="n">
        <v>500</v>
      </c>
      <c r="O810" s="13" t="n"/>
      <c r="P810" s="139" t="inlineStr">
        <is>
          <t>grams</t>
        </is>
      </c>
      <c r="Q810" s="2" t="n"/>
      <c r="R810" s="1" t="n"/>
      <c r="S810" s="229">
        <f>M810*N810</f>
        <v/>
      </c>
      <c r="T810" s="230">
        <f>CONCATENATE(S810,Q810,P810)</f>
        <v/>
      </c>
      <c r="U810" s="206">
        <f>L810*M810</f>
        <v/>
      </c>
      <c r="V810" s="4" t="n"/>
      <c r="W810" s="4" t="n"/>
      <c r="X810" s="4" t="n"/>
    </row>
    <row r="811" ht="15.75" customHeight="1" thickBot="1">
      <c r="A811" s="186" t="n">
        <v>25</v>
      </c>
      <c r="B811" s="214" t="inlineStr">
        <is>
          <t>Bihon</t>
        </is>
      </c>
      <c r="C811" s="124" t="n"/>
      <c r="D811" s="115" t="n"/>
      <c r="E811" s="124" t="n"/>
      <c r="F811" s="124" t="n"/>
      <c r="G811" s="124" t="n"/>
      <c r="H811" s="84" t="n"/>
      <c r="I811" s="7" t="n"/>
      <c r="J811" s="32" t="inlineStr">
        <is>
          <t>Hernan Logmao</t>
        </is>
      </c>
      <c r="K811" s="24" t="n"/>
      <c r="L811" s="36" t="n">
        <v>45</v>
      </c>
      <c r="M811" s="204" t="n">
        <v>7</v>
      </c>
      <c r="N811" s="177" t="n">
        <v>500</v>
      </c>
      <c r="O811" s="13" t="n"/>
      <c r="P811" s="139" t="inlineStr">
        <is>
          <t>grams</t>
        </is>
      </c>
      <c r="Q811" s="2" t="n"/>
      <c r="R811" s="1" t="n"/>
      <c r="S811" s="229">
        <f>M811*N811</f>
        <v/>
      </c>
      <c r="T811" s="230">
        <f>CONCATENATE(S811,Q811,P811)</f>
        <v/>
      </c>
      <c r="U811" s="206">
        <f>L811*M811</f>
        <v/>
      </c>
      <c r="V811" s="4" t="n"/>
      <c r="W811" s="4" t="n"/>
      <c r="X811" s="4" t="n"/>
    </row>
    <row r="812" ht="15.75" customHeight="1" thickBot="1">
      <c r="A812" s="186" t="n">
        <v>25</v>
      </c>
      <c r="B812" s="214" t="inlineStr">
        <is>
          <t>Bihon</t>
        </is>
      </c>
      <c r="C812" s="124" t="n"/>
      <c r="D812" s="115" t="n"/>
      <c r="E812" s="124" t="n"/>
      <c r="F812" s="124" t="n"/>
      <c r="G812" s="124" t="n"/>
      <c r="H812" s="84" t="n"/>
      <c r="I812" s="7" t="n"/>
      <c r="J812" s="32" t="inlineStr">
        <is>
          <t>Super Q</t>
        </is>
      </c>
      <c r="K812" s="24" t="n"/>
      <c r="L812" s="36" t="n">
        <v>42</v>
      </c>
      <c r="M812" s="204" t="n">
        <v>3</v>
      </c>
      <c r="N812" s="177" t="n">
        <v>500</v>
      </c>
      <c r="O812" s="13" t="n"/>
      <c r="P812" s="139" t="inlineStr">
        <is>
          <t>grams</t>
        </is>
      </c>
      <c r="Q812" s="2" t="n"/>
      <c r="R812" s="1" t="n"/>
      <c r="S812" s="229">
        <f>M812*N812</f>
        <v/>
      </c>
      <c r="T812" s="230">
        <f>CONCATENATE(S812,Q812,P812)</f>
        <v/>
      </c>
      <c r="U812" s="206">
        <f>L812*M812</f>
        <v/>
      </c>
      <c r="V812" s="4" t="n"/>
      <c r="W812" s="4" t="n"/>
      <c r="X812" s="4" t="n"/>
    </row>
    <row r="813" ht="15.75" customHeight="1" thickBot="1">
      <c r="A813" s="186" t="n">
        <v>25</v>
      </c>
      <c r="B813" s="214" t="inlineStr">
        <is>
          <t>Bihon</t>
        </is>
      </c>
      <c r="C813" s="124" t="n"/>
      <c r="D813" s="115" t="n"/>
      <c r="E813" s="124" t="n"/>
      <c r="F813" s="124" t="n"/>
      <c r="G813" s="124" t="n"/>
      <c r="H813" s="84" t="n"/>
      <c r="I813" s="7" t="n"/>
      <c r="J813" s="32" t="inlineStr">
        <is>
          <t>Super Q</t>
        </is>
      </c>
      <c r="K813" s="24" t="n"/>
      <c r="L813" s="36" t="n">
        <v>41.9</v>
      </c>
      <c r="M813" s="204" t="n">
        <v>3</v>
      </c>
      <c r="N813" s="177" t="n">
        <v>500</v>
      </c>
      <c r="O813" s="13" t="n"/>
      <c r="P813" s="139" t="inlineStr">
        <is>
          <t>grams</t>
        </is>
      </c>
      <c r="Q813" s="2" t="n"/>
      <c r="R813" s="1" t="n"/>
      <c r="S813" s="229">
        <f>M813*N813</f>
        <v/>
      </c>
      <c r="T813" s="230">
        <f>CONCATENATE(S813,Q813,P813)</f>
        <v/>
      </c>
      <c r="U813" s="206">
        <f>L813*M813</f>
        <v/>
      </c>
      <c r="V813" s="4" t="n"/>
      <c r="W813" s="4" t="n"/>
      <c r="X813" s="4" t="n"/>
    </row>
    <row r="814" ht="15.75" customHeight="1" thickBot="1">
      <c r="A814" s="186" t="n">
        <v>489</v>
      </c>
      <c r="B814" s="215" t="inlineStr">
        <is>
          <t>Biscuit Sticks - Choco</t>
        </is>
      </c>
      <c r="C814" s="124" t="n"/>
      <c r="D814" s="115" t="n"/>
      <c r="E814" s="124" t="n"/>
      <c r="F814" s="124" t="n"/>
      <c r="G814" s="124" t="n"/>
      <c r="H814" s="84" t="n"/>
      <c r="I814" s="7" t="n"/>
      <c r="J814" s="32" t="inlineStr">
        <is>
          <t>Jack n Jill - Pretzels</t>
        </is>
      </c>
      <c r="K814" s="24" t="n"/>
      <c r="L814" s="36" t="n">
        <v>12.1</v>
      </c>
      <c r="M814" s="204" t="n">
        <v>1</v>
      </c>
      <c r="N814" s="177" t="n">
        <v>1</v>
      </c>
      <c r="O814" s="13" t="n"/>
      <c r="P814" s="139" t="inlineStr">
        <is>
          <t>pieces</t>
        </is>
      </c>
      <c r="Q814" s="2" t="n"/>
      <c r="R814" s="1" t="n"/>
      <c r="S814" s="229">
        <f>M814*N814</f>
        <v/>
      </c>
      <c r="T814" s="230">
        <f>CONCATENATE(S814,Q814,P814)</f>
        <v/>
      </c>
      <c r="U814" s="206">
        <f>L814*M814</f>
        <v/>
      </c>
      <c r="V814" s="4" t="n"/>
      <c r="W814" s="4" t="n"/>
      <c r="X814" s="4" t="n"/>
    </row>
    <row r="815" ht="15.75" customHeight="1" thickBot="1">
      <c r="A815" s="186" t="n">
        <v>489</v>
      </c>
      <c r="B815" s="215" t="inlineStr">
        <is>
          <t>Biscuit Sticks - Choco</t>
        </is>
      </c>
      <c r="C815" s="124" t="n"/>
      <c r="D815" s="115" t="n"/>
      <c r="E815" s="124" t="n"/>
      <c r="F815" s="124" t="n"/>
      <c r="G815" s="124" t="n"/>
      <c r="H815" s="84" t="n"/>
      <c r="I815" s="7" t="n"/>
      <c r="J815" s="32" t="inlineStr">
        <is>
          <t>Pocky</t>
        </is>
      </c>
      <c r="K815" s="24" t="n"/>
      <c r="L815" s="36" t="n">
        <v>25.52</v>
      </c>
      <c r="M815" s="204" t="n">
        <v>2</v>
      </c>
      <c r="N815" s="177" t="n">
        <v>20</v>
      </c>
      <c r="O815" s="13" t="n"/>
      <c r="P815" s="139" t="inlineStr">
        <is>
          <t>grams</t>
        </is>
      </c>
      <c r="Q815" s="2" t="n"/>
      <c r="R815" s="1" t="n"/>
      <c r="S815" s="229">
        <f>M815*N815</f>
        <v/>
      </c>
      <c r="T815" s="230">
        <f>CONCATENATE(S815,Q815,P815)</f>
        <v/>
      </c>
      <c r="U815" s="206">
        <f>L815*M815</f>
        <v/>
      </c>
      <c r="V815" s="4" t="n"/>
      <c r="W815" s="4" t="n"/>
      <c r="X815" s="4" t="n"/>
    </row>
    <row r="816" ht="15.75" customHeight="1" thickBot="1">
      <c r="A816" s="186" t="n">
        <v>490</v>
      </c>
      <c r="B816" s="215" t="inlineStr">
        <is>
          <t>Biscuit Sticks - Strawberry</t>
        </is>
      </c>
      <c r="C816" s="124" t="n"/>
      <c r="D816" s="115" t="n"/>
      <c r="E816" s="124" t="n"/>
      <c r="F816" s="124" t="n"/>
      <c r="G816" s="124" t="n"/>
      <c r="H816" s="84" t="n"/>
      <c r="I816" s="7" t="n"/>
      <c r="J816" s="32" t="inlineStr">
        <is>
          <t>Pocky</t>
        </is>
      </c>
      <c r="K816" s="24" t="n"/>
      <c r="L816" s="36" t="n">
        <v>25.52</v>
      </c>
      <c r="M816" s="204" t="n">
        <v>3</v>
      </c>
      <c r="N816" s="177" t="n">
        <v>19</v>
      </c>
      <c r="O816" s="13" t="n"/>
      <c r="P816" s="139" t="inlineStr">
        <is>
          <t>grams</t>
        </is>
      </c>
      <c r="Q816" s="2" t="n"/>
      <c r="R816" s="1" t="n"/>
      <c r="S816" s="229">
        <f>M816*N816</f>
        <v/>
      </c>
      <c r="T816" s="230">
        <f>CONCATENATE(S816,Q816,P816)</f>
        <v/>
      </c>
      <c r="U816" s="206">
        <f>L816*M816</f>
        <v/>
      </c>
      <c r="V816" s="4" t="n"/>
      <c r="W816" s="4" t="n"/>
      <c r="X816" s="4" t="n"/>
    </row>
    <row r="817" ht="15.75" customHeight="1" thickBot="1">
      <c r="A817" s="186" t="n">
        <v>491</v>
      </c>
      <c r="B817" s="214" t="inlineStr">
        <is>
          <t>Biscuits</t>
        </is>
      </c>
      <c r="C817" s="124" t="n"/>
      <c r="D817" s="115" t="n"/>
      <c r="E817" s="124" t="n"/>
      <c r="F817" s="124" t="n"/>
      <c r="G817" s="124" t="n"/>
      <c r="H817" s="84" t="n"/>
      <c r="I817" s="7" t="n"/>
      <c r="J817" s="32" t="inlineStr">
        <is>
          <t>Monde - Bingo Choco Orange</t>
        </is>
      </c>
      <c r="K817" s="24" t="n"/>
      <c r="L817" s="36" t="n">
        <v>6</v>
      </c>
      <c r="M817" s="204" t="n">
        <v>154</v>
      </c>
      <c r="N817" s="177" t="n">
        <v>10</v>
      </c>
      <c r="O817" s="13" t="n"/>
      <c r="P817" s="139" t="inlineStr">
        <is>
          <t>pieces</t>
        </is>
      </c>
      <c r="Q817" s="2" t="n"/>
      <c r="R817" s="1" t="n"/>
      <c r="S817" s="229">
        <f>M817*N817</f>
        <v/>
      </c>
      <c r="T817" s="230">
        <f>CONCATENATE(S817,Q817,P817)</f>
        <v/>
      </c>
      <c r="U817" s="206">
        <f>L817*M817</f>
        <v/>
      </c>
      <c r="V817" s="4" t="n"/>
      <c r="W817" s="4" t="n"/>
      <c r="X817" s="4" t="n"/>
    </row>
    <row r="818" ht="15.75" customHeight="1" thickBot="1">
      <c r="A818" s="186" t="n">
        <v>491</v>
      </c>
      <c r="B818" s="214" t="inlineStr">
        <is>
          <t>Biscuits</t>
        </is>
      </c>
      <c r="C818" s="124" t="n"/>
      <c r="D818" s="115" t="n"/>
      <c r="E818" s="124" t="n"/>
      <c r="F818" s="124" t="n"/>
      <c r="G818" s="124" t="n"/>
      <c r="H818" s="84" t="n"/>
      <c r="I818" s="7" t="n"/>
      <c r="J818" s="32" t="inlineStr">
        <is>
          <t>Monde - Bingo Vanilla</t>
        </is>
      </c>
      <c r="K818" s="24" t="n"/>
      <c r="L818" s="36" t="n">
        <v>6</v>
      </c>
      <c r="M818" s="204" t="n">
        <v>100</v>
      </c>
      <c r="N818" s="177" t="n">
        <v>10</v>
      </c>
      <c r="O818" s="13" t="n"/>
      <c r="P818" s="139" t="inlineStr">
        <is>
          <t>pieces</t>
        </is>
      </c>
      <c r="Q818" s="2" t="n"/>
      <c r="R818" s="1" t="n"/>
      <c r="S818" s="229">
        <f>M818*N818</f>
        <v/>
      </c>
      <c r="T818" s="230">
        <f>CONCATENATE(S818,Q818,P818)</f>
        <v/>
      </c>
      <c r="U818" s="206">
        <f>L818*M818</f>
        <v/>
      </c>
      <c r="V818" s="4" t="n"/>
      <c r="W818" s="4" t="n"/>
      <c r="X818" s="4" t="n"/>
    </row>
    <row r="819" ht="15.75" customHeight="1" thickBot="1">
      <c r="A819" s="186" t="n">
        <v>491</v>
      </c>
      <c r="B819" s="215" t="inlineStr">
        <is>
          <t>Biscuits</t>
        </is>
      </c>
      <c r="C819" s="124" t="n"/>
      <c r="D819" s="115" t="n"/>
      <c r="E819" s="124" t="n"/>
      <c r="F819" s="124" t="n"/>
      <c r="G819" s="124" t="n"/>
      <c r="H819" s="84" t="n"/>
      <c r="I819" s="7" t="n"/>
      <c r="J819" s="32" t="inlineStr">
        <is>
          <t>Monde - Bingo</t>
        </is>
      </c>
      <c r="K819" s="24" t="n"/>
      <c r="L819" s="36" t="n">
        <v>6.8</v>
      </c>
      <c r="M819" s="204" t="n">
        <v>3</v>
      </c>
      <c r="N819" s="177" t="n">
        <v>28</v>
      </c>
      <c r="O819" s="13" t="n"/>
      <c r="P819" s="139" t="inlineStr">
        <is>
          <t>grams</t>
        </is>
      </c>
      <c r="Q819" s="2" t="n"/>
      <c r="R819" s="1" t="n"/>
      <c r="S819" s="229">
        <f>M819*N819</f>
        <v/>
      </c>
      <c r="T819" s="230">
        <f>CONCATENATE(S819,Q819,P819)</f>
        <v/>
      </c>
      <c r="U819" s="206">
        <f>L819*M819</f>
        <v/>
      </c>
      <c r="V819" s="4" t="n"/>
      <c r="W819" s="4" t="n"/>
      <c r="X819" s="4" t="n"/>
    </row>
    <row r="820" ht="15.75" customHeight="1" thickBot="1">
      <c r="A820" s="186" t="n">
        <v>491</v>
      </c>
      <c r="B820" s="214" t="inlineStr">
        <is>
          <t>Biscuits</t>
        </is>
      </c>
      <c r="C820" s="124" t="n"/>
      <c r="D820" s="115" t="n"/>
      <c r="E820" s="124" t="n"/>
      <c r="F820" s="124" t="n"/>
      <c r="G820" s="124" t="n"/>
      <c r="H820" s="84" t="n"/>
      <c r="I820" s="7" t="n"/>
      <c r="J820" s="32" t="inlineStr">
        <is>
          <t>Monde - Bingo Double Choco</t>
        </is>
      </c>
      <c r="K820" s="24" t="n"/>
      <c r="L820" s="36" t="n">
        <v>6.05</v>
      </c>
      <c r="M820" s="204" t="n">
        <v>30</v>
      </c>
      <c r="N820" s="177" t="n">
        <v>28</v>
      </c>
      <c r="O820" s="13" t="n"/>
      <c r="P820" s="139" t="inlineStr">
        <is>
          <t>grams</t>
        </is>
      </c>
      <c r="Q820" s="2" t="n"/>
      <c r="R820" s="1" t="n"/>
      <c r="S820" s="229">
        <f>M820*N820</f>
        <v/>
      </c>
      <c r="T820" s="230">
        <f>CONCATENATE(S820,Q820,P820)</f>
        <v/>
      </c>
      <c r="U820" s="206">
        <f>L820*M820</f>
        <v/>
      </c>
      <c r="V820" s="4" t="n"/>
      <c r="W820" s="4" t="n"/>
      <c r="X820" s="4" t="n"/>
    </row>
    <row r="821" ht="15.75" customHeight="1" thickBot="1">
      <c r="A821" s="186" t="n">
        <v>491</v>
      </c>
      <c r="B821" s="214" t="inlineStr">
        <is>
          <t>Biscuits</t>
        </is>
      </c>
      <c r="C821" s="124" t="n"/>
      <c r="D821" s="115" t="n"/>
      <c r="E821" s="124" t="n"/>
      <c r="F821" s="124" t="n"/>
      <c r="G821" s="124" t="n"/>
      <c r="H821" s="84" t="n"/>
      <c r="I821" s="7" t="n"/>
      <c r="J821" s="32" t="inlineStr">
        <is>
          <t>Monde - Bingo Choco Orange</t>
        </is>
      </c>
      <c r="K821" s="24" t="n"/>
      <c r="L821" s="36" t="n">
        <v>6.05</v>
      </c>
      <c r="M821" s="204" t="n">
        <v>60</v>
      </c>
      <c r="N821" s="177" t="n">
        <v>28</v>
      </c>
      <c r="O821" s="13" t="n"/>
      <c r="P821" s="139" t="inlineStr">
        <is>
          <t>grams</t>
        </is>
      </c>
      <c r="Q821" s="2" t="n"/>
      <c r="R821" s="1" t="n"/>
      <c r="S821" s="229">
        <f>M821*N821</f>
        <v/>
      </c>
      <c r="T821" s="230">
        <f>CONCATENATE(S821,Q821,P821)</f>
        <v/>
      </c>
      <c r="U821" s="206">
        <f>L821*M821</f>
        <v/>
      </c>
      <c r="V821" s="4" t="n"/>
      <c r="W821" s="4" t="n"/>
      <c r="X821" s="4" t="n"/>
    </row>
    <row r="822" ht="15.75" customHeight="1" thickBot="1">
      <c r="A822" s="186" t="n">
        <v>491</v>
      </c>
      <c r="B822" s="214" t="inlineStr">
        <is>
          <t>Biscuits</t>
        </is>
      </c>
      <c r="C822" s="124" t="n"/>
      <c r="D822" s="115" t="n"/>
      <c r="E822" s="124" t="n"/>
      <c r="F822" s="124" t="n"/>
      <c r="G822" s="124" t="n"/>
      <c r="H822" s="84" t="n"/>
      <c r="I822" s="7" t="n"/>
      <c r="J822" s="32" t="inlineStr">
        <is>
          <t>Fibisco - Choco Crunchies</t>
        </is>
      </c>
      <c r="K822" s="24" t="n"/>
      <c r="L822" s="36" t="n">
        <v>24.6</v>
      </c>
      <c r="M822" s="204" t="n">
        <v>24</v>
      </c>
      <c r="N822" s="177" t="n">
        <v>60</v>
      </c>
      <c r="O822" s="13" t="n"/>
      <c r="P822" s="139" t="inlineStr">
        <is>
          <t>grams</t>
        </is>
      </c>
      <c r="Q822" s="2" t="n"/>
      <c r="R822" s="1" t="n"/>
      <c r="S822" s="229">
        <f>M822*N822</f>
        <v/>
      </c>
      <c r="T822" s="230">
        <f>CONCATENATE(S822,Q822,P822)</f>
        <v/>
      </c>
      <c r="U822" s="206">
        <f>L822*M822</f>
        <v/>
      </c>
      <c r="V822" s="4" t="n"/>
      <c r="W822" s="4" t="n"/>
      <c r="X822" s="4" t="n"/>
    </row>
    <row r="823" ht="15.75" customHeight="1" thickBot="1">
      <c r="A823" s="186" t="n">
        <v>491</v>
      </c>
      <c r="B823" s="214" t="inlineStr">
        <is>
          <t>Biscuits</t>
        </is>
      </c>
      <c r="C823" s="124" t="n"/>
      <c r="D823" s="115" t="n"/>
      <c r="E823" s="124" t="n"/>
      <c r="F823" s="124" t="n"/>
      <c r="G823" s="124" t="n"/>
      <c r="H823" s="84" t="n"/>
      <c r="I823" s="7" t="n"/>
      <c r="J823" s="32" t="inlineStr">
        <is>
          <t>Fibisco - Choco Mallows</t>
        </is>
      </c>
      <c r="K823" s="24" t="n"/>
      <c r="L823" s="36" t="n">
        <v>36.9</v>
      </c>
      <c r="M823" s="204" t="n">
        <v>3</v>
      </c>
      <c r="N823" s="177" t="n">
        <v>100</v>
      </c>
      <c r="O823" s="13" t="n"/>
      <c r="P823" s="139" t="inlineStr">
        <is>
          <t>grams</t>
        </is>
      </c>
      <c r="Q823" s="2" t="n"/>
      <c r="R823" s="1" t="n"/>
      <c r="S823" s="229">
        <f>M823*N823</f>
        <v/>
      </c>
      <c r="T823" s="230">
        <f>CONCATENATE(S823,Q823,P823)</f>
        <v/>
      </c>
      <c r="U823" s="206">
        <f>L823*M823</f>
        <v/>
      </c>
      <c r="V823" s="4" t="n"/>
      <c r="W823" s="4" t="n"/>
      <c r="X823" s="4" t="n"/>
    </row>
    <row r="824" ht="15.75" customHeight="1" thickBot="1">
      <c r="A824" s="186" t="n">
        <v>491</v>
      </c>
      <c r="B824" s="214" t="inlineStr">
        <is>
          <t>Biscuits</t>
        </is>
      </c>
      <c r="C824" s="124" t="n"/>
      <c r="D824" s="115" t="n"/>
      <c r="E824" s="124" t="n"/>
      <c r="F824" s="124" t="n"/>
      <c r="G824" s="124" t="n"/>
      <c r="H824" s="84" t="n"/>
      <c r="I824" s="7" t="n"/>
      <c r="J824" s="32" t="inlineStr">
        <is>
          <t>Jack n Jill - Cream-O Choco</t>
        </is>
      </c>
      <c r="K824" s="24" t="n"/>
      <c r="L824" s="36" t="n">
        <v>7.07</v>
      </c>
      <c r="M824" s="204" t="n">
        <v>80</v>
      </c>
      <c r="N824" s="177" t="n">
        <v>30</v>
      </c>
      <c r="O824" s="13" t="n"/>
      <c r="P824" s="139" t="inlineStr">
        <is>
          <t>grams</t>
        </is>
      </c>
      <c r="Q824" s="2" t="n"/>
      <c r="R824" s="1" t="n"/>
      <c r="S824" s="229">
        <f>M824*N824</f>
        <v/>
      </c>
      <c r="T824" s="230">
        <f>CONCATENATE(S824,Q824,P824)</f>
        <v/>
      </c>
      <c r="U824" s="206">
        <f>L824*M824</f>
        <v/>
      </c>
      <c r="V824" s="4" t="n"/>
      <c r="W824" s="4" t="n"/>
      <c r="X824" s="4" t="n"/>
    </row>
    <row r="825" ht="15.75" customHeight="1" thickBot="1">
      <c r="A825" s="186" t="n">
        <v>491</v>
      </c>
      <c r="B825" s="214" t="inlineStr">
        <is>
          <t>Biscuits</t>
        </is>
      </c>
      <c r="C825" s="124" t="n"/>
      <c r="D825" s="115" t="n"/>
      <c r="E825" s="124" t="n"/>
      <c r="F825" s="124" t="n"/>
      <c r="G825" s="124" t="n"/>
      <c r="H825" s="84" t="n"/>
      <c r="I825" s="7" t="n"/>
      <c r="J825" s="32" t="inlineStr">
        <is>
          <t>M.Y. San - Fita Spreadz</t>
        </is>
      </c>
      <c r="K825" s="24" t="n"/>
      <c r="L825" s="36" t="n">
        <v>6.71</v>
      </c>
      <c r="M825" s="204" t="n">
        <v>80</v>
      </c>
      <c r="N825" s="177" t="n">
        <v>10</v>
      </c>
      <c r="O825" s="13" t="n"/>
      <c r="P825" s="139" t="inlineStr">
        <is>
          <t>pieces</t>
        </is>
      </c>
      <c r="Q825" s="2" t="n"/>
      <c r="R825" s="1" t="n"/>
      <c r="S825" s="229">
        <f>M825*N825</f>
        <v/>
      </c>
      <c r="T825" s="230">
        <f>CONCATENATE(S825,Q825,P825)</f>
        <v/>
      </c>
      <c r="U825" s="206">
        <f>L825*M825</f>
        <v/>
      </c>
      <c r="V825" s="4" t="n"/>
      <c r="W825" s="4" t="n"/>
      <c r="X825" s="4" t="n"/>
    </row>
    <row r="826" ht="15.75" customHeight="1" thickBot="1">
      <c r="A826" s="186" t="n">
        <v>491</v>
      </c>
      <c r="B826" s="214" t="inlineStr">
        <is>
          <t>Biscuits</t>
        </is>
      </c>
      <c r="C826" s="124" t="n"/>
      <c r="D826" s="115" t="n"/>
      <c r="E826" s="124" t="n"/>
      <c r="F826" s="124" t="n"/>
      <c r="G826" s="124" t="n"/>
      <c r="H826" s="84" t="n"/>
      <c r="I826" s="7" t="n"/>
      <c r="J826" s="32" t="inlineStr">
        <is>
          <t>M.Y. San - Fita</t>
        </is>
      </c>
      <c r="K826" s="24" t="n"/>
      <c r="L826" s="36" t="n">
        <v>17.85</v>
      </c>
      <c r="M826" s="204" t="n">
        <v>56</v>
      </c>
      <c r="N826" s="177" t="n">
        <v>40</v>
      </c>
      <c r="O826" s="13" t="n"/>
      <c r="P826" s="139" t="inlineStr">
        <is>
          <t>pieces</t>
        </is>
      </c>
      <c r="Q826" s="2" t="n"/>
      <c r="R826" s="1" t="n"/>
      <c r="S826" s="229">
        <f>M826*N826</f>
        <v/>
      </c>
      <c r="T826" s="230">
        <f>CONCATENATE(S826,Q826,P826)</f>
        <v/>
      </c>
      <c r="U826" s="206">
        <f>L826*M826</f>
        <v/>
      </c>
      <c r="V826" s="4" t="n"/>
      <c r="W826" s="4" t="n"/>
      <c r="X826" s="4" t="n"/>
    </row>
    <row r="827" ht="15.75" customHeight="1" thickBot="1">
      <c r="A827" s="186" t="n">
        <v>491</v>
      </c>
      <c r="B827" s="214" t="inlineStr">
        <is>
          <t>Biscuits</t>
        </is>
      </c>
      <c r="C827" s="124" t="n"/>
      <c r="D827" s="115" t="n"/>
      <c r="E827" s="124" t="n"/>
      <c r="F827" s="124" t="n"/>
      <c r="G827" s="124" t="n"/>
      <c r="H827" s="84" t="n"/>
      <c r="I827" s="7" t="n"/>
      <c r="J827" s="32" t="inlineStr">
        <is>
          <t>Fibisco - Hi-ro Chocolate Cookie Sandwich</t>
        </is>
      </c>
      <c r="K827" s="24" t="n"/>
      <c r="L827" s="36" t="n">
        <v>6.13</v>
      </c>
      <c r="M827" s="204" t="n">
        <v>30</v>
      </c>
      <c r="N827" s="177" t="n">
        <v>33</v>
      </c>
      <c r="O827" s="13" t="n"/>
      <c r="P827" s="139" t="inlineStr">
        <is>
          <t>grams</t>
        </is>
      </c>
      <c r="Q827" s="2" t="n"/>
      <c r="R827" s="1" t="n"/>
      <c r="S827" s="229">
        <f>M827*N827</f>
        <v/>
      </c>
      <c r="T827" s="230">
        <f>CONCATENATE(S827,Q827,P827)</f>
        <v/>
      </c>
      <c r="U827" s="206">
        <f>L827*M827</f>
        <v/>
      </c>
      <c r="V827" s="4" t="n"/>
      <c r="W827" s="4" t="n"/>
      <c r="X827" s="4" t="n"/>
    </row>
    <row r="828" ht="15.75" customHeight="1" thickBot="1">
      <c r="A828" s="186" t="n">
        <v>491</v>
      </c>
      <c r="B828" s="214" t="inlineStr">
        <is>
          <t>Biscuits</t>
        </is>
      </c>
      <c r="C828" s="124" t="n"/>
      <c r="D828" s="115" t="n"/>
      <c r="E828" s="124" t="n"/>
      <c r="F828" s="124" t="n"/>
      <c r="G828" s="124" t="n"/>
      <c r="H828" s="84" t="n"/>
      <c r="I828" s="7" t="n"/>
      <c r="J828" s="32" t="inlineStr">
        <is>
          <t>Jack n Jill - Presto Creams - Choco Vanilla</t>
        </is>
      </c>
      <c r="K828" s="24" t="n"/>
      <c r="L828" s="36" t="n">
        <v>6.29</v>
      </c>
      <c r="M828" s="204" t="n">
        <v>60</v>
      </c>
      <c r="N828" s="177" t="n">
        <v>30</v>
      </c>
      <c r="O828" s="13" t="n"/>
      <c r="P828" s="139" t="inlineStr">
        <is>
          <t>grams</t>
        </is>
      </c>
      <c r="Q828" s="2" t="n"/>
      <c r="R828" s="1" t="n"/>
      <c r="S828" s="229">
        <f>M828*N828</f>
        <v/>
      </c>
      <c r="T828" s="230">
        <f>CONCATENATE(S828,Q828,P828)</f>
        <v/>
      </c>
      <c r="U828" s="206">
        <f>L828*M828</f>
        <v/>
      </c>
      <c r="V828" s="4" t="n"/>
      <c r="W828" s="4" t="n"/>
      <c r="X828" s="4" t="n"/>
    </row>
    <row r="829" ht="15.75" customHeight="1" thickBot="1">
      <c r="A829" s="186" t="n">
        <v>491</v>
      </c>
      <c r="B829" s="214" t="inlineStr">
        <is>
          <t>Biscuits</t>
        </is>
      </c>
      <c r="C829" s="124" t="n"/>
      <c r="D829" s="115" t="n"/>
      <c r="E829" s="124" t="n"/>
      <c r="F829" s="124" t="n"/>
      <c r="G829" s="124" t="n"/>
      <c r="H829" s="84" t="n"/>
      <c r="I829" s="7" t="n"/>
      <c r="J829" s="32" t="inlineStr">
        <is>
          <t>Jack n Jill - Presto Creams - Chocolate</t>
        </is>
      </c>
      <c r="K829" s="24" t="n"/>
      <c r="L829" s="36" t="n">
        <v>6.17</v>
      </c>
      <c r="M829" s="204" t="n">
        <v>30</v>
      </c>
      <c r="N829" s="177" t="n">
        <v>30</v>
      </c>
      <c r="O829" s="13" t="n"/>
      <c r="P829" s="139" t="inlineStr">
        <is>
          <t>grams</t>
        </is>
      </c>
      <c r="Q829" s="2" t="n"/>
      <c r="R829" s="1" t="n"/>
      <c r="S829" s="229">
        <f>M829*N829</f>
        <v/>
      </c>
      <c r="T829" s="230">
        <f>CONCATENATE(S829,Q829,P829)</f>
        <v/>
      </c>
      <c r="U829" s="206">
        <f>L829*M829</f>
        <v/>
      </c>
      <c r="V829" s="4" t="n"/>
      <c r="W829" s="4" t="n"/>
      <c r="X829" s="4" t="n"/>
    </row>
    <row r="830" ht="15.75" customHeight="1" thickBot="1">
      <c r="A830" s="186" t="n">
        <v>491</v>
      </c>
      <c r="B830" s="214" t="inlineStr">
        <is>
          <t>Biscuits</t>
        </is>
      </c>
      <c r="C830" s="124" t="n"/>
      <c r="D830" s="115" t="n"/>
      <c r="E830" s="124" t="n"/>
      <c r="F830" s="124" t="n"/>
      <c r="G830" s="124" t="n"/>
      <c r="H830" s="84" t="n"/>
      <c r="I830" s="7" t="n"/>
      <c r="J830" s="32" t="inlineStr">
        <is>
          <t>Jack n Jill - Presto Creams - Chocolate - Slug</t>
        </is>
      </c>
      <c r="K830" s="24" t="n"/>
      <c r="L830" s="36" t="n">
        <v>17.9</v>
      </c>
      <c r="M830" s="204" t="n">
        <v>3</v>
      </c>
      <c r="N830" s="177" t="n">
        <v>80</v>
      </c>
      <c r="O830" s="13" t="n"/>
      <c r="P830" s="139" t="inlineStr">
        <is>
          <t>grams</t>
        </is>
      </c>
      <c r="Q830" s="2" t="n"/>
      <c r="R830" s="1" t="n"/>
      <c r="S830" s="229">
        <f>M830*N830</f>
        <v/>
      </c>
      <c r="T830" s="230">
        <f>CONCATENATE(S830,Q830,P830)</f>
        <v/>
      </c>
      <c r="U830" s="206">
        <f>L830*M830</f>
        <v/>
      </c>
      <c r="V830" s="4" t="n"/>
      <c r="W830" s="4" t="n"/>
      <c r="X830" s="4" t="n"/>
    </row>
    <row r="831" ht="15.75" customHeight="1" thickBot="1">
      <c r="A831" s="186" t="n">
        <v>491</v>
      </c>
      <c r="B831" s="214" t="inlineStr">
        <is>
          <t>Biscuits</t>
        </is>
      </c>
      <c r="C831" s="124" t="n"/>
      <c r="D831" s="115" t="n"/>
      <c r="E831" s="124" t="n"/>
      <c r="F831" s="124" t="n"/>
      <c r="G831" s="124" t="n"/>
      <c r="H831" s="84" t="n"/>
      <c r="I831" s="7" t="n"/>
      <c r="J831" s="32" t="inlineStr">
        <is>
          <t>M.Y. San - Fita</t>
        </is>
      </c>
      <c r="K831" s="24" t="n"/>
      <c r="L831" s="36" t="n">
        <v>6</v>
      </c>
      <c r="M831" s="204" t="n">
        <v>44</v>
      </c>
      <c r="N831" s="177" t="n">
        <v>10</v>
      </c>
      <c r="O831" s="13" t="n"/>
      <c r="P831" s="139" t="inlineStr">
        <is>
          <t>pieces</t>
        </is>
      </c>
      <c r="Q831" s="2" t="n"/>
      <c r="R831" s="1" t="n"/>
      <c r="S831" s="229">
        <f>M831*N831</f>
        <v/>
      </c>
      <c r="T831" s="230">
        <f>CONCATENATE(S831,Q831,P831)</f>
        <v/>
      </c>
      <c r="U831" s="206">
        <f>L831*M831</f>
        <v/>
      </c>
      <c r="V831" s="4" t="n"/>
      <c r="W831" s="4" t="n"/>
      <c r="X831" s="4" t="n"/>
    </row>
    <row r="832" ht="15.75" customHeight="1" thickBot="1">
      <c r="A832" s="186" t="n">
        <v>491</v>
      </c>
      <c r="B832" s="214" t="inlineStr">
        <is>
          <t>Biscuits</t>
        </is>
      </c>
      <c r="C832" s="124" t="n"/>
      <c r="D832" s="115" t="n"/>
      <c r="E832" s="124" t="n"/>
      <c r="F832" s="124" t="n"/>
      <c r="G832" s="124" t="n"/>
      <c r="H832" s="84" t="n"/>
      <c r="I832" s="7" t="n"/>
      <c r="J832" s="32" t="inlineStr">
        <is>
          <t>M.Y. San - Fita</t>
        </is>
      </c>
      <c r="K832" s="24" t="n"/>
      <c r="L832" s="36" t="n">
        <v>5.8</v>
      </c>
      <c r="M832" s="204" t="n">
        <v>140</v>
      </c>
      <c r="N832" s="177" t="n">
        <v>30</v>
      </c>
      <c r="O832" s="13" t="n"/>
      <c r="P832" s="139" t="inlineStr">
        <is>
          <t>grams</t>
        </is>
      </c>
      <c r="Q832" s="2" t="n"/>
      <c r="R832" s="1" t="n"/>
      <c r="S832" s="229">
        <f>M832*N832</f>
        <v/>
      </c>
      <c r="T832" s="230">
        <f>CONCATENATE(S832,Q832,P832)</f>
        <v/>
      </c>
      <c r="U832" s="206">
        <f>L832*M832</f>
        <v/>
      </c>
      <c r="V832" s="4" t="n"/>
      <c r="W832" s="4" t="n"/>
      <c r="X832" s="4" t="n"/>
    </row>
    <row r="833" ht="15.75" customHeight="1" thickBot="1">
      <c r="A833" s="186" t="n">
        <v>491</v>
      </c>
      <c r="B833" s="214" t="inlineStr">
        <is>
          <t>Biscuits</t>
        </is>
      </c>
      <c r="C833" s="124" t="n"/>
      <c r="D833" s="115" t="n"/>
      <c r="E833" s="124" t="n"/>
      <c r="F833" s="124" t="n"/>
      <c r="G833" s="124" t="n"/>
      <c r="H833" s="84" t="n"/>
      <c r="I833" s="7" t="n"/>
      <c r="J833" s="32" t="inlineStr">
        <is>
          <t>Rebisco - Bravo</t>
        </is>
      </c>
      <c r="K833" s="24" t="n"/>
      <c r="L833" s="36" t="n">
        <v>5.92</v>
      </c>
      <c r="M833" s="204" t="n">
        <v>30</v>
      </c>
      <c r="N833" s="177" t="n">
        <v>10</v>
      </c>
      <c r="O833" s="13" t="n"/>
      <c r="P833" s="139" t="inlineStr">
        <is>
          <t>pieces</t>
        </is>
      </c>
      <c r="Q833" s="2" t="n"/>
      <c r="R833" s="1" t="n"/>
      <c r="S833" s="229">
        <f>M833*N833</f>
        <v/>
      </c>
      <c r="T833" s="230">
        <f>CONCATENATE(S833,Q833,P833)</f>
        <v/>
      </c>
      <c r="U833" s="206">
        <f>L833*M833</f>
        <v/>
      </c>
      <c r="V833" s="4" t="n"/>
      <c r="W833" s="4" t="n"/>
      <c r="X833" s="4" t="n"/>
    </row>
    <row r="834" ht="15.75" customHeight="1" thickBot="1">
      <c r="A834" s="186" t="n">
        <v>491</v>
      </c>
      <c r="B834" s="214" t="inlineStr">
        <is>
          <t>Biscuits</t>
        </is>
      </c>
      <c r="C834" s="124" t="n"/>
      <c r="D834" s="115" t="n"/>
      <c r="E834" s="124" t="n"/>
      <c r="F834" s="124" t="n"/>
      <c r="G834" s="124" t="n"/>
      <c r="H834" s="84" t="n"/>
      <c r="I834" s="7" t="n"/>
      <c r="J834" s="32" t="inlineStr">
        <is>
          <t>Rebisco - Bravo</t>
        </is>
      </c>
      <c r="K834" s="24" t="n"/>
      <c r="L834" s="36" t="n">
        <v>6</v>
      </c>
      <c r="M834" s="204" t="n">
        <v>84</v>
      </c>
      <c r="N834" s="177" t="n">
        <v>10</v>
      </c>
      <c r="O834" s="13" t="n"/>
      <c r="P834" s="139" t="inlineStr">
        <is>
          <t>pieces</t>
        </is>
      </c>
      <c r="Q834" s="2" t="n"/>
      <c r="R834" s="1" t="n"/>
      <c r="S834" s="229">
        <f>M834*N834</f>
        <v/>
      </c>
      <c r="T834" s="230">
        <f>CONCATENATE(S834,Q834,P834)</f>
        <v/>
      </c>
      <c r="U834" s="206">
        <f>L834*M834</f>
        <v/>
      </c>
      <c r="V834" s="4" t="n"/>
      <c r="W834" s="4" t="n"/>
      <c r="X834" s="4" t="n"/>
    </row>
    <row r="835" ht="15.75" customHeight="1" thickBot="1">
      <c r="A835" s="186" t="n">
        <v>491</v>
      </c>
      <c r="B835" s="214" t="inlineStr">
        <is>
          <t>Biscuits</t>
        </is>
      </c>
      <c r="C835" s="124" t="n"/>
      <c r="D835" s="115" t="n"/>
      <c r="E835" s="124" t="n"/>
      <c r="F835" s="124" t="n"/>
      <c r="G835" s="124" t="n"/>
      <c r="H835" s="84" t="n"/>
      <c r="I835" s="7" t="n"/>
      <c r="J835" s="32" t="inlineStr">
        <is>
          <t>Nissin - Butter Coconut</t>
        </is>
      </c>
      <c r="K835" s="24" t="n"/>
      <c r="L835" s="36" t="n">
        <v>5.72</v>
      </c>
      <c r="M835" s="204" t="n">
        <v>47</v>
      </c>
      <c r="N835" s="177" t="n">
        <v>28</v>
      </c>
      <c r="O835" s="13" t="n"/>
      <c r="P835" s="139" t="inlineStr">
        <is>
          <t>grams</t>
        </is>
      </c>
      <c r="Q835" s="2" t="n"/>
      <c r="R835" s="1" t="n"/>
      <c r="S835" s="229">
        <f>M835*N835</f>
        <v/>
      </c>
      <c r="T835" s="230">
        <f>CONCATENATE(S835,Q835,P835)</f>
        <v/>
      </c>
      <c r="U835" s="206">
        <f>L835*M835</f>
        <v/>
      </c>
      <c r="V835" s="4" t="n"/>
      <c r="W835" s="4" t="n"/>
      <c r="X835" s="4" t="n"/>
    </row>
    <row r="836" ht="15.75" customHeight="1" thickBot="1">
      <c r="A836" s="186" t="n">
        <v>491</v>
      </c>
      <c r="B836" s="214" t="inlineStr">
        <is>
          <t>Biscuits</t>
        </is>
      </c>
      <c r="C836" s="124" t="n"/>
      <c r="D836" s="115" t="n"/>
      <c r="E836" s="124" t="n"/>
      <c r="F836" s="124" t="n"/>
      <c r="G836" s="124" t="n"/>
      <c r="H836" s="84" t="n"/>
      <c r="I836" s="7" t="n"/>
      <c r="J836" s="32" t="inlineStr">
        <is>
          <t>Nissin - Butter Coconut</t>
        </is>
      </c>
      <c r="K836" s="24" t="n"/>
      <c r="L836" s="36" t="n">
        <v>22</v>
      </c>
      <c r="M836" s="204" t="n">
        <v>8</v>
      </c>
      <c r="N836" s="177" t="n">
        <v>90</v>
      </c>
      <c r="O836" s="13" t="n"/>
      <c r="P836" s="139" t="inlineStr">
        <is>
          <t>grams</t>
        </is>
      </c>
      <c r="Q836" s="2" t="n"/>
      <c r="R836" s="1" t="n"/>
      <c r="S836" s="229">
        <f>M836*N836</f>
        <v/>
      </c>
      <c r="T836" s="230">
        <f>CONCATENATE(S836,Q836,P836)</f>
        <v/>
      </c>
      <c r="U836" s="206">
        <f>L836*M836</f>
        <v/>
      </c>
      <c r="V836" s="4" t="n"/>
      <c r="W836" s="4" t="n"/>
      <c r="X836" s="4" t="n"/>
    </row>
    <row r="837" ht="15.75" customHeight="1" thickBot="1">
      <c r="A837" s="186" t="n">
        <v>491</v>
      </c>
      <c r="B837" s="214" t="inlineStr">
        <is>
          <t>Biscuits</t>
        </is>
      </c>
      <c r="C837" s="124" t="n"/>
      <c r="D837" s="115" t="n"/>
      <c r="E837" s="124" t="n"/>
      <c r="F837" s="124" t="n"/>
      <c r="G837" s="124" t="n"/>
      <c r="H837" s="84" t="n"/>
      <c r="I837" s="7" t="n"/>
      <c r="J837" s="32" t="inlineStr">
        <is>
          <t>Jack n Jill - Dewberry Strawberry</t>
        </is>
      </c>
      <c r="K837" s="24" t="n"/>
      <c r="L837" s="36" t="n">
        <v>7.39</v>
      </c>
      <c r="M837" s="204" t="n">
        <v>43</v>
      </c>
      <c r="N837" s="177" t="n">
        <v>33</v>
      </c>
      <c r="O837" s="13" t="n"/>
      <c r="P837" s="139" t="inlineStr">
        <is>
          <t>grams</t>
        </is>
      </c>
      <c r="Q837" s="2" t="n"/>
      <c r="R837" s="1" t="n"/>
      <c r="S837" s="229">
        <f>M837*N837</f>
        <v/>
      </c>
      <c r="T837" s="230">
        <f>CONCATENATE(S837,Q837,P837)</f>
        <v/>
      </c>
      <c r="U837" s="206">
        <f>L837*M837</f>
        <v/>
      </c>
      <c r="V837" s="4" t="n"/>
      <c r="W837" s="4" t="n"/>
      <c r="X837" s="4" t="n"/>
    </row>
    <row r="838" ht="15.75" customHeight="1" thickBot="1">
      <c r="A838" s="186" t="n">
        <v>491</v>
      </c>
      <c r="B838" s="214" t="inlineStr">
        <is>
          <t>Biscuits</t>
        </is>
      </c>
      <c r="C838" s="124" t="n"/>
      <c r="D838" s="115" t="n"/>
      <c r="E838" s="124" t="n"/>
      <c r="F838" s="124" t="n"/>
      <c r="G838" s="124" t="n"/>
      <c r="H838" s="84" t="n"/>
      <c r="I838" s="7" t="n"/>
      <c r="J838" s="32" t="inlineStr">
        <is>
          <t>Jack n Jill - Dewberry Strawberry</t>
        </is>
      </c>
      <c r="K838" s="24" t="n"/>
      <c r="L838" s="36" t="n">
        <v>73.90000000000001</v>
      </c>
      <c r="M838" s="204" t="n">
        <v>10</v>
      </c>
      <c r="N838" s="177" t="n">
        <v>33</v>
      </c>
      <c r="O838" s="13" t="n"/>
      <c r="P838" s="139" t="inlineStr">
        <is>
          <t>grams</t>
        </is>
      </c>
      <c r="Q838" s="2" t="n"/>
      <c r="R838" s="1" t="n"/>
      <c r="S838" s="229">
        <f>M838*N838</f>
        <v/>
      </c>
      <c r="T838" s="230">
        <f>CONCATENATE(S838,Q838,P838)</f>
        <v/>
      </c>
      <c r="U838" s="206">
        <f>L838*M838</f>
        <v/>
      </c>
      <c r="V838" s="4" t="n"/>
      <c r="W838" s="4" t="n"/>
      <c r="X838" s="4" t="n"/>
    </row>
    <row r="839" ht="15.75" customHeight="1" thickBot="1">
      <c r="A839" s="186" t="n">
        <v>491</v>
      </c>
      <c r="B839" s="215" t="inlineStr">
        <is>
          <t>Biscuits</t>
        </is>
      </c>
      <c r="C839" s="124" t="n"/>
      <c r="D839" s="115" t="n"/>
      <c r="E839" s="124" t="n"/>
      <c r="F839" s="124" t="n"/>
      <c r="G839" s="124" t="n"/>
      <c r="H839" s="84" t="n"/>
      <c r="I839" s="7" t="n"/>
      <c r="J839" s="32" t="inlineStr">
        <is>
          <t>Fibisco - Choco Crunchies</t>
        </is>
      </c>
      <c r="K839" s="24" t="n"/>
      <c r="L839" s="36" t="n">
        <v>24.5</v>
      </c>
      <c r="M839" s="204" t="n">
        <v>3</v>
      </c>
      <c r="N839" s="177" t="n">
        <v>60</v>
      </c>
      <c r="O839" s="13" t="n"/>
      <c r="P839" s="139" t="inlineStr">
        <is>
          <t>grams</t>
        </is>
      </c>
      <c r="Q839" s="2" t="n"/>
      <c r="R839" s="1" t="n"/>
      <c r="S839" s="229">
        <f>M839*N839</f>
        <v/>
      </c>
      <c r="T839" s="230">
        <f>CONCATENATE(S839,Q839,P839)</f>
        <v/>
      </c>
      <c r="U839" s="206">
        <f>L839*M839</f>
        <v/>
      </c>
      <c r="V839" s="4" t="n"/>
      <c r="W839" s="4" t="n"/>
      <c r="X839" s="4" t="n"/>
    </row>
    <row r="840" ht="15.75" customHeight="1" thickBot="1">
      <c r="A840" s="186" t="n">
        <v>491</v>
      </c>
      <c r="B840" s="215" t="inlineStr">
        <is>
          <t>Biscuits</t>
        </is>
      </c>
      <c r="C840" s="124" t="n"/>
      <c r="D840" s="115" t="n"/>
      <c r="E840" s="124" t="n"/>
      <c r="F840" s="124" t="n"/>
      <c r="G840" s="124" t="n"/>
      <c r="H840" s="84" t="n"/>
      <c r="I840" s="7" t="n"/>
      <c r="J840" s="32" t="inlineStr">
        <is>
          <t>Jack n Jill - Choco Knots</t>
        </is>
      </c>
      <c r="K840" s="24" t="n"/>
      <c r="L840" s="36" t="n">
        <v>7.3</v>
      </c>
      <c r="M840" s="204" t="n">
        <v>8</v>
      </c>
      <c r="N840" s="177" t="n">
        <v>1</v>
      </c>
      <c r="O840" s="13" t="n"/>
      <c r="P840" s="139" t="inlineStr">
        <is>
          <t>pieces</t>
        </is>
      </c>
      <c r="Q840" s="2" t="n"/>
      <c r="R840" s="1" t="n"/>
      <c r="S840" s="229">
        <f>M840*N840</f>
        <v/>
      </c>
      <c r="T840" s="230">
        <f>CONCATENATE(S840,Q840,P840)</f>
        <v/>
      </c>
      <c r="U840" s="206">
        <f>L840*M840</f>
        <v/>
      </c>
      <c r="V840" s="4" t="n"/>
      <c r="W840" s="4" t="n"/>
      <c r="X840" s="4" t="n"/>
    </row>
    <row r="841" ht="15.75" customHeight="1" thickBot="1">
      <c r="A841" s="186" t="n">
        <v>491</v>
      </c>
      <c r="B841" s="215" t="inlineStr">
        <is>
          <t>Biscuits</t>
        </is>
      </c>
      <c r="C841" s="124" t="n"/>
      <c r="D841" s="115" t="n"/>
      <c r="E841" s="124" t="n"/>
      <c r="F841" s="124" t="n"/>
      <c r="G841" s="124" t="n"/>
      <c r="H841" s="84" t="n"/>
      <c r="I841" s="7" t="n"/>
      <c r="J841" s="32" t="inlineStr">
        <is>
          <t>Multirich - Choco Mucho Sandwich Chocolate</t>
        </is>
      </c>
      <c r="K841" s="24" t="n"/>
      <c r="L841" s="36" t="n">
        <v>7.77</v>
      </c>
      <c r="M841" s="204" t="n">
        <v>5</v>
      </c>
      <c r="N841" s="177" t="n">
        <v>1</v>
      </c>
      <c r="O841" s="13" t="n"/>
      <c r="P841" s="139" t="inlineStr">
        <is>
          <t>pieces</t>
        </is>
      </c>
      <c r="Q841" s="2" t="n"/>
      <c r="R841" s="1" t="n"/>
      <c r="S841" s="229">
        <f>M841*N841</f>
        <v/>
      </c>
      <c r="T841" s="230">
        <f>CONCATENATE(S841,Q841,P841)</f>
        <v/>
      </c>
      <c r="U841" s="206">
        <f>L841*M841</f>
        <v/>
      </c>
      <c r="V841" s="4" t="n"/>
      <c r="W841" s="4" t="n"/>
      <c r="X841" s="4" t="n"/>
    </row>
    <row r="842" ht="15.75" customHeight="1" thickBot="1">
      <c r="A842" s="186" t="n">
        <v>491</v>
      </c>
      <c r="B842" s="215" t="inlineStr">
        <is>
          <t>Biscuits</t>
        </is>
      </c>
      <c r="C842" s="124" t="n"/>
      <c r="D842" s="115" t="n"/>
      <c r="E842" s="124" t="n"/>
      <c r="F842" s="124" t="n"/>
      <c r="G842" s="124" t="n"/>
      <c r="H842" s="84" t="n"/>
      <c r="I842" s="7" t="n"/>
      <c r="J842" s="32" t="inlineStr">
        <is>
          <t>Multirich - Choco Mucho Sandwich White</t>
        </is>
      </c>
      <c r="K842" s="24" t="n"/>
      <c r="L842" s="36" t="n">
        <v>7.77</v>
      </c>
      <c r="M842" s="204" t="n">
        <v>1</v>
      </c>
      <c r="N842" s="177" t="n">
        <v>1</v>
      </c>
      <c r="O842" s="13" t="n"/>
      <c r="P842" s="139" t="inlineStr">
        <is>
          <t>pieces</t>
        </is>
      </c>
      <c r="Q842" s="2" t="n"/>
      <c r="R842" s="1" t="n"/>
      <c r="S842" s="229">
        <f>M842*N842</f>
        <v/>
      </c>
      <c r="T842" s="230">
        <f>CONCATENATE(S842,Q842,P842)</f>
        <v/>
      </c>
      <c r="U842" s="206">
        <f>L842*M842</f>
        <v/>
      </c>
      <c r="V842" s="4" t="n"/>
      <c r="W842" s="4" t="n"/>
      <c r="X842" s="4" t="n"/>
    </row>
    <row r="843" ht="15.75" customHeight="1" thickBot="1">
      <c r="A843" s="186" t="n">
        <v>491</v>
      </c>
      <c r="B843" s="215" t="inlineStr">
        <is>
          <t>Biscuits</t>
        </is>
      </c>
      <c r="C843" s="124" t="n"/>
      <c r="D843" s="115" t="n"/>
      <c r="E843" s="124" t="n"/>
      <c r="F843" s="124" t="n"/>
      <c r="G843" s="124" t="n"/>
      <c r="H843" s="84" t="n"/>
      <c r="I843" s="7" t="n"/>
      <c r="J843" s="32" t="inlineStr">
        <is>
          <t>Jack n Jill - Cream-O</t>
        </is>
      </c>
      <c r="K843" s="24" t="n"/>
      <c r="L843" s="36" t="n">
        <v>8.42</v>
      </c>
      <c r="M843" s="204" t="n">
        <v>7</v>
      </c>
      <c r="N843" s="177" t="n">
        <v>57</v>
      </c>
      <c r="O843" s="13" t="n"/>
      <c r="P843" s="139" t="inlineStr">
        <is>
          <t>grams</t>
        </is>
      </c>
      <c r="Q843" s="2" t="n"/>
      <c r="R843" s="1" t="n"/>
      <c r="S843" s="229">
        <f>M843*N843</f>
        <v/>
      </c>
      <c r="T843" s="230">
        <f>CONCATENATE(S843,Q843,P843)</f>
        <v/>
      </c>
      <c r="U843" s="206">
        <f>L843*M843</f>
        <v/>
      </c>
      <c r="V843" s="4" t="n"/>
      <c r="W843" s="4" t="n"/>
      <c r="X843" s="4" t="n"/>
    </row>
    <row r="844" ht="15.75" customHeight="1" thickBot="1">
      <c r="A844" s="186" t="n">
        <v>491</v>
      </c>
      <c r="B844" s="215" t="inlineStr">
        <is>
          <t>Biscuits</t>
        </is>
      </c>
      <c r="C844" s="124" t="n"/>
      <c r="D844" s="115" t="n"/>
      <c r="E844" s="124" t="n"/>
      <c r="F844" s="124" t="n"/>
      <c r="G844" s="124" t="n"/>
      <c r="H844" s="84" t="n"/>
      <c r="I844" s="7" t="n"/>
      <c r="J844" s="32" t="inlineStr">
        <is>
          <t>Jack n Jill - Cream-O Crinkles</t>
        </is>
      </c>
      <c r="K844" s="24" t="n"/>
      <c r="L844" s="36" t="n">
        <v>7.19</v>
      </c>
      <c r="M844" s="204" t="n">
        <v>30</v>
      </c>
      <c r="N844" s="177" t="n">
        <v>30</v>
      </c>
      <c r="O844" s="13" t="n"/>
      <c r="P844" s="139" t="inlineStr">
        <is>
          <t>grams</t>
        </is>
      </c>
      <c r="Q844" s="2" t="n"/>
      <c r="R844" s="1" t="n"/>
      <c r="S844" s="229">
        <f>M844*N844</f>
        <v/>
      </c>
      <c r="T844" s="230">
        <f>CONCATENATE(S844,Q844,P844)</f>
        <v/>
      </c>
      <c r="U844" s="206">
        <f>L844*M844</f>
        <v/>
      </c>
      <c r="V844" s="4" t="n"/>
      <c r="W844" s="4" t="n"/>
      <c r="X844" s="4" t="n"/>
    </row>
    <row r="845" ht="15.75" customHeight="1" thickBot="1">
      <c r="A845" s="186" t="n">
        <v>491</v>
      </c>
      <c r="B845" s="215" t="inlineStr">
        <is>
          <t>Biscuits</t>
        </is>
      </c>
      <c r="C845" s="124" t="n"/>
      <c r="D845" s="115" t="n"/>
      <c r="E845" s="124" t="n"/>
      <c r="F845" s="124" t="n"/>
      <c r="G845" s="124" t="n"/>
      <c r="H845" s="84" t="n"/>
      <c r="I845" s="7" t="n"/>
      <c r="J845" s="32" t="inlineStr">
        <is>
          <t>Jack n Jill - Cream-O Premium</t>
        </is>
      </c>
      <c r="K845" s="24" t="n"/>
      <c r="L845" s="36" t="n">
        <v>16.12</v>
      </c>
      <c r="M845" s="204" t="n">
        <v>36</v>
      </c>
      <c r="N845" s="177" t="n">
        <v>40</v>
      </c>
      <c r="O845" s="13" t="n"/>
      <c r="P845" s="139" t="inlineStr">
        <is>
          <t>grams</t>
        </is>
      </c>
      <c r="Q845" s="2" t="n"/>
      <c r="R845" s="1" t="n"/>
      <c r="S845" s="229">
        <f>M845*N845</f>
        <v/>
      </c>
      <c r="T845" s="230">
        <f>CONCATENATE(S845,Q845,P845)</f>
        <v/>
      </c>
      <c r="U845" s="206">
        <f>L845*M845</f>
        <v/>
      </c>
      <c r="V845" s="4" t="n"/>
      <c r="W845" s="4" t="n"/>
      <c r="X845" s="4" t="n"/>
    </row>
    <row r="846" ht="15.75" customHeight="1" thickBot="1">
      <c r="A846" s="186" t="n">
        <v>491</v>
      </c>
      <c r="B846" s="215" t="inlineStr">
        <is>
          <t>Biscuits</t>
        </is>
      </c>
      <c r="C846" s="124" t="n"/>
      <c r="D846" s="115" t="n"/>
      <c r="E846" s="124" t="n"/>
      <c r="F846" s="124" t="n"/>
      <c r="G846" s="124" t="n"/>
      <c r="H846" s="84" t="n"/>
      <c r="I846" s="7" t="n"/>
      <c r="J846" s="32" t="inlineStr">
        <is>
          <t>Jack n Jill - Cream-O Vanilla</t>
        </is>
      </c>
      <c r="K846" s="24" t="n"/>
      <c r="L846" s="36" t="n">
        <v>7.07</v>
      </c>
      <c r="M846" s="204" t="n">
        <v>30</v>
      </c>
      <c r="N846" s="177" t="n">
        <v>30</v>
      </c>
      <c r="O846" s="13" t="n"/>
      <c r="P846" s="139" t="inlineStr">
        <is>
          <t>grams</t>
        </is>
      </c>
      <c r="Q846" s="2" t="n"/>
      <c r="R846" s="1" t="n"/>
      <c r="S846" s="229">
        <f>M846*N846</f>
        <v/>
      </c>
      <c r="T846" s="230">
        <f>CONCATENATE(S846,Q846,P846)</f>
        <v/>
      </c>
      <c r="U846" s="206">
        <f>L846*M846</f>
        <v/>
      </c>
      <c r="V846" s="4" t="n"/>
      <c r="W846" s="4" t="n"/>
      <c r="X846" s="4" t="n"/>
    </row>
    <row r="847" ht="15.75" customHeight="1" thickBot="1">
      <c r="A847" s="186" t="n">
        <v>491</v>
      </c>
      <c r="B847" s="214" t="inlineStr">
        <is>
          <t>Biscuits</t>
        </is>
      </c>
      <c r="C847" s="124" t="n"/>
      <c r="D847" s="115" t="n"/>
      <c r="E847" s="124" t="n"/>
      <c r="F847" s="124" t="n"/>
      <c r="G847" s="124" t="n"/>
      <c r="H847" s="84" t="n"/>
      <c r="I847" s="7" t="n"/>
      <c r="J847" s="32" t="inlineStr">
        <is>
          <t>Jack n Jill - Dewberry Yogurt - Blueberry Cake</t>
        </is>
      </c>
      <c r="K847" s="24" t="n"/>
      <c r="L847" s="36" t="n">
        <v>8.17</v>
      </c>
      <c r="M847" s="204" t="n">
        <v>30</v>
      </c>
      <c r="N847" s="177" t="n">
        <v>25</v>
      </c>
      <c r="O847" s="13" t="n"/>
      <c r="P847" s="139" t="inlineStr">
        <is>
          <t>grams</t>
        </is>
      </c>
      <c r="Q847" s="2" t="n"/>
      <c r="R847" s="1" t="n"/>
      <c r="S847" s="229">
        <f>M847*N847</f>
        <v/>
      </c>
      <c r="T847" s="230">
        <f>CONCATENATE(S847,Q847,P847)</f>
        <v/>
      </c>
      <c r="U847" s="206">
        <f>L847*M847</f>
        <v/>
      </c>
      <c r="V847" s="4" t="n"/>
      <c r="W847" s="4" t="n"/>
      <c r="X847" s="4" t="n"/>
    </row>
    <row r="848" ht="15.75" customHeight="1" thickBot="1">
      <c r="A848" s="186" t="n">
        <v>491</v>
      </c>
      <c r="B848" s="214" t="inlineStr">
        <is>
          <t>Biscuits</t>
        </is>
      </c>
      <c r="C848" s="124" t="n"/>
      <c r="D848" s="115" t="n"/>
      <c r="E848" s="124" t="n"/>
      <c r="F848" s="124" t="n"/>
      <c r="G848" s="124" t="n"/>
      <c r="H848" s="84" t="n"/>
      <c r="I848" s="7" t="n"/>
      <c r="J848" s="32" t="inlineStr">
        <is>
          <t>Jack n Jill - Dewberry Yogurt - Mango Cake</t>
        </is>
      </c>
      <c r="K848" s="24" t="n"/>
      <c r="L848" s="36" t="n">
        <v>8.050000000000001</v>
      </c>
      <c r="M848" s="204" t="n">
        <v>30</v>
      </c>
      <c r="N848" s="177" t="n">
        <v>25</v>
      </c>
      <c r="O848" s="13" t="n"/>
      <c r="P848" s="139" t="inlineStr">
        <is>
          <t>grams</t>
        </is>
      </c>
      <c r="Q848" s="2" t="n"/>
      <c r="R848" s="1" t="n"/>
      <c r="S848" s="229">
        <f>M848*N848</f>
        <v/>
      </c>
      <c r="T848" s="230">
        <f>CONCATENATE(S848,Q848,P848)</f>
        <v/>
      </c>
      <c r="U848" s="206">
        <f>L848*M848</f>
        <v/>
      </c>
      <c r="V848" s="4" t="n"/>
      <c r="W848" s="4" t="n"/>
      <c r="X848" s="4" t="n"/>
    </row>
    <row r="849" ht="15.75" customHeight="1" thickBot="1">
      <c r="A849" s="186" t="n">
        <v>491</v>
      </c>
      <c r="B849" s="215" t="inlineStr">
        <is>
          <t>Biscuits</t>
        </is>
      </c>
      <c r="C849" s="124" t="n"/>
      <c r="D849" s="115" t="n"/>
      <c r="E849" s="124" t="n"/>
      <c r="F849" s="124" t="n"/>
      <c r="G849" s="124" t="n"/>
      <c r="H849" s="84" t="n"/>
      <c r="I849" s="7" t="n"/>
      <c r="J849" s="32" t="inlineStr">
        <is>
          <t>M.Y. San - Fita</t>
        </is>
      </c>
      <c r="K849" s="24" t="n"/>
      <c r="L849" s="36" t="n">
        <v>5.1</v>
      </c>
      <c r="M849" s="204" t="n">
        <v>3</v>
      </c>
      <c r="N849" s="177" t="n">
        <v>30</v>
      </c>
      <c r="O849" s="13" t="n"/>
      <c r="P849" s="139" t="inlineStr">
        <is>
          <t>grams</t>
        </is>
      </c>
      <c r="Q849" s="2" t="n"/>
      <c r="R849" s="1" t="n"/>
      <c r="S849" s="229">
        <f>M849*N849</f>
        <v/>
      </c>
      <c r="T849" s="230">
        <f>CONCATENATE(S849,Q849,P849)</f>
        <v/>
      </c>
      <c r="U849" s="206">
        <f>L849*M849</f>
        <v/>
      </c>
      <c r="V849" s="4" t="n"/>
      <c r="W849" s="4" t="n"/>
      <c r="X849" s="4" t="n"/>
    </row>
    <row r="850" ht="15.75" customHeight="1" thickBot="1">
      <c r="A850" s="186" t="n">
        <v>491</v>
      </c>
      <c r="B850" s="216" t="inlineStr">
        <is>
          <t>Biscuits</t>
        </is>
      </c>
      <c r="C850" s="124" t="n"/>
      <c r="D850" s="115" t="n"/>
      <c r="E850" s="124" t="n"/>
      <c r="F850" s="124" t="n"/>
      <c r="G850" s="124" t="n"/>
      <c r="H850" s="84" t="n"/>
      <c r="I850" s="7" t="n"/>
      <c r="J850" s="32" t="inlineStr">
        <is>
          <t>Rebisco - Hansel Biscuits - Butter</t>
        </is>
      </c>
      <c r="K850" s="24" t="n"/>
      <c r="L850" s="36" t="n">
        <v>6.03</v>
      </c>
      <c r="M850" s="204" t="n">
        <v>50</v>
      </c>
      <c r="N850" s="177" t="n">
        <v>31</v>
      </c>
      <c r="O850" s="13" t="n"/>
      <c r="P850" s="139" t="inlineStr">
        <is>
          <t>grams</t>
        </is>
      </c>
      <c r="Q850" s="2" t="n"/>
      <c r="R850" s="1" t="n"/>
      <c r="S850" s="229">
        <f>M850*N850</f>
        <v/>
      </c>
      <c r="T850" s="230">
        <f>CONCATENATE(S850,Q850,P850)</f>
        <v/>
      </c>
      <c r="U850" s="206">
        <f>L850*M850</f>
        <v/>
      </c>
      <c r="V850" s="4" t="n"/>
      <c r="W850" s="4" t="n"/>
      <c r="X850" s="4" t="n"/>
    </row>
    <row r="851" ht="15.75" customHeight="1" thickBot="1">
      <c r="A851" s="186" t="n">
        <v>491</v>
      </c>
      <c r="B851" s="216" t="inlineStr">
        <is>
          <t>Biscuits</t>
        </is>
      </c>
      <c r="C851" s="124" t="n"/>
      <c r="D851" s="115" t="n"/>
      <c r="E851" s="124" t="n"/>
      <c r="F851" s="124" t="n"/>
      <c r="G851" s="124" t="n"/>
      <c r="H851" s="84" t="n"/>
      <c r="I851" s="7" t="n"/>
      <c r="J851" s="32" t="inlineStr">
        <is>
          <t>Rebisco - Hansel Cracker - Plain</t>
        </is>
      </c>
      <c r="K851" s="24" t="n"/>
      <c r="L851" s="36" t="n">
        <v>5.92</v>
      </c>
      <c r="M851" s="204" t="n">
        <v>30</v>
      </c>
      <c r="N851" s="177" t="n">
        <v>32</v>
      </c>
      <c r="O851" s="13" t="n"/>
      <c r="P851" s="139" t="inlineStr">
        <is>
          <t>grams</t>
        </is>
      </c>
      <c r="Q851" s="2" t="n"/>
      <c r="R851" s="1" t="n"/>
      <c r="S851" s="229">
        <f>M851*N851</f>
        <v/>
      </c>
      <c r="T851" s="230">
        <f>CONCATENATE(S851,Q851,P851)</f>
        <v/>
      </c>
      <c r="U851" s="206">
        <f>L851*M851</f>
        <v/>
      </c>
      <c r="V851" s="4" t="n"/>
      <c r="W851" s="4" t="n"/>
      <c r="X851" s="4" t="n"/>
    </row>
    <row r="852" ht="15.75" customHeight="1" thickBot="1">
      <c r="A852" s="186" t="n">
        <v>491</v>
      </c>
      <c r="B852" s="216" t="inlineStr">
        <is>
          <t>Biscuits</t>
        </is>
      </c>
      <c r="C852" s="124" t="n"/>
      <c r="D852" s="115" t="n"/>
      <c r="E852" s="124" t="n"/>
      <c r="F852" s="124" t="n"/>
      <c r="G852" s="124" t="n"/>
      <c r="H852" s="84" t="n"/>
      <c r="I852" s="7" t="n"/>
      <c r="J852" s="32" t="inlineStr">
        <is>
          <t>Rebisco - Hansel Cracker - Plain</t>
        </is>
      </c>
      <c r="K852" s="24" t="n"/>
      <c r="L852" s="36" t="n">
        <v>6.5</v>
      </c>
      <c r="M852" s="204" t="n">
        <v>180</v>
      </c>
      <c r="N852" s="177" t="n">
        <v>32</v>
      </c>
      <c r="O852" s="13" t="n"/>
      <c r="P852" s="139" t="inlineStr">
        <is>
          <t>grams</t>
        </is>
      </c>
      <c r="Q852" s="2" t="n"/>
      <c r="R852" s="1" t="n"/>
      <c r="S852" s="229">
        <f>M852*N852</f>
        <v/>
      </c>
      <c r="T852" s="230">
        <f>CONCATENATE(S852,Q852,P852)</f>
        <v/>
      </c>
      <c r="U852" s="206">
        <f>L852*M852</f>
        <v/>
      </c>
      <c r="V852" s="4" t="n"/>
      <c r="W852" s="4" t="n"/>
      <c r="X852" s="4" t="n"/>
    </row>
    <row r="853" ht="15.75" customHeight="1" thickBot="1">
      <c r="A853" s="186" t="n">
        <v>491</v>
      </c>
      <c r="B853" s="215" t="inlineStr">
        <is>
          <t>Biscuits</t>
        </is>
      </c>
      <c r="C853" s="124" t="n"/>
      <c r="D853" s="115" t="n"/>
      <c r="E853" s="124" t="n"/>
      <c r="F853" s="124" t="n"/>
      <c r="G853" s="124" t="n"/>
      <c r="H853" s="84" t="n"/>
      <c r="I853" s="7" t="n"/>
      <c r="J853" s="32" t="inlineStr">
        <is>
          <t>Fibisco - Hi-ro</t>
        </is>
      </c>
      <c r="K853" s="24" t="n"/>
      <c r="L853" s="36" t="n">
        <v>6.13</v>
      </c>
      <c r="M853" s="204" t="n">
        <v>10</v>
      </c>
      <c r="N853" s="177" t="n">
        <v>33</v>
      </c>
      <c r="O853" s="13" t="n"/>
      <c r="P853" s="139" t="inlineStr">
        <is>
          <t>grams</t>
        </is>
      </c>
      <c r="Q853" s="2" t="n"/>
      <c r="R853" s="1" t="n"/>
      <c r="S853" s="229">
        <f>M853*N853</f>
        <v/>
      </c>
      <c r="T853" s="230">
        <f>CONCATENATE(S853,Q853,P853)</f>
        <v/>
      </c>
      <c r="U853" s="206">
        <f>L853*M853</f>
        <v/>
      </c>
      <c r="V853" s="4" t="n"/>
      <c r="W853" s="4" t="n"/>
      <c r="X853" s="4" t="n"/>
    </row>
    <row r="854" ht="15.75" customHeight="1" thickBot="1">
      <c r="A854" s="186" t="n">
        <v>491</v>
      </c>
      <c r="B854" s="216" t="inlineStr">
        <is>
          <t>Biscuits</t>
        </is>
      </c>
      <c r="C854" s="124" t="n"/>
      <c r="D854" s="115" t="n"/>
      <c r="E854" s="124" t="n"/>
      <c r="F854" s="124" t="n"/>
      <c r="G854" s="124" t="n"/>
      <c r="H854" s="84" t="n"/>
      <c r="I854" s="7" t="n"/>
      <c r="J854" s="32" t="inlineStr">
        <is>
          <t>Valmer Choco Sandwich Biscuit</t>
        </is>
      </c>
      <c r="K854" s="24" t="n"/>
      <c r="L854" s="36" t="n">
        <v>6</v>
      </c>
      <c r="M854" s="204" t="n">
        <v>60</v>
      </c>
      <c r="N854" s="177" t="n">
        <v>36</v>
      </c>
      <c r="O854" s="13" t="n"/>
      <c r="P854" s="139" t="inlineStr">
        <is>
          <t>grams</t>
        </is>
      </c>
      <c r="Q854" s="2" t="n"/>
      <c r="R854" s="1" t="n"/>
      <c r="S854" s="229">
        <f>M854*N854</f>
        <v/>
      </c>
      <c r="T854" s="230">
        <f>CONCATENATE(S854,Q854,P854)</f>
        <v/>
      </c>
      <c r="U854" s="206">
        <f>L854*M854</f>
        <v/>
      </c>
      <c r="V854" s="4" t="n"/>
      <c r="W854" s="4" t="n"/>
      <c r="X854" s="4" t="n"/>
    </row>
    <row r="855" ht="15.75" customHeight="1" thickBot="1">
      <c r="A855" s="186" t="n">
        <v>491</v>
      </c>
      <c r="B855" s="214" t="inlineStr">
        <is>
          <t>Biscuits</t>
        </is>
      </c>
      <c r="C855" s="124" t="n"/>
      <c r="D855" s="115" t="n"/>
      <c r="E855" s="124" t="n"/>
      <c r="F855" s="124" t="n"/>
      <c r="G855" s="124" t="n"/>
      <c r="H855" s="84" t="n"/>
      <c r="I855" s="7" t="n"/>
      <c r="J855" s="32" t="inlineStr">
        <is>
          <t>Jack n Jill - Presto</t>
        </is>
      </c>
      <c r="K855" s="24" t="n"/>
      <c r="L855" s="36" t="n">
        <v>63.75</v>
      </c>
      <c r="M855" s="204" t="n">
        <v>2</v>
      </c>
      <c r="N855" s="177" t="n">
        <v>1</v>
      </c>
      <c r="O855" s="13" t="n"/>
      <c r="P855" s="139" t="inlineStr">
        <is>
          <t>packs</t>
        </is>
      </c>
      <c r="Q855" s="2" t="n"/>
      <c r="R855" s="1" t="n"/>
      <c r="S855" s="229">
        <f>M855*N855</f>
        <v/>
      </c>
      <c r="T855" s="230">
        <f>CONCATENATE(S855,Q855,P855)</f>
        <v/>
      </c>
      <c r="U855" s="206">
        <f>L855*M855</f>
        <v/>
      </c>
      <c r="V855" s="4" t="n"/>
      <c r="W855" s="4" t="n"/>
      <c r="X855" s="4" t="n"/>
    </row>
    <row r="856" ht="15.75" customHeight="1" thickBot="1">
      <c r="A856" s="186" t="n">
        <v>491</v>
      </c>
      <c r="B856" s="214" t="inlineStr">
        <is>
          <t>Biscuits</t>
        </is>
      </c>
      <c r="C856" s="124" t="n"/>
      <c r="D856" s="115" t="n"/>
      <c r="E856" s="124" t="n"/>
      <c r="F856" s="124" t="n"/>
      <c r="G856" s="124" t="n"/>
      <c r="H856" s="84" t="n"/>
      <c r="I856" s="7" t="n"/>
      <c r="J856" s="32" t="inlineStr">
        <is>
          <t>Jack n Jill - Presto Creams - Choco Peanut Butter</t>
        </is>
      </c>
      <c r="K856" s="24" t="n"/>
      <c r="L856" s="36" t="n">
        <v>6.88</v>
      </c>
      <c r="M856" s="204" t="n">
        <v>100</v>
      </c>
      <c r="N856" s="177" t="n">
        <v>30</v>
      </c>
      <c r="O856" s="13" t="n"/>
      <c r="P856" s="139" t="inlineStr">
        <is>
          <t>grams</t>
        </is>
      </c>
      <c r="Q856" s="2" t="n"/>
      <c r="R856" s="1" t="n"/>
      <c r="S856" s="229">
        <f>M856*N856</f>
        <v/>
      </c>
      <c r="T856" s="230">
        <f>CONCATENATE(S856,Q856,P856)</f>
        <v/>
      </c>
      <c r="U856" s="206">
        <f>L856*M856</f>
        <v/>
      </c>
      <c r="V856" s="4" t="n"/>
      <c r="W856" s="4" t="n"/>
      <c r="X856" s="4" t="n"/>
    </row>
    <row r="857" ht="15.75" customHeight="1" thickBot="1">
      <c r="A857" s="186" t="n">
        <v>491</v>
      </c>
      <c r="B857" s="214" t="inlineStr">
        <is>
          <t>Biscuits</t>
        </is>
      </c>
      <c r="C857" s="124" t="n"/>
      <c r="D857" s="115" t="n"/>
      <c r="E857" s="124" t="n"/>
      <c r="F857" s="124" t="n"/>
      <c r="G857" s="124" t="n"/>
      <c r="H857" s="84" t="n"/>
      <c r="I857" s="7" t="n"/>
      <c r="J857" s="32" t="inlineStr">
        <is>
          <t>Jack n Jill - Presto Creams - Choco Vanilla</t>
        </is>
      </c>
      <c r="K857" s="24" t="n"/>
      <c r="L857" s="36" t="n">
        <v>6.9</v>
      </c>
      <c r="M857" s="204" t="n">
        <v>48</v>
      </c>
      <c r="N857" s="177" t="n">
        <v>30</v>
      </c>
      <c r="O857" s="13" t="n"/>
      <c r="P857" s="139" t="inlineStr">
        <is>
          <t>grams</t>
        </is>
      </c>
      <c r="Q857" s="2" t="n"/>
      <c r="R857" s="1" t="n"/>
      <c r="S857" s="229">
        <f>M857*N857</f>
        <v/>
      </c>
      <c r="T857" s="230">
        <f>CONCATENATE(S857,Q857,P857)</f>
        <v/>
      </c>
      <c r="U857" s="206">
        <f>L857*M857</f>
        <v/>
      </c>
      <c r="V857" s="4" t="n"/>
      <c r="W857" s="4" t="n"/>
      <c r="X857" s="4" t="n"/>
    </row>
    <row r="858" ht="15.75" customHeight="1" thickBot="1">
      <c r="A858" s="186" t="n">
        <v>491</v>
      </c>
      <c r="B858" s="214" t="inlineStr">
        <is>
          <t>Biscuits</t>
        </is>
      </c>
      <c r="C858" s="124" t="n"/>
      <c r="D858" s="115" t="n"/>
      <c r="E858" s="124" t="n"/>
      <c r="F858" s="124" t="n"/>
      <c r="G858" s="124" t="n"/>
      <c r="H858" s="84" t="n"/>
      <c r="I858" s="7" t="n"/>
      <c r="J858" s="32" t="inlineStr">
        <is>
          <t>Jack n Jill - Presto Creams - Peanut Butter</t>
        </is>
      </c>
      <c r="K858" s="24" t="n"/>
      <c r="L858" s="36" t="n">
        <v>6.14</v>
      </c>
      <c r="M858" s="204" t="n">
        <v>30</v>
      </c>
      <c r="N858" s="177" t="n">
        <v>30</v>
      </c>
      <c r="O858" s="13" t="n"/>
      <c r="P858" s="139" t="inlineStr">
        <is>
          <t>grams</t>
        </is>
      </c>
      <c r="Q858" s="2" t="n"/>
      <c r="R858" s="1" t="n"/>
      <c r="S858" s="229">
        <f>M858*N858</f>
        <v/>
      </c>
      <c r="T858" s="230">
        <f>CONCATENATE(S858,Q858,P858)</f>
        <v/>
      </c>
      <c r="U858" s="206">
        <f>L858*M858</f>
        <v/>
      </c>
      <c r="V858" s="4" t="n"/>
      <c r="W858" s="4" t="n"/>
      <c r="X858" s="4" t="n"/>
    </row>
    <row r="859" ht="15.75" customHeight="1" thickBot="1">
      <c r="A859" s="186" t="n">
        <v>491</v>
      </c>
      <c r="B859" s="217" t="inlineStr">
        <is>
          <t>Biscuits</t>
        </is>
      </c>
      <c r="C859" s="124" t="n"/>
      <c r="D859" s="115" t="n"/>
      <c r="E859" s="124" t="n"/>
      <c r="F859" s="124" t="n"/>
      <c r="G859" s="124" t="n"/>
      <c r="H859" s="84" t="n"/>
      <c r="I859" s="7" t="n"/>
      <c r="J859" s="32" t="inlineStr">
        <is>
          <t>Jack n Jill/pack (10pcsx30grams)</t>
        </is>
      </c>
      <c r="K859" s="24" t="n"/>
      <c r="L859" s="36" t="n">
        <v>7.87</v>
      </c>
      <c r="M859" s="204" t="n">
        <v>5</v>
      </c>
      <c r="N859" s="177" t="n">
        <v>30</v>
      </c>
      <c r="O859" s="13" t="n"/>
      <c r="P859" s="139" t="inlineStr">
        <is>
          <t>grams</t>
        </is>
      </c>
      <c r="Q859" s="2" t="n"/>
      <c r="R859" s="1" t="n"/>
      <c r="S859" s="229">
        <f>M859*N859</f>
        <v/>
      </c>
      <c r="T859" s="230">
        <f>CONCATENATE(S859,Q859,P859)</f>
        <v/>
      </c>
      <c r="U859" s="206">
        <f>L859*M859</f>
        <v/>
      </c>
      <c r="V859" s="4" t="n"/>
      <c r="W859" s="4" t="n"/>
      <c r="X859" s="4" t="n"/>
    </row>
    <row r="860" ht="15.75" customHeight="1" thickBot="1">
      <c r="A860" s="186" t="n">
        <v>31</v>
      </c>
      <c r="B860" s="214" t="inlineStr">
        <is>
          <t>Black Beans</t>
        </is>
      </c>
      <c r="C860" s="124" t="n"/>
      <c r="D860" s="115" t="n"/>
      <c r="E860" s="124" t="n"/>
      <c r="F860" s="124" t="n"/>
      <c r="G860" s="124" t="n"/>
      <c r="H860" s="84" t="n"/>
      <c r="I860" s="7" t="n"/>
      <c r="J860" s="32" t="inlineStr">
        <is>
          <t>Jolly</t>
        </is>
      </c>
      <c r="K860" s="24" t="n"/>
      <c r="L860" s="36" t="n">
        <v>17</v>
      </c>
      <c r="M860" s="204" t="n">
        <v>5</v>
      </c>
      <c r="N860" s="177" t="n">
        <v>100</v>
      </c>
      <c r="O860" s="13" t="n"/>
      <c r="P860" s="139" t="inlineStr">
        <is>
          <t>grams</t>
        </is>
      </c>
      <c r="Q860" s="2" t="n"/>
      <c r="R860" s="1" t="n"/>
      <c r="S860" s="229">
        <f>M860*N860</f>
        <v/>
      </c>
      <c r="T860" s="230">
        <f>CONCATENATE(S860,Q860,P860)</f>
        <v/>
      </c>
      <c r="U860" s="206">
        <f>L860*M860</f>
        <v/>
      </c>
      <c r="V860" s="4" t="n"/>
      <c r="W860" s="4" t="n"/>
      <c r="X860" s="4" t="n"/>
    </row>
    <row r="861" ht="15.75" customHeight="1" thickBot="1">
      <c r="A861" s="186" t="n">
        <v>31</v>
      </c>
      <c r="B861" s="214" t="inlineStr">
        <is>
          <t>Black Beans</t>
        </is>
      </c>
      <c r="C861" s="124" t="n"/>
      <c r="D861" s="115" t="n"/>
      <c r="E861" s="124" t="n"/>
      <c r="F861" s="124" t="n"/>
      <c r="G861" s="124" t="n"/>
      <c r="H861" s="84" t="n"/>
      <c r="I861" s="7" t="n"/>
      <c r="J861" s="32" t="inlineStr">
        <is>
          <t>Orchid</t>
        </is>
      </c>
      <c r="K861" s="24" t="n"/>
      <c r="L861" s="36" t="n">
        <v>28</v>
      </c>
      <c r="M861" s="204" t="n">
        <v>1</v>
      </c>
      <c r="N861" s="177" t="n">
        <v>180</v>
      </c>
      <c r="O861" s="13" t="n"/>
      <c r="P861" s="139" t="inlineStr">
        <is>
          <t>grams</t>
        </is>
      </c>
      <c r="Q861" s="2" t="n"/>
      <c r="R861" s="1" t="n"/>
      <c r="S861" s="229">
        <f>M861*N861</f>
        <v/>
      </c>
      <c r="T861" s="230">
        <f>CONCATENATE(S861,Q861,P861)</f>
        <v/>
      </c>
      <c r="U861" s="206">
        <f>L861*M861</f>
        <v/>
      </c>
      <c r="V861" s="4" t="n"/>
      <c r="W861" s="4" t="n"/>
      <c r="X861" s="4" t="n"/>
    </row>
    <row r="862" ht="15.75" customHeight="1" thickBot="1">
      <c r="A862" s="186" t="n">
        <v>31</v>
      </c>
      <c r="B862" s="214" t="inlineStr">
        <is>
          <t>Black Beans</t>
        </is>
      </c>
      <c r="C862" s="124" t="n"/>
      <c r="D862" s="115" t="n"/>
      <c r="E862" s="124" t="n"/>
      <c r="F862" s="124" t="n"/>
      <c r="G862" s="124" t="n"/>
      <c r="H862" s="84" t="n"/>
      <c r="I862" s="7" t="n"/>
      <c r="J862" s="32" t="inlineStr">
        <is>
          <t>Temple</t>
        </is>
      </c>
      <c r="K862" s="24" t="n"/>
      <c r="L862" s="36" t="n">
        <v>28</v>
      </c>
      <c r="M862" s="204" t="n">
        <v>14</v>
      </c>
      <c r="N862" s="177" t="n">
        <v>180</v>
      </c>
      <c r="O862" s="13" t="n"/>
      <c r="P862" s="139" t="inlineStr">
        <is>
          <t>grams</t>
        </is>
      </c>
      <c r="Q862" s="2" t="n"/>
      <c r="R862" s="1" t="n"/>
      <c r="S862" s="229">
        <f>M862*N862</f>
        <v/>
      </c>
      <c r="T862" s="230">
        <f>CONCATENATE(S862,Q862,P862)</f>
        <v/>
      </c>
      <c r="U862" s="206">
        <f>L862*M862</f>
        <v/>
      </c>
      <c r="V862" s="4" t="n"/>
      <c r="W862" s="4" t="n"/>
      <c r="X862" s="4" t="n"/>
    </row>
    <row r="863" ht="15.75" customHeight="1" thickBot="1">
      <c r="A863" s="186" t="n">
        <v>31</v>
      </c>
      <c r="B863" s="214" t="inlineStr">
        <is>
          <t>Black Beans</t>
        </is>
      </c>
      <c r="C863" s="124" t="n"/>
      <c r="D863" s="115" t="n"/>
      <c r="E863" s="124" t="n"/>
      <c r="F863" s="124" t="n"/>
      <c r="G863" s="124" t="n"/>
      <c r="H863" s="84" t="n"/>
      <c r="I863" s="7" t="n"/>
      <c r="J863" s="32" t="inlineStr">
        <is>
          <t>Temple</t>
        </is>
      </c>
      <c r="K863" s="24" t="n"/>
      <c r="L863" s="36" t="n">
        <v>31.8</v>
      </c>
      <c r="M863" s="204" t="n">
        <v>4</v>
      </c>
      <c r="N863" s="177" t="n">
        <v>180</v>
      </c>
      <c r="O863" s="13" t="n"/>
      <c r="P863" s="139" t="inlineStr">
        <is>
          <t>grams</t>
        </is>
      </c>
      <c r="Q863" s="2" t="n"/>
      <c r="R863" s="1" t="n"/>
      <c r="S863" s="229">
        <f>M863*N863</f>
        <v/>
      </c>
      <c r="T863" s="230">
        <f>CONCATENATE(S863,Q863,P863)</f>
        <v/>
      </c>
      <c r="U863" s="206">
        <f>L863*M863</f>
        <v/>
      </c>
      <c r="V863" s="4" t="n"/>
      <c r="W863" s="4" t="n"/>
      <c r="X863" s="4" t="n"/>
    </row>
    <row r="864" ht="15.75" customHeight="1" thickBot="1">
      <c r="A864" s="186" t="n">
        <v>31</v>
      </c>
      <c r="B864" s="214" t="inlineStr">
        <is>
          <t>Black Beans</t>
        </is>
      </c>
      <c r="C864" s="124" t="n"/>
      <c r="D864" s="115" t="n"/>
      <c r="E864" s="124" t="n"/>
      <c r="F864" s="124" t="n"/>
      <c r="G864" s="124" t="n"/>
      <c r="H864" s="84" t="n"/>
      <c r="I864" s="7" t="n"/>
      <c r="J864" s="32" t="inlineStr">
        <is>
          <t>Ram</t>
        </is>
      </c>
      <c r="K864" s="24" t="n"/>
      <c r="L864" s="36" t="n">
        <v>15.8</v>
      </c>
      <c r="M864" s="204" t="n">
        <v>2</v>
      </c>
      <c r="N864" s="177" t="n">
        <v>100</v>
      </c>
      <c r="O864" s="13" t="n"/>
      <c r="P864" s="139" t="inlineStr">
        <is>
          <t>grams</t>
        </is>
      </c>
      <c r="Q864" s="2" t="n"/>
      <c r="R864" s="1" t="n"/>
      <c r="S864" s="229">
        <f>M864*N864</f>
        <v/>
      </c>
      <c r="T864" s="230">
        <f>CONCATENATE(S864,Q864,P864)</f>
        <v/>
      </c>
      <c r="U864" s="206">
        <f>L864*M864</f>
        <v/>
      </c>
      <c r="V864" s="4" t="n"/>
      <c r="W864" s="4" t="n"/>
      <c r="X864" s="4" t="n"/>
    </row>
    <row r="865" ht="15.75" customHeight="1" thickBot="1">
      <c r="A865" s="186" t="n">
        <v>31</v>
      </c>
      <c r="B865" s="214" t="inlineStr">
        <is>
          <t>Black Beans</t>
        </is>
      </c>
      <c r="C865" s="124" t="n"/>
      <c r="D865" s="115" t="n"/>
      <c r="E865" s="124" t="n"/>
      <c r="F865" s="124" t="n"/>
      <c r="G865" s="124" t="n"/>
      <c r="H865" s="84" t="n"/>
      <c r="I865" s="7" t="n"/>
      <c r="J865" s="32" t="inlineStr">
        <is>
          <t>Jolly</t>
        </is>
      </c>
      <c r="K865" s="24" t="n"/>
      <c r="L865" s="36" t="n">
        <v>28</v>
      </c>
      <c r="M865" s="204" t="n">
        <v>3</v>
      </c>
      <c r="N865" s="177" t="n">
        <v>180</v>
      </c>
      <c r="O865" s="13" t="n"/>
      <c r="P865" s="139" t="inlineStr">
        <is>
          <t>grams</t>
        </is>
      </c>
      <c r="Q865" s="2" t="n"/>
      <c r="R865" s="1" t="n"/>
      <c r="S865" s="229">
        <f>M865*N865</f>
        <v/>
      </c>
      <c r="T865" s="230">
        <f>CONCATENATE(S865,Q865,P865)</f>
        <v/>
      </c>
      <c r="U865" s="206">
        <f>L865*M865</f>
        <v/>
      </c>
      <c r="V865" s="4" t="n"/>
      <c r="W865" s="4" t="n"/>
      <c r="X865" s="4" t="n"/>
    </row>
    <row r="866" ht="15.75" customHeight="1" thickBot="1">
      <c r="A866" s="186" t="n">
        <v>31</v>
      </c>
      <c r="B866" s="214" t="inlineStr">
        <is>
          <t>Black Beans</t>
        </is>
      </c>
      <c r="C866" s="124" t="n"/>
      <c r="D866" s="115" t="n"/>
      <c r="E866" s="124" t="n"/>
      <c r="F866" s="124" t="n"/>
      <c r="G866" s="124" t="n"/>
      <c r="H866" s="84" t="n"/>
      <c r="I866" s="7" t="n"/>
      <c r="J866" s="32" t="inlineStr">
        <is>
          <t>Philips</t>
        </is>
      </c>
      <c r="K866" s="24" t="n"/>
      <c r="L866" s="36" t="n">
        <v>31.1</v>
      </c>
      <c r="M866" s="204" t="n">
        <v>10</v>
      </c>
      <c r="N866" s="177" t="n">
        <v>110</v>
      </c>
      <c r="O866" s="13" t="n"/>
      <c r="P866" s="139" t="inlineStr">
        <is>
          <t>grams</t>
        </is>
      </c>
      <c r="Q866" s="2" t="n"/>
      <c r="R866" s="1" t="n"/>
      <c r="S866" s="229">
        <f>M866*N866</f>
        <v/>
      </c>
      <c r="T866" s="230">
        <f>CONCATENATE(S866,Q866,P866)</f>
        <v/>
      </c>
      <c r="U866" s="206">
        <f>L866*M866</f>
        <v/>
      </c>
      <c r="V866" s="4" t="n"/>
      <c r="W866" s="4" t="n"/>
      <c r="X866" s="4" t="n"/>
    </row>
    <row r="867" ht="15.75" customHeight="1" thickBot="1">
      <c r="A867" s="186" t="n">
        <v>492</v>
      </c>
      <c r="B867" s="214" t="inlineStr">
        <is>
          <t>Black Fungus</t>
        </is>
      </c>
      <c r="C867" s="124" t="n"/>
      <c r="D867" s="115" t="n"/>
      <c r="E867" s="124" t="n"/>
      <c r="F867" s="124" t="n"/>
      <c r="G867" s="124" t="n"/>
      <c r="H867" s="84" t="n"/>
      <c r="I867" s="7" t="n"/>
      <c r="J867" s="32" t="inlineStr">
        <is>
          <t>Lipa Spices</t>
        </is>
      </c>
      <c r="K867" s="24" t="n"/>
      <c r="L867" s="36" t="n">
        <v>118</v>
      </c>
      <c r="M867" s="204" t="n">
        <v>1</v>
      </c>
      <c r="N867" s="177" t="n">
        <v>250</v>
      </c>
      <c r="O867" s="13" t="n"/>
      <c r="P867" s="139" t="inlineStr">
        <is>
          <t>grams</t>
        </is>
      </c>
      <c r="Q867" s="2" t="n"/>
      <c r="R867" s="1" t="n"/>
      <c r="S867" s="229">
        <f>M867*N867</f>
        <v/>
      </c>
      <c r="T867" s="230">
        <f>CONCATENATE(S867,Q867,P867)</f>
        <v/>
      </c>
      <c r="U867" s="206">
        <f>L867*M867</f>
        <v/>
      </c>
      <c r="V867" s="4" t="n"/>
      <c r="W867" s="4" t="n"/>
      <c r="X867" s="4" t="n"/>
    </row>
    <row r="868" ht="15.75" customHeight="1" thickBot="1">
      <c r="A868" s="186" t="n">
        <v>33</v>
      </c>
      <c r="B868" s="214" t="inlineStr">
        <is>
          <t>Black Olives</t>
        </is>
      </c>
      <c r="C868" s="124" t="n"/>
      <c r="D868" s="115" t="n"/>
      <c r="E868" s="124" t="n"/>
      <c r="F868" s="124" t="n"/>
      <c r="G868" s="124" t="n"/>
      <c r="H868" s="84" t="n"/>
      <c r="I868" s="7" t="n"/>
      <c r="J868" s="32" t="inlineStr">
        <is>
          <t>Dona Elena</t>
        </is>
      </c>
      <c r="K868" s="24" t="n"/>
      <c r="L868" s="36" t="n">
        <v>219</v>
      </c>
      <c r="M868" s="204" t="n">
        <v>0</v>
      </c>
      <c r="N868" s="177" t="n">
        <v>165</v>
      </c>
      <c r="O868" s="13" t="n"/>
      <c r="P868" s="139" t="inlineStr">
        <is>
          <t>drained weight grams</t>
        </is>
      </c>
      <c r="Q868" s="2" t="n"/>
      <c r="R868" s="1" t="n"/>
      <c r="S868" s="229">
        <f>M868*N868</f>
        <v/>
      </c>
      <c r="T868" s="230">
        <f>CONCATENATE(S868,Q868,P868)</f>
        <v/>
      </c>
      <c r="U868" s="206">
        <f>L868*M868</f>
        <v/>
      </c>
      <c r="V868" s="4" t="n"/>
      <c r="W868" s="4" t="n"/>
      <c r="X868" s="4" t="n"/>
    </row>
    <row r="869" ht="15.75" customHeight="1" thickBot="1">
      <c r="A869" s="186" t="n">
        <v>33</v>
      </c>
      <c r="B869" s="214" t="inlineStr">
        <is>
          <t>Black Olives</t>
        </is>
      </c>
      <c r="C869" s="124" t="n"/>
      <c r="D869" s="115" t="n"/>
      <c r="E869" s="124" t="n"/>
      <c r="F869" s="124" t="n"/>
      <c r="G869" s="124" t="n"/>
      <c r="H869" s="84" t="n"/>
      <c r="I869" s="7" t="n"/>
      <c r="J869" s="32" t="inlineStr">
        <is>
          <t>Dona Elena</t>
        </is>
      </c>
      <c r="K869" s="24" t="n"/>
      <c r="L869" s="36" t="n">
        <v>161</v>
      </c>
      <c r="M869" s="204" t="n">
        <v>2</v>
      </c>
      <c r="N869" s="177" t="n">
        <v>165</v>
      </c>
      <c r="O869" s="13" t="n"/>
      <c r="P869" s="139" t="inlineStr">
        <is>
          <t>drained weight grams</t>
        </is>
      </c>
      <c r="Q869" s="2" t="n"/>
      <c r="R869" s="1" t="n"/>
      <c r="S869" s="229">
        <f>M869*N869</f>
        <v/>
      </c>
      <c r="T869" s="230">
        <f>CONCATENATE(S869,Q869,P869)</f>
        <v/>
      </c>
      <c r="U869" s="206">
        <f>L869*M869</f>
        <v/>
      </c>
      <c r="V869" s="4" t="n"/>
      <c r="W869" s="4" t="n"/>
      <c r="X869" s="4" t="n"/>
    </row>
    <row r="870" ht="15.75" customHeight="1" thickBot="1">
      <c r="A870" s="186" t="n">
        <v>33</v>
      </c>
      <c r="B870" s="214" t="inlineStr">
        <is>
          <t>Black Olives</t>
        </is>
      </c>
      <c r="C870" s="124" t="n"/>
      <c r="D870" s="115" t="n"/>
      <c r="E870" s="124" t="n"/>
      <c r="F870" s="124" t="n"/>
      <c r="G870" s="124" t="n"/>
      <c r="H870" s="84" t="n"/>
      <c r="I870" s="7" t="n"/>
      <c r="J870" s="32" t="inlineStr">
        <is>
          <t>Dona Elena</t>
        </is>
      </c>
      <c r="K870" s="24" t="n"/>
      <c r="L870" s="36" t="n">
        <v>78</v>
      </c>
      <c r="M870" s="204" t="n">
        <v>1</v>
      </c>
      <c r="N870" s="177" t="n">
        <v>70</v>
      </c>
      <c r="O870" s="13" t="n"/>
      <c r="P870" s="139" t="inlineStr">
        <is>
          <t>grams</t>
        </is>
      </c>
      <c r="Q870" s="2" t="n"/>
      <c r="R870" s="1" t="n"/>
      <c r="S870" s="229">
        <f>M870*N870</f>
        <v/>
      </c>
      <c r="T870" s="230">
        <f>CONCATENATE(S870,Q870,P870)</f>
        <v/>
      </c>
      <c r="U870" s="206">
        <f>L870*M870</f>
        <v/>
      </c>
      <c r="V870" s="4" t="n"/>
      <c r="W870" s="4" t="n"/>
      <c r="X870" s="4" t="n"/>
    </row>
    <row r="871" ht="15.75" customHeight="1" thickBot="1">
      <c r="A871" s="186" t="n">
        <v>493</v>
      </c>
      <c r="B871" s="214" t="inlineStr">
        <is>
          <t>Black Pepper - Ground</t>
        </is>
      </c>
      <c r="C871" s="124" t="n"/>
      <c r="D871" s="115" t="n"/>
      <c r="E871" s="124" t="n"/>
      <c r="F871" s="124" t="n"/>
      <c r="G871" s="124" t="n"/>
      <c r="H871" s="84" t="n"/>
      <c r="I871" s="7" t="n"/>
      <c r="J871" s="32" t="inlineStr">
        <is>
          <t>Simply Chef</t>
        </is>
      </c>
      <c r="K871" s="24" t="n"/>
      <c r="L871" s="36" t="n">
        <v>40.4</v>
      </c>
      <c r="M871" s="204" t="n">
        <v>3</v>
      </c>
      <c r="N871" s="177" t="n">
        <v>100</v>
      </c>
      <c r="O871" s="13" t="n"/>
      <c r="P871" s="139" t="inlineStr">
        <is>
          <t>grams</t>
        </is>
      </c>
      <c r="Q871" s="2" t="n"/>
      <c r="R871" s="1" t="n"/>
      <c r="S871" s="229">
        <f>M871*N871</f>
        <v/>
      </c>
      <c r="T871" s="230">
        <f>CONCATENATE(S871,Q871,P871)</f>
        <v/>
      </c>
      <c r="U871" s="206">
        <f>L871*M871</f>
        <v/>
      </c>
      <c r="V871" s="4" t="n"/>
      <c r="W871" s="4" t="n"/>
      <c r="X871" s="4" t="n"/>
    </row>
    <row r="872" ht="15.75" customHeight="1" thickBot="1">
      <c r="A872" s="186" t="n">
        <v>493</v>
      </c>
      <c r="B872" s="214" t="inlineStr">
        <is>
          <t>Black Pepper - Ground</t>
        </is>
      </c>
      <c r="C872" s="124" t="n"/>
      <c r="D872" s="115" t="n"/>
      <c r="E872" s="124" t="n"/>
      <c r="F872" s="124" t="n"/>
      <c r="G872" s="124" t="n"/>
      <c r="H872" s="84" t="n"/>
      <c r="I872" s="7" t="n"/>
      <c r="J872" s="32" t="n"/>
      <c r="K872" s="24" t="n"/>
      <c r="L872" s="36" t="n">
        <v>650</v>
      </c>
      <c r="M872" s="204" t="n">
        <v>3</v>
      </c>
      <c r="N872" s="177" t="n">
        <v>1000</v>
      </c>
      <c r="O872" s="13" t="n"/>
      <c r="P872" s="139" t="inlineStr">
        <is>
          <t>grams</t>
        </is>
      </c>
      <c r="Q872" s="2" t="n"/>
      <c r="R872" s="1" t="n"/>
      <c r="S872" s="229">
        <f>M872*N872</f>
        <v/>
      </c>
      <c r="T872" s="230">
        <f>CONCATENATE(S872,Q872,P872)</f>
        <v/>
      </c>
      <c r="U872" s="206">
        <f>L872*M872</f>
        <v/>
      </c>
      <c r="V872" s="4" t="n"/>
      <c r="W872" s="4" t="n"/>
      <c r="X872" s="4" t="n"/>
    </row>
    <row r="873" ht="15.75" customHeight="1" thickBot="1">
      <c r="A873" s="186" t="n">
        <v>494</v>
      </c>
      <c r="B873" s="214" t="inlineStr">
        <is>
          <t>Black Pepper - Whole</t>
        </is>
      </c>
      <c r="C873" s="124" t="n"/>
      <c r="D873" s="115" t="n"/>
      <c r="E873" s="124" t="n"/>
      <c r="F873" s="124" t="n"/>
      <c r="G873" s="124" t="n"/>
      <c r="H873" s="84" t="n"/>
      <c r="I873" s="7" t="n"/>
      <c r="J873" s="32" t="inlineStr">
        <is>
          <t>I-Spice</t>
        </is>
      </c>
      <c r="K873" s="24" t="n"/>
      <c r="L873" s="36" t="n">
        <v>590</v>
      </c>
      <c r="M873" s="204" t="n">
        <v>0</v>
      </c>
      <c r="N873" s="177" t="n">
        <v>1000</v>
      </c>
      <c r="O873" s="13" t="n"/>
      <c r="P873" s="139" t="inlineStr">
        <is>
          <t>grams</t>
        </is>
      </c>
      <c r="Q873" s="2" t="n"/>
      <c r="R873" s="1" t="n"/>
      <c r="S873" s="229">
        <f>M873*N873</f>
        <v/>
      </c>
      <c r="T873" s="230">
        <f>CONCATENATE(S873,Q873,P873)</f>
        <v/>
      </c>
      <c r="U873" s="206">
        <f>L873*M873</f>
        <v/>
      </c>
      <c r="V873" s="4" t="n"/>
      <c r="W873" s="4" t="n"/>
      <c r="X873" s="4" t="n"/>
    </row>
    <row r="874" ht="15.75" customHeight="1" thickBot="1">
      <c r="A874" s="186" t="n">
        <v>494</v>
      </c>
      <c r="B874" s="214" t="inlineStr">
        <is>
          <t>Black Pepper - Whole</t>
        </is>
      </c>
      <c r="C874" s="124" t="n"/>
      <c r="D874" s="115" t="n"/>
      <c r="E874" s="124" t="n"/>
      <c r="F874" s="124" t="n"/>
      <c r="G874" s="124" t="n"/>
      <c r="H874" s="84" t="n"/>
      <c r="I874" s="7" t="n"/>
      <c r="J874" s="32" t="inlineStr">
        <is>
          <t>I-Spice</t>
        </is>
      </c>
      <c r="K874" s="24" t="n"/>
      <c r="L874" s="36" t="n">
        <v>590</v>
      </c>
      <c r="M874" s="204" t="n">
        <v>1</v>
      </c>
      <c r="N874" s="177" t="n">
        <v>1000</v>
      </c>
      <c r="O874" s="13" t="n"/>
      <c r="P874" s="139" t="inlineStr">
        <is>
          <t>grams</t>
        </is>
      </c>
      <c r="Q874" s="2" t="n"/>
      <c r="R874" s="1" t="n"/>
      <c r="S874" s="229">
        <f>M874*N874</f>
        <v/>
      </c>
      <c r="T874" s="230">
        <f>CONCATENATE(S874,Q874,P874)</f>
        <v/>
      </c>
      <c r="U874" s="206">
        <f>L874*M874</f>
        <v/>
      </c>
      <c r="V874" s="4" t="n"/>
      <c r="W874" s="4" t="n"/>
      <c r="X874" s="4" t="n"/>
    </row>
    <row r="875" ht="15.75" customHeight="1" thickBot="1">
      <c r="A875" s="186" t="n">
        <v>494</v>
      </c>
      <c r="B875" s="214" t="inlineStr">
        <is>
          <t>Black Pepper - Whole</t>
        </is>
      </c>
      <c r="C875" s="124" t="n"/>
      <c r="D875" s="115" t="n"/>
      <c r="E875" s="124" t="n"/>
      <c r="F875" s="124" t="n"/>
      <c r="G875" s="124" t="n"/>
      <c r="H875" s="84" t="n"/>
      <c r="I875" s="7" t="n"/>
      <c r="J875" s="32" t="inlineStr">
        <is>
          <t>I-Spice</t>
        </is>
      </c>
      <c r="K875" s="24" t="n"/>
      <c r="L875" s="36" t="n">
        <v>590</v>
      </c>
      <c r="M875" s="204" t="n">
        <v>2</v>
      </c>
      <c r="N875" s="177" t="n">
        <v>1000</v>
      </c>
      <c r="O875" s="13" t="n"/>
      <c r="P875" s="139" t="inlineStr">
        <is>
          <t>grams</t>
        </is>
      </c>
      <c r="Q875" s="2" t="n"/>
      <c r="R875" s="1" t="n"/>
      <c r="S875" s="229">
        <f>M875*N875</f>
        <v/>
      </c>
      <c r="T875" s="230">
        <f>CONCATENATE(S875,Q875,P875)</f>
        <v/>
      </c>
      <c r="U875" s="206">
        <f>L875*M875</f>
        <v/>
      </c>
      <c r="V875" s="4" t="n"/>
      <c r="W875" s="4" t="n"/>
      <c r="X875" s="4" t="n"/>
    </row>
    <row r="876" ht="15.75" customHeight="1" thickBot="1">
      <c r="A876" s="186" t="n">
        <v>494</v>
      </c>
      <c r="B876" s="214" t="inlineStr">
        <is>
          <t>Black Pepper - Whole</t>
        </is>
      </c>
      <c r="C876" s="124" t="n"/>
      <c r="D876" s="115" t="n"/>
      <c r="E876" s="124" t="n"/>
      <c r="F876" s="124" t="n"/>
      <c r="G876" s="124" t="n"/>
      <c r="H876" s="84" t="n"/>
      <c r="I876" s="7" t="n"/>
      <c r="J876" s="32" t="inlineStr">
        <is>
          <t>Lipa Spices</t>
        </is>
      </c>
      <c r="K876" s="24" t="n"/>
      <c r="L876" s="36" t="n">
        <v>250</v>
      </c>
      <c r="M876" s="204" t="n">
        <v>6</v>
      </c>
      <c r="N876" s="177" t="n">
        <v>250</v>
      </c>
      <c r="O876" s="13" t="n"/>
      <c r="P876" s="139" t="inlineStr">
        <is>
          <t>grams</t>
        </is>
      </c>
      <c r="Q876" s="2" t="n"/>
      <c r="R876" s="1" t="n"/>
      <c r="S876" s="229">
        <f>M876*N876</f>
        <v/>
      </c>
      <c r="T876" s="230">
        <f>CONCATENATE(S876,Q876,P876)</f>
        <v/>
      </c>
      <c r="U876" s="206">
        <f>L876*M876</f>
        <v/>
      </c>
      <c r="V876" s="4" t="n"/>
      <c r="W876" s="4" t="n"/>
      <c r="X876" s="4" t="n"/>
    </row>
    <row r="877" ht="15.75" customHeight="1" thickBot="1">
      <c r="A877" s="186" t="n">
        <v>495</v>
      </c>
      <c r="B877" s="214" t="inlineStr">
        <is>
          <t>Black Sesame Seeds</t>
        </is>
      </c>
      <c r="C877" s="124" t="n"/>
      <c r="D877" s="115" t="n"/>
      <c r="E877" s="124" t="n"/>
      <c r="F877" s="124" t="n"/>
      <c r="G877" s="124" t="n"/>
      <c r="H877" s="84" t="n"/>
      <c r="I877" s="7" t="n"/>
      <c r="J877" s="32" t="inlineStr">
        <is>
          <t>Manny's premium</t>
        </is>
      </c>
      <c r="K877" s="24" t="n"/>
      <c r="L877" s="36" t="n">
        <v>350</v>
      </c>
      <c r="M877" s="204" t="n">
        <v>1</v>
      </c>
      <c r="N877" s="177" t="n">
        <v>500</v>
      </c>
      <c r="O877" s="13" t="n"/>
      <c r="P877" s="139" t="inlineStr">
        <is>
          <t>grams</t>
        </is>
      </c>
      <c r="Q877" s="2" t="n"/>
      <c r="R877" s="1" t="n"/>
      <c r="S877" s="229">
        <f>M877*N877</f>
        <v/>
      </c>
      <c r="T877" s="230">
        <f>CONCATENATE(S877,Q877,P877)</f>
        <v/>
      </c>
      <c r="U877" s="206">
        <f>L877*M877</f>
        <v/>
      </c>
      <c r="V877" s="4" t="n"/>
      <c r="W877" s="4" t="n"/>
      <c r="X877" s="4" t="n"/>
    </row>
    <row r="878" ht="15.75" customHeight="1" thickBot="1">
      <c r="A878" s="186" t="n">
        <v>36</v>
      </c>
      <c r="B878" s="215" t="inlineStr">
        <is>
          <t>Bleach</t>
        </is>
      </c>
      <c r="C878" s="124" t="n"/>
      <c r="D878" s="115" t="n"/>
      <c r="E878" s="124" t="n"/>
      <c r="F878" s="124" t="n"/>
      <c r="G878" s="124" t="n"/>
      <c r="H878" s="84" t="n"/>
      <c r="I878" s="7" t="n"/>
      <c r="J878" s="32" t="inlineStr">
        <is>
          <t>Quinriv</t>
        </is>
      </c>
      <c r="K878" s="24" t="n"/>
      <c r="L878" s="36" t="n">
        <v>127</v>
      </c>
      <c r="M878" s="204" t="n">
        <v>8</v>
      </c>
      <c r="N878" s="177" t="n">
        <v>1</v>
      </c>
      <c r="O878" s="13" t="n"/>
      <c r="P878" s="139" t="inlineStr">
        <is>
          <t>gal</t>
        </is>
      </c>
      <c r="Q878" s="2" t="n"/>
      <c r="R878" s="1" t="n"/>
      <c r="S878" s="229">
        <f>M878*N878</f>
        <v/>
      </c>
      <c r="T878" s="230">
        <f>CONCATENATE(S878,Q878,P878)</f>
        <v/>
      </c>
      <c r="U878" s="206">
        <f>L878*M878</f>
        <v/>
      </c>
      <c r="V878" s="4" t="n"/>
      <c r="W878" s="4" t="n"/>
      <c r="X878" s="4" t="n"/>
    </row>
    <row r="879" ht="15.75" customHeight="1" thickBot="1">
      <c r="A879" s="186" t="n">
        <v>496</v>
      </c>
      <c r="B879" s="214" t="inlineStr">
        <is>
          <t>Bologna - Chicken</t>
        </is>
      </c>
      <c r="C879" s="124" t="n"/>
      <c r="D879" s="115" t="n"/>
      <c r="E879" s="124" t="n"/>
      <c r="F879" s="124" t="n"/>
      <c r="G879" s="124" t="n"/>
      <c r="H879" s="84" t="n"/>
      <c r="I879" s="7" t="n"/>
      <c r="J879" s="32" t="inlineStr">
        <is>
          <t>Maco's</t>
        </is>
      </c>
      <c r="K879" s="24" t="n"/>
      <c r="L879" s="36" t="n">
        <v>47</v>
      </c>
      <c r="M879" s="204" t="n">
        <v>3</v>
      </c>
      <c r="N879" s="177" t="n">
        <v>240</v>
      </c>
      <c r="O879" s="13" t="n"/>
      <c r="P879" s="139" t="inlineStr">
        <is>
          <t>grams</t>
        </is>
      </c>
      <c r="Q879" s="2" t="n"/>
      <c r="R879" s="1" t="n"/>
      <c r="S879" s="229">
        <f>M879*N879</f>
        <v/>
      </c>
      <c r="T879" s="230">
        <f>CONCATENATE(S879,Q879,P879)</f>
        <v/>
      </c>
      <c r="U879" s="206">
        <f>L879*M879</f>
        <v/>
      </c>
      <c r="V879" s="4" t="n"/>
      <c r="W879" s="4" t="n"/>
      <c r="X879" s="4" t="n"/>
    </row>
    <row r="880" ht="15.75" customHeight="1" thickBot="1">
      <c r="A880" s="186" t="n">
        <v>496</v>
      </c>
      <c r="B880" s="214" t="inlineStr">
        <is>
          <t>Bologna - Chicken</t>
        </is>
      </c>
      <c r="C880" s="124" t="n"/>
      <c r="D880" s="115" t="n"/>
      <c r="E880" s="124" t="n"/>
      <c r="F880" s="124" t="n"/>
      <c r="G880" s="124" t="n"/>
      <c r="H880" s="84" t="n"/>
      <c r="I880" s="7" t="n"/>
      <c r="J880" s="32" t="inlineStr">
        <is>
          <t>Maco's</t>
        </is>
      </c>
      <c r="K880" s="24" t="n"/>
      <c r="L880" s="36" t="n">
        <v>44.21</v>
      </c>
      <c r="M880" s="204" t="n">
        <v>5</v>
      </c>
      <c r="N880" s="177" t="n">
        <v>240</v>
      </c>
      <c r="O880" s="13" t="n"/>
      <c r="P880" s="139" t="inlineStr">
        <is>
          <t>grams</t>
        </is>
      </c>
      <c r="Q880" s="2" t="n"/>
      <c r="R880" s="1" t="n"/>
      <c r="S880" s="229">
        <f>M880*N880</f>
        <v/>
      </c>
      <c r="T880" s="230">
        <f>CONCATENATE(S880,Q880,P880)</f>
        <v/>
      </c>
      <c r="U880" s="206">
        <f>L880*M880</f>
        <v/>
      </c>
      <c r="V880" s="4" t="n"/>
      <c r="W880" s="4" t="n"/>
      <c r="X880" s="4" t="n"/>
    </row>
    <row r="881" ht="15.75" customHeight="1" thickBot="1">
      <c r="A881" s="186" t="n">
        <v>497</v>
      </c>
      <c r="B881" s="215" t="inlineStr">
        <is>
          <t>Bologna - Pork</t>
        </is>
      </c>
      <c r="C881" s="124" t="n"/>
      <c r="D881" s="115" t="n"/>
      <c r="E881" s="124" t="n"/>
      <c r="F881" s="124" t="n"/>
      <c r="G881" s="124" t="n"/>
      <c r="H881" s="84" t="n"/>
      <c r="I881" s="7" t="n"/>
      <c r="J881" s="32" t="inlineStr">
        <is>
          <t>Maco's</t>
        </is>
      </c>
      <c r="K881" s="24" t="n"/>
      <c r="L881" s="36" t="n">
        <v>47</v>
      </c>
      <c r="M881" s="204" t="n">
        <v>2</v>
      </c>
      <c r="N881" s="177" t="n">
        <v>240</v>
      </c>
      <c r="O881" s="13" t="n"/>
      <c r="P881" s="139" t="inlineStr">
        <is>
          <t>grams</t>
        </is>
      </c>
      <c r="Q881" s="2" t="n"/>
      <c r="R881" s="1" t="n"/>
      <c r="S881" s="229">
        <f>M881*N881</f>
        <v/>
      </c>
      <c r="T881" s="230">
        <f>CONCATENATE(S881,Q881,P881)</f>
        <v/>
      </c>
      <c r="U881" s="206">
        <f>L881*M881</f>
        <v/>
      </c>
      <c r="V881" s="4" t="n"/>
      <c r="W881" s="4" t="n"/>
      <c r="X881" s="4" t="n"/>
    </row>
    <row r="882" ht="15.75" customHeight="1" thickBot="1">
      <c r="A882" s="186" t="n">
        <v>498</v>
      </c>
      <c r="B882" s="214" t="inlineStr">
        <is>
          <t>Bottled Juice - Calamansi</t>
        </is>
      </c>
      <c r="C882" s="124" t="n"/>
      <c r="D882" s="115" t="n"/>
      <c r="E882" s="124" t="n"/>
      <c r="F882" s="124" t="n"/>
      <c r="G882" s="124" t="n"/>
      <c r="H882" s="84" t="n"/>
      <c r="I882" s="7" t="n"/>
      <c r="J882" s="32" t="inlineStr">
        <is>
          <t>Zambo Tropical</t>
        </is>
      </c>
      <c r="K882" s="24" t="n"/>
      <c r="L882" s="36" t="n">
        <v>25.44</v>
      </c>
      <c r="M882" s="204" t="n">
        <v>39</v>
      </c>
      <c r="N882" s="177" t="n">
        <v>500</v>
      </c>
      <c r="O882" s="13" t="n"/>
      <c r="P882" s="139" t="inlineStr">
        <is>
          <t>ml</t>
        </is>
      </c>
      <c r="Q882" s="2" t="n"/>
      <c r="R882" s="1" t="n"/>
      <c r="S882" s="229">
        <f>M882*N882</f>
        <v/>
      </c>
      <c r="T882" s="230">
        <f>CONCATENATE(S882,Q882,P882)</f>
        <v/>
      </c>
      <c r="U882" s="206">
        <f>L882*M882</f>
        <v/>
      </c>
      <c r="V882" s="4" t="n"/>
      <c r="W882" s="4" t="n"/>
      <c r="X882" s="4" t="n"/>
    </row>
    <row r="883" ht="15.75" customHeight="1" thickBot="1">
      <c r="A883" s="186" t="n">
        <v>498</v>
      </c>
      <c r="B883" s="214" t="inlineStr">
        <is>
          <t>Bottled Juice - Calamansi</t>
        </is>
      </c>
      <c r="C883" s="124" t="n"/>
      <c r="D883" s="115" t="n"/>
      <c r="E883" s="124" t="n"/>
      <c r="F883" s="124" t="n"/>
      <c r="G883" s="124" t="n"/>
      <c r="H883" s="84" t="n"/>
      <c r="I883" s="7" t="n"/>
      <c r="J883" s="32" t="inlineStr">
        <is>
          <t>Zambo Tropical</t>
        </is>
      </c>
      <c r="K883" s="24" t="n"/>
      <c r="L883" s="36" t="n">
        <v>20.75</v>
      </c>
      <c r="M883" s="204" t="n">
        <v>221</v>
      </c>
      <c r="N883" s="177" t="n">
        <v>350</v>
      </c>
      <c r="O883" s="13" t="n"/>
      <c r="P883" s="139" t="inlineStr">
        <is>
          <t>ml</t>
        </is>
      </c>
      <c r="Q883" s="2" t="n"/>
      <c r="R883" s="1" t="n"/>
      <c r="S883" s="229">
        <f>M883*N883</f>
        <v/>
      </c>
      <c r="T883" s="230">
        <f>CONCATENATE(S883,Q883,P883)</f>
        <v/>
      </c>
      <c r="U883" s="206">
        <f>L883*M883</f>
        <v/>
      </c>
      <c r="V883" s="4" t="n"/>
      <c r="W883" s="4" t="n"/>
      <c r="X883" s="4" t="n"/>
    </row>
    <row r="884" ht="15.75" customHeight="1" thickBot="1">
      <c r="A884" s="186" t="n">
        <v>498</v>
      </c>
      <c r="B884" s="214" t="inlineStr">
        <is>
          <t>Bottled Juice - Calamansi</t>
        </is>
      </c>
      <c r="C884" s="124" t="n"/>
      <c r="D884" s="115" t="n"/>
      <c r="E884" s="124" t="n"/>
      <c r="F884" s="124" t="n"/>
      <c r="G884" s="124" t="n"/>
      <c r="H884" s="84" t="n"/>
      <c r="I884" s="7" t="n"/>
      <c r="J884" s="32" t="inlineStr">
        <is>
          <t>Zambo Tropical</t>
        </is>
      </c>
      <c r="K884" s="24" t="n"/>
      <c r="L884" s="36" t="n">
        <v>25.22</v>
      </c>
      <c r="M884" s="204" t="n">
        <v>21</v>
      </c>
      <c r="N884" s="177" t="n">
        <v>500</v>
      </c>
      <c r="O884" s="13" t="n"/>
      <c r="P884" s="139" t="inlineStr">
        <is>
          <t>ml</t>
        </is>
      </c>
      <c r="Q884" s="2" t="n"/>
      <c r="R884" s="1" t="n"/>
      <c r="S884" s="229">
        <f>M884*N884</f>
        <v/>
      </c>
      <c r="T884" s="230">
        <f>CONCATENATE(S884,Q884,P884)</f>
        <v/>
      </c>
      <c r="U884" s="206">
        <f>L884*M884</f>
        <v/>
      </c>
      <c r="V884" s="4" t="n"/>
      <c r="W884" s="4" t="n"/>
      <c r="X884" s="4" t="n"/>
    </row>
    <row r="885" ht="15.75" customHeight="1" thickBot="1">
      <c r="A885" s="186" t="n">
        <v>499</v>
      </c>
      <c r="B885" s="214" t="inlineStr">
        <is>
          <t>Box Paper</t>
        </is>
      </c>
      <c r="C885" s="124" t="n"/>
      <c r="D885" s="115" t="n"/>
      <c r="E885" s="124" t="n"/>
      <c r="F885" s="124" t="n"/>
      <c r="G885" s="124" t="n"/>
      <c r="H885" s="84" t="n"/>
      <c r="I885" s="7" t="n"/>
      <c r="J885" s="32" t="inlineStr">
        <is>
          <t>(Single division )</t>
        </is>
      </c>
      <c r="K885" s="24" t="n"/>
      <c r="L885" s="36" t="n">
        <v>4</v>
      </c>
      <c r="M885" s="204" t="n">
        <v>183</v>
      </c>
      <c r="N885" s="177" t="n">
        <v>1</v>
      </c>
      <c r="O885" s="13" t="n"/>
      <c r="P885" s="139" t="inlineStr">
        <is>
          <t>pieces</t>
        </is>
      </c>
      <c r="Q885" s="2" t="n"/>
      <c r="R885" s="1" t="n"/>
      <c r="S885" s="229">
        <f>M885*N885</f>
        <v/>
      </c>
      <c r="T885" s="230">
        <f>CONCATENATE(S885,Q885,P885)</f>
        <v/>
      </c>
      <c r="U885" s="206">
        <f>L885*M885</f>
        <v/>
      </c>
      <c r="V885" s="4" t="n"/>
      <c r="W885" s="4" t="n"/>
      <c r="X885" s="4" t="n"/>
    </row>
    <row r="886" ht="15.75" customHeight="1" thickBot="1">
      <c r="A886" s="186" t="n">
        <v>499</v>
      </c>
      <c r="B886" s="214" t="inlineStr">
        <is>
          <t>Box Paper</t>
        </is>
      </c>
      <c r="C886" s="124" t="n"/>
      <c r="D886" s="115" t="n"/>
      <c r="E886" s="124" t="n"/>
      <c r="F886" s="124" t="n"/>
      <c r="G886" s="124" t="n"/>
      <c r="H886" s="84" t="n"/>
      <c r="I886" s="7" t="n"/>
      <c r="J886" s="32" t="inlineStr">
        <is>
          <t>(Three division)</t>
        </is>
      </c>
      <c r="K886" s="24" t="n"/>
      <c r="L886" s="36" t="n">
        <v>6</v>
      </c>
      <c r="M886" s="204" t="n">
        <v>20</v>
      </c>
      <c r="N886" s="177" t="n">
        <v>1</v>
      </c>
      <c r="O886" s="13" t="n"/>
      <c r="P886" s="139" t="inlineStr">
        <is>
          <t>pieces</t>
        </is>
      </c>
      <c r="Q886" s="2" t="n"/>
      <c r="R886" s="1" t="n"/>
      <c r="S886" s="229">
        <f>M886*N886</f>
        <v/>
      </c>
      <c r="T886" s="230">
        <f>CONCATENATE(S886,Q886,P886)</f>
        <v/>
      </c>
      <c r="U886" s="206">
        <f>L886*M886</f>
        <v/>
      </c>
      <c r="V886" s="4" t="n"/>
      <c r="W886" s="4" t="n"/>
      <c r="X886" s="4" t="n"/>
    </row>
    <row r="887" ht="15.75" customHeight="1" thickBot="1">
      <c r="A887" s="186" t="n">
        <v>499</v>
      </c>
      <c r="B887" s="214" t="inlineStr">
        <is>
          <t>Box Paper</t>
        </is>
      </c>
      <c r="C887" s="124" t="n"/>
      <c r="D887" s="115" t="n"/>
      <c r="E887" s="124" t="n"/>
      <c r="F887" s="124" t="n"/>
      <c r="G887" s="124" t="n"/>
      <c r="H887" s="84" t="n"/>
      <c r="I887" s="7" t="n"/>
      <c r="J887" s="32" t="inlineStr">
        <is>
          <t>(Two division)</t>
        </is>
      </c>
      <c r="K887" s="24" t="n"/>
      <c r="L887" s="36" t="n">
        <v>5</v>
      </c>
      <c r="M887" s="204" t="n">
        <v>183</v>
      </c>
      <c r="N887" s="177" t="n">
        <v>1</v>
      </c>
      <c r="O887" s="13" t="n"/>
      <c r="P887" s="139" t="inlineStr">
        <is>
          <t>pieces</t>
        </is>
      </c>
      <c r="Q887" s="2" t="n"/>
      <c r="R887" s="1" t="n"/>
      <c r="S887" s="229">
        <f>M887*N887</f>
        <v/>
      </c>
      <c r="T887" s="230">
        <f>CONCATENATE(S887,Q887,P887)</f>
        <v/>
      </c>
      <c r="U887" s="206">
        <f>L887*M887</f>
        <v/>
      </c>
      <c r="V887" s="4" t="n"/>
      <c r="W887" s="4" t="n"/>
      <c r="X887" s="4" t="n"/>
    </row>
    <row r="888" ht="15.75" customHeight="1" thickBot="1">
      <c r="A888" s="186" t="n">
        <v>38</v>
      </c>
      <c r="B888" s="214" t="inlineStr">
        <is>
          <t>Bread Crumbs</t>
        </is>
      </c>
      <c r="C888" s="124" t="n"/>
      <c r="D888" s="115" t="n"/>
      <c r="E888" s="124" t="n"/>
      <c r="F888" s="124" t="n"/>
      <c r="G888" s="124" t="n"/>
      <c r="H888" s="84" t="n"/>
      <c r="I888" s="7" t="n"/>
      <c r="J888" s="32" t="inlineStr">
        <is>
          <t>Ram</t>
        </is>
      </c>
      <c r="K888" s="24" t="n"/>
      <c r="L888" s="36" t="n">
        <v>145</v>
      </c>
      <c r="M888" s="204" t="n">
        <v>2</v>
      </c>
      <c r="N888" s="177" t="n">
        <v>1</v>
      </c>
      <c r="O888" s="13" t="n"/>
      <c r="P888" s="139" t="inlineStr">
        <is>
          <t>kilos</t>
        </is>
      </c>
      <c r="Q888" s="2" t="n"/>
      <c r="R888" s="1" t="n"/>
      <c r="S888" s="229">
        <f>M888*N888</f>
        <v/>
      </c>
      <c r="T888" s="230">
        <f>CONCATENATE(S888,Q888,P888)</f>
        <v/>
      </c>
      <c r="U888" s="206">
        <f>L888*M888</f>
        <v/>
      </c>
      <c r="V888" s="4" t="n"/>
      <c r="W888" s="4" t="n"/>
      <c r="X888" s="4" t="n"/>
    </row>
    <row r="889" ht="15.75" customHeight="1" thickBot="1">
      <c r="A889" s="186" t="n">
        <v>38</v>
      </c>
      <c r="B889" s="214" t="inlineStr">
        <is>
          <t>Bread Crumbs</t>
        </is>
      </c>
      <c r="C889" s="124" t="n"/>
      <c r="D889" s="115" t="n"/>
      <c r="E889" s="124" t="n"/>
      <c r="F889" s="124" t="n"/>
      <c r="G889" s="124" t="n"/>
      <c r="H889" s="84" t="n"/>
      <c r="I889" s="7" t="n"/>
      <c r="J889" s="32" t="inlineStr">
        <is>
          <t>Krispers</t>
        </is>
      </c>
      <c r="K889" s="24" t="n"/>
      <c r="L889" s="36" t="n">
        <v>36.7</v>
      </c>
      <c r="M889" s="204" t="n">
        <v>2</v>
      </c>
      <c r="N889" s="177" t="n">
        <v>230</v>
      </c>
      <c r="O889" s="13" t="n"/>
      <c r="P889" s="139" t="inlineStr">
        <is>
          <t>grams</t>
        </is>
      </c>
      <c r="Q889" s="2" t="n"/>
      <c r="R889" s="1" t="n"/>
      <c r="S889" s="229">
        <f>M889*N889</f>
        <v/>
      </c>
      <c r="T889" s="230">
        <f>CONCATENATE(S889,Q889,P889)</f>
        <v/>
      </c>
      <c r="U889" s="206">
        <f>L889*M889</f>
        <v/>
      </c>
      <c r="V889" s="4" t="n"/>
      <c r="W889" s="4" t="n"/>
      <c r="X889" s="4" t="n"/>
    </row>
    <row r="890" ht="15.75" customHeight="1" thickBot="1">
      <c r="A890" s="186" t="n">
        <v>38</v>
      </c>
      <c r="B890" s="214" t="inlineStr">
        <is>
          <t>Bread Crumbs</t>
        </is>
      </c>
      <c r="C890" s="124" t="n"/>
      <c r="D890" s="115" t="n"/>
      <c r="E890" s="124" t="n"/>
      <c r="F890" s="124" t="n"/>
      <c r="G890" s="124" t="n"/>
      <c r="H890" s="84" t="n"/>
      <c r="I890" s="7" t="n"/>
      <c r="J890" s="32" t="inlineStr">
        <is>
          <t>Good Life</t>
        </is>
      </c>
      <c r="K890" s="24" t="n"/>
      <c r="L890" s="36" t="n">
        <v>41</v>
      </c>
      <c r="M890" s="204" t="n">
        <v>5</v>
      </c>
      <c r="N890" s="177" t="n">
        <v>230</v>
      </c>
      <c r="O890" s="13" t="n"/>
      <c r="P890" s="139" t="inlineStr">
        <is>
          <t>grams</t>
        </is>
      </c>
      <c r="Q890" s="2" t="n"/>
      <c r="R890" s="1" t="n"/>
      <c r="S890" s="229">
        <f>M890*N890</f>
        <v/>
      </c>
      <c r="T890" s="230">
        <f>CONCATENATE(S890,Q890,P890)</f>
        <v/>
      </c>
      <c r="U890" s="206">
        <f>L890*M890</f>
        <v/>
      </c>
      <c r="V890" s="4" t="n"/>
      <c r="W890" s="4" t="n"/>
      <c r="X890" s="4" t="n"/>
    </row>
    <row r="891" ht="15.75" customHeight="1" thickBot="1">
      <c r="A891" s="186" t="n">
        <v>38</v>
      </c>
      <c r="B891" s="214" t="inlineStr">
        <is>
          <t>Bread Crumbs</t>
        </is>
      </c>
      <c r="C891" s="124" t="n"/>
      <c r="D891" s="115" t="n"/>
      <c r="E891" s="124" t="n"/>
      <c r="F891" s="124" t="n"/>
      <c r="G891" s="124" t="n"/>
      <c r="H891" s="84" t="n"/>
      <c r="I891" s="7" t="n"/>
      <c r="J891" s="32" t="inlineStr">
        <is>
          <t>Good Life</t>
        </is>
      </c>
      <c r="K891" s="24" t="n"/>
      <c r="L891" s="36" t="n">
        <v>36.7</v>
      </c>
      <c r="M891" s="204" t="n">
        <v>5</v>
      </c>
      <c r="N891" s="177" t="n">
        <v>230</v>
      </c>
      <c r="O891" s="13" t="n"/>
      <c r="P891" s="139" t="inlineStr">
        <is>
          <t>grams</t>
        </is>
      </c>
      <c r="Q891" s="2" t="n"/>
      <c r="R891" s="1" t="n"/>
      <c r="S891" s="229">
        <f>M891*N891</f>
        <v/>
      </c>
      <c r="T891" s="230">
        <f>CONCATENATE(S891,Q891,P891)</f>
        <v/>
      </c>
      <c r="U891" s="206">
        <f>L891*M891</f>
        <v/>
      </c>
      <c r="V891" s="4" t="n"/>
      <c r="W891" s="4" t="n"/>
      <c r="X891" s="4" t="n"/>
    </row>
    <row r="892" ht="15.75" customHeight="1" thickBot="1">
      <c r="A892" s="186" t="n">
        <v>38</v>
      </c>
      <c r="B892" s="214" t="inlineStr">
        <is>
          <t>Bread Crumbs</t>
        </is>
      </c>
      <c r="C892" s="124" t="n"/>
      <c r="D892" s="115" t="n"/>
      <c r="E892" s="124" t="n"/>
      <c r="F892" s="124" t="n"/>
      <c r="G892" s="124" t="n"/>
      <c r="H892" s="84" t="n"/>
      <c r="I892" s="7" t="n"/>
      <c r="J892" s="32" t="inlineStr">
        <is>
          <t>Yan Yan</t>
        </is>
      </c>
      <c r="K892" s="24" t="n"/>
      <c r="L892" s="36" t="n">
        <v>38</v>
      </c>
      <c r="M892" s="204" t="n">
        <v>16</v>
      </c>
      <c r="N892" s="177" t="n">
        <v>230</v>
      </c>
      <c r="O892" s="13" t="n"/>
      <c r="P892" s="139" t="inlineStr">
        <is>
          <t>grams</t>
        </is>
      </c>
      <c r="Q892" s="2" t="n"/>
      <c r="R892" s="1" t="n"/>
      <c r="S892" s="229">
        <f>M892*N892</f>
        <v/>
      </c>
      <c r="T892" s="230">
        <f>CONCATENATE(S892,Q892,P892)</f>
        <v/>
      </c>
      <c r="U892" s="206">
        <f>L892*M892</f>
        <v/>
      </c>
      <c r="V892" s="4" t="n"/>
      <c r="W892" s="4" t="n"/>
      <c r="X892" s="4" t="n"/>
    </row>
    <row r="893" ht="15.75" customHeight="1" thickBot="1">
      <c r="A893" s="186" t="n">
        <v>38</v>
      </c>
      <c r="B893" s="214" t="inlineStr">
        <is>
          <t>Bread Crumbs</t>
        </is>
      </c>
      <c r="C893" s="124" t="n"/>
      <c r="D893" s="115" t="n"/>
      <c r="E893" s="124" t="n"/>
      <c r="F893" s="124" t="n"/>
      <c r="G893" s="124" t="n"/>
      <c r="H893" s="84" t="n"/>
      <c r="I893" s="7" t="n"/>
      <c r="J893" s="32" t="inlineStr">
        <is>
          <t>Yan Yan</t>
        </is>
      </c>
      <c r="K893" s="24" t="n"/>
      <c r="L893" s="36" t="n">
        <v>152</v>
      </c>
      <c r="M893" s="204" t="n">
        <v>1</v>
      </c>
      <c r="N893" s="177" t="n">
        <v>1</v>
      </c>
      <c r="O893" s="13" t="n"/>
      <c r="P893" s="139" t="inlineStr">
        <is>
          <t>kilos</t>
        </is>
      </c>
      <c r="Q893" s="2" t="n"/>
      <c r="R893" s="1" t="n"/>
      <c r="S893" s="229">
        <f>M893*N893</f>
        <v/>
      </c>
      <c r="T893" s="230">
        <f>CONCATENATE(S893,Q893,P893)</f>
        <v/>
      </c>
      <c r="U893" s="206">
        <f>L893*M893</f>
        <v/>
      </c>
      <c r="V893" s="4" t="n"/>
      <c r="W893" s="4" t="n"/>
      <c r="X893" s="4" t="n"/>
    </row>
    <row r="894" ht="15.75" customHeight="1" thickBot="1">
      <c r="A894" s="186" t="n">
        <v>38</v>
      </c>
      <c r="B894" s="214" t="inlineStr">
        <is>
          <t>Bread Crumbs</t>
        </is>
      </c>
      <c r="C894" s="124" t="n"/>
      <c r="D894" s="115" t="n"/>
      <c r="E894" s="124" t="n"/>
      <c r="F894" s="124" t="n"/>
      <c r="G894" s="124" t="n"/>
      <c r="H894" s="84" t="n"/>
      <c r="I894" s="7" t="n"/>
      <c r="J894" s="32" t="inlineStr">
        <is>
          <t>Happy Fiesta</t>
        </is>
      </c>
      <c r="K894" s="24" t="n"/>
      <c r="L894" s="36" t="n">
        <v>31.66</v>
      </c>
      <c r="M894" s="204" t="n">
        <v>7</v>
      </c>
      <c r="N894" s="177" t="n">
        <v>230</v>
      </c>
      <c r="O894" s="13" t="n"/>
      <c r="P894" s="139" t="inlineStr">
        <is>
          <t>grams</t>
        </is>
      </c>
      <c r="Q894" s="2" t="n"/>
      <c r="R894" s="1" t="n"/>
      <c r="S894" s="229">
        <f>M894*N894</f>
        <v/>
      </c>
      <c r="T894" s="230">
        <f>CONCATENATE(S894,Q894,P894)</f>
        <v/>
      </c>
      <c r="U894" s="206">
        <f>L894*M894</f>
        <v/>
      </c>
      <c r="V894" s="4" t="n"/>
      <c r="W894" s="4" t="n"/>
      <c r="X894" s="4" t="n"/>
    </row>
    <row r="895" ht="15.75" customHeight="1" thickBot="1">
      <c r="A895" s="186" t="n">
        <v>38</v>
      </c>
      <c r="B895" s="214" t="inlineStr">
        <is>
          <t>Bread Crumbs</t>
        </is>
      </c>
      <c r="C895" s="124" t="n"/>
      <c r="D895" s="115" t="n"/>
      <c r="E895" s="124" t="n"/>
      <c r="F895" s="124" t="n"/>
      <c r="G895" s="124" t="n"/>
      <c r="H895" s="84" t="n"/>
      <c r="I895" s="7" t="n"/>
      <c r="J895" s="32" t="inlineStr">
        <is>
          <t>Krispers</t>
        </is>
      </c>
      <c r="K895" s="24" t="n"/>
      <c r="L895" s="36" t="n">
        <v>143.2</v>
      </c>
      <c r="M895" s="204" t="n">
        <v>2</v>
      </c>
      <c r="N895" s="177" t="n">
        <v>1000</v>
      </c>
      <c r="O895" s="13" t="n"/>
      <c r="P895" s="139" t="inlineStr">
        <is>
          <t>grams</t>
        </is>
      </c>
      <c r="Q895" s="2" t="n"/>
      <c r="R895" s="1" t="n"/>
      <c r="S895" s="229">
        <f>M895*N895</f>
        <v/>
      </c>
      <c r="T895" s="230">
        <f>CONCATENATE(S895,Q895,P895)</f>
        <v/>
      </c>
      <c r="U895" s="206">
        <f>L895*M895</f>
        <v/>
      </c>
      <c r="V895" s="4" t="n"/>
      <c r="W895" s="4" t="n"/>
      <c r="X895" s="4" t="n"/>
    </row>
    <row r="896" ht="15.75" customHeight="1" thickBot="1">
      <c r="A896" s="186" t="n">
        <v>38</v>
      </c>
      <c r="B896" s="214" t="inlineStr">
        <is>
          <t>Bread Crumbs</t>
        </is>
      </c>
      <c r="C896" s="124" t="n"/>
      <c r="D896" s="115" t="n"/>
      <c r="E896" s="124" t="n"/>
      <c r="F896" s="124" t="n"/>
      <c r="G896" s="124" t="n"/>
      <c r="H896" s="84" t="n"/>
      <c r="I896" s="7" t="n"/>
      <c r="J896" s="32" t="inlineStr">
        <is>
          <t>Krispers</t>
        </is>
      </c>
      <c r="K896" s="24" t="n"/>
      <c r="L896" s="36" t="n">
        <v>36.7</v>
      </c>
      <c r="M896" s="204" t="n">
        <v>1</v>
      </c>
      <c r="N896" s="177" t="n">
        <v>230</v>
      </c>
      <c r="O896" s="13" t="n"/>
      <c r="P896" s="139" t="inlineStr">
        <is>
          <t>grams</t>
        </is>
      </c>
      <c r="Q896" s="2" t="n"/>
      <c r="R896" s="1" t="n"/>
      <c r="S896" s="229">
        <f>M896*N896</f>
        <v/>
      </c>
      <c r="T896" s="230">
        <f>CONCATENATE(S896,Q896,P896)</f>
        <v/>
      </c>
      <c r="U896" s="206">
        <f>L896*M896</f>
        <v/>
      </c>
      <c r="V896" s="4" t="n"/>
      <c r="W896" s="4" t="n"/>
      <c r="X896" s="4" t="n"/>
    </row>
    <row r="897" ht="15.75" customHeight="1" thickBot="1">
      <c r="A897" s="186" t="n">
        <v>38</v>
      </c>
      <c r="B897" s="214" t="inlineStr">
        <is>
          <t>Bread Crumbs</t>
        </is>
      </c>
      <c r="C897" s="124" t="n"/>
      <c r="D897" s="115" t="n"/>
      <c r="E897" s="124" t="n"/>
      <c r="F897" s="124" t="n"/>
      <c r="G897" s="124" t="n"/>
      <c r="H897" s="84" t="n"/>
      <c r="I897" s="7" t="n"/>
      <c r="J897" s="32" t="inlineStr">
        <is>
          <t>Yan Yan</t>
        </is>
      </c>
      <c r="K897" s="24" t="n"/>
      <c r="L897" s="36" t="n">
        <v>120</v>
      </c>
      <c r="M897" s="204" t="n">
        <v>1</v>
      </c>
      <c r="N897" s="177" t="n">
        <v>1000</v>
      </c>
      <c r="O897" s="13" t="n"/>
      <c r="P897" s="139" t="inlineStr">
        <is>
          <t>grams</t>
        </is>
      </c>
      <c r="Q897" s="2" t="n"/>
      <c r="R897" s="1" t="n"/>
      <c r="S897" s="229">
        <f>M897*N897</f>
        <v/>
      </c>
      <c r="T897" s="230">
        <f>CONCATENATE(S897,Q897,P897)</f>
        <v/>
      </c>
      <c r="U897" s="206">
        <f>L897*M897</f>
        <v/>
      </c>
      <c r="V897" s="4" t="n"/>
      <c r="W897" s="4" t="n"/>
      <c r="X897" s="4" t="n"/>
    </row>
    <row r="898" ht="15.75" customHeight="1" thickBot="1">
      <c r="A898" s="186" t="n">
        <v>38</v>
      </c>
      <c r="B898" s="214" t="inlineStr">
        <is>
          <t>Bread Crumbs</t>
        </is>
      </c>
      <c r="C898" s="124" t="n"/>
      <c r="D898" s="115" t="n"/>
      <c r="E898" s="124" t="n"/>
      <c r="F898" s="124" t="n"/>
      <c r="G898" s="124" t="n"/>
      <c r="H898" s="84" t="n"/>
      <c r="I898" s="7" t="n"/>
      <c r="J898" s="32" t="inlineStr">
        <is>
          <t>Ajinomoto - Crispy Fry Seasoned Crumbs</t>
        </is>
      </c>
      <c r="K898" s="24" t="n"/>
      <c r="L898" s="36" t="n">
        <v>21</v>
      </c>
      <c r="M898" s="204" t="n">
        <v>1</v>
      </c>
      <c r="N898" s="177" t="n">
        <v>62</v>
      </c>
      <c r="O898" s="13" t="n"/>
      <c r="P898" s="139" t="inlineStr">
        <is>
          <t>grams</t>
        </is>
      </c>
      <c r="Q898" s="2" t="n"/>
      <c r="R898" s="1" t="n"/>
      <c r="S898" s="229">
        <f>M898*N898</f>
        <v/>
      </c>
      <c r="T898" s="230">
        <f>CONCATENATE(S898,Q898,P898)</f>
        <v/>
      </c>
      <c r="U898" s="206">
        <f>L898*M898</f>
        <v/>
      </c>
      <c r="V898" s="4" t="n"/>
      <c r="W898" s="4" t="n"/>
      <c r="X898" s="4" t="n"/>
    </row>
    <row r="899" ht="15.75" customHeight="1" thickBot="1">
      <c r="A899" s="186" t="n">
        <v>500</v>
      </c>
      <c r="B899" s="214" t="inlineStr">
        <is>
          <t>Breading Mix</t>
        </is>
      </c>
      <c r="C899" s="124" t="n"/>
      <c r="D899" s="115" t="n"/>
      <c r="E899" s="124" t="n"/>
      <c r="F899" s="124" t="n"/>
      <c r="G899" s="124" t="n"/>
      <c r="H899" s="84" t="n"/>
      <c r="I899" s="7" t="n"/>
      <c r="J899" s="32" t="inlineStr">
        <is>
          <t>Crispy Fry</t>
        </is>
      </c>
      <c r="K899" s="24" t="n"/>
      <c r="L899" s="36" t="n">
        <v>18.14</v>
      </c>
      <c r="M899" s="204" t="n">
        <v>0</v>
      </c>
      <c r="N899" s="177" t="n">
        <v>62</v>
      </c>
      <c r="O899" s="13" t="n"/>
      <c r="P899" s="139" t="inlineStr">
        <is>
          <t>grams</t>
        </is>
      </c>
      <c r="Q899" s="2" t="n"/>
      <c r="R899" s="1" t="n"/>
      <c r="S899" s="229">
        <f>M899*N899</f>
        <v/>
      </c>
      <c r="T899" s="230">
        <f>CONCATENATE(S899,Q899,P899)</f>
        <v/>
      </c>
      <c r="U899" s="206">
        <f>L899*M899</f>
        <v/>
      </c>
      <c r="V899" s="4" t="n"/>
      <c r="W899" s="4" t="n"/>
      <c r="X899" s="4" t="n"/>
    </row>
    <row r="900" ht="15.75" customHeight="1" thickBot="1">
      <c r="A900" s="186" t="n">
        <v>501</v>
      </c>
      <c r="B900" s="214" t="inlineStr">
        <is>
          <t>Brocolli</t>
        </is>
      </c>
      <c r="C900" s="124" t="n"/>
      <c r="D900" s="115" t="n"/>
      <c r="E900" s="124" t="n"/>
      <c r="F900" s="124" t="n"/>
      <c r="G900" s="124" t="n"/>
      <c r="H900" s="84" t="n"/>
      <c r="I900" s="7" t="n"/>
      <c r="J900" s="32" t="n"/>
      <c r="K900" s="24" t="n"/>
      <c r="L900" s="36" t="n">
        <v>150</v>
      </c>
      <c r="M900" s="204" t="n">
        <v>2</v>
      </c>
      <c r="N900" s="177" t="n">
        <v>1</v>
      </c>
      <c r="O900" s="13" t="n"/>
      <c r="P900" s="139" t="inlineStr">
        <is>
          <t>kilos</t>
        </is>
      </c>
      <c r="Q900" s="2" t="n"/>
      <c r="R900" s="1" t="n"/>
      <c r="S900" s="229">
        <f>M900*N900</f>
        <v/>
      </c>
      <c r="T900" s="230">
        <f>CONCATENATE(S900,Q900,P900)</f>
        <v/>
      </c>
      <c r="U900" s="206">
        <f>L900*M900</f>
        <v/>
      </c>
      <c r="V900" s="4" t="n"/>
      <c r="W900" s="4" t="n"/>
      <c r="X900" s="4" t="n"/>
    </row>
    <row r="901" ht="15.75" customHeight="1" thickBot="1">
      <c r="A901" s="186" t="n">
        <v>501</v>
      </c>
      <c r="B901" s="214" t="inlineStr">
        <is>
          <t>Brocolli</t>
        </is>
      </c>
      <c r="C901" s="124" t="n"/>
      <c r="D901" s="115" t="n"/>
      <c r="E901" s="124" t="n"/>
      <c r="F901" s="124" t="n"/>
      <c r="G901" s="124" t="n"/>
      <c r="H901" s="84" t="n"/>
      <c r="I901" s="7" t="n"/>
      <c r="J901" s="32" t="n"/>
      <c r="K901" s="24" t="n"/>
      <c r="L901" s="36" t="n">
        <v>300</v>
      </c>
      <c r="M901" s="204" t="n">
        <v>3</v>
      </c>
      <c r="N901" s="177" t="n">
        <v>1</v>
      </c>
      <c r="O901" s="13" t="n"/>
      <c r="P901" s="139" t="inlineStr">
        <is>
          <t>kilos</t>
        </is>
      </c>
      <c r="Q901" s="2" t="n"/>
      <c r="R901" s="1" t="n"/>
      <c r="S901" s="229">
        <f>M901*N901</f>
        <v/>
      </c>
      <c r="T901" s="230">
        <f>CONCATENATE(S901,Q901,P901)</f>
        <v/>
      </c>
      <c r="U901" s="206">
        <f>L901*M901</f>
        <v/>
      </c>
      <c r="V901" s="4" t="n"/>
      <c r="W901" s="4" t="n"/>
      <c r="X901" s="4" t="n"/>
    </row>
    <row r="902" ht="15.75" customHeight="1" thickBot="1">
      <c r="A902" s="186" t="n">
        <v>501</v>
      </c>
      <c r="B902" s="214" t="inlineStr">
        <is>
          <t>Brocolli</t>
        </is>
      </c>
      <c r="C902" s="124" t="n"/>
      <c r="D902" s="115" t="n"/>
      <c r="E902" s="124" t="n"/>
      <c r="F902" s="124" t="n"/>
      <c r="G902" s="124" t="n"/>
      <c r="H902" s="84" t="n"/>
      <c r="I902" s="7" t="n"/>
      <c r="J902" s="32" t="n"/>
      <c r="K902" s="24" t="n"/>
      <c r="L902" s="36" t="n">
        <v>100</v>
      </c>
      <c r="M902" s="204" t="n">
        <v>1</v>
      </c>
      <c r="N902" s="177" t="n">
        <v>1</v>
      </c>
      <c r="O902" s="13" t="n"/>
      <c r="P902" s="139" t="inlineStr">
        <is>
          <t>kilos</t>
        </is>
      </c>
      <c r="Q902" s="2" t="n"/>
      <c r="R902" s="1" t="n"/>
      <c r="S902" s="229">
        <f>M902*N902</f>
        <v/>
      </c>
      <c r="T902" s="230">
        <f>CONCATENATE(S902,Q902,P902)</f>
        <v/>
      </c>
      <c r="U902" s="206">
        <f>L902*M902</f>
        <v/>
      </c>
      <c r="V902" s="4" t="n"/>
      <c r="W902" s="4" t="n"/>
      <c r="X902" s="4" t="n"/>
    </row>
    <row r="903" ht="15.75" customHeight="1" thickBot="1">
      <c r="A903" s="186" t="n">
        <v>41</v>
      </c>
      <c r="B903" s="214" t="inlineStr">
        <is>
          <t>Broth Cubes - Beef</t>
        </is>
      </c>
      <c r="C903" s="124" t="n"/>
      <c r="D903" s="115" t="n"/>
      <c r="E903" s="124" t="n"/>
      <c r="F903" s="124" t="n"/>
      <c r="G903" s="124" t="n"/>
      <c r="H903" s="84" t="n"/>
      <c r="I903" s="7" t="n"/>
      <c r="J903" s="32" t="inlineStr">
        <is>
          <t>Unilever - Knorr</t>
        </is>
      </c>
      <c r="K903" s="24" t="n"/>
      <c r="L903" s="36" t="n">
        <v>68.3</v>
      </c>
      <c r="M903" s="204" t="n">
        <v>2</v>
      </c>
      <c r="N903" s="177" t="n">
        <v>120</v>
      </c>
      <c r="O903" s="13" t="n"/>
      <c r="P903" s="139" t="inlineStr">
        <is>
          <t>grams</t>
        </is>
      </c>
      <c r="Q903" s="2" t="n"/>
      <c r="R903" s="1" t="n"/>
      <c r="S903" s="229">
        <f>M903*N903</f>
        <v/>
      </c>
      <c r="T903" s="230">
        <f>CONCATENATE(S903,Q903,P903)</f>
        <v/>
      </c>
      <c r="U903" s="206">
        <f>L903*M903</f>
        <v/>
      </c>
      <c r="V903" s="4" t="n"/>
      <c r="W903" s="4" t="n"/>
      <c r="X903" s="4" t="n"/>
    </row>
    <row r="904" ht="15.75" customHeight="1" thickBot="1">
      <c r="A904" s="186" t="n">
        <v>41</v>
      </c>
      <c r="B904" s="214" t="inlineStr">
        <is>
          <t>Broth Cubes - Beef</t>
        </is>
      </c>
      <c r="C904" s="124" t="n"/>
      <c r="D904" s="115" t="n"/>
      <c r="E904" s="124" t="n"/>
      <c r="F904" s="124" t="n"/>
      <c r="G904" s="124" t="n"/>
      <c r="H904" s="84" t="n"/>
      <c r="I904" s="7" t="n"/>
      <c r="J904" s="32" t="inlineStr">
        <is>
          <t>Unilever - Knorr</t>
        </is>
      </c>
      <c r="K904" s="24" t="n"/>
      <c r="L904" s="36" t="n">
        <v>35.2</v>
      </c>
      <c r="M904" s="204" t="n">
        <v>3</v>
      </c>
      <c r="N904" s="177" t="n">
        <v>60</v>
      </c>
      <c r="O904" s="13" t="n"/>
      <c r="P904" s="139" t="inlineStr">
        <is>
          <t>grams</t>
        </is>
      </c>
      <c r="Q904" s="2" t="n"/>
      <c r="R904" s="1" t="n"/>
      <c r="S904" s="229">
        <f>M904*N904</f>
        <v/>
      </c>
      <c r="T904" s="230">
        <f>CONCATENATE(S904,Q904,P904)</f>
        <v/>
      </c>
      <c r="U904" s="206">
        <f>L904*M904</f>
        <v/>
      </c>
      <c r="V904" s="4" t="n"/>
      <c r="W904" s="4" t="n"/>
      <c r="X904" s="4" t="n"/>
    </row>
    <row r="905" ht="15.75" customHeight="1" thickBot="1">
      <c r="A905" s="186" t="n">
        <v>41</v>
      </c>
      <c r="B905" s="214" t="inlineStr">
        <is>
          <t>Broth Cubes - Beef</t>
        </is>
      </c>
      <c r="C905" s="124" t="n"/>
      <c r="D905" s="115" t="n"/>
      <c r="E905" s="124" t="n"/>
      <c r="F905" s="124" t="n"/>
      <c r="G905" s="124" t="n"/>
      <c r="H905" s="84" t="n"/>
      <c r="I905" s="7" t="n"/>
      <c r="J905" s="32" t="inlineStr">
        <is>
          <t>Unilever - Knorr</t>
        </is>
      </c>
      <c r="K905" s="24" t="n"/>
      <c r="L905" s="36" t="n">
        <v>68</v>
      </c>
      <c r="M905" s="204" t="n">
        <v>7</v>
      </c>
      <c r="N905" s="177" t="n">
        <v>120</v>
      </c>
      <c r="O905" s="13" t="n"/>
      <c r="P905" s="139" t="inlineStr">
        <is>
          <t>grams</t>
        </is>
      </c>
      <c r="Q905" s="2" t="n"/>
      <c r="R905" s="1" t="n"/>
      <c r="S905" s="229">
        <f>M905*N905</f>
        <v/>
      </c>
      <c r="T905" s="230">
        <f>CONCATENATE(S905,Q905,P905)</f>
        <v/>
      </c>
      <c r="U905" s="206">
        <f>L905*M905</f>
        <v/>
      </c>
      <c r="V905" s="4" t="n"/>
      <c r="W905" s="4" t="n"/>
      <c r="X905" s="4" t="n"/>
    </row>
    <row r="906" ht="15.75" customHeight="1" thickBot="1">
      <c r="A906" s="186" t="n">
        <v>41</v>
      </c>
      <c r="B906" s="214" t="inlineStr">
        <is>
          <t>Broth Cubes - Beef</t>
        </is>
      </c>
      <c r="C906" s="124" t="n"/>
      <c r="D906" s="115" t="n"/>
      <c r="E906" s="124" t="n"/>
      <c r="F906" s="124" t="n"/>
      <c r="G906" s="124" t="n"/>
      <c r="H906" s="84" t="n"/>
      <c r="I906" s="7" t="n"/>
      <c r="J906" s="32" t="inlineStr">
        <is>
          <t>Unilever - Knorr</t>
        </is>
      </c>
      <c r="K906" s="24" t="n"/>
      <c r="L906" s="36" t="n">
        <v>35.2</v>
      </c>
      <c r="M906" s="204" t="n">
        <v>3</v>
      </c>
      <c r="N906" s="177" t="n">
        <v>60</v>
      </c>
      <c r="O906" s="13" t="n"/>
      <c r="P906" s="139" t="inlineStr">
        <is>
          <t>grams</t>
        </is>
      </c>
      <c r="Q906" s="2" t="n"/>
      <c r="R906" s="1" t="n"/>
      <c r="S906" s="229">
        <f>M906*N906</f>
        <v/>
      </c>
      <c r="T906" s="230">
        <f>CONCATENATE(S906,Q906,P906)</f>
        <v/>
      </c>
      <c r="U906" s="206">
        <f>L906*M906</f>
        <v/>
      </c>
      <c r="V906" s="4" t="n"/>
      <c r="W906" s="4" t="n"/>
      <c r="X906" s="4" t="n"/>
    </row>
    <row r="907" ht="15.75" customHeight="1" thickBot="1">
      <c r="A907" s="186" t="n">
        <v>41</v>
      </c>
      <c r="B907" s="214" t="inlineStr">
        <is>
          <t>Broth Cubes - Beef</t>
        </is>
      </c>
      <c r="C907" s="124" t="n"/>
      <c r="D907" s="115" t="n"/>
      <c r="E907" s="124" t="n"/>
      <c r="F907" s="124" t="n"/>
      <c r="G907" s="124" t="n"/>
      <c r="H907" s="84" t="n"/>
      <c r="I907" s="7" t="n"/>
      <c r="J907" s="32" t="inlineStr">
        <is>
          <t>Unilever - Knorr</t>
        </is>
      </c>
      <c r="K907" s="24" t="n"/>
      <c r="L907" s="36" t="n">
        <v>5.67</v>
      </c>
      <c r="M907" s="204" t="n">
        <v>12</v>
      </c>
      <c r="N907" s="177" t="n">
        <v>10</v>
      </c>
      <c r="O907" s="13" t="n"/>
      <c r="P907" s="139" t="inlineStr">
        <is>
          <t>grams</t>
        </is>
      </c>
      <c r="Q907" s="2" t="n"/>
      <c r="R907" s="1" t="n"/>
      <c r="S907" s="229">
        <f>M907*N907</f>
        <v/>
      </c>
      <c r="T907" s="230">
        <f>CONCATENATE(S907,Q907,P907)</f>
        <v/>
      </c>
      <c r="U907" s="206">
        <f>L907*M907</f>
        <v/>
      </c>
      <c r="V907" s="4" t="n"/>
      <c r="W907" s="4" t="n"/>
      <c r="X907" s="4" t="n"/>
    </row>
    <row r="908" ht="15.75" customHeight="1" thickBot="1">
      <c r="A908" s="186" t="n">
        <v>41</v>
      </c>
      <c r="B908" s="214" t="inlineStr">
        <is>
          <t>Broth Cubes - Beef</t>
        </is>
      </c>
      <c r="C908" s="124" t="n"/>
      <c r="D908" s="115" t="n"/>
      <c r="E908" s="124" t="n"/>
      <c r="F908" s="124" t="n"/>
      <c r="G908" s="124" t="n"/>
      <c r="H908" s="84" t="n"/>
      <c r="I908" s="7" t="n"/>
      <c r="J908" s="32" t="inlineStr">
        <is>
          <t>Unilever - Knorr</t>
        </is>
      </c>
      <c r="K908" s="24" t="n"/>
      <c r="L908" s="36" t="n">
        <v>5</v>
      </c>
      <c r="M908" s="204" t="n">
        <v>36</v>
      </c>
      <c r="N908" s="177" t="n">
        <v>10</v>
      </c>
      <c r="O908" s="13" t="n"/>
      <c r="P908" s="139" t="inlineStr">
        <is>
          <t>grams</t>
        </is>
      </c>
      <c r="Q908" s="2" t="n"/>
      <c r="R908" s="1" t="n"/>
      <c r="S908" s="229">
        <f>M908*N908</f>
        <v/>
      </c>
      <c r="T908" s="230">
        <f>CONCATENATE(S908,Q908,P908)</f>
        <v/>
      </c>
      <c r="U908" s="206">
        <f>L908*M908</f>
        <v/>
      </c>
      <c r="V908" s="4" t="n"/>
      <c r="W908" s="4" t="n"/>
      <c r="X908" s="4" t="n"/>
    </row>
    <row r="909" ht="15.75" customHeight="1" thickBot="1">
      <c r="A909" s="186" t="n">
        <v>42</v>
      </c>
      <c r="B909" s="214" t="inlineStr">
        <is>
          <t>Broth Cubes - Chicken</t>
        </is>
      </c>
      <c r="C909" s="124" t="n"/>
      <c r="D909" s="115" t="n"/>
      <c r="E909" s="124" t="n"/>
      <c r="F909" s="124" t="n"/>
      <c r="G909" s="124" t="n"/>
      <c r="H909" s="84" t="n"/>
      <c r="I909" s="7" t="n"/>
      <c r="J909" s="32" t="inlineStr">
        <is>
          <t>Unilever - Knorr</t>
        </is>
      </c>
      <c r="K909" s="24" t="n"/>
      <c r="L909" s="36" t="n">
        <v>5.86</v>
      </c>
      <c r="M909" s="204" t="n">
        <v>7</v>
      </c>
      <c r="N909" s="177" t="n">
        <v>10</v>
      </c>
      <c r="O909" s="13" t="n"/>
      <c r="P909" s="139" t="inlineStr">
        <is>
          <t>grams</t>
        </is>
      </c>
      <c r="Q909" s="2" t="n"/>
      <c r="R909" s="1" t="n"/>
      <c r="S909" s="229">
        <f>M909*N909</f>
        <v/>
      </c>
      <c r="T909" s="230">
        <f>CONCATENATE(S909,Q909,P909)</f>
        <v/>
      </c>
      <c r="U909" s="206">
        <f>L909*M909</f>
        <v/>
      </c>
      <c r="V909" s="4" t="n"/>
      <c r="W909" s="4" t="n"/>
      <c r="X909" s="4" t="n"/>
    </row>
    <row r="910" ht="15.75" customHeight="1" thickBot="1">
      <c r="A910" s="186" t="n">
        <v>42</v>
      </c>
      <c r="B910" s="214" t="inlineStr">
        <is>
          <t>Broth Cubes - Chicken</t>
        </is>
      </c>
      <c r="C910" s="124" t="n"/>
      <c r="D910" s="115" t="n"/>
      <c r="E910" s="124" t="n"/>
      <c r="F910" s="124" t="n"/>
      <c r="G910" s="124" t="n"/>
      <c r="H910" s="84" t="n"/>
      <c r="I910" s="7" t="n"/>
      <c r="J910" s="32" t="inlineStr">
        <is>
          <t>Unilever - Knorr</t>
        </is>
      </c>
      <c r="K910" s="24" t="n"/>
      <c r="L910" s="36" t="n">
        <v>35.2</v>
      </c>
      <c r="M910" s="204" t="n">
        <v>3</v>
      </c>
      <c r="N910" s="177" t="n">
        <v>60</v>
      </c>
      <c r="O910" s="13" t="n"/>
      <c r="P910" s="139" t="inlineStr">
        <is>
          <t>grams</t>
        </is>
      </c>
      <c r="Q910" s="2" t="n"/>
      <c r="R910" s="1" t="n"/>
      <c r="S910" s="229">
        <f>M910*N910</f>
        <v/>
      </c>
      <c r="T910" s="230">
        <f>CONCATENATE(S910,Q910,P910)</f>
        <v/>
      </c>
      <c r="U910" s="206">
        <f>L910*M910</f>
        <v/>
      </c>
      <c r="V910" s="4" t="n"/>
      <c r="W910" s="4" t="n"/>
      <c r="X910" s="4" t="n"/>
    </row>
    <row r="911" ht="15.75" customHeight="1" thickBot="1">
      <c r="A911" s="186" t="n">
        <v>42</v>
      </c>
      <c r="B911" s="214" t="inlineStr">
        <is>
          <t>Broth Cubes - Chicken</t>
        </is>
      </c>
      <c r="C911" s="124" t="n"/>
      <c r="D911" s="115" t="n"/>
      <c r="E911" s="124" t="n"/>
      <c r="F911" s="124" t="n"/>
      <c r="G911" s="124" t="n"/>
      <c r="H911" s="84" t="n"/>
      <c r="I911" s="7" t="n"/>
      <c r="J911" s="32" t="inlineStr">
        <is>
          <t>Unilever - Knorr</t>
        </is>
      </c>
      <c r="K911" s="24" t="n"/>
      <c r="L911" s="36" t="n">
        <v>35.2</v>
      </c>
      <c r="M911" s="204" t="n">
        <v>3</v>
      </c>
      <c r="N911" s="177" t="n">
        <v>60</v>
      </c>
      <c r="O911" s="13" t="n"/>
      <c r="P911" s="139" t="inlineStr">
        <is>
          <t>grams</t>
        </is>
      </c>
      <c r="Q911" s="2" t="n"/>
      <c r="R911" s="1" t="n"/>
      <c r="S911" s="229">
        <f>M911*N911</f>
        <v/>
      </c>
      <c r="T911" s="230">
        <f>CONCATENATE(S911,Q911,P911)</f>
        <v/>
      </c>
      <c r="U911" s="206">
        <f>L911*M911</f>
        <v/>
      </c>
      <c r="V911" s="4" t="n"/>
      <c r="W911" s="4" t="n"/>
      <c r="X911" s="4" t="n"/>
    </row>
    <row r="912" ht="15.75" customHeight="1" thickBot="1">
      <c r="A912" s="186" t="n">
        <v>42</v>
      </c>
      <c r="B912" s="214" t="inlineStr">
        <is>
          <t>Broth Cubes - Chicken</t>
        </is>
      </c>
      <c r="C912" s="124" t="n"/>
      <c r="D912" s="115" t="n"/>
      <c r="E912" s="124" t="n"/>
      <c r="F912" s="124" t="n"/>
      <c r="G912" s="124" t="n"/>
      <c r="H912" s="84" t="n"/>
      <c r="I912" s="7" t="n"/>
      <c r="J912" s="32" t="inlineStr">
        <is>
          <t>Unilever - Knorr</t>
        </is>
      </c>
      <c r="K912" s="24" t="n"/>
      <c r="L912" s="36" t="n">
        <v>68</v>
      </c>
      <c r="M912" s="204" t="n">
        <v>12</v>
      </c>
      <c r="N912" s="177" t="n">
        <v>120</v>
      </c>
      <c r="O912" s="13" t="n"/>
      <c r="P912" s="139" t="inlineStr">
        <is>
          <t>grams</t>
        </is>
      </c>
      <c r="Q912" s="2" t="n"/>
      <c r="R912" s="1" t="n"/>
      <c r="S912" s="229">
        <f>M912*N912</f>
        <v/>
      </c>
      <c r="T912" s="230">
        <f>CONCATENATE(S912,Q912,P912)</f>
        <v/>
      </c>
      <c r="U912" s="206">
        <f>L912*M912</f>
        <v/>
      </c>
      <c r="V912" s="4" t="n"/>
      <c r="W912" s="4" t="n"/>
      <c r="X912" s="4" t="n"/>
    </row>
    <row r="913" ht="15.75" customHeight="1" thickBot="1">
      <c r="A913" s="186" t="n">
        <v>42</v>
      </c>
      <c r="B913" s="214" t="inlineStr">
        <is>
          <t>Broth Cubes - Chicken</t>
        </is>
      </c>
      <c r="C913" s="124" t="n"/>
      <c r="D913" s="115" t="n"/>
      <c r="E913" s="124" t="n"/>
      <c r="F913" s="124" t="n"/>
      <c r="G913" s="124" t="n"/>
      <c r="H913" s="84" t="n"/>
      <c r="I913" s="7" t="n"/>
      <c r="J913" s="32" t="inlineStr">
        <is>
          <t>Unilever - Knorr</t>
        </is>
      </c>
      <c r="K913" s="24" t="n"/>
      <c r="L913" s="36" t="n">
        <v>5.78</v>
      </c>
      <c r="M913" s="204" t="n">
        <v>12</v>
      </c>
      <c r="N913" s="177" t="n">
        <v>30</v>
      </c>
      <c r="O913" s="13" t="n"/>
      <c r="P913" s="139" t="inlineStr">
        <is>
          <t>grams</t>
        </is>
      </c>
      <c r="Q913" s="2" t="n"/>
      <c r="R913" s="1" t="n"/>
      <c r="S913" s="229">
        <f>M913*N913</f>
        <v/>
      </c>
      <c r="T913" s="230">
        <f>CONCATENATE(S913,Q913,P913)</f>
        <v/>
      </c>
      <c r="U913" s="206">
        <f>L913*M913</f>
        <v/>
      </c>
      <c r="V913" s="4" t="n"/>
      <c r="W913" s="4" t="n"/>
      <c r="X913" s="4" t="n"/>
    </row>
    <row r="914" ht="15.75" customHeight="1" thickBot="1">
      <c r="A914" s="186" t="n">
        <v>43</v>
      </c>
      <c r="B914" s="214" t="inlineStr">
        <is>
          <t>Broth Cubes - Pork</t>
        </is>
      </c>
      <c r="C914" s="124" t="n"/>
      <c r="D914" s="115" t="n"/>
      <c r="E914" s="124" t="n"/>
      <c r="F914" s="124" t="n"/>
      <c r="G914" s="124" t="n"/>
      <c r="H914" s="84" t="n"/>
      <c r="I914" s="7" t="n"/>
      <c r="J914" s="32" t="inlineStr">
        <is>
          <t>Unilever - Knorr</t>
        </is>
      </c>
      <c r="K914" s="24" t="n"/>
      <c r="L914" s="36" t="n">
        <v>5.86</v>
      </c>
      <c r="M914" s="204" t="n">
        <v>8</v>
      </c>
      <c r="N914" s="177" t="n">
        <v>60</v>
      </c>
      <c r="O914" s="13" t="n"/>
      <c r="P914" s="139" t="inlineStr">
        <is>
          <t>grams</t>
        </is>
      </c>
      <c r="Q914" s="2" t="n"/>
      <c r="R914" s="1" t="n"/>
      <c r="S914" s="229">
        <f>M914*N914</f>
        <v/>
      </c>
      <c r="T914" s="230">
        <f>CONCATENATE(S914,Q914,P914)</f>
        <v/>
      </c>
      <c r="U914" s="206">
        <f>L914*M914</f>
        <v/>
      </c>
      <c r="V914" s="4" t="n"/>
      <c r="W914" s="4" t="n"/>
      <c r="X914" s="4" t="n"/>
    </row>
    <row r="915" ht="15.75" customHeight="1" thickBot="1">
      <c r="A915" s="186" t="n">
        <v>43</v>
      </c>
      <c r="B915" s="214" t="inlineStr">
        <is>
          <t>Broth Cubes - Pork</t>
        </is>
      </c>
      <c r="C915" s="124" t="n"/>
      <c r="D915" s="115" t="n"/>
      <c r="E915" s="124" t="n"/>
      <c r="F915" s="124" t="n"/>
      <c r="G915" s="124" t="n"/>
      <c r="H915" s="84" t="n"/>
      <c r="I915" s="7" t="n"/>
      <c r="J915" s="32" t="inlineStr">
        <is>
          <t>Unilever - Knorr</t>
        </is>
      </c>
      <c r="K915" s="24" t="n"/>
      <c r="L915" s="36" t="n">
        <v>35.2</v>
      </c>
      <c r="M915" s="204" t="n">
        <v>3</v>
      </c>
      <c r="N915" s="177" t="n">
        <v>60</v>
      </c>
      <c r="O915" s="13" t="n"/>
      <c r="P915" s="139" t="inlineStr">
        <is>
          <t>grams</t>
        </is>
      </c>
      <c r="Q915" s="2" t="n"/>
      <c r="R915" s="1" t="n"/>
      <c r="S915" s="229">
        <f>M915*N915</f>
        <v/>
      </c>
      <c r="T915" s="230">
        <f>CONCATENATE(S915,Q915,P915)</f>
        <v/>
      </c>
      <c r="U915" s="206">
        <f>L915*M915</f>
        <v/>
      </c>
      <c r="V915" s="4" t="n"/>
      <c r="W915" s="4" t="n"/>
      <c r="X915" s="4" t="n"/>
    </row>
    <row r="916" ht="15.75" customHeight="1" thickBot="1">
      <c r="A916" s="186" t="n">
        <v>43</v>
      </c>
      <c r="B916" s="214" t="inlineStr">
        <is>
          <t>Broth Cubes - Pork</t>
        </is>
      </c>
      <c r="C916" s="124" t="n"/>
      <c r="D916" s="115" t="n"/>
      <c r="E916" s="124" t="n"/>
      <c r="F916" s="124" t="n"/>
      <c r="G916" s="124" t="n"/>
      <c r="H916" s="84" t="n"/>
      <c r="I916" s="7" t="n"/>
      <c r="J916" s="32" t="inlineStr">
        <is>
          <t>Unilever - Knorr</t>
        </is>
      </c>
      <c r="K916" s="24" t="n"/>
      <c r="L916" s="36" t="n">
        <v>35.2</v>
      </c>
      <c r="M916" s="204" t="n">
        <v>3</v>
      </c>
      <c r="N916" s="177" t="n">
        <v>60</v>
      </c>
      <c r="O916" s="13" t="n"/>
      <c r="P916" s="139" t="inlineStr">
        <is>
          <t>grams</t>
        </is>
      </c>
      <c r="Q916" s="2" t="n"/>
      <c r="R916" s="1" t="n"/>
      <c r="S916" s="229">
        <f>M916*N916</f>
        <v/>
      </c>
      <c r="T916" s="230">
        <f>CONCATENATE(S916,Q916,P916)</f>
        <v/>
      </c>
      <c r="U916" s="206">
        <f>L916*M916</f>
        <v/>
      </c>
      <c r="V916" s="4" t="n"/>
      <c r="W916" s="4" t="n"/>
      <c r="X916" s="4" t="n"/>
    </row>
    <row r="917" ht="15.75" customHeight="1" thickBot="1">
      <c r="A917" s="186" t="n">
        <v>43</v>
      </c>
      <c r="B917" s="214" t="inlineStr">
        <is>
          <t>Broth Cubes - Pork</t>
        </is>
      </c>
      <c r="C917" s="124" t="n"/>
      <c r="D917" s="115" t="n"/>
      <c r="E917" s="124" t="n"/>
      <c r="F917" s="124" t="n"/>
      <c r="G917" s="124" t="n"/>
      <c r="H917" s="84" t="n"/>
      <c r="I917" s="7" t="n"/>
      <c r="J917" s="32" t="inlineStr">
        <is>
          <t>Unilever - Knorr</t>
        </is>
      </c>
      <c r="K917" s="24" t="n"/>
      <c r="L917" s="36" t="n">
        <v>5.66</v>
      </c>
      <c r="M917" s="204" t="n">
        <v>7</v>
      </c>
      <c r="N917" s="177" t="n">
        <v>10</v>
      </c>
      <c r="O917" s="13" t="n"/>
      <c r="P917" s="139" t="inlineStr">
        <is>
          <t>grams</t>
        </is>
      </c>
      <c r="Q917" s="2" t="n"/>
      <c r="R917" s="1" t="n"/>
      <c r="S917" s="229">
        <f>M917*N917</f>
        <v/>
      </c>
      <c r="T917" s="230">
        <f>CONCATENATE(S917,Q917,P917)</f>
        <v/>
      </c>
      <c r="U917" s="206">
        <f>L917*M917</f>
        <v/>
      </c>
      <c r="V917" s="4" t="n"/>
      <c r="W917" s="4" t="n"/>
      <c r="X917" s="4" t="n"/>
    </row>
    <row r="918" ht="15.75" customHeight="1" thickBot="1">
      <c r="A918" s="186" t="n">
        <v>43</v>
      </c>
      <c r="B918" s="214" t="inlineStr">
        <is>
          <t>Broth Cubes - Pork</t>
        </is>
      </c>
      <c r="C918" s="124" t="n"/>
      <c r="D918" s="115" t="n"/>
      <c r="E918" s="124" t="n"/>
      <c r="F918" s="124" t="n"/>
      <c r="G918" s="124" t="n"/>
      <c r="H918" s="84" t="n"/>
      <c r="I918" s="7" t="n"/>
      <c r="J918" s="32" t="inlineStr">
        <is>
          <t>Unilever - Knorr</t>
        </is>
      </c>
      <c r="K918" s="24" t="n"/>
      <c r="L918" s="36" t="n">
        <v>5</v>
      </c>
      <c r="M918" s="204" t="n">
        <v>44</v>
      </c>
      <c r="N918" s="177" t="n">
        <v>10</v>
      </c>
      <c r="O918" s="13" t="n"/>
      <c r="P918" s="139" t="inlineStr">
        <is>
          <t>grams</t>
        </is>
      </c>
      <c r="Q918" s="2" t="n"/>
      <c r="R918" s="1" t="n"/>
      <c r="S918" s="229">
        <f>M918*N918</f>
        <v/>
      </c>
      <c r="T918" s="230">
        <f>CONCATENATE(S918,Q918,P918)</f>
        <v/>
      </c>
      <c r="U918" s="206">
        <f>L918*M918</f>
        <v/>
      </c>
      <c r="V918" s="4" t="n"/>
      <c r="W918" s="4" t="n"/>
      <c r="X918" s="4" t="n"/>
    </row>
    <row r="919" ht="15.75" customHeight="1" thickBot="1">
      <c r="A919" s="186" t="n">
        <v>43</v>
      </c>
      <c r="B919" s="214" t="inlineStr">
        <is>
          <t>Broth Cubes - Pork</t>
        </is>
      </c>
      <c r="C919" s="124" t="n"/>
      <c r="D919" s="115" t="n"/>
      <c r="E919" s="124" t="n"/>
      <c r="F919" s="124" t="n"/>
      <c r="G919" s="124" t="n"/>
      <c r="H919" s="84" t="n"/>
      <c r="I919" s="7" t="n"/>
      <c r="J919" s="32" t="inlineStr">
        <is>
          <t>Unilever - Knorr</t>
        </is>
      </c>
      <c r="K919" s="24" t="n"/>
      <c r="L919" s="36" t="n">
        <v>68.3</v>
      </c>
      <c r="M919" s="204" t="n">
        <v>2</v>
      </c>
      <c r="N919" s="177" t="n">
        <v>120</v>
      </c>
      <c r="O919" s="13" t="n"/>
      <c r="P919" s="139" t="inlineStr">
        <is>
          <t>grams</t>
        </is>
      </c>
      <c r="Q919" s="2" t="n"/>
      <c r="R919" s="1" t="n"/>
      <c r="S919" s="229">
        <f>M919*N919</f>
        <v/>
      </c>
      <c r="T919" s="230">
        <f>CONCATENATE(S919,Q919,P919)</f>
        <v/>
      </c>
      <c r="U919" s="206">
        <f>L919*M919</f>
        <v/>
      </c>
      <c r="V919" s="4" t="n"/>
      <c r="W919" s="4" t="n"/>
      <c r="X919" s="4" t="n"/>
    </row>
    <row r="920" ht="15.75" customHeight="1" thickBot="1">
      <c r="A920" s="186" t="n">
        <v>502</v>
      </c>
      <c r="B920" s="215" t="inlineStr">
        <is>
          <t>Brown Paper #1</t>
        </is>
      </c>
      <c r="C920" s="124" t="n"/>
      <c r="D920" s="115" t="n"/>
      <c r="E920" s="124" t="n"/>
      <c r="F920" s="124" t="n"/>
      <c r="G920" s="124" t="n"/>
      <c r="H920" s="84" t="n"/>
      <c r="I920" s="7" t="n"/>
      <c r="J920" s="32" t="inlineStr">
        <is>
          <t>100pcs/ream</t>
        </is>
      </c>
      <c r="K920" s="24" t="n"/>
      <c r="L920" s="36" t="n">
        <v>0.35</v>
      </c>
      <c r="M920" s="204" t="n">
        <v>150</v>
      </c>
      <c r="N920" s="177" t="n">
        <v>1</v>
      </c>
      <c r="O920" s="13" t="n"/>
      <c r="P920" s="139" t="inlineStr">
        <is>
          <t>ream</t>
        </is>
      </c>
      <c r="Q920" s="2" t="n"/>
      <c r="R920" s="1" t="n"/>
      <c r="S920" s="229">
        <f>M920*N920</f>
        <v/>
      </c>
      <c r="T920" s="230">
        <f>CONCATENATE(S920,Q920,P920)</f>
        <v/>
      </c>
      <c r="U920" s="206">
        <f>L920*M920</f>
        <v/>
      </c>
      <c r="V920" s="4" t="n"/>
      <c r="W920" s="4" t="n"/>
      <c r="X920" s="4" t="n"/>
    </row>
    <row r="921" ht="15.75" customHeight="1" thickBot="1">
      <c r="A921" s="186" t="n">
        <v>502</v>
      </c>
      <c r="B921" s="214" t="inlineStr">
        <is>
          <t>Brown Paper #1</t>
        </is>
      </c>
      <c r="C921" s="124" t="n"/>
      <c r="D921" s="115" t="n"/>
      <c r="E921" s="124" t="n"/>
      <c r="F921" s="124" t="n"/>
      <c r="G921" s="124" t="n"/>
      <c r="H921" s="84" t="n"/>
      <c r="I921" s="7" t="n"/>
      <c r="J921" s="32" t="inlineStr">
        <is>
          <t>Carandang Merchandise</t>
        </is>
      </c>
      <c r="K921" s="24" t="n"/>
      <c r="L921" s="36" t="n">
        <v>25</v>
      </c>
      <c r="M921" s="204" t="n">
        <v>3</v>
      </c>
      <c r="N921" s="177" t="n">
        <v>1</v>
      </c>
      <c r="O921" s="13" t="n"/>
      <c r="P921" s="139" t="inlineStr">
        <is>
          <t>ream</t>
        </is>
      </c>
      <c r="Q921" s="2" t="n"/>
      <c r="R921" s="1" t="n"/>
      <c r="S921" s="229">
        <f>M921*N921</f>
        <v/>
      </c>
      <c r="T921" s="230">
        <f>CONCATENATE(S921,Q921,P921)</f>
        <v/>
      </c>
      <c r="U921" s="206">
        <f>L921*M921</f>
        <v/>
      </c>
      <c r="V921" s="4" t="n"/>
      <c r="W921" s="4" t="n"/>
      <c r="X921" s="4" t="n"/>
    </row>
    <row r="922" ht="15.75" customHeight="1" thickBot="1">
      <c r="A922" s="186" t="n">
        <v>503</v>
      </c>
      <c r="B922" s="214" t="inlineStr">
        <is>
          <t>Brown Paper #10</t>
        </is>
      </c>
      <c r="C922" s="124" t="n"/>
      <c r="D922" s="115" t="n"/>
      <c r="E922" s="124" t="n"/>
      <c r="F922" s="124" t="n"/>
      <c r="G922" s="124" t="n"/>
      <c r="H922" s="84" t="n"/>
      <c r="I922" s="7" t="n"/>
      <c r="J922" s="32" t="n"/>
      <c r="K922" s="24" t="n"/>
      <c r="L922" s="36" t="n">
        <v>47</v>
      </c>
      <c r="M922" s="204" t="n">
        <v>15</v>
      </c>
      <c r="N922" s="177" t="n">
        <v>1</v>
      </c>
      <c r="O922" s="13" t="n"/>
      <c r="P922" s="139" t="inlineStr">
        <is>
          <t>ream</t>
        </is>
      </c>
      <c r="Q922" s="2" t="n"/>
      <c r="R922" s="1" t="n"/>
      <c r="S922" s="229">
        <f>M922*N922</f>
        <v/>
      </c>
      <c r="T922" s="230">
        <f>CONCATENATE(S922,Q922,P922)</f>
        <v/>
      </c>
      <c r="U922" s="206">
        <f>L922*M922</f>
        <v/>
      </c>
      <c r="V922" s="4" t="n"/>
      <c r="W922" s="4" t="n"/>
      <c r="X922" s="4" t="n"/>
    </row>
    <row r="923" ht="15.75" customHeight="1" thickBot="1">
      <c r="A923" s="186" t="n">
        <v>503</v>
      </c>
      <c r="B923" s="214" t="inlineStr">
        <is>
          <t>Brown Paper #10</t>
        </is>
      </c>
      <c r="C923" s="124" t="n"/>
      <c r="D923" s="115" t="n"/>
      <c r="E923" s="124" t="n"/>
      <c r="F923" s="124" t="n"/>
      <c r="G923" s="124" t="n"/>
      <c r="H923" s="84" t="n"/>
      <c r="I923" s="7" t="n"/>
      <c r="J923" s="32" t="n"/>
      <c r="K923" s="24" t="n"/>
      <c r="L923" s="36" t="n">
        <v>0.6</v>
      </c>
      <c r="M923" s="204" t="n">
        <v>50</v>
      </c>
      <c r="N923" s="177" t="n">
        <v>1</v>
      </c>
      <c r="O923" s="13" t="n"/>
      <c r="P923" s="139" t="inlineStr">
        <is>
          <t>ream</t>
        </is>
      </c>
      <c r="Q923" s="2" t="n"/>
      <c r="R923" s="1" t="n"/>
      <c r="S923" s="229">
        <f>M923*N923</f>
        <v/>
      </c>
      <c r="T923" s="230">
        <f>CONCATENATE(S923,Q923,P923)</f>
        <v/>
      </c>
      <c r="U923" s="206">
        <f>L923*M923</f>
        <v/>
      </c>
      <c r="V923" s="4" t="n"/>
      <c r="W923" s="4" t="n"/>
      <c r="X923" s="4" t="n"/>
    </row>
    <row r="924" ht="15.75" customHeight="1" thickBot="1">
      <c r="A924" s="186" t="n">
        <v>504</v>
      </c>
      <c r="B924" s="215" t="inlineStr">
        <is>
          <t>Brown Paper #12</t>
        </is>
      </c>
      <c r="C924" s="124" t="n"/>
      <c r="D924" s="115" t="n"/>
      <c r="E924" s="124" t="n"/>
      <c r="F924" s="124" t="n"/>
      <c r="G924" s="124" t="n"/>
      <c r="H924" s="84" t="n"/>
      <c r="I924" s="7" t="n"/>
      <c r="J924" s="32" t="inlineStr">
        <is>
          <t>100pcs/ream</t>
        </is>
      </c>
      <c r="K924" s="24" t="n"/>
      <c r="L924" s="36" t="n">
        <v>1.2</v>
      </c>
      <c r="M924" s="204" t="n">
        <v>66</v>
      </c>
      <c r="N924" s="177" t="n">
        <v>1</v>
      </c>
      <c r="O924" s="13" t="n"/>
      <c r="P924" s="139" t="inlineStr">
        <is>
          <t>ream</t>
        </is>
      </c>
      <c r="Q924" s="2" t="n"/>
      <c r="R924" s="1" t="n"/>
      <c r="S924" s="229">
        <f>M924*N924</f>
        <v/>
      </c>
      <c r="T924" s="230">
        <f>CONCATENATE(S924,Q924,P924)</f>
        <v/>
      </c>
      <c r="U924" s="206">
        <f>L924*M924</f>
        <v/>
      </c>
      <c r="V924" s="4" t="n"/>
      <c r="W924" s="4" t="n"/>
      <c r="X924" s="4" t="n"/>
    </row>
    <row r="925" ht="15.75" customHeight="1" thickBot="1">
      <c r="A925" s="186" t="n">
        <v>505</v>
      </c>
      <c r="B925" s="215" t="inlineStr">
        <is>
          <t>Brown Paper #2</t>
        </is>
      </c>
      <c r="C925" s="124" t="n"/>
      <c r="D925" s="115" t="n"/>
      <c r="E925" s="124" t="n"/>
      <c r="F925" s="124" t="n"/>
      <c r="G925" s="124" t="n"/>
      <c r="H925" s="84" t="n"/>
      <c r="I925" s="7" t="n"/>
      <c r="J925" s="32" t="inlineStr">
        <is>
          <t>100pcs/ream</t>
        </is>
      </c>
      <c r="K925" s="24" t="n"/>
      <c r="L925" s="36" t="n">
        <v>0.4</v>
      </c>
      <c r="M925" s="204" t="n">
        <v>165</v>
      </c>
      <c r="N925" s="177" t="n">
        <v>1</v>
      </c>
      <c r="O925" s="13" t="n"/>
      <c r="P925" s="139" t="inlineStr">
        <is>
          <t>ream</t>
        </is>
      </c>
      <c r="Q925" s="2" t="n"/>
      <c r="R925" s="1" t="n"/>
      <c r="S925" s="229">
        <f>M925*N925</f>
        <v/>
      </c>
      <c r="T925" s="230">
        <f>CONCATENATE(S925,Q925,P925)</f>
        <v/>
      </c>
      <c r="U925" s="206">
        <f>L925*M925</f>
        <v/>
      </c>
      <c r="V925" s="4" t="n"/>
      <c r="W925" s="4" t="n"/>
      <c r="X925" s="4" t="n"/>
    </row>
    <row r="926" ht="15.75" customHeight="1" thickBot="1">
      <c r="A926" s="186" t="n">
        <v>506</v>
      </c>
      <c r="B926" s="214" t="inlineStr">
        <is>
          <t>Brown Paper #3</t>
        </is>
      </c>
      <c r="C926" s="124" t="n"/>
      <c r="D926" s="115" t="n"/>
      <c r="E926" s="124" t="n"/>
      <c r="F926" s="124" t="n"/>
      <c r="G926" s="124" t="n"/>
      <c r="H926" s="84" t="n"/>
      <c r="I926" s="7" t="n"/>
      <c r="J926" s="32" t="inlineStr">
        <is>
          <t>100pcs/ream</t>
        </is>
      </c>
      <c r="K926" s="24" t="n"/>
      <c r="L926" s="36" t="n">
        <v>55</v>
      </c>
      <c r="M926" s="204" t="n">
        <v>5</v>
      </c>
      <c r="N926" s="177" t="n">
        <v>1</v>
      </c>
      <c r="O926" s="13" t="n"/>
      <c r="P926" s="139" t="inlineStr">
        <is>
          <t>ream</t>
        </is>
      </c>
      <c r="Q926" s="2" t="n"/>
      <c r="R926" s="1" t="n"/>
      <c r="S926" s="229">
        <f>M926*N926</f>
        <v/>
      </c>
      <c r="T926" s="230">
        <f>CONCATENATE(S926,Q926,P926)</f>
        <v/>
      </c>
      <c r="U926" s="206">
        <f>L926*M926</f>
        <v/>
      </c>
      <c r="V926" s="4" t="n"/>
      <c r="W926" s="4" t="n"/>
      <c r="X926" s="4" t="n"/>
    </row>
    <row r="927" ht="15.75" customHeight="1" thickBot="1">
      <c r="A927" s="186" t="n">
        <v>507</v>
      </c>
      <c r="B927" s="214" t="inlineStr">
        <is>
          <t>Brown Paper #4</t>
        </is>
      </c>
      <c r="C927" s="124" t="n"/>
      <c r="D927" s="115" t="n"/>
      <c r="E927" s="124" t="n"/>
      <c r="F927" s="124" t="n"/>
      <c r="G927" s="124" t="n"/>
      <c r="H927" s="84" t="n"/>
      <c r="I927" s="7" t="n"/>
      <c r="J927" s="32" t="inlineStr">
        <is>
          <t>100pcs/ream</t>
        </is>
      </c>
      <c r="K927" s="24" t="n"/>
      <c r="L927" s="36" t="n">
        <v>0.5</v>
      </c>
      <c r="M927" s="204" t="n">
        <v>100</v>
      </c>
      <c r="N927" s="177" t="n">
        <v>1</v>
      </c>
      <c r="O927" s="13" t="n"/>
      <c r="P927" s="139" t="inlineStr">
        <is>
          <t>ream</t>
        </is>
      </c>
      <c r="Q927" s="2" t="n"/>
      <c r="R927" s="1" t="n"/>
      <c r="S927" s="229">
        <f>M927*N927</f>
        <v/>
      </c>
      <c r="T927" s="230">
        <f>CONCATENATE(S927,Q927,P927)</f>
        <v/>
      </c>
      <c r="U927" s="206">
        <f>L927*M927</f>
        <v/>
      </c>
      <c r="V927" s="4" t="n"/>
      <c r="W927" s="4" t="n"/>
      <c r="X927" s="4" t="n"/>
    </row>
    <row r="928" ht="15.75" customHeight="1" thickBot="1">
      <c r="A928" s="186" t="n">
        <v>507</v>
      </c>
      <c r="B928" s="214" t="inlineStr">
        <is>
          <t>Brown Paper #4</t>
        </is>
      </c>
      <c r="C928" s="124" t="n"/>
      <c r="D928" s="115" t="n"/>
      <c r="E928" s="124" t="n"/>
      <c r="F928" s="124" t="n"/>
      <c r="G928" s="124" t="n"/>
      <c r="H928" s="84" t="n"/>
      <c r="I928" s="7" t="n"/>
      <c r="J928" s="32" t="inlineStr">
        <is>
          <t>Carandang Merchandise</t>
        </is>
      </c>
      <c r="K928" s="24" t="n"/>
      <c r="L928" s="36" t="n">
        <v>44.6</v>
      </c>
      <c r="M928" s="204" t="n">
        <v>6</v>
      </c>
      <c r="N928" s="177" t="n">
        <v>1</v>
      </c>
      <c r="O928" s="13" t="n"/>
      <c r="P928" s="139" t="inlineStr">
        <is>
          <t>ream</t>
        </is>
      </c>
      <c r="Q928" s="2" t="n"/>
      <c r="R928" s="1" t="n"/>
      <c r="S928" s="229">
        <f>M928*N928</f>
        <v/>
      </c>
      <c r="T928" s="230">
        <f>CONCATENATE(S928,Q928,P928)</f>
        <v/>
      </c>
      <c r="U928" s="206">
        <f>L928*M928</f>
        <v/>
      </c>
      <c r="V928" s="4" t="n"/>
      <c r="W928" s="4" t="n"/>
      <c r="X928" s="4" t="n"/>
    </row>
    <row r="929" ht="15.75" customHeight="1" thickBot="1">
      <c r="A929" s="186" t="n">
        <v>508</v>
      </c>
      <c r="B929" s="214" t="inlineStr">
        <is>
          <t>Brown Paper #8</t>
        </is>
      </c>
      <c r="C929" s="124" t="n"/>
      <c r="D929" s="115" t="n"/>
      <c r="E929" s="124" t="n"/>
      <c r="F929" s="124" t="n"/>
      <c r="G929" s="124" t="n"/>
      <c r="H929" s="84" t="n"/>
      <c r="I929" s="7" t="n"/>
      <c r="J929" s="32" t="inlineStr">
        <is>
          <t>100pcs/ream</t>
        </is>
      </c>
      <c r="K929" s="24" t="n"/>
      <c r="L929" s="36" t="n">
        <v>75</v>
      </c>
      <c r="M929" s="204" t="n">
        <v>3</v>
      </c>
      <c r="N929" s="177" t="n">
        <v>1</v>
      </c>
      <c r="O929" s="13" t="n"/>
      <c r="P929" s="139" t="inlineStr">
        <is>
          <t>ream</t>
        </is>
      </c>
      <c r="Q929" s="2" t="n"/>
      <c r="R929" s="1" t="n"/>
      <c r="S929" s="229">
        <f>M929*N929</f>
        <v/>
      </c>
      <c r="T929" s="230">
        <f>CONCATENATE(S929,Q929,P929)</f>
        <v/>
      </c>
      <c r="U929" s="206">
        <f>L929*M929</f>
        <v/>
      </c>
      <c r="V929" s="4" t="n"/>
      <c r="W929" s="4" t="n"/>
      <c r="X929" s="4" t="n"/>
    </row>
    <row r="930" ht="15.75" customHeight="1" thickBot="1">
      <c r="A930" s="186" t="n">
        <v>509</v>
      </c>
      <c r="B930" s="214" t="inlineStr">
        <is>
          <t>Brown Rice</t>
        </is>
      </c>
      <c r="C930" s="124" t="n"/>
      <c r="D930" s="115" t="n"/>
      <c r="E930" s="124" t="n"/>
      <c r="F930" s="124" t="n"/>
      <c r="G930" s="124" t="n"/>
      <c r="H930" s="84" t="n"/>
      <c r="I930" s="7" t="n"/>
      <c r="J930" s="32" t="inlineStr">
        <is>
          <t>Japonica</t>
        </is>
      </c>
      <c r="K930" s="24" t="n"/>
      <c r="L930" s="36" t="n">
        <v>115</v>
      </c>
      <c r="M930" s="204" t="n">
        <v>1</v>
      </c>
      <c r="N930" s="177" t="n">
        <v>1</v>
      </c>
      <c r="O930" s="13" t="n"/>
      <c r="P930" s="139" t="inlineStr">
        <is>
          <t>kilos</t>
        </is>
      </c>
      <c r="Q930" s="2" t="n"/>
      <c r="R930" s="1" t="n"/>
      <c r="S930" s="229">
        <f>M930*N930</f>
        <v/>
      </c>
      <c r="T930" s="230">
        <f>CONCATENATE(S930,Q930,P930)</f>
        <v/>
      </c>
      <c r="U930" s="206">
        <f>L930*M930</f>
        <v/>
      </c>
      <c r="V930" s="4" t="n"/>
      <c r="W930" s="4" t="n"/>
      <c r="X930" s="4" t="n"/>
    </row>
    <row r="931" ht="15.75" customHeight="1" thickBot="1">
      <c r="A931" s="186" t="n">
        <v>509</v>
      </c>
      <c r="B931" s="215" t="inlineStr">
        <is>
          <t>Brown Rice</t>
        </is>
      </c>
      <c r="C931" s="124" t="n"/>
      <c r="D931" s="115" t="n"/>
      <c r="E931" s="124" t="n"/>
      <c r="F931" s="124" t="n"/>
      <c r="G931" s="124" t="n"/>
      <c r="H931" s="84" t="n"/>
      <c r="I931" s="7" t="n"/>
      <c r="J931" s="32" t="inlineStr">
        <is>
          <t>Dona Maria</t>
        </is>
      </c>
      <c r="K931" s="24" t="n"/>
      <c r="L931" s="36" t="n">
        <v>160</v>
      </c>
      <c r="M931" s="204" t="n">
        <v>2</v>
      </c>
      <c r="N931" s="177" t="n">
        <v>2</v>
      </c>
      <c r="O931" s="13" t="n"/>
      <c r="P931" s="139" t="inlineStr">
        <is>
          <t>kilos</t>
        </is>
      </c>
      <c r="Q931" s="2" t="n"/>
      <c r="R931" s="1" t="n"/>
      <c r="S931" s="229">
        <f>M931*N931</f>
        <v/>
      </c>
      <c r="T931" s="230">
        <f>CONCATENATE(S931,Q931,P931)</f>
        <v/>
      </c>
      <c r="U931" s="206">
        <f>L931*M931</f>
        <v/>
      </c>
      <c r="V931" s="4" t="n"/>
      <c r="W931" s="4" t="n"/>
      <c r="X931" s="4" t="n"/>
    </row>
    <row r="932" ht="15.75" customHeight="1" thickBot="1">
      <c r="A932" s="186" t="n">
        <v>509</v>
      </c>
      <c r="B932" s="215" t="inlineStr">
        <is>
          <t>Brown Rice</t>
        </is>
      </c>
      <c r="C932" s="124" t="n"/>
      <c r="D932" s="115" t="n"/>
      <c r="E932" s="124" t="n"/>
      <c r="F932" s="124" t="n"/>
      <c r="G932" s="124" t="n"/>
      <c r="H932" s="84" t="n"/>
      <c r="I932" s="7" t="n"/>
      <c r="J932" s="32" t="inlineStr">
        <is>
          <t>Jordan Farm</t>
        </is>
      </c>
      <c r="K932" s="24" t="n"/>
      <c r="L932" s="36" t="n">
        <v>126</v>
      </c>
      <c r="M932" s="204" t="n">
        <v>1</v>
      </c>
      <c r="N932" s="177" t="n">
        <v>800</v>
      </c>
      <c r="O932" s="13" t="n"/>
      <c r="P932" s="139" t="inlineStr">
        <is>
          <t>grams</t>
        </is>
      </c>
      <c r="Q932" s="2" t="n"/>
      <c r="R932" s="1" t="n"/>
      <c r="S932" s="229">
        <f>M932*N932</f>
        <v/>
      </c>
      <c r="T932" s="230">
        <f>CONCATENATE(S932,Q932,P932)</f>
        <v/>
      </c>
      <c r="U932" s="206">
        <f>L932*M932</f>
        <v/>
      </c>
      <c r="V932" s="4" t="n"/>
      <c r="W932" s="4" t="n"/>
      <c r="X932" s="4" t="n"/>
    </row>
    <row r="933" ht="15.75" customHeight="1" thickBot="1">
      <c r="A933" s="186" t="n">
        <v>510</v>
      </c>
      <c r="B933" s="214" t="inlineStr">
        <is>
          <t>Buko</t>
        </is>
      </c>
      <c r="C933" s="124" t="n"/>
      <c r="D933" s="115" t="n"/>
      <c r="E933" s="124" t="n"/>
      <c r="F933" s="124" t="n"/>
      <c r="G933" s="124" t="n"/>
      <c r="H933" s="84" t="n"/>
      <c r="I933" s="7" t="n"/>
      <c r="J933" s="32" t="n"/>
      <c r="K933" s="24" t="n"/>
      <c r="L933" s="36" t="n">
        <v>46</v>
      </c>
      <c r="M933" s="204" t="n">
        <v>1</v>
      </c>
      <c r="N933" s="177" t="n">
        <v>1</v>
      </c>
      <c r="O933" s="13" t="n"/>
      <c r="P933" s="139" t="inlineStr">
        <is>
          <t>pieces</t>
        </is>
      </c>
      <c r="Q933" s="2" t="n"/>
      <c r="R933" s="1" t="n"/>
      <c r="S933" s="229">
        <f>M933*N933</f>
        <v/>
      </c>
      <c r="T933" s="230">
        <f>CONCATENATE(S933,Q933,P933)</f>
        <v/>
      </c>
      <c r="U933" s="206">
        <f>L933*M933</f>
        <v/>
      </c>
      <c r="V933" s="4" t="n"/>
      <c r="W933" s="4" t="n"/>
      <c r="X933" s="4" t="n"/>
    </row>
    <row r="934" ht="15.75" customHeight="1" thickBot="1">
      <c r="A934" s="186" t="n">
        <v>511</v>
      </c>
      <c r="B934" s="214" t="inlineStr">
        <is>
          <t>Buko Kayod</t>
        </is>
      </c>
      <c r="C934" s="124" t="n"/>
      <c r="D934" s="115" t="n"/>
      <c r="E934" s="124" t="n"/>
      <c r="F934" s="124" t="n"/>
      <c r="G934" s="124" t="n"/>
      <c r="H934" s="84" t="n"/>
      <c r="I934" s="7" t="n"/>
      <c r="J934" s="32" t="n"/>
      <c r="K934" s="24" t="n"/>
      <c r="L934" s="36" t="n">
        <v>260</v>
      </c>
      <c r="M934" s="204" t="n">
        <v>1</v>
      </c>
      <c r="N934" s="177" t="n">
        <v>1</v>
      </c>
      <c r="O934" s="13" t="n"/>
      <c r="P934" s="139" t="inlineStr">
        <is>
          <t>kilos</t>
        </is>
      </c>
      <c r="Q934" s="2" t="n"/>
      <c r="R934" s="1" t="n"/>
      <c r="S934" s="229">
        <f>M934*N934</f>
        <v/>
      </c>
      <c r="T934" s="230">
        <f>CONCATENATE(S934,Q934,P934)</f>
        <v/>
      </c>
      <c r="U934" s="206">
        <f>L934*M934</f>
        <v/>
      </c>
      <c r="V934" s="4" t="n"/>
      <c r="W934" s="4" t="n"/>
      <c r="X934" s="4" t="n"/>
    </row>
    <row r="935" ht="15.75" customHeight="1" thickBot="1">
      <c r="A935" s="186" t="n">
        <v>512</v>
      </c>
      <c r="B935" s="214" t="inlineStr">
        <is>
          <t>Buko Pastillas</t>
        </is>
      </c>
      <c r="C935" s="124" t="n"/>
      <c r="D935" s="115" t="n"/>
      <c r="E935" s="124" t="n"/>
      <c r="F935" s="124" t="n"/>
      <c r="G935" s="124" t="n"/>
      <c r="H935" s="84" t="n"/>
      <c r="I935" s="7" t="n"/>
      <c r="J935" s="32" t="inlineStr">
        <is>
          <t>Ysanne Ktara Native Kakanin</t>
        </is>
      </c>
      <c r="K935" s="24" t="n"/>
      <c r="L935" s="36" t="n">
        <v>5</v>
      </c>
      <c r="M935" s="204" t="n">
        <v>120</v>
      </c>
      <c r="N935" s="177" t="n">
        <v>1</v>
      </c>
      <c r="O935" s="13" t="n"/>
      <c r="P935" s="139" t="inlineStr">
        <is>
          <t>pieces</t>
        </is>
      </c>
      <c r="Q935" s="2" t="n"/>
      <c r="R935" s="1" t="n"/>
      <c r="S935" s="229">
        <f>M935*N935</f>
        <v/>
      </c>
      <c r="T935" s="230">
        <f>CONCATENATE(S935,Q935,P935)</f>
        <v/>
      </c>
      <c r="U935" s="206">
        <f>L935*M935</f>
        <v/>
      </c>
      <c r="V935" s="4" t="n"/>
      <c r="W935" s="4" t="n"/>
      <c r="X935" s="4" t="n"/>
    </row>
    <row r="936" ht="15.75" customHeight="1" thickBot="1">
      <c r="A936" s="186" t="n">
        <v>513</v>
      </c>
      <c r="B936" s="215" t="inlineStr">
        <is>
          <t>Burger Patties</t>
        </is>
      </c>
      <c r="C936" s="124" t="n"/>
      <c r="D936" s="115" t="n"/>
      <c r="E936" s="124" t="n"/>
      <c r="F936" s="124" t="n"/>
      <c r="G936" s="124" t="n"/>
      <c r="H936" s="84" t="n"/>
      <c r="I936" s="7" t="n"/>
      <c r="J936" s="32" t="inlineStr">
        <is>
          <t>CDO - Ulam Burger</t>
        </is>
      </c>
      <c r="K936" s="24" t="n"/>
      <c r="L936" s="36" t="n">
        <v>195</v>
      </c>
      <c r="M936" s="204" t="n">
        <v>2</v>
      </c>
      <c r="N936" s="177" t="n">
        <v>912</v>
      </c>
      <c r="O936" s="13" t="n"/>
      <c r="P936" s="139" t="inlineStr">
        <is>
          <t>grams</t>
        </is>
      </c>
      <c r="Q936" s="2" t="n"/>
      <c r="R936" s="1" t="n"/>
      <c r="S936" s="229">
        <f>M936*N936</f>
        <v/>
      </c>
      <c r="T936" s="230">
        <f>CONCATENATE(S936,Q936,P936)</f>
        <v/>
      </c>
      <c r="U936" s="206">
        <f>L936*M936</f>
        <v/>
      </c>
      <c r="V936" s="4" t="n"/>
      <c r="W936" s="4" t="n"/>
      <c r="X936" s="4" t="n"/>
    </row>
    <row r="937" ht="15.75" customHeight="1" thickBot="1">
      <c r="A937" s="186" t="n">
        <v>513</v>
      </c>
      <c r="B937" s="214" t="inlineStr">
        <is>
          <t>Burger Patties</t>
        </is>
      </c>
      <c r="C937" s="124" t="n"/>
      <c r="D937" s="115" t="n"/>
      <c r="E937" s="124" t="n"/>
      <c r="F937" s="124" t="n"/>
      <c r="G937" s="124" t="n"/>
      <c r="H937" s="84" t="n"/>
      <c r="I937" s="7" t="n"/>
      <c r="J937" s="32" t="inlineStr">
        <is>
          <t>CDO - Ulam Burger</t>
        </is>
      </c>
      <c r="K937" s="24" t="n"/>
      <c r="L937" s="36" t="n">
        <v>268.5</v>
      </c>
      <c r="M937" s="204" t="n">
        <v>2</v>
      </c>
      <c r="N937" s="177" t="n">
        <v>912</v>
      </c>
      <c r="O937" s="13" t="n"/>
      <c r="P937" s="139" t="inlineStr">
        <is>
          <t>grams</t>
        </is>
      </c>
      <c r="Q937" s="2" t="n"/>
      <c r="R937" s="1" t="n"/>
      <c r="S937" s="229">
        <f>M937*N937</f>
        <v/>
      </c>
      <c r="T937" s="230">
        <f>CONCATENATE(S937,Q937,P937)</f>
        <v/>
      </c>
      <c r="U937" s="206">
        <f>L937*M937</f>
        <v/>
      </c>
      <c r="V937" s="4" t="n"/>
      <c r="W937" s="4" t="n"/>
      <c r="X937" s="4" t="n"/>
    </row>
    <row r="938" ht="15.75" customHeight="1" thickBot="1">
      <c r="A938" s="186" t="n">
        <v>513</v>
      </c>
      <c r="B938" s="215" t="inlineStr">
        <is>
          <t>Burger Patties</t>
        </is>
      </c>
      <c r="C938" s="124" t="n"/>
      <c r="D938" s="115" t="n"/>
      <c r="E938" s="124" t="n"/>
      <c r="F938" s="124" t="n"/>
      <c r="G938" s="124" t="n"/>
      <c r="H938" s="84" t="n"/>
      <c r="I938" s="7" t="n"/>
      <c r="J938" s="32" t="inlineStr">
        <is>
          <t>CDO - Ulam Burger</t>
        </is>
      </c>
      <c r="K938" s="24" t="n"/>
      <c r="L938" s="36" t="n">
        <v>58</v>
      </c>
      <c r="M938" s="204" t="n">
        <v>5</v>
      </c>
      <c r="N938" s="177" t="n">
        <v>228</v>
      </c>
      <c r="O938" s="13" t="n"/>
      <c r="P938" s="139" t="inlineStr">
        <is>
          <t>grams</t>
        </is>
      </c>
      <c r="Q938" s="2" t="n"/>
      <c r="R938" s="1" t="n"/>
      <c r="S938" s="229">
        <f>M938*N938</f>
        <v/>
      </c>
      <c r="T938" s="230">
        <f>CONCATENATE(S938,Q938,P938)</f>
        <v/>
      </c>
      <c r="U938" s="206">
        <f>L938*M938</f>
        <v/>
      </c>
      <c r="V938" s="4" t="n"/>
      <c r="W938" s="4" t="n"/>
      <c r="X938" s="4" t="n"/>
    </row>
    <row r="939" ht="15.75" customHeight="1" thickBot="1">
      <c r="A939" s="186" t="n">
        <v>514</v>
      </c>
      <c r="B939" s="215" t="inlineStr">
        <is>
          <t>Butter</t>
        </is>
      </c>
      <c r="C939" s="124" t="n"/>
      <c r="D939" s="115" t="n"/>
      <c r="E939" s="124" t="n"/>
      <c r="F939" s="124" t="n"/>
      <c r="G939" s="124" t="n"/>
      <c r="H939" s="84" t="n"/>
      <c r="I939" s="7" t="n"/>
      <c r="J939" s="32" t="inlineStr">
        <is>
          <t>Magnolia - Salted</t>
        </is>
      </c>
      <c r="K939" s="24" t="n"/>
      <c r="L939" s="36" t="n">
        <v>54</v>
      </c>
      <c r="M939" s="204" t="n">
        <v>4</v>
      </c>
      <c r="N939" s="177" t="n">
        <v>200</v>
      </c>
      <c r="O939" s="13" t="n"/>
      <c r="P939" s="139" t="inlineStr">
        <is>
          <t>grams</t>
        </is>
      </c>
      <c r="Q939" s="2" t="n"/>
      <c r="R939" s="1" t="n"/>
      <c r="S939" s="229">
        <f>M939*N939</f>
        <v/>
      </c>
      <c r="T939" s="230">
        <f>CONCATENATE(S939,Q939,P939)</f>
        <v/>
      </c>
      <c r="U939" s="206">
        <f>L939*M939</f>
        <v/>
      </c>
      <c r="V939" s="4" t="n"/>
      <c r="W939" s="4" t="n"/>
      <c r="X939" s="4" t="n"/>
    </row>
    <row r="940" ht="15.75" customHeight="1" thickBot="1">
      <c r="A940" s="186" t="n">
        <v>514</v>
      </c>
      <c r="B940" s="214" t="inlineStr">
        <is>
          <t>Butter</t>
        </is>
      </c>
      <c r="C940" s="124" t="n"/>
      <c r="D940" s="115" t="n"/>
      <c r="E940" s="124" t="n"/>
      <c r="F940" s="124" t="n"/>
      <c r="G940" s="124" t="n"/>
      <c r="H940" s="84" t="n"/>
      <c r="I940" s="7" t="n"/>
      <c r="J940" s="32" t="inlineStr">
        <is>
          <t>Magnolia - Buttercup</t>
        </is>
      </c>
      <c r="K940" s="24" t="n"/>
      <c r="L940" s="36" t="n">
        <v>52</v>
      </c>
      <c r="M940" s="204" t="n">
        <v>4</v>
      </c>
      <c r="N940" s="177" t="n">
        <v>200</v>
      </c>
      <c r="O940" s="13" t="n"/>
      <c r="P940" s="139" t="inlineStr">
        <is>
          <t>grams</t>
        </is>
      </c>
      <c r="Q940" s="2" t="n"/>
      <c r="R940" s="1" t="n"/>
      <c r="S940" s="229">
        <f>M940*N940</f>
        <v/>
      </c>
      <c r="T940" s="230">
        <f>CONCATENATE(S940,Q940,P940)</f>
        <v/>
      </c>
      <c r="U940" s="206">
        <f>L940*M940</f>
        <v/>
      </c>
      <c r="V940" s="4" t="n"/>
      <c r="W940" s="4" t="n"/>
      <c r="X940" s="4" t="n"/>
    </row>
    <row r="941" ht="15.75" customHeight="1" thickBot="1">
      <c r="A941" s="186" t="n">
        <v>515</v>
      </c>
      <c r="B941" s="214" t="inlineStr">
        <is>
          <t>Button Mushroom</t>
        </is>
      </c>
      <c r="C941" s="124" t="n"/>
      <c r="D941" s="115" t="n"/>
      <c r="E941" s="124" t="n"/>
      <c r="F941" s="124" t="n"/>
      <c r="G941" s="124" t="n"/>
      <c r="H941" s="84" t="n"/>
      <c r="I941" s="7" t="n"/>
      <c r="J941" s="32" t="inlineStr">
        <is>
          <t>Jolly - Pieces &amp; Stems</t>
        </is>
      </c>
      <c r="K941" s="24" t="n"/>
      <c r="L941" s="36" t="n">
        <v>62.5</v>
      </c>
      <c r="M941" s="204" t="n">
        <v>1</v>
      </c>
      <c r="N941" s="177" t="n">
        <v>400</v>
      </c>
      <c r="O941" s="13" t="n"/>
      <c r="P941" s="139" t="inlineStr">
        <is>
          <t>grams</t>
        </is>
      </c>
      <c r="Q941" s="2" t="n"/>
      <c r="R941" s="1" t="n"/>
      <c r="S941" s="229">
        <f>M941*N941</f>
        <v/>
      </c>
      <c r="T941" s="230">
        <f>CONCATENATE(S941,Q941,P941)</f>
        <v/>
      </c>
      <c r="U941" s="206">
        <f>L941*M941</f>
        <v/>
      </c>
      <c r="V941" s="4" t="n"/>
      <c r="W941" s="4" t="n"/>
      <c r="X941" s="4" t="n"/>
    </row>
    <row r="942" ht="15.75" customHeight="1" thickBot="1">
      <c r="A942" s="186" t="n">
        <v>47</v>
      </c>
      <c r="B942" s="214" t="inlineStr">
        <is>
          <t>Button Mushroom Whole</t>
        </is>
      </c>
      <c r="C942" s="124" t="n"/>
      <c r="D942" s="115" t="n"/>
      <c r="E942" s="124" t="n"/>
      <c r="F942" s="124" t="n"/>
      <c r="G942" s="124" t="n"/>
      <c r="H942" s="84" t="n"/>
      <c r="I942" s="7" t="n"/>
      <c r="J942" s="32" t="inlineStr">
        <is>
          <t>Jolly</t>
        </is>
      </c>
      <c r="K942" s="24" t="n"/>
      <c r="L942" s="36" t="n">
        <v>56.9</v>
      </c>
      <c r="M942" s="204" t="n">
        <v>6</v>
      </c>
      <c r="N942" s="177" t="n">
        <v>156</v>
      </c>
      <c r="O942" s="13" t="n"/>
      <c r="P942" s="139" t="inlineStr">
        <is>
          <t>drained weight grams</t>
        </is>
      </c>
      <c r="Q942" s="2" t="n"/>
      <c r="R942" s="1" t="n"/>
      <c r="S942" s="229">
        <f>M942*N942</f>
        <v/>
      </c>
      <c r="T942" s="230">
        <f>CONCATENATE(S942,Q942,P942)</f>
        <v/>
      </c>
      <c r="U942" s="206">
        <f>L942*M942</f>
        <v/>
      </c>
      <c r="V942" s="4" t="n"/>
      <c r="W942" s="4" t="n"/>
      <c r="X942" s="4" t="n"/>
    </row>
    <row r="943" ht="15.75" customHeight="1" thickBot="1">
      <c r="A943" s="186" t="n">
        <v>47</v>
      </c>
      <c r="B943" s="214" t="inlineStr">
        <is>
          <t>Button Mushroom Whole</t>
        </is>
      </c>
      <c r="C943" s="124" t="n"/>
      <c r="D943" s="115" t="n"/>
      <c r="E943" s="124" t="n"/>
      <c r="F943" s="124" t="n"/>
      <c r="G943" s="124" t="n"/>
      <c r="H943" s="84" t="n"/>
      <c r="I943" s="7" t="n"/>
      <c r="J943" s="32" t="inlineStr">
        <is>
          <t>Happy Fiesta</t>
        </is>
      </c>
      <c r="K943" s="24" t="n"/>
      <c r="L943" s="36" t="n">
        <v>50</v>
      </c>
      <c r="M943" s="204" t="n">
        <v>8</v>
      </c>
      <c r="N943" s="177" t="n">
        <v>180</v>
      </c>
      <c r="O943" s="13" t="n"/>
      <c r="P943" s="139" t="inlineStr">
        <is>
          <t>drained weight grams</t>
        </is>
      </c>
      <c r="Q943" s="2" t="n"/>
      <c r="R943" s="1" t="n"/>
      <c r="S943" s="229">
        <f>M943*N943</f>
        <v/>
      </c>
      <c r="T943" s="230">
        <f>CONCATENATE(S943,Q943,P943)</f>
        <v/>
      </c>
      <c r="U943" s="206">
        <f>L943*M943</f>
        <v/>
      </c>
      <c r="V943" s="4" t="n"/>
      <c r="W943" s="4" t="n"/>
      <c r="X943" s="4" t="n"/>
    </row>
    <row r="944" ht="15.75" customHeight="1" thickBot="1">
      <c r="A944" s="186" t="n">
        <v>47</v>
      </c>
      <c r="B944" s="214" t="inlineStr">
        <is>
          <t>Button Mushroom Whole</t>
        </is>
      </c>
      <c r="C944" s="124" t="n"/>
      <c r="D944" s="115" t="n"/>
      <c r="E944" s="124" t="n"/>
      <c r="F944" s="124" t="n"/>
      <c r="G944" s="124" t="n"/>
      <c r="H944" s="84" t="n"/>
      <c r="I944" s="7" t="n"/>
      <c r="J944" s="32" t="inlineStr">
        <is>
          <t>Happy Fiesta</t>
        </is>
      </c>
      <c r="K944" s="24" t="n"/>
      <c r="L944" s="36" t="n">
        <v>50</v>
      </c>
      <c r="M944" s="204" t="n">
        <v>22</v>
      </c>
      <c r="N944" s="177" t="n">
        <v>180</v>
      </c>
      <c r="O944" s="13" t="n"/>
      <c r="P944" s="139" t="inlineStr">
        <is>
          <t>grams</t>
        </is>
      </c>
      <c r="Q944" s="2" t="n"/>
      <c r="R944" s="1" t="n"/>
      <c r="S944" s="229">
        <f>M944*N944</f>
        <v/>
      </c>
      <c r="T944" s="230">
        <f>CONCATENATE(S944,Q944,P944)</f>
        <v/>
      </c>
      <c r="U944" s="206">
        <f>L944*M944</f>
        <v/>
      </c>
      <c r="V944" s="4" t="n"/>
      <c r="W944" s="4" t="n"/>
      <c r="X944" s="4" t="n"/>
    </row>
    <row r="945" ht="15.75" customHeight="1" thickBot="1">
      <c r="A945" s="186" t="n">
        <v>47</v>
      </c>
      <c r="B945" s="215" t="inlineStr">
        <is>
          <t>Button Mushroom Whole</t>
        </is>
      </c>
      <c r="C945" s="124" t="n"/>
      <c r="D945" s="115" t="n"/>
      <c r="E945" s="124" t="n"/>
      <c r="F945" s="124" t="n"/>
      <c r="G945" s="124" t="n"/>
      <c r="H945" s="84" t="n"/>
      <c r="I945" s="7" t="n"/>
      <c r="J945" s="32" t="inlineStr">
        <is>
          <t>Happy Fiesta</t>
        </is>
      </c>
      <c r="K945" s="24" t="n"/>
      <c r="L945" s="36" t="n">
        <v>50</v>
      </c>
      <c r="M945" s="204" t="n">
        <v>7</v>
      </c>
      <c r="N945" s="177" t="n">
        <v>180</v>
      </c>
      <c r="O945" s="13" t="n"/>
      <c r="P945" s="139" t="inlineStr">
        <is>
          <t>grams</t>
        </is>
      </c>
      <c r="Q945" s="2" t="n"/>
      <c r="R945" s="1" t="n"/>
      <c r="S945" s="229">
        <f>M945*N945</f>
        <v/>
      </c>
      <c r="T945" s="230">
        <f>CONCATENATE(S945,Q945,P945)</f>
        <v/>
      </c>
      <c r="U945" s="206">
        <f>L945*M945</f>
        <v/>
      </c>
      <c r="V945" s="4" t="n"/>
      <c r="W945" s="4" t="n"/>
      <c r="X945" s="4" t="n"/>
    </row>
    <row r="946" ht="15.75" customHeight="1" thickBot="1">
      <c r="A946" s="186" t="n">
        <v>49</v>
      </c>
      <c r="B946" s="214" t="inlineStr">
        <is>
          <t>Cabbage</t>
        </is>
      </c>
      <c r="C946" s="124" t="n"/>
      <c r="D946" s="115" t="n"/>
      <c r="E946" s="124" t="n"/>
      <c r="F946" s="124" t="n"/>
      <c r="G946" s="124" t="n"/>
      <c r="H946" s="84" t="n"/>
      <c r="I946" s="7" t="n"/>
      <c r="J946" s="32" t="n"/>
      <c r="K946" s="24" t="n"/>
      <c r="L946" s="36" t="n">
        <v>75</v>
      </c>
      <c r="M946" s="204" t="n">
        <v>4</v>
      </c>
      <c r="N946" s="177" t="n">
        <v>1</v>
      </c>
      <c r="O946" s="13" t="n"/>
      <c r="P946" s="139" t="inlineStr">
        <is>
          <t>kilos</t>
        </is>
      </c>
      <c r="Q946" s="2" t="n"/>
      <c r="R946" s="1" t="n"/>
      <c r="S946" s="229">
        <f>M946*N946</f>
        <v/>
      </c>
      <c r="T946" s="230">
        <f>CONCATENATE(S946,Q946,P946)</f>
        <v/>
      </c>
      <c r="U946" s="206">
        <f>L946*M946</f>
        <v/>
      </c>
      <c r="V946" s="4" t="n"/>
      <c r="W946" s="4" t="n"/>
      <c r="X946" s="4" t="n"/>
    </row>
    <row r="947" ht="15.75" customHeight="1" thickBot="1">
      <c r="A947" s="186" t="n">
        <v>49</v>
      </c>
      <c r="B947" s="214" t="inlineStr">
        <is>
          <t>Cabbage</t>
        </is>
      </c>
      <c r="C947" s="124" t="n"/>
      <c r="D947" s="115" t="n"/>
      <c r="E947" s="124" t="n"/>
      <c r="F947" s="124" t="n"/>
      <c r="G947" s="124" t="n"/>
      <c r="H947" s="84" t="n"/>
      <c r="I947" s="7" t="n"/>
      <c r="J947" s="32" t="n"/>
      <c r="K947" s="24" t="n"/>
      <c r="L947" s="36" t="n">
        <v>80</v>
      </c>
      <c r="M947" s="204" t="n">
        <v>5</v>
      </c>
      <c r="N947" s="177" t="n">
        <v>1</v>
      </c>
      <c r="O947" s="13" t="n"/>
      <c r="P947" s="139" t="inlineStr">
        <is>
          <t>kilos</t>
        </is>
      </c>
      <c r="Q947" s="2" t="n"/>
      <c r="R947" s="1" t="n"/>
      <c r="S947" s="229">
        <f>M947*N947</f>
        <v/>
      </c>
      <c r="T947" s="230">
        <f>CONCATENATE(S947,Q947,P947)</f>
        <v/>
      </c>
      <c r="U947" s="206">
        <f>L947*M947</f>
        <v/>
      </c>
      <c r="V947" s="4" t="n"/>
      <c r="W947" s="4" t="n"/>
      <c r="X947" s="4" t="n"/>
    </row>
    <row r="948" ht="15.75" customHeight="1" thickBot="1">
      <c r="A948" s="186" t="n">
        <v>49</v>
      </c>
      <c r="B948" s="214" t="inlineStr">
        <is>
          <t>Cabbage</t>
        </is>
      </c>
      <c r="C948" s="124" t="n"/>
      <c r="D948" s="115" t="n"/>
      <c r="E948" s="124" t="n"/>
      <c r="F948" s="124" t="n"/>
      <c r="G948" s="124" t="n"/>
      <c r="H948" s="84" t="n"/>
      <c r="I948" s="7" t="n"/>
      <c r="J948" s="32" t="n"/>
      <c r="K948" s="24" t="n"/>
      <c r="L948" s="36" t="n">
        <v>75</v>
      </c>
      <c r="M948" s="204" t="n">
        <v>1</v>
      </c>
      <c r="N948" s="177" t="n">
        <v>1</v>
      </c>
      <c r="O948" s="13" t="n"/>
      <c r="P948" s="139" t="inlineStr">
        <is>
          <t>kilos</t>
        </is>
      </c>
      <c r="Q948" s="2" t="n"/>
      <c r="R948" s="1" t="n"/>
      <c r="S948" s="229">
        <f>M948*N948</f>
        <v/>
      </c>
      <c r="T948" s="230">
        <f>CONCATENATE(S948,Q948,P948)</f>
        <v/>
      </c>
      <c r="U948" s="206">
        <f>L948*M948</f>
        <v/>
      </c>
      <c r="V948" s="4" t="n"/>
      <c r="W948" s="4" t="n"/>
      <c r="X948" s="4" t="n"/>
    </row>
    <row r="949" ht="15.75" customHeight="1" thickBot="1">
      <c r="A949" s="186" t="n">
        <v>49</v>
      </c>
      <c r="B949" s="214" t="inlineStr">
        <is>
          <t>Cabbage</t>
        </is>
      </c>
      <c r="C949" s="124" t="n"/>
      <c r="D949" s="115" t="n"/>
      <c r="E949" s="124" t="n"/>
      <c r="F949" s="124" t="n"/>
      <c r="G949" s="124" t="n"/>
      <c r="H949" s="84" t="n"/>
      <c r="I949" s="7" t="n"/>
      <c r="J949" s="32" t="n"/>
      <c r="K949" s="24" t="n"/>
      <c r="L949" s="36" t="n">
        <v>62</v>
      </c>
      <c r="M949" s="204" t="n">
        <v>2</v>
      </c>
      <c r="N949" s="177" t="n">
        <v>1</v>
      </c>
      <c r="O949" s="13" t="n"/>
      <c r="P949" s="139" t="inlineStr">
        <is>
          <t>kilos</t>
        </is>
      </c>
      <c r="Q949" s="2" t="n"/>
      <c r="R949" s="1" t="n"/>
      <c r="S949" s="229">
        <f>M949*N949</f>
        <v/>
      </c>
      <c r="T949" s="230">
        <f>CONCATENATE(S949,Q949,P949)</f>
        <v/>
      </c>
      <c r="U949" s="206">
        <f>L949*M949</f>
        <v/>
      </c>
      <c r="V949" s="4" t="n"/>
      <c r="W949" s="4" t="n"/>
      <c r="X949" s="4" t="n"/>
    </row>
    <row r="950" ht="15.75" customHeight="1" thickBot="1">
      <c r="A950" s="186" t="n">
        <v>516</v>
      </c>
      <c r="B950" s="214" t="inlineStr">
        <is>
          <t>Caesar Dressing</t>
        </is>
      </c>
      <c r="C950" s="124" t="n"/>
      <c r="D950" s="115" t="n"/>
      <c r="E950" s="124" t="n"/>
      <c r="F950" s="124" t="n"/>
      <c r="G950" s="124" t="n"/>
      <c r="H950" s="84" t="n"/>
      <c r="I950" s="7" t="n"/>
      <c r="J950" s="32" t="inlineStr">
        <is>
          <t>Lady's Choice</t>
        </is>
      </c>
      <c r="K950" s="24" t="n"/>
      <c r="L950" s="36" t="n">
        <v>152.25</v>
      </c>
      <c r="M950" s="204" t="n">
        <v>1</v>
      </c>
      <c r="N950" s="177" t="n">
        <v>236</v>
      </c>
      <c r="O950" s="13" t="n"/>
      <c r="P950" s="139" t="inlineStr">
        <is>
          <t>ml</t>
        </is>
      </c>
      <c r="Q950" s="2" t="n"/>
      <c r="R950" s="1" t="n"/>
      <c r="S950" s="229">
        <f>M950*N950</f>
        <v/>
      </c>
      <c r="T950" s="230">
        <f>CONCATENATE(S950,Q950,P950)</f>
        <v/>
      </c>
      <c r="U950" s="206">
        <f>L950*M950</f>
        <v/>
      </c>
      <c r="V950" s="4" t="n"/>
      <c r="W950" s="4" t="n"/>
      <c r="X950" s="4" t="n"/>
    </row>
    <row r="951" ht="15.75" customHeight="1" thickBot="1">
      <c r="A951" s="186" t="n">
        <v>517</v>
      </c>
      <c r="B951" s="215" t="inlineStr">
        <is>
          <t>Cajun Seasoning</t>
        </is>
      </c>
      <c r="C951" s="124" t="n"/>
      <c r="D951" s="115" t="n"/>
      <c r="E951" s="124" t="n"/>
      <c r="F951" s="124" t="n"/>
      <c r="G951" s="124" t="n"/>
      <c r="H951" s="84" t="n"/>
      <c r="I951" s="7" t="n"/>
      <c r="J951" s="32" t="inlineStr">
        <is>
          <t>McCormick</t>
        </is>
      </c>
      <c r="K951" s="24" t="n"/>
      <c r="L951" s="36" t="n">
        <v>37.25</v>
      </c>
      <c r="M951" s="204" t="n">
        <v>1</v>
      </c>
      <c r="N951" s="177" t="n">
        <v>45</v>
      </c>
      <c r="O951" s="13" t="n"/>
      <c r="P951" s="139" t="inlineStr">
        <is>
          <t>grams</t>
        </is>
      </c>
      <c r="Q951" s="2" t="n"/>
      <c r="R951" s="1" t="n"/>
      <c r="S951" s="229">
        <f>M951*N951</f>
        <v/>
      </c>
      <c r="T951" s="230">
        <f>CONCATENATE(S951,Q951,P951)</f>
        <v/>
      </c>
      <c r="U951" s="206">
        <f>L951*M951</f>
        <v/>
      </c>
      <c r="V951" s="4" t="n"/>
      <c r="W951" s="4" t="n"/>
      <c r="X951" s="4" t="n"/>
    </row>
    <row r="952" ht="15.75" customHeight="1" thickBot="1">
      <c r="A952" s="186" t="n">
        <v>517</v>
      </c>
      <c r="B952" s="215" t="inlineStr">
        <is>
          <t>Cajun Seasoning</t>
        </is>
      </c>
      <c r="C952" s="124" t="n"/>
      <c r="D952" s="115" t="n"/>
      <c r="E952" s="124" t="n"/>
      <c r="F952" s="124" t="n"/>
      <c r="G952" s="124" t="n"/>
      <c r="H952" s="84" t="n"/>
      <c r="I952" s="7" t="n"/>
      <c r="J952" s="32" t="inlineStr">
        <is>
          <t>McCormick</t>
        </is>
      </c>
      <c r="K952" s="24" t="n"/>
      <c r="L952" s="36" t="n">
        <v>65</v>
      </c>
      <c r="M952" s="204" t="n">
        <v>1</v>
      </c>
      <c r="N952" s="177" t="n">
        <v>40</v>
      </c>
      <c r="O952" s="13" t="n"/>
      <c r="P952" s="139" t="inlineStr">
        <is>
          <t>grams</t>
        </is>
      </c>
      <c r="Q952" s="2" t="n"/>
      <c r="R952" s="1" t="n"/>
      <c r="S952" s="229">
        <f>M952*N952</f>
        <v/>
      </c>
      <c r="T952" s="230">
        <f>CONCATENATE(S952,Q952,P952)</f>
        <v/>
      </c>
      <c r="U952" s="206">
        <f>L952*M952</f>
        <v/>
      </c>
      <c r="V952" s="4" t="n"/>
      <c r="W952" s="4" t="n"/>
      <c r="X952" s="4" t="n"/>
    </row>
    <row r="953" ht="15.75" customHeight="1" thickBot="1">
      <c r="A953" s="186" t="n">
        <v>518</v>
      </c>
      <c r="B953" s="214" t="inlineStr">
        <is>
          <t>Cake Bar</t>
        </is>
      </c>
      <c r="C953" s="124" t="n"/>
      <c r="D953" s="115" t="n"/>
      <c r="E953" s="124" t="n"/>
      <c r="F953" s="124" t="n"/>
      <c r="G953" s="124" t="n"/>
      <c r="H953" s="84" t="n"/>
      <c r="I953" s="7" t="n"/>
      <c r="J953" s="32" t="inlineStr">
        <is>
          <t>Jack n Jill - Quake Choco Burst</t>
        </is>
      </c>
      <c r="K953" s="24" t="n"/>
      <c r="L953" s="36" t="n">
        <v>7.43</v>
      </c>
      <c r="M953" s="204" t="n">
        <v>30</v>
      </c>
      <c r="N953" s="177" t="n">
        <v>38</v>
      </c>
      <c r="O953" s="13" t="n"/>
      <c r="P953" s="139" t="inlineStr">
        <is>
          <t>grams</t>
        </is>
      </c>
      <c r="Q953" s="2" t="n"/>
      <c r="R953" s="1" t="n"/>
      <c r="S953" s="229">
        <f>M953*N953</f>
        <v/>
      </c>
      <c r="T953" s="230">
        <f>CONCATENATE(S953,Q953,P953)</f>
        <v/>
      </c>
      <c r="U953" s="206">
        <f>L953*M953</f>
        <v/>
      </c>
      <c r="V953" s="4" t="n"/>
      <c r="W953" s="4" t="n"/>
      <c r="X953" s="4" t="n"/>
    </row>
    <row r="954" ht="15.75" customHeight="1" thickBot="1">
      <c r="A954" s="186" t="n">
        <v>518</v>
      </c>
      <c r="B954" s="214" t="inlineStr">
        <is>
          <t>Cake Bar</t>
        </is>
      </c>
      <c r="C954" s="124" t="n"/>
      <c r="D954" s="115" t="n"/>
      <c r="E954" s="124" t="n"/>
      <c r="F954" s="124" t="n"/>
      <c r="G954" s="124" t="n"/>
      <c r="H954" s="84" t="n"/>
      <c r="I954" s="7" t="n"/>
      <c r="J954" s="32" t="inlineStr">
        <is>
          <t>Jack n Jill - Quake Chocolate Bar</t>
        </is>
      </c>
      <c r="K954" s="24" t="n"/>
      <c r="L954" s="36" t="n">
        <v>7</v>
      </c>
      <c r="M954" s="204" t="n">
        <v>50</v>
      </c>
      <c r="N954" s="177" t="n">
        <v>33</v>
      </c>
      <c r="O954" s="13" t="n"/>
      <c r="P954" s="139" t="inlineStr">
        <is>
          <t>grams</t>
        </is>
      </c>
      <c r="Q954" s="2" t="n"/>
      <c r="R954" s="1" t="n"/>
      <c r="S954" s="229">
        <f>M954*N954</f>
        <v/>
      </c>
      <c r="T954" s="230">
        <f>CONCATENATE(S954,Q954,P954)</f>
        <v/>
      </c>
      <c r="U954" s="206">
        <f>L954*M954</f>
        <v/>
      </c>
      <c r="V954" s="4" t="n"/>
      <c r="W954" s="4" t="n"/>
      <c r="X954" s="4" t="n"/>
    </row>
    <row r="955" ht="15.75" customHeight="1" thickBot="1">
      <c r="A955" s="186" t="n">
        <v>518</v>
      </c>
      <c r="B955" s="215" t="inlineStr">
        <is>
          <t>Cake Bar</t>
        </is>
      </c>
      <c r="C955" s="124" t="n"/>
      <c r="D955" s="115" t="n"/>
      <c r="E955" s="124" t="n"/>
      <c r="F955" s="124" t="n"/>
      <c r="G955" s="124" t="n"/>
      <c r="H955" s="84" t="n"/>
      <c r="I955" s="7" t="n"/>
      <c r="J955" s="32" t="inlineStr">
        <is>
          <t>Jack n Jill - Cream-O Cake Bar</t>
        </is>
      </c>
      <c r="K955" s="24" t="n"/>
      <c r="L955" s="36" t="n">
        <v>8.42</v>
      </c>
      <c r="M955" s="204" t="n">
        <v>30</v>
      </c>
      <c r="N955" s="177" t="n">
        <v>37</v>
      </c>
      <c r="O955" s="13" t="n"/>
      <c r="P955" s="139" t="inlineStr">
        <is>
          <t>grams</t>
        </is>
      </c>
      <c r="Q955" s="2" t="n"/>
      <c r="R955" s="1" t="n"/>
      <c r="S955" s="229">
        <f>M955*N955</f>
        <v/>
      </c>
      <c r="T955" s="230">
        <f>CONCATENATE(S955,Q955,P955)</f>
        <v/>
      </c>
      <c r="U955" s="206">
        <f>L955*M955</f>
        <v/>
      </c>
      <c r="V955" s="4" t="n"/>
      <c r="W955" s="4" t="n"/>
      <c r="X955" s="4" t="n"/>
    </row>
    <row r="956" ht="15.75" customHeight="1" thickBot="1">
      <c r="A956" s="186" t="n">
        <v>518</v>
      </c>
      <c r="B956" s="214" t="inlineStr">
        <is>
          <t>Cake Bar</t>
        </is>
      </c>
      <c r="C956" s="124" t="n"/>
      <c r="D956" s="115" t="n"/>
      <c r="E956" s="124" t="n"/>
      <c r="F956" s="124" t="n"/>
      <c r="G956" s="124" t="n"/>
      <c r="H956" s="84" t="n"/>
      <c r="I956" s="7" t="n"/>
      <c r="J956" s="32" t="inlineStr">
        <is>
          <t>Suncrest Food - Fudgee Bar - Dark Choco</t>
        </is>
      </c>
      <c r="K956" s="24" t="n"/>
      <c r="L956" s="36" t="n">
        <v>7</v>
      </c>
      <c r="M956" s="204" t="n">
        <v>83</v>
      </c>
      <c r="N956" s="177" t="n">
        <v>42</v>
      </c>
      <c r="O956" s="13" t="n"/>
      <c r="P956" s="139" t="inlineStr">
        <is>
          <t>grams</t>
        </is>
      </c>
      <c r="Q956" s="2" t="n"/>
      <c r="R956" s="1" t="n"/>
      <c r="S956" s="229">
        <f>M956*N956</f>
        <v/>
      </c>
      <c r="T956" s="230">
        <f>CONCATENATE(S956,Q956,P956)</f>
        <v/>
      </c>
      <c r="U956" s="206">
        <f>L956*M956</f>
        <v/>
      </c>
      <c r="V956" s="4" t="n"/>
      <c r="W956" s="4" t="n"/>
      <c r="X956" s="4" t="n"/>
    </row>
    <row r="957" ht="15.75" customHeight="1" thickBot="1">
      <c r="A957" s="186" t="n">
        <v>518</v>
      </c>
      <c r="B957" s="214" t="inlineStr">
        <is>
          <t>Cake Bar</t>
        </is>
      </c>
      <c r="C957" s="124" t="n"/>
      <c r="D957" s="115" t="n"/>
      <c r="E957" s="124" t="n"/>
      <c r="F957" s="124" t="n"/>
      <c r="G957" s="124" t="n"/>
      <c r="H957" s="84" t="n"/>
      <c r="I957" s="7" t="n"/>
      <c r="J957" s="32" t="inlineStr">
        <is>
          <t>Jack &amp; Jill - Quake Vanilla Trilla Bar</t>
        </is>
      </c>
      <c r="K957" s="24" t="n"/>
      <c r="L957" s="36" t="n">
        <v>7.43</v>
      </c>
      <c r="M957" s="204" t="n">
        <v>20</v>
      </c>
      <c r="N957" s="177" t="n">
        <v>38</v>
      </c>
      <c r="O957" s="13" t="n"/>
      <c r="P957" s="139" t="inlineStr">
        <is>
          <t>grams</t>
        </is>
      </c>
      <c r="Q957" s="2" t="n"/>
      <c r="R957" s="1" t="n"/>
      <c r="S957" s="229">
        <f>M957*N957</f>
        <v/>
      </c>
      <c r="T957" s="230">
        <f>CONCATENATE(S957,Q957,P957)</f>
        <v/>
      </c>
      <c r="U957" s="206">
        <f>L957*M957</f>
        <v/>
      </c>
      <c r="V957" s="4" t="n"/>
      <c r="W957" s="4" t="n"/>
      <c r="X957" s="4" t="n"/>
    </row>
    <row r="958" ht="15.75" customHeight="1" thickBot="1">
      <c r="A958" s="186" t="n">
        <v>51</v>
      </c>
      <c r="B958" s="214" t="inlineStr">
        <is>
          <t>Cake Flour</t>
        </is>
      </c>
      <c r="C958" s="124" t="n"/>
      <c r="D958" s="115" t="n"/>
      <c r="E958" s="124" t="n"/>
      <c r="F958" s="124" t="n"/>
      <c r="G958" s="124" t="n"/>
      <c r="H958" s="84" t="n"/>
      <c r="I958" s="7" t="n"/>
      <c r="J958" s="32" t="inlineStr">
        <is>
          <t>Carandang Merchandise</t>
        </is>
      </c>
      <c r="K958" s="24" t="n"/>
      <c r="L958" s="36" t="n">
        <v>50</v>
      </c>
      <c r="M958" s="204" t="n">
        <v>5</v>
      </c>
      <c r="N958" s="177" t="n">
        <v>1000</v>
      </c>
      <c r="O958" s="13" t="n"/>
      <c r="P958" s="139" t="inlineStr">
        <is>
          <t>kilos</t>
        </is>
      </c>
      <c r="Q958" s="2" t="n"/>
      <c r="R958" s="1" t="n"/>
      <c r="S958" s="229">
        <f>M958*N958</f>
        <v/>
      </c>
      <c r="T958" s="230">
        <f>CONCATENATE(S958,Q958,P958)</f>
        <v/>
      </c>
      <c r="U958" s="206">
        <f>L958*M958</f>
        <v/>
      </c>
      <c r="V958" s="4" t="n"/>
      <c r="W958" s="4" t="n"/>
      <c r="X958" s="4" t="n"/>
    </row>
    <row r="959" ht="15.75" customHeight="1" thickBot="1">
      <c r="A959" s="186" t="n">
        <v>519</v>
      </c>
      <c r="B959" s="214" t="inlineStr">
        <is>
          <t>Calamansi</t>
        </is>
      </c>
      <c r="C959" s="124" t="n"/>
      <c r="D959" s="115" t="n"/>
      <c r="E959" s="124" t="n"/>
      <c r="F959" s="124" t="n"/>
      <c r="G959" s="124" t="n"/>
      <c r="H959" s="84" t="n"/>
      <c r="I959" s="7" t="n"/>
      <c r="J959" s="32" t="n"/>
      <c r="K959" s="24" t="n"/>
      <c r="L959" s="36" t="n">
        <v>90</v>
      </c>
      <c r="M959" s="204" t="n">
        <v>1</v>
      </c>
      <c r="N959" s="177" t="n">
        <v>1</v>
      </c>
      <c r="O959" s="13" t="n"/>
      <c r="P959" s="139" t="inlineStr">
        <is>
          <t>kilos</t>
        </is>
      </c>
      <c r="Q959" s="2" t="n"/>
      <c r="R959" s="1" t="n"/>
      <c r="S959" s="229">
        <f>M959*N959</f>
        <v/>
      </c>
      <c r="T959" s="230">
        <f>CONCATENATE(S959,Q959,P959)</f>
        <v/>
      </c>
      <c r="U959" s="206">
        <f>L959*M959</f>
        <v/>
      </c>
      <c r="V959" s="4" t="n"/>
      <c r="W959" s="4" t="n"/>
      <c r="X959" s="4" t="n"/>
    </row>
    <row r="960" ht="15.75" customHeight="1" thickBot="1">
      <c r="A960" s="186" t="n">
        <v>519</v>
      </c>
      <c r="B960" s="214" t="inlineStr">
        <is>
          <t>Calamansi</t>
        </is>
      </c>
      <c r="C960" s="124" t="n"/>
      <c r="D960" s="115" t="n"/>
      <c r="E960" s="124" t="n"/>
      <c r="F960" s="124" t="n"/>
      <c r="G960" s="124" t="n"/>
      <c r="H960" s="84" t="n"/>
      <c r="I960" s="7" t="n"/>
      <c r="J960" s="32" t="inlineStr">
        <is>
          <t>Fresh</t>
        </is>
      </c>
      <c r="K960" s="24" t="n"/>
      <c r="L960" s="36" t="n">
        <v>180</v>
      </c>
      <c r="M960" s="204" t="n">
        <v>3</v>
      </c>
      <c r="N960" s="177" t="n">
        <v>1000</v>
      </c>
      <c r="O960" s="13" t="n"/>
      <c r="P960" s="139" t="inlineStr">
        <is>
          <t>grams</t>
        </is>
      </c>
      <c r="Q960" s="2" t="n"/>
      <c r="R960" s="1" t="n"/>
      <c r="S960" s="229">
        <f>M960*N960</f>
        <v/>
      </c>
      <c r="T960" s="230">
        <f>CONCATENATE(S960,Q960,P960)</f>
        <v/>
      </c>
      <c r="U960" s="206">
        <f>L960*M960</f>
        <v/>
      </c>
      <c r="V960" s="4" t="n"/>
      <c r="W960" s="4" t="n"/>
      <c r="X960" s="4" t="n"/>
    </row>
    <row r="961" ht="15.75" customHeight="1" thickBot="1">
      <c r="A961" s="186" t="n">
        <v>519</v>
      </c>
      <c r="B961" s="214" t="inlineStr">
        <is>
          <t>Calamansi</t>
        </is>
      </c>
      <c r="C961" s="124" t="n"/>
      <c r="D961" s="115" t="n"/>
      <c r="E961" s="124" t="n"/>
      <c r="F961" s="124" t="n"/>
      <c r="G961" s="124" t="n"/>
      <c r="H961" s="84" t="n"/>
      <c r="I961" s="7" t="n"/>
      <c r="J961" s="32" t="n"/>
      <c r="K961" s="24" t="n"/>
      <c r="L961" s="36" t="n">
        <v>45</v>
      </c>
      <c r="M961" s="204" t="n">
        <v>4</v>
      </c>
      <c r="N961" s="177" t="n">
        <v>1000</v>
      </c>
      <c r="O961" s="13" t="n"/>
      <c r="P961" s="139" t="inlineStr">
        <is>
          <t>grams</t>
        </is>
      </c>
      <c r="Q961" s="2" t="n"/>
      <c r="R961" s="1" t="n"/>
      <c r="S961" s="229">
        <f>M961*N961</f>
        <v/>
      </c>
      <c r="T961" s="230">
        <f>CONCATENATE(S961,Q961,P961)</f>
        <v/>
      </c>
      <c r="U961" s="206">
        <f>L961*M961</f>
        <v/>
      </c>
      <c r="V961" s="4" t="n"/>
      <c r="W961" s="4" t="n"/>
      <c r="X961" s="4" t="n"/>
    </row>
    <row r="962" ht="15.75" customHeight="1" thickBot="1">
      <c r="A962" s="186" t="n">
        <v>520</v>
      </c>
      <c r="B962" s="215" t="inlineStr">
        <is>
          <t>Candy</t>
        </is>
      </c>
      <c r="C962" s="124" t="n"/>
      <c r="D962" s="115" t="n"/>
      <c r="E962" s="124" t="n"/>
      <c r="F962" s="124" t="n"/>
      <c r="G962" s="124" t="n"/>
      <c r="H962" s="84" t="n"/>
      <c r="I962" s="7" t="n"/>
      <c r="J962" s="32" t="inlineStr">
        <is>
          <t>Maxx - Cherry</t>
        </is>
      </c>
      <c r="K962" s="24" t="n"/>
      <c r="L962" s="36" t="n">
        <v>0.71</v>
      </c>
      <c r="M962" s="204" t="n">
        <v>343</v>
      </c>
      <c r="N962" s="177" t="n">
        <v>1</v>
      </c>
      <c r="O962" s="13" t="n"/>
      <c r="P962" s="139" t="inlineStr">
        <is>
          <t>pieces</t>
        </is>
      </c>
      <c r="Q962" s="2" t="n"/>
      <c r="R962" s="1" t="n"/>
      <c r="S962" s="229">
        <f>M962*N962</f>
        <v/>
      </c>
      <c r="T962" s="230">
        <f>CONCATENATE(S962,Q962,P962)</f>
        <v/>
      </c>
      <c r="U962" s="206">
        <f>L962*M962</f>
        <v/>
      </c>
      <c r="V962" s="4" t="n"/>
      <c r="W962" s="4" t="n"/>
      <c r="X962" s="4" t="n"/>
    </row>
    <row r="963" ht="15.75" customHeight="1" thickBot="1">
      <c r="A963" s="186" t="n">
        <v>521</v>
      </c>
      <c r="B963" s="215" t="inlineStr">
        <is>
          <t>Candy - Lemon</t>
        </is>
      </c>
      <c r="C963" s="124" t="n"/>
      <c r="D963" s="115" t="n"/>
      <c r="E963" s="124" t="n"/>
      <c r="F963" s="124" t="n"/>
      <c r="G963" s="124" t="n"/>
      <c r="H963" s="84" t="n"/>
      <c r="I963" s="7" t="n"/>
      <c r="J963" s="32" t="inlineStr">
        <is>
          <t>maxx</t>
        </is>
      </c>
      <c r="K963" s="24" t="n"/>
      <c r="L963" s="36" t="n">
        <v>0.78</v>
      </c>
      <c r="M963" s="204" t="n">
        <v>50</v>
      </c>
      <c r="N963" s="177" t="n">
        <v>1</v>
      </c>
      <c r="O963" s="13" t="n"/>
      <c r="P963" s="139" t="inlineStr">
        <is>
          <t>pieces</t>
        </is>
      </c>
      <c r="Q963" s="2" t="n"/>
      <c r="R963" s="1" t="n"/>
      <c r="S963" s="229">
        <f>M963*N963</f>
        <v/>
      </c>
      <c r="T963" s="230">
        <f>CONCATENATE(S963,Q963,P963)</f>
        <v/>
      </c>
      <c r="U963" s="206">
        <f>L963*M963</f>
        <v/>
      </c>
      <c r="V963" s="4" t="n"/>
      <c r="W963" s="4" t="n"/>
      <c r="X963" s="4" t="n"/>
    </row>
    <row r="964" ht="15.75" customHeight="1" thickBot="1">
      <c r="A964" s="186" t="n">
        <v>522</v>
      </c>
      <c r="B964" s="215" t="inlineStr">
        <is>
          <t>Candy (Choco Mint)</t>
        </is>
      </c>
      <c r="C964" s="124" t="n"/>
      <c r="D964" s="115" t="n"/>
      <c r="E964" s="124" t="n"/>
      <c r="F964" s="124" t="n"/>
      <c r="G964" s="124" t="n"/>
      <c r="H964" s="84" t="n"/>
      <c r="I964" s="7" t="n"/>
      <c r="J964" s="32" t="inlineStr">
        <is>
          <t>Dynamite</t>
        </is>
      </c>
      <c r="K964" s="24" t="n"/>
      <c r="L964" s="36" t="n">
        <v>0.79</v>
      </c>
      <c r="M964" s="204" t="n">
        <v>45</v>
      </c>
      <c r="N964" s="177" t="n">
        <v>1</v>
      </c>
      <c r="O964" s="13" t="n"/>
      <c r="P964" s="139" t="inlineStr">
        <is>
          <t>pieces</t>
        </is>
      </c>
      <c r="Q964" s="2" t="n"/>
      <c r="R964" s="1" t="n"/>
      <c r="S964" s="229">
        <f>M964*N964</f>
        <v/>
      </c>
      <c r="T964" s="230">
        <f>CONCATENATE(S964,Q964,P964)</f>
        <v/>
      </c>
      <c r="U964" s="206">
        <f>L964*M964</f>
        <v/>
      </c>
      <c r="V964" s="4" t="n"/>
      <c r="W964" s="4" t="n"/>
      <c r="X964" s="4" t="n"/>
    </row>
    <row r="965" ht="15.75" customHeight="1" thickBot="1">
      <c r="A965" s="186" t="n">
        <v>523</v>
      </c>
      <c r="B965" s="215" t="inlineStr">
        <is>
          <t>Candy (Choco Peanut)</t>
        </is>
      </c>
      <c r="C965" s="124" t="n"/>
      <c r="D965" s="115" t="n"/>
      <c r="E965" s="124" t="n"/>
      <c r="F965" s="124" t="n"/>
      <c r="G965" s="124" t="n"/>
      <c r="H965" s="84" t="n"/>
      <c r="I965" s="7" t="n"/>
      <c r="J965" s="32" t="inlineStr">
        <is>
          <t>Choco Mani</t>
        </is>
      </c>
      <c r="K965" s="24" t="n"/>
      <c r="L965" s="36" t="n">
        <v>36</v>
      </c>
      <c r="M965" s="204" t="n">
        <v>28</v>
      </c>
      <c r="N965" s="177" t="n">
        <v>24</v>
      </c>
      <c r="O965" s="13" t="n"/>
      <c r="P965" s="139" t="inlineStr">
        <is>
          <t>pieces</t>
        </is>
      </c>
      <c r="Q965" s="2" t="n"/>
      <c r="R965" s="1" t="n"/>
      <c r="S965" s="229">
        <f>M965*N965</f>
        <v/>
      </c>
      <c r="T965" s="230">
        <f>CONCATENATE(S965,Q965,P965)</f>
        <v/>
      </c>
      <c r="U965" s="206">
        <f>L965*M965</f>
        <v/>
      </c>
      <c r="V965" s="4" t="n"/>
      <c r="W965" s="4" t="n"/>
      <c r="X965" s="4" t="n"/>
    </row>
    <row r="966" ht="15.75" customHeight="1" thickBot="1">
      <c r="A966" s="186" t="n">
        <v>524</v>
      </c>
      <c r="B966" s="215" t="inlineStr">
        <is>
          <t>Candy (Coffee)</t>
        </is>
      </c>
      <c r="C966" s="124" t="n"/>
      <c r="D966" s="115" t="n"/>
      <c r="E966" s="124" t="n"/>
      <c r="F966" s="124" t="n"/>
      <c r="G966" s="124" t="n"/>
      <c r="H966" s="84" t="n"/>
      <c r="I966" s="7" t="n"/>
      <c r="J966" s="32" t="inlineStr">
        <is>
          <t>Kopiko Cappuccino Candy</t>
        </is>
      </c>
      <c r="K966" s="24" t="n"/>
      <c r="L966" s="36" t="n">
        <v>0.83</v>
      </c>
      <c r="M966" s="204" t="n">
        <v>74</v>
      </c>
      <c r="N966" s="177" t="n">
        <v>1</v>
      </c>
      <c r="O966" s="13" t="n"/>
      <c r="P966" s="139" t="inlineStr">
        <is>
          <t>pieces</t>
        </is>
      </c>
      <c r="Q966" s="2" t="n"/>
      <c r="R966" s="1" t="n"/>
      <c r="S966" s="229">
        <f>M966*N966</f>
        <v/>
      </c>
      <c r="T966" s="230">
        <f>CONCATENATE(S966,Q966,P966)</f>
        <v/>
      </c>
      <c r="U966" s="206">
        <f>L966*M966</f>
        <v/>
      </c>
      <c r="V966" s="4" t="n"/>
      <c r="W966" s="4" t="n"/>
      <c r="X966" s="4" t="n"/>
    </row>
    <row r="967" ht="15.75" customHeight="1" thickBot="1">
      <c r="A967" s="186" t="n">
        <v>525</v>
      </c>
      <c r="B967" s="215" t="inlineStr">
        <is>
          <t>Candy (Melon Mint)</t>
        </is>
      </c>
      <c r="C967" s="124" t="n"/>
      <c r="D967" s="115" t="n"/>
      <c r="E967" s="124" t="n"/>
      <c r="F967" s="124" t="n"/>
      <c r="G967" s="124" t="n"/>
      <c r="H967" s="84" t="n"/>
      <c r="I967" s="7" t="n"/>
      <c r="J967" s="32" t="inlineStr">
        <is>
          <t>Jack n Jill - Dynamite</t>
        </is>
      </c>
      <c r="K967" s="24" t="n"/>
      <c r="L967" s="36" t="n">
        <v>0.8</v>
      </c>
      <c r="M967" s="204" t="n">
        <v>62</v>
      </c>
      <c r="N967" s="177" t="n">
        <v>1</v>
      </c>
      <c r="O967" s="13" t="n"/>
      <c r="P967" s="139" t="inlineStr">
        <is>
          <t>pieces</t>
        </is>
      </c>
      <c r="Q967" s="2" t="n"/>
      <c r="R967" s="1" t="n"/>
      <c r="S967" s="229">
        <f>M967*N967</f>
        <v/>
      </c>
      <c r="T967" s="230">
        <f>CONCATENATE(S967,Q967,P967)</f>
        <v/>
      </c>
      <c r="U967" s="206">
        <f>L967*M967</f>
        <v/>
      </c>
      <c r="V967" s="4" t="n"/>
      <c r="W967" s="4" t="n"/>
      <c r="X967" s="4" t="n"/>
    </row>
    <row r="968" ht="15.75" customHeight="1" thickBot="1">
      <c r="A968" s="186" t="n">
        <v>526</v>
      </c>
      <c r="B968" s="215" t="inlineStr">
        <is>
          <t>Candy (White Chocolate)</t>
        </is>
      </c>
      <c r="C968" s="124" t="n"/>
      <c r="D968" s="115" t="n"/>
      <c r="E968" s="124" t="n"/>
      <c r="F968" s="124" t="n"/>
      <c r="G968" s="124" t="n"/>
      <c r="H968" s="84" t="n"/>
      <c r="I968" s="7" t="n"/>
      <c r="J968" s="32" t="inlineStr">
        <is>
          <t>Jack n Jill - Nips</t>
        </is>
      </c>
      <c r="K968" s="24" t="n"/>
      <c r="L968" s="36" t="n">
        <v>1.19</v>
      </c>
      <c r="M968" s="204" t="n">
        <v>28</v>
      </c>
      <c r="N968" s="177" t="n">
        <v>1</v>
      </c>
      <c r="O968" s="13" t="n"/>
      <c r="P968" s="139" t="inlineStr">
        <is>
          <t>pieces</t>
        </is>
      </c>
      <c r="Q968" s="2" t="n"/>
      <c r="R968" s="1" t="n"/>
      <c r="S968" s="229">
        <f>M968*N968</f>
        <v/>
      </c>
      <c r="T968" s="230">
        <f>CONCATENATE(S968,Q968,P968)</f>
        <v/>
      </c>
      <c r="U968" s="206">
        <f>L968*M968</f>
        <v/>
      </c>
      <c r="V968" s="4" t="n"/>
      <c r="W968" s="4" t="n"/>
      <c r="X968" s="4" t="n"/>
    </row>
    <row r="969" ht="15.75" customHeight="1" thickBot="1">
      <c r="A969" s="186" t="n">
        <v>527</v>
      </c>
      <c r="B969" s="214" t="inlineStr">
        <is>
          <t>Canned Sardines</t>
        </is>
      </c>
      <c r="C969" s="124" t="n"/>
      <c r="D969" s="115" t="n"/>
      <c r="E969" s="124" t="n"/>
      <c r="F969" s="124" t="n"/>
      <c r="G969" s="124" t="n"/>
      <c r="H969" s="84" t="n"/>
      <c r="I969" s="7" t="n"/>
      <c r="J969" s="32" t="inlineStr">
        <is>
          <t>Master</t>
        </is>
      </c>
      <c r="K969" s="24" t="n"/>
      <c r="L969" s="36" t="n">
        <v>60.3</v>
      </c>
      <c r="M969" s="204" t="n">
        <v>8</v>
      </c>
      <c r="N969" s="177" t="n">
        <v>425</v>
      </c>
      <c r="O969" s="13" t="n"/>
      <c r="P969" s="139" t="inlineStr">
        <is>
          <t>grams</t>
        </is>
      </c>
      <c r="Q969" s="2" t="n"/>
      <c r="R969" s="1" t="n"/>
      <c r="S969" s="229">
        <f>M969*N969</f>
        <v/>
      </c>
      <c r="T969" s="230">
        <f>CONCATENATE(S969,Q969,P969)</f>
        <v/>
      </c>
      <c r="U969" s="206">
        <f>L969*M969</f>
        <v/>
      </c>
      <c r="V969" s="4" t="n"/>
      <c r="W969" s="4" t="n"/>
      <c r="X969" s="4" t="n"/>
    </row>
    <row r="970" ht="15.75" customHeight="1" thickBot="1">
      <c r="A970" s="186" t="n">
        <v>527</v>
      </c>
      <c r="B970" s="214" t="inlineStr">
        <is>
          <t>Canned Sardines</t>
        </is>
      </c>
      <c r="C970" s="124" t="n"/>
      <c r="D970" s="115" t="n"/>
      <c r="E970" s="124" t="n"/>
      <c r="F970" s="124" t="n"/>
      <c r="G970" s="124" t="n"/>
      <c r="H970" s="84" t="n"/>
      <c r="I970" s="7" t="n"/>
      <c r="J970" s="32" t="n">
        <v>555</v>
      </c>
      <c r="K970" s="24" t="n"/>
      <c r="L970" s="36" t="n">
        <v>63.1</v>
      </c>
      <c r="M970" s="204" t="n">
        <v>9</v>
      </c>
      <c r="N970" s="177" t="n">
        <v>425</v>
      </c>
      <c r="O970" s="13" t="n"/>
      <c r="P970" s="139" t="inlineStr">
        <is>
          <t>grams</t>
        </is>
      </c>
      <c r="Q970" s="2" t="n"/>
      <c r="R970" s="1" t="n"/>
      <c r="S970" s="229">
        <f>M970*N970</f>
        <v/>
      </c>
      <c r="T970" s="230">
        <f>CONCATENATE(S970,Q970,P970)</f>
        <v/>
      </c>
      <c r="U970" s="206">
        <f>L970*M970</f>
        <v/>
      </c>
      <c r="V970" s="4" t="n"/>
      <c r="W970" s="4" t="n"/>
      <c r="X970" s="4" t="n"/>
    </row>
    <row r="971" ht="15.75" customHeight="1" thickBot="1">
      <c r="A971" s="186" t="n">
        <v>527</v>
      </c>
      <c r="B971" s="214" t="inlineStr">
        <is>
          <t>Canned Sardines</t>
        </is>
      </c>
      <c r="C971" s="124" t="n"/>
      <c r="D971" s="115" t="n"/>
      <c r="E971" s="124" t="n"/>
      <c r="F971" s="124" t="n"/>
      <c r="G971" s="124" t="n"/>
      <c r="H971" s="84" t="n"/>
      <c r="I971" s="7" t="n"/>
      <c r="J971" s="32" t="n">
        <v>555</v>
      </c>
      <c r="K971" s="24" t="n"/>
      <c r="L971" s="36" t="n">
        <v>24.3</v>
      </c>
      <c r="M971" s="204" t="n">
        <v>3</v>
      </c>
      <c r="N971" s="177" t="n">
        <v>155</v>
      </c>
      <c r="O971" s="13" t="n"/>
      <c r="P971" s="139" t="inlineStr">
        <is>
          <t>grams</t>
        </is>
      </c>
      <c r="Q971" s="2" t="n"/>
      <c r="R971" s="1" t="n"/>
      <c r="S971" s="229">
        <f>M971*N971</f>
        <v/>
      </c>
      <c r="T971" s="230">
        <f>CONCATENATE(S971,Q971,P971)</f>
        <v/>
      </c>
      <c r="U971" s="206">
        <f>L971*M971</f>
        <v/>
      </c>
      <c r="V971" s="4" t="n"/>
      <c r="W971" s="4" t="n"/>
      <c r="X971" s="4" t="n"/>
    </row>
    <row r="972" ht="15.75" customHeight="1" thickBot="1">
      <c r="A972" s="186" t="n">
        <v>527</v>
      </c>
      <c r="B972" s="214" t="inlineStr">
        <is>
          <t>Canned Sardines</t>
        </is>
      </c>
      <c r="C972" s="124" t="n"/>
      <c r="D972" s="115" t="n"/>
      <c r="E972" s="124" t="n"/>
      <c r="F972" s="124" t="n"/>
      <c r="G972" s="124" t="n"/>
      <c r="H972" s="84" t="n"/>
      <c r="I972" s="7" t="n"/>
      <c r="J972" s="32" t="inlineStr">
        <is>
          <t>Ligo Sardines</t>
        </is>
      </c>
      <c r="K972" s="24" t="n"/>
      <c r="L972" s="36" t="n">
        <v>64.40000000000001</v>
      </c>
      <c r="M972" s="204" t="n">
        <v>5</v>
      </c>
      <c r="N972" s="177" t="n">
        <v>425</v>
      </c>
      <c r="O972" s="13" t="n"/>
      <c r="P972" s="139" t="inlineStr">
        <is>
          <t>grams</t>
        </is>
      </c>
      <c r="Q972" s="2" t="n"/>
      <c r="R972" s="1" t="n"/>
      <c r="S972" s="229">
        <f>M972*N972</f>
        <v/>
      </c>
      <c r="T972" s="230">
        <f>CONCATENATE(S972,Q972,P972)</f>
        <v/>
      </c>
      <c r="U972" s="206">
        <f>L972*M972</f>
        <v/>
      </c>
      <c r="V972" s="4" t="n"/>
      <c r="W972" s="4" t="n"/>
      <c r="X972" s="4" t="n"/>
    </row>
    <row r="973" ht="15.75" customHeight="1" thickBot="1">
      <c r="A973" s="186" t="n">
        <v>528</v>
      </c>
      <c r="B973" s="214" t="inlineStr">
        <is>
          <t>Canned Sardines - in Tomato Sauce</t>
        </is>
      </c>
      <c r="C973" s="124" t="n"/>
      <c r="D973" s="115" t="n"/>
      <c r="E973" s="124" t="n"/>
      <c r="F973" s="124" t="n"/>
      <c r="G973" s="124" t="n"/>
      <c r="H973" s="84" t="n"/>
      <c r="I973" s="7" t="n"/>
      <c r="J973" s="32" t="n">
        <v>555</v>
      </c>
      <c r="K973" s="24" t="n"/>
      <c r="L973" s="36" t="n">
        <v>60.3</v>
      </c>
      <c r="M973" s="204" t="n">
        <v>12</v>
      </c>
      <c r="N973" s="177" t="n">
        <v>425</v>
      </c>
      <c r="O973" s="13" t="n"/>
      <c r="P973" s="139" t="inlineStr">
        <is>
          <t>grams</t>
        </is>
      </c>
      <c r="Q973" s="2" t="n"/>
      <c r="R973" s="1" t="n"/>
      <c r="S973" s="229">
        <f>M973*N973</f>
        <v/>
      </c>
      <c r="T973" s="230">
        <f>CONCATENATE(S973,Q973,P973)</f>
        <v/>
      </c>
      <c r="U973" s="206">
        <f>L973*M973</f>
        <v/>
      </c>
      <c r="V973" s="4" t="n"/>
      <c r="W973" s="4" t="n"/>
      <c r="X973" s="4" t="n"/>
    </row>
    <row r="974" ht="15.75" customHeight="1" thickBot="1">
      <c r="A974" s="186" t="n">
        <v>528</v>
      </c>
      <c r="B974" s="214" t="inlineStr">
        <is>
          <t>Canned Sardines - in Tomato Sauce</t>
        </is>
      </c>
      <c r="C974" s="124" t="n"/>
      <c r="D974" s="115" t="n"/>
      <c r="E974" s="124" t="n"/>
      <c r="F974" s="124" t="n"/>
      <c r="G974" s="124" t="n"/>
      <c r="H974" s="84" t="n"/>
      <c r="I974" s="7" t="n"/>
      <c r="J974" s="32" t="inlineStr">
        <is>
          <t>Masters</t>
        </is>
      </c>
      <c r="K974" s="24" t="n"/>
      <c r="L974" s="36" t="n">
        <v>59.9</v>
      </c>
      <c r="M974" s="204" t="n">
        <v>10</v>
      </c>
      <c r="N974" s="177" t="n">
        <v>425</v>
      </c>
      <c r="O974" s="13" t="n"/>
      <c r="P974" s="139" t="inlineStr">
        <is>
          <t>grams</t>
        </is>
      </c>
      <c r="Q974" s="2" t="n"/>
      <c r="R974" s="1" t="n"/>
      <c r="S974" s="229">
        <f>M974*N974</f>
        <v/>
      </c>
      <c r="T974" s="230">
        <f>CONCATENATE(S974,Q974,P974)</f>
        <v/>
      </c>
      <c r="U974" s="206">
        <f>L974*M974</f>
        <v/>
      </c>
      <c r="V974" s="4" t="n"/>
      <c r="W974" s="4" t="n"/>
      <c r="X974" s="4" t="n"/>
    </row>
    <row r="975" ht="15.75" customHeight="1" thickBot="1">
      <c r="A975" s="186" t="n">
        <v>528</v>
      </c>
      <c r="B975" s="214" t="inlineStr">
        <is>
          <t>Canned Sardines - in Tomato Sauce</t>
        </is>
      </c>
      <c r="C975" s="124" t="n"/>
      <c r="D975" s="115" t="n"/>
      <c r="E975" s="124" t="n"/>
      <c r="F975" s="124" t="n"/>
      <c r="G975" s="124" t="n"/>
      <c r="H975" s="84" t="n"/>
      <c r="I975" s="7" t="n"/>
      <c r="J975" s="32" t="n">
        <v>555</v>
      </c>
      <c r="K975" s="24" t="n"/>
      <c r="L975" s="36" t="n">
        <v>60.3</v>
      </c>
      <c r="M975" s="204" t="n">
        <v>21</v>
      </c>
      <c r="N975" s="177" t="n">
        <v>425</v>
      </c>
      <c r="O975" s="13" t="n"/>
      <c r="P975" s="139" t="inlineStr">
        <is>
          <t>grams</t>
        </is>
      </c>
      <c r="Q975" s="2" t="n"/>
      <c r="R975" s="1" t="n"/>
      <c r="S975" s="229">
        <f>M975*N975</f>
        <v/>
      </c>
      <c r="T975" s="230">
        <f>CONCATENATE(S975,Q975,P975)</f>
        <v/>
      </c>
      <c r="U975" s="206">
        <f>L975*M975</f>
        <v/>
      </c>
      <c r="V975" s="4" t="n"/>
      <c r="W975" s="4" t="n"/>
      <c r="X975" s="4" t="n"/>
    </row>
    <row r="976" ht="15.75" customHeight="1" thickBot="1">
      <c r="A976" s="186" t="n">
        <v>528</v>
      </c>
      <c r="B976" s="214" t="inlineStr">
        <is>
          <t>Canned Sardines - in Tomato Sauce</t>
        </is>
      </c>
      <c r="C976" s="124" t="n"/>
      <c r="D976" s="115" t="n"/>
      <c r="E976" s="124" t="n"/>
      <c r="F976" s="124" t="n"/>
      <c r="G976" s="124" t="n"/>
      <c r="H976" s="84" t="n"/>
      <c r="I976" s="7" t="n"/>
      <c r="J976" s="32" t="n">
        <v>555</v>
      </c>
      <c r="K976" s="24" t="n"/>
      <c r="L976" s="36" t="n">
        <v>60</v>
      </c>
      <c r="M976" s="204" t="n">
        <v>19</v>
      </c>
      <c r="N976" s="177" t="n">
        <v>425</v>
      </c>
      <c r="O976" s="13" t="n"/>
      <c r="P976" s="139" t="inlineStr">
        <is>
          <t>grams</t>
        </is>
      </c>
      <c r="Q976" s="2" t="n"/>
      <c r="R976" s="1" t="n"/>
      <c r="S976" s="229">
        <f>M976*N976</f>
        <v/>
      </c>
      <c r="T976" s="230">
        <f>CONCATENATE(S976,Q976,P976)</f>
        <v/>
      </c>
      <c r="U976" s="206">
        <f>L976*M976</f>
        <v/>
      </c>
      <c r="V976" s="4" t="n"/>
      <c r="W976" s="4" t="n"/>
      <c r="X976" s="4" t="n"/>
    </row>
    <row r="977" ht="15.75" customHeight="1" thickBot="1">
      <c r="A977" s="186" t="n">
        <v>529</v>
      </c>
      <c r="B977" s="215" t="inlineStr">
        <is>
          <t>Canned Strawberry</t>
        </is>
      </c>
      <c r="C977" s="124" t="n"/>
      <c r="D977" s="115" t="n"/>
      <c r="E977" s="124" t="n"/>
      <c r="F977" s="124" t="n"/>
      <c r="G977" s="124" t="n"/>
      <c r="H977" s="84" t="n"/>
      <c r="I977" s="7" t="n"/>
      <c r="J977" s="32" t="inlineStr">
        <is>
          <t>Sunbest</t>
        </is>
      </c>
      <c r="K977" s="24" t="n"/>
      <c r="L977" s="36" t="n">
        <v>258</v>
      </c>
      <c r="M977" s="204" t="n">
        <v>1</v>
      </c>
      <c r="N977" s="177" t="n">
        <v>595</v>
      </c>
      <c r="O977" s="13" t="n"/>
      <c r="P977" s="139" t="inlineStr">
        <is>
          <t>grams</t>
        </is>
      </c>
      <c r="Q977" s="2" t="n"/>
      <c r="R977" s="1" t="n"/>
      <c r="S977" s="229">
        <f>M977*N977</f>
        <v/>
      </c>
      <c r="T977" s="230">
        <f>CONCATENATE(S977,Q977,P977)</f>
        <v/>
      </c>
      <c r="U977" s="206">
        <f>L977*M977</f>
        <v/>
      </c>
      <c r="V977" s="4" t="n"/>
      <c r="W977" s="4" t="n"/>
      <c r="X977" s="4" t="n"/>
    </row>
    <row r="978" ht="15.75" customHeight="1" thickBot="1">
      <c r="A978" s="186" t="n">
        <v>530</v>
      </c>
      <c r="B978" s="214" t="inlineStr">
        <is>
          <t>Canned Tuna</t>
        </is>
      </c>
      <c r="C978" s="124" t="n"/>
      <c r="D978" s="115" t="n"/>
      <c r="E978" s="124" t="n"/>
      <c r="F978" s="124" t="n"/>
      <c r="G978" s="124" t="n"/>
      <c r="H978" s="84" t="n"/>
      <c r="I978" s="7" t="n"/>
      <c r="J978" s="32" t="inlineStr">
        <is>
          <t>Century</t>
        </is>
      </c>
      <c r="K978" s="24" t="n"/>
      <c r="L978" s="36" t="n">
        <v>102.5</v>
      </c>
      <c r="M978" s="204" t="n">
        <v>1</v>
      </c>
      <c r="N978" s="177" t="n">
        <v>425</v>
      </c>
      <c r="O978" s="13" t="n"/>
      <c r="P978" s="139" t="inlineStr">
        <is>
          <t>grams</t>
        </is>
      </c>
      <c r="Q978" s="2" t="n"/>
      <c r="R978" s="1" t="n"/>
      <c r="S978" s="229">
        <f>M978*N978</f>
        <v/>
      </c>
      <c r="T978" s="230">
        <f>CONCATENATE(S978,Q978,P978)</f>
        <v/>
      </c>
      <c r="U978" s="206">
        <f>L978*M978</f>
        <v/>
      </c>
      <c r="V978" s="4" t="n"/>
      <c r="W978" s="4" t="n"/>
      <c r="X978" s="4" t="n"/>
    </row>
    <row r="979" ht="15.75" customHeight="1" thickBot="1">
      <c r="A979" s="186" t="n">
        <v>531</v>
      </c>
      <c r="B979" s="214" t="inlineStr">
        <is>
          <t>Canned Tuna - Adobo</t>
        </is>
      </c>
      <c r="C979" s="124" t="n"/>
      <c r="D979" s="115" t="n"/>
      <c r="E979" s="124" t="n"/>
      <c r="F979" s="124" t="n"/>
      <c r="G979" s="124" t="n"/>
      <c r="H979" s="84" t="n"/>
      <c r="I979" s="7" t="n"/>
      <c r="J979" s="32" t="n">
        <v>555</v>
      </c>
      <c r="K979" s="24" t="n"/>
      <c r="L979" s="36" t="n">
        <v>28.95</v>
      </c>
      <c r="M979" s="204" t="n">
        <v>4</v>
      </c>
      <c r="N979" s="177" t="n">
        <v>155</v>
      </c>
      <c r="O979" s="13" t="n"/>
      <c r="P979" s="139" t="inlineStr">
        <is>
          <t>grams</t>
        </is>
      </c>
      <c r="Q979" s="2" t="n"/>
      <c r="R979" s="1" t="n"/>
      <c r="S979" s="229">
        <f>M979*N979</f>
        <v/>
      </c>
      <c r="T979" s="230">
        <f>CONCATENATE(S979,Q979,P979)</f>
        <v/>
      </c>
      <c r="U979" s="206">
        <f>L979*M979</f>
        <v/>
      </c>
      <c r="V979" s="4" t="n"/>
      <c r="W979" s="4" t="n"/>
      <c r="X979" s="4" t="n"/>
    </row>
    <row r="980" ht="15.75" customHeight="1" thickBot="1">
      <c r="A980" s="186" t="n">
        <v>532</v>
      </c>
      <c r="B980" s="214" t="inlineStr">
        <is>
          <t>Canned Tuna - Afritada</t>
        </is>
      </c>
      <c r="C980" s="124" t="n"/>
      <c r="D980" s="115" t="n"/>
      <c r="E980" s="124" t="n"/>
      <c r="F980" s="124" t="n"/>
      <c r="G980" s="124" t="n"/>
      <c r="H980" s="84" t="n"/>
      <c r="I980" s="7" t="n"/>
      <c r="J980" s="32" t="n">
        <v>555</v>
      </c>
      <c r="K980" s="24" t="n"/>
      <c r="L980" s="36" t="n">
        <v>28.95</v>
      </c>
      <c r="M980" s="204" t="n">
        <v>20</v>
      </c>
      <c r="N980" s="177" t="n">
        <v>155</v>
      </c>
      <c r="O980" s="13" t="n"/>
      <c r="P980" s="139" t="inlineStr">
        <is>
          <t>grams</t>
        </is>
      </c>
      <c r="Q980" s="2" t="n"/>
      <c r="R980" s="1" t="n"/>
      <c r="S980" s="229">
        <f>M980*N980</f>
        <v/>
      </c>
      <c r="T980" s="230">
        <f>CONCATENATE(S980,Q980,P980)</f>
        <v/>
      </c>
      <c r="U980" s="206">
        <f>L980*M980</f>
        <v/>
      </c>
      <c r="V980" s="4" t="n"/>
      <c r="W980" s="4" t="n"/>
      <c r="X980" s="4" t="n"/>
    </row>
    <row r="981" ht="15.75" customHeight="1" thickBot="1">
      <c r="A981" s="186" t="n">
        <v>532</v>
      </c>
      <c r="B981" s="214" t="inlineStr">
        <is>
          <t>Canned Tuna - Afritada</t>
        </is>
      </c>
      <c r="C981" s="124" t="n"/>
      <c r="D981" s="115" t="n"/>
      <c r="E981" s="124" t="n"/>
      <c r="F981" s="124" t="n"/>
      <c r="G981" s="124" t="n"/>
      <c r="H981" s="84" t="n"/>
      <c r="I981" s="7" t="n"/>
      <c r="J981" s="32" t="n">
        <v>555</v>
      </c>
      <c r="K981" s="24" t="n"/>
      <c r="L981" s="36" t="n">
        <v>22</v>
      </c>
      <c r="M981" s="204" t="n">
        <v>7</v>
      </c>
      <c r="N981" s="177" t="n">
        <v>155</v>
      </c>
      <c r="O981" s="13" t="n"/>
      <c r="P981" s="139" t="inlineStr">
        <is>
          <t>grams</t>
        </is>
      </c>
      <c r="Q981" s="2" t="n"/>
      <c r="R981" s="1" t="n"/>
      <c r="S981" s="229">
        <f>M981*N981</f>
        <v/>
      </c>
      <c r="T981" s="230">
        <f>CONCATENATE(S981,Q981,P981)</f>
        <v/>
      </c>
      <c r="U981" s="206">
        <f>L981*M981</f>
        <v/>
      </c>
      <c r="V981" s="4" t="n"/>
      <c r="W981" s="4" t="n"/>
      <c r="X981" s="4" t="n"/>
    </row>
    <row r="982" ht="15.75" customHeight="1" thickBot="1">
      <c r="A982" s="186" t="n">
        <v>533</v>
      </c>
      <c r="B982" s="214" t="inlineStr">
        <is>
          <t>Canned Tuna - Caldereta</t>
        </is>
      </c>
      <c r="C982" s="124" t="n"/>
      <c r="D982" s="115" t="n"/>
      <c r="E982" s="124" t="n"/>
      <c r="F982" s="124" t="n"/>
      <c r="G982" s="124" t="n"/>
      <c r="H982" s="84" t="n"/>
      <c r="I982" s="7" t="n"/>
      <c r="J982" s="32" t="n">
        <v>555</v>
      </c>
      <c r="K982" s="24" t="n"/>
      <c r="L982" s="36" t="n">
        <v>28.95</v>
      </c>
      <c r="M982" s="204" t="n">
        <v>5</v>
      </c>
      <c r="N982" s="177" t="n">
        <v>155</v>
      </c>
      <c r="O982" s="13" t="n"/>
      <c r="P982" s="139" t="inlineStr">
        <is>
          <t>grams</t>
        </is>
      </c>
      <c r="Q982" s="2" t="n"/>
      <c r="R982" s="1" t="n"/>
      <c r="S982" s="229">
        <f>M982*N982</f>
        <v/>
      </c>
      <c r="T982" s="230">
        <f>CONCATENATE(S982,Q982,P982)</f>
        <v/>
      </c>
      <c r="U982" s="206">
        <f>L982*M982</f>
        <v/>
      </c>
      <c r="V982" s="4" t="n"/>
      <c r="W982" s="4" t="n"/>
      <c r="X982" s="4" t="n"/>
    </row>
    <row r="983" ht="15.75" customHeight="1" thickBot="1">
      <c r="A983" s="186" t="n">
        <v>534</v>
      </c>
      <c r="B983" s="214" t="inlineStr">
        <is>
          <t>Canned Tuna - Chili Corned Tuna</t>
        </is>
      </c>
      <c r="C983" s="124" t="n"/>
      <c r="D983" s="115" t="n"/>
      <c r="E983" s="124" t="n"/>
      <c r="F983" s="124" t="n"/>
      <c r="G983" s="124" t="n"/>
      <c r="H983" s="84" t="n"/>
      <c r="I983" s="7" t="n"/>
      <c r="J983" s="32" t="inlineStr">
        <is>
          <t>San Marino</t>
        </is>
      </c>
      <c r="K983" s="24" t="n"/>
      <c r="L983" s="36" t="n">
        <v>37.5</v>
      </c>
      <c r="M983" s="204" t="n">
        <v>7</v>
      </c>
      <c r="N983" s="177" t="n">
        <v>150</v>
      </c>
      <c r="O983" s="13" t="n"/>
      <c r="P983" s="139" t="inlineStr">
        <is>
          <t>grams</t>
        </is>
      </c>
      <c r="Q983" s="2" t="n"/>
      <c r="R983" s="1" t="n"/>
      <c r="S983" s="229">
        <f>M983*N983</f>
        <v/>
      </c>
      <c r="T983" s="230">
        <f>CONCATENATE(S983,Q983,P983)</f>
        <v/>
      </c>
      <c r="U983" s="206">
        <f>L983*M983</f>
        <v/>
      </c>
      <c r="V983" s="4" t="n"/>
      <c r="W983" s="4" t="n"/>
      <c r="X983" s="4" t="n"/>
    </row>
    <row r="984" ht="15.75" customHeight="1" thickBot="1">
      <c r="A984" s="186" t="n">
        <v>535</v>
      </c>
      <c r="B984" s="214" t="inlineStr">
        <is>
          <t>Canned Tuna - Corned Tuna</t>
        </is>
      </c>
      <c r="C984" s="124" t="n"/>
      <c r="D984" s="115" t="n"/>
      <c r="E984" s="124" t="n"/>
      <c r="F984" s="124" t="n"/>
      <c r="G984" s="124" t="n"/>
      <c r="H984" s="84" t="n"/>
      <c r="I984" s="7" t="n"/>
      <c r="J984" s="32" t="inlineStr">
        <is>
          <t>San Marino</t>
        </is>
      </c>
      <c r="K984" s="24" t="n"/>
      <c r="L984" s="36" t="n">
        <v>45.2</v>
      </c>
      <c r="M984" s="204" t="n">
        <v>8</v>
      </c>
      <c r="N984" s="177" t="n">
        <v>180</v>
      </c>
      <c r="O984" s="13" t="n"/>
      <c r="P984" s="139" t="inlineStr">
        <is>
          <t>grams</t>
        </is>
      </c>
      <c r="Q984" s="2" t="n"/>
      <c r="R984" s="1" t="n"/>
      <c r="S984" s="229">
        <f>M984*N984</f>
        <v/>
      </c>
      <c r="T984" s="230">
        <f>CONCATENATE(S984,Q984,P984)</f>
        <v/>
      </c>
      <c r="U984" s="206">
        <f>L984*M984</f>
        <v/>
      </c>
      <c r="V984" s="4" t="n"/>
      <c r="W984" s="4" t="n"/>
      <c r="X984" s="4" t="n"/>
    </row>
    <row r="985" ht="15.75" customHeight="1" thickBot="1">
      <c r="A985" s="186" t="n">
        <v>535</v>
      </c>
      <c r="B985" s="216" t="inlineStr">
        <is>
          <t>Canned Tuna - Corned Tuna</t>
        </is>
      </c>
      <c r="C985" s="124" t="n"/>
      <c r="D985" s="115" t="n"/>
      <c r="E985" s="124" t="n"/>
      <c r="F985" s="124" t="n"/>
      <c r="G985" s="124" t="n"/>
      <c r="H985" s="84" t="n"/>
      <c r="I985" s="7" t="n"/>
      <c r="J985" s="32" t="inlineStr">
        <is>
          <t>San Marino - Red</t>
        </is>
      </c>
      <c r="K985" s="24" t="n"/>
      <c r="L985" s="36" t="n">
        <v>28.5</v>
      </c>
      <c r="M985" s="204" t="n">
        <v>33</v>
      </c>
      <c r="N985" s="177" t="n">
        <v>85</v>
      </c>
      <c r="O985" s="13" t="n"/>
      <c r="P985" s="139" t="inlineStr">
        <is>
          <t>grams</t>
        </is>
      </c>
      <c r="Q985" s="2" t="n"/>
      <c r="R985" s="1" t="n"/>
      <c r="S985" s="229">
        <f>M985*N985</f>
        <v/>
      </c>
      <c r="T985" s="230">
        <f>CONCATENATE(S985,Q985,P985)</f>
        <v/>
      </c>
      <c r="U985" s="206">
        <f>L985*M985</f>
        <v/>
      </c>
      <c r="V985" s="4" t="n"/>
      <c r="W985" s="4" t="n"/>
      <c r="X985" s="4" t="n"/>
    </row>
    <row r="986" ht="15.75" customHeight="1" thickBot="1">
      <c r="A986" s="186" t="n">
        <v>535</v>
      </c>
      <c r="B986" s="216" t="inlineStr">
        <is>
          <t>Canned Tuna - Corned Tuna</t>
        </is>
      </c>
      <c r="C986" s="124" t="n"/>
      <c r="D986" s="115" t="n"/>
      <c r="E986" s="124" t="n"/>
      <c r="F986" s="124" t="n"/>
      <c r="G986" s="124" t="n"/>
      <c r="H986" s="84" t="n"/>
      <c r="I986" s="7" t="n"/>
      <c r="J986" s="32" t="inlineStr">
        <is>
          <t>San Marino - Yellow</t>
        </is>
      </c>
      <c r="K986" s="24" t="n"/>
      <c r="L986" s="36" t="n">
        <v>28.5</v>
      </c>
      <c r="M986" s="204" t="n">
        <v>18</v>
      </c>
      <c r="N986" s="177" t="n">
        <v>85</v>
      </c>
      <c r="O986" s="13" t="n"/>
      <c r="P986" s="139" t="inlineStr">
        <is>
          <t>grams</t>
        </is>
      </c>
      <c r="Q986" s="2" t="n"/>
      <c r="R986" s="1" t="n"/>
      <c r="S986" s="229">
        <f>M986*N986</f>
        <v/>
      </c>
      <c r="T986" s="230">
        <f>CONCATENATE(S986,Q986,P986)</f>
        <v/>
      </c>
      <c r="U986" s="206">
        <f>L986*M986</f>
        <v/>
      </c>
      <c r="V986" s="4" t="n"/>
      <c r="W986" s="4" t="n"/>
      <c r="X986" s="4" t="n"/>
    </row>
    <row r="987" ht="15.75" customHeight="1" thickBot="1">
      <c r="A987" s="186" t="n">
        <v>536</v>
      </c>
      <c r="B987" s="214" t="inlineStr">
        <is>
          <t>Canned Tuna - Flakes in Oil</t>
        </is>
      </c>
      <c r="C987" s="124" t="n"/>
      <c r="D987" s="115" t="n"/>
      <c r="E987" s="124" t="n"/>
      <c r="F987" s="124" t="n"/>
      <c r="G987" s="124" t="n"/>
      <c r="H987" s="84" t="n"/>
      <c r="I987" s="7" t="n"/>
      <c r="J987" s="32" t="inlineStr">
        <is>
          <t>Century</t>
        </is>
      </c>
      <c r="K987" s="24" t="n"/>
      <c r="L987" s="36" t="n">
        <v>36.2</v>
      </c>
      <c r="M987" s="204" t="n">
        <v>5</v>
      </c>
      <c r="N987" s="177" t="n">
        <v>155</v>
      </c>
      <c r="O987" s="13" t="n"/>
      <c r="P987" s="139" t="inlineStr">
        <is>
          <t>grams</t>
        </is>
      </c>
      <c r="Q987" s="2" t="n"/>
      <c r="R987" s="1" t="n"/>
      <c r="S987" s="229">
        <f>M987*N987</f>
        <v/>
      </c>
      <c r="T987" s="230">
        <f>CONCATENATE(S987,Q987,P987)</f>
        <v/>
      </c>
      <c r="U987" s="206">
        <f>L987*M987</f>
        <v/>
      </c>
      <c r="V987" s="4" t="n"/>
      <c r="W987" s="4" t="n"/>
      <c r="X987" s="4" t="n"/>
    </row>
    <row r="988" ht="15.75" customHeight="1" thickBot="1">
      <c r="A988" s="186" t="n">
        <v>536</v>
      </c>
      <c r="B988" s="214" t="inlineStr">
        <is>
          <t>Canned Tuna - Flakes in Oil</t>
        </is>
      </c>
      <c r="C988" s="124" t="n"/>
      <c r="D988" s="115" t="n"/>
      <c r="E988" s="124" t="n"/>
      <c r="F988" s="124" t="n"/>
      <c r="G988" s="124" t="n"/>
      <c r="H988" s="84" t="n"/>
      <c r="I988" s="7" t="n"/>
      <c r="J988" s="32" t="inlineStr">
        <is>
          <t>Century</t>
        </is>
      </c>
      <c r="K988" s="24" t="n"/>
      <c r="L988" s="36" t="n">
        <v>98.40000000000001</v>
      </c>
      <c r="M988" s="204" t="n">
        <v>19</v>
      </c>
      <c r="N988" s="177" t="n">
        <v>420</v>
      </c>
      <c r="O988" s="13" t="n"/>
      <c r="P988" s="139" t="inlineStr">
        <is>
          <t>grams</t>
        </is>
      </c>
      <c r="Q988" s="2" t="n"/>
      <c r="R988" s="1" t="n"/>
      <c r="S988" s="229">
        <f>M988*N988</f>
        <v/>
      </c>
      <c r="T988" s="230">
        <f>CONCATENATE(S988,Q988,P988)</f>
        <v/>
      </c>
      <c r="U988" s="206">
        <f>L988*M988</f>
        <v/>
      </c>
      <c r="V988" s="4" t="n"/>
      <c r="W988" s="4" t="n"/>
      <c r="X988" s="4" t="n"/>
    </row>
    <row r="989" ht="15.75" customHeight="1" thickBot="1">
      <c r="A989" s="186" t="n">
        <v>536</v>
      </c>
      <c r="B989" s="214" t="inlineStr">
        <is>
          <t>Canned Tuna - Flakes in Oil</t>
        </is>
      </c>
      <c r="C989" s="124" t="n"/>
      <c r="D989" s="115" t="n"/>
      <c r="E989" s="124" t="n"/>
      <c r="F989" s="124" t="n"/>
      <c r="G989" s="124" t="n"/>
      <c r="H989" s="84" t="n"/>
      <c r="I989" s="7" t="n"/>
      <c r="J989" s="32" t="inlineStr">
        <is>
          <t>Century</t>
        </is>
      </c>
      <c r="K989" s="24" t="n"/>
      <c r="L989" s="36" t="n">
        <v>98.40000000000001</v>
      </c>
      <c r="M989" s="204" t="n">
        <v>16</v>
      </c>
      <c r="N989" s="177" t="n">
        <v>420</v>
      </c>
      <c r="O989" s="13" t="n"/>
      <c r="P989" s="139" t="inlineStr">
        <is>
          <t>grams</t>
        </is>
      </c>
      <c r="Q989" s="2" t="n"/>
      <c r="R989" s="1" t="n"/>
      <c r="S989" s="229">
        <f>M989*N989</f>
        <v/>
      </c>
      <c r="T989" s="230">
        <f>CONCATENATE(S989,Q989,P989)</f>
        <v/>
      </c>
      <c r="U989" s="206">
        <f>L989*M989</f>
        <v/>
      </c>
      <c r="V989" s="4" t="n"/>
      <c r="W989" s="4" t="n"/>
      <c r="X989" s="4" t="n"/>
    </row>
    <row r="990" ht="15.75" customHeight="1" thickBot="1">
      <c r="A990" s="186" t="n">
        <v>536</v>
      </c>
      <c r="B990" s="214" t="inlineStr">
        <is>
          <t>Canned Tuna - Flakes in Oil</t>
        </is>
      </c>
      <c r="C990" s="124" t="n"/>
      <c r="D990" s="115" t="n"/>
      <c r="E990" s="124" t="n"/>
      <c r="F990" s="124" t="n"/>
      <c r="G990" s="124" t="n"/>
      <c r="H990" s="84" t="n"/>
      <c r="I990" s="7" t="n"/>
      <c r="J990" s="32" t="inlineStr">
        <is>
          <t>Century</t>
        </is>
      </c>
      <c r="K990" s="24" t="n"/>
      <c r="L990" s="36" t="n">
        <v>98.8</v>
      </c>
      <c r="M990" s="204" t="n">
        <v>2</v>
      </c>
      <c r="N990" s="177" t="n">
        <v>420</v>
      </c>
      <c r="O990" s="13" t="n"/>
      <c r="P990" s="139" t="inlineStr">
        <is>
          <t>grams</t>
        </is>
      </c>
      <c r="Q990" s="2" t="n"/>
      <c r="R990" s="1" t="n"/>
      <c r="S990" s="229">
        <f>M990*N990</f>
        <v/>
      </c>
      <c r="T990" s="230">
        <f>CONCATENATE(S990,Q990,P990)</f>
        <v/>
      </c>
      <c r="U990" s="206">
        <f>L990*M990</f>
        <v/>
      </c>
      <c r="V990" s="4" t="n"/>
      <c r="W990" s="4" t="n"/>
      <c r="X990" s="4" t="n"/>
    </row>
    <row r="991" ht="15.75" customHeight="1" thickBot="1">
      <c r="A991" s="186" t="n">
        <v>536</v>
      </c>
      <c r="B991" s="214" t="inlineStr">
        <is>
          <t>Canned Tuna - Flakes in Oil</t>
        </is>
      </c>
      <c r="C991" s="124" t="n"/>
      <c r="D991" s="115" t="n"/>
      <c r="E991" s="124" t="n"/>
      <c r="F991" s="124" t="n"/>
      <c r="G991" s="124" t="n"/>
      <c r="H991" s="84" t="n"/>
      <c r="I991" s="7" t="n"/>
      <c r="J991" s="32" t="inlineStr">
        <is>
          <t>Century</t>
        </is>
      </c>
      <c r="K991" s="24" t="n"/>
      <c r="L991" s="36" t="n">
        <v>98.40000000000001</v>
      </c>
      <c r="M991" s="204" t="n">
        <v>2</v>
      </c>
      <c r="N991" s="177" t="n">
        <v>425</v>
      </c>
      <c r="O991" s="13" t="n"/>
      <c r="P991" s="139" t="inlineStr">
        <is>
          <t>grams</t>
        </is>
      </c>
      <c r="Q991" s="2" t="n"/>
      <c r="R991" s="1" t="n"/>
      <c r="S991" s="229">
        <f>M991*N991</f>
        <v/>
      </c>
      <c r="T991" s="230">
        <f>CONCATENATE(S991,Q991,P991)</f>
        <v/>
      </c>
      <c r="U991" s="206">
        <f>L991*M991</f>
        <v/>
      </c>
      <c r="V991" s="4" t="n"/>
      <c r="W991" s="4" t="n"/>
      <c r="X991" s="4" t="n"/>
    </row>
    <row r="992" ht="15.75" customHeight="1" thickBot="1">
      <c r="A992" s="186" t="n">
        <v>537</v>
      </c>
      <c r="B992" s="214" t="inlineStr">
        <is>
          <t>Canned Tuna - Hot &amp; Spicy</t>
        </is>
      </c>
      <c r="C992" s="124" t="n"/>
      <c r="D992" s="115" t="n"/>
      <c r="E992" s="124" t="n"/>
      <c r="F992" s="124" t="n"/>
      <c r="G992" s="124" t="n"/>
      <c r="H992" s="84" t="n"/>
      <c r="I992" s="7" t="n"/>
      <c r="J992" s="32" t="inlineStr">
        <is>
          <t>Century</t>
        </is>
      </c>
      <c r="K992" s="24" t="n"/>
      <c r="L992" s="36" t="n">
        <v>36.2</v>
      </c>
      <c r="M992" s="204" t="n">
        <v>4</v>
      </c>
      <c r="N992" s="177" t="n">
        <v>155</v>
      </c>
      <c r="O992" s="13" t="n"/>
      <c r="P992" s="139" t="inlineStr">
        <is>
          <t>grams</t>
        </is>
      </c>
      <c r="Q992" s="2" t="n"/>
      <c r="R992" s="1" t="n"/>
      <c r="S992" s="229">
        <f>M992*N992</f>
        <v/>
      </c>
      <c r="T992" s="230">
        <f>CONCATENATE(S992,Q992,P992)</f>
        <v/>
      </c>
      <c r="U992" s="206">
        <f>L992*M992</f>
        <v/>
      </c>
      <c r="V992" s="4" t="n"/>
      <c r="W992" s="4" t="n"/>
      <c r="X992" s="4" t="n"/>
    </row>
    <row r="993" ht="15.75" customHeight="1" thickBot="1">
      <c r="A993" s="186" t="n">
        <v>538</v>
      </c>
      <c r="B993" s="215" t="inlineStr">
        <is>
          <t>Canned Tuna - Mechado</t>
        </is>
      </c>
      <c r="C993" s="124" t="n"/>
      <c r="D993" s="115" t="n"/>
      <c r="E993" s="124" t="n"/>
      <c r="F993" s="124" t="n"/>
      <c r="G993" s="124" t="n"/>
      <c r="H993" s="84" t="n"/>
      <c r="I993" s="7" t="n"/>
      <c r="J993" s="32" t="n">
        <v>555</v>
      </c>
      <c r="K993" s="24" t="n"/>
      <c r="L993" s="36" t="n">
        <v>27.4</v>
      </c>
      <c r="M993" s="204" t="n">
        <v>2</v>
      </c>
      <c r="N993" s="177" t="n">
        <v>155</v>
      </c>
      <c r="O993" s="13" t="n"/>
      <c r="P993" s="139" t="inlineStr">
        <is>
          <t>grams</t>
        </is>
      </c>
      <c r="Q993" s="2" t="n"/>
      <c r="R993" s="1" t="n"/>
      <c r="S993" s="229">
        <f>M993*N993</f>
        <v/>
      </c>
      <c r="T993" s="230">
        <f>CONCATENATE(S993,Q993,P993)</f>
        <v/>
      </c>
      <c r="U993" s="206">
        <f>L993*M993</f>
        <v/>
      </c>
      <c r="V993" s="4" t="n"/>
      <c r="W993" s="4" t="n"/>
      <c r="X993" s="4" t="n"/>
    </row>
    <row r="994" ht="15.75" customHeight="1" thickBot="1">
      <c r="A994" s="186" t="n">
        <v>55</v>
      </c>
      <c r="B994" s="214" t="inlineStr">
        <is>
          <t>Canton</t>
        </is>
      </c>
      <c r="C994" s="124" t="n"/>
      <c r="D994" s="115" t="n"/>
      <c r="E994" s="124" t="n"/>
      <c r="F994" s="124" t="n"/>
      <c r="G994" s="124" t="n"/>
      <c r="H994" s="84" t="n"/>
      <c r="I994" s="7" t="n"/>
      <c r="J994" s="32" t="inlineStr">
        <is>
          <t>Excellent</t>
        </is>
      </c>
      <c r="K994" s="24" t="n"/>
      <c r="L994" s="36" t="n">
        <v>132.5</v>
      </c>
      <c r="M994" s="204" t="n">
        <v>3</v>
      </c>
      <c r="N994" s="177" t="n">
        <v>500</v>
      </c>
      <c r="O994" s="13" t="n"/>
      <c r="P994" s="139" t="inlineStr">
        <is>
          <t>grams</t>
        </is>
      </c>
      <c r="Q994" s="2" t="n"/>
      <c r="R994" s="1" t="n"/>
      <c r="S994" s="229">
        <f>M994*N994</f>
        <v/>
      </c>
      <c r="T994" s="230">
        <f>CONCATENATE(S994,Q994,P994)</f>
        <v/>
      </c>
      <c r="U994" s="206">
        <f>L994*M994</f>
        <v/>
      </c>
      <c r="V994" s="4" t="n"/>
      <c r="W994" s="4" t="n"/>
      <c r="X994" s="4" t="n"/>
    </row>
    <row r="995" ht="15.75" customHeight="1" thickBot="1">
      <c r="A995" s="186" t="n">
        <v>55</v>
      </c>
      <c r="B995" s="214" t="inlineStr">
        <is>
          <t>Canton</t>
        </is>
      </c>
      <c r="C995" s="124" t="n"/>
      <c r="D995" s="115" t="n"/>
      <c r="E995" s="124" t="n"/>
      <c r="F995" s="124" t="n"/>
      <c r="G995" s="124" t="n"/>
      <c r="H995" s="84" t="n"/>
      <c r="I995" s="7" t="n"/>
      <c r="J995" s="32" t="inlineStr">
        <is>
          <t>Excellent</t>
        </is>
      </c>
      <c r="K995" s="24" t="n"/>
      <c r="L995" s="36" t="n">
        <v>132.5</v>
      </c>
      <c r="M995" s="204" t="n">
        <v>3</v>
      </c>
      <c r="N995" s="177" t="n">
        <v>500</v>
      </c>
      <c r="O995" s="13" t="n"/>
      <c r="P995" s="139" t="inlineStr">
        <is>
          <t>grams</t>
        </is>
      </c>
      <c r="Q995" s="2" t="n"/>
      <c r="R995" s="1" t="n"/>
      <c r="S995" s="229">
        <f>M995*N995</f>
        <v/>
      </c>
      <c r="T995" s="230">
        <f>CONCATENATE(S995,Q995,P995)</f>
        <v/>
      </c>
      <c r="U995" s="206">
        <f>L995*M995</f>
        <v/>
      </c>
      <c r="V995" s="4" t="n"/>
      <c r="W995" s="4" t="n"/>
      <c r="X995" s="4" t="n"/>
    </row>
    <row r="996" ht="15.75" customHeight="1" thickBot="1">
      <c r="A996" s="186" t="n">
        <v>55</v>
      </c>
      <c r="B996" s="214" t="inlineStr">
        <is>
          <t>Canton</t>
        </is>
      </c>
      <c r="C996" s="124" t="n"/>
      <c r="D996" s="115" t="n"/>
      <c r="E996" s="124" t="n"/>
      <c r="F996" s="124" t="n"/>
      <c r="G996" s="124" t="n"/>
      <c r="H996" s="84" t="n"/>
      <c r="I996" s="7" t="n"/>
      <c r="J996" s="32" t="inlineStr">
        <is>
          <t>KENDYS</t>
        </is>
      </c>
      <c r="K996" s="24" t="n"/>
      <c r="L996" s="36" t="n">
        <v>118.75</v>
      </c>
      <c r="M996" s="204" t="n">
        <v>2</v>
      </c>
      <c r="N996" s="177" t="n">
        <v>400</v>
      </c>
      <c r="O996" s="13" t="n"/>
      <c r="P996" s="139" t="inlineStr">
        <is>
          <t>grams</t>
        </is>
      </c>
      <c r="Q996" s="2" t="n"/>
      <c r="R996" s="1" t="n"/>
      <c r="S996" s="229">
        <f>M996*N996</f>
        <v/>
      </c>
      <c r="T996" s="230">
        <f>CONCATENATE(S996,Q996,P996)</f>
        <v/>
      </c>
      <c r="U996" s="206">
        <f>L996*M996</f>
        <v/>
      </c>
      <c r="V996" s="4" t="n"/>
      <c r="W996" s="4" t="n"/>
      <c r="X996" s="4" t="n"/>
    </row>
    <row r="997" ht="15.75" customHeight="1" thickBot="1">
      <c r="A997" s="186" t="n">
        <v>55</v>
      </c>
      <c r="B997" s="214" t="inlineStr">
        <is>
          <t>Canton</t>
        </is>
      </c>
      <c r="C997" s="124" t="n"/>
      <c r="D997" s="115" t="n"/>
      <c r="E997" s="124" t="n"/>
      <c r="F997" s="124" t="n"/>
      <c r="G997" s="124" t="n"/>
      <c r="H997" s="84" t="n"/>
      <c r="I997" s="7" t="n"/>
      <c r="J997" s="32" t="inlineStr">
        <is>
          <t>Excellent</t>
        </is>
      </c>
      <c r="K997" s="24" t="n"/>
      <c r="L997" s="36" t="n">
        <v>143</v>
      </c>
      <c r="M997" s="204" t="n">
        <v>1</v>
      </c>
      <c r="N997" s="177" t="n">
        <v>500</v>
      </c>
      <c r="O997" s="13" t="n"/>
      <c r="P997" s="139" t="inlineStr">
        <is>
          <t>grams</t>
        </is>
      </c>
      <c r="Q997" s="2" t="n"/>
      <c r="R997" s="1" t="n"/>
      <c r="S997" s="229">
        <f>M997*N997</f>
        <v/>
      </c>
      <c r="T997" s="230">
        <f>CONCATENATE(S997,Q997,P997)</f>
        <v/>
      </c>
      <c r="U997" s="206">
        <f>L997*M997</f>
        <v/>
      </c>
      <c r="V997" s="4" t="n"/>
      <c r="W997" s="4" t="n"/>
      <c r="X997" s="4" t="n"/>
    </row>
    <row r="998" ht="15.75" customHeight="1" thickBot="1">
      <c r="A998" s="186" t="n">
        <v>55</v>
      </c>
      <c r="B998" s="214" t="inlineStr">
        <is>
          <t>Canton</t>
        </is>
      </c>
      <c r="C998" s="124" t="n"/>
      <c r="D998" s="115" t="n"/>
      <c r="E998" s="124" t="n"/>
      <c r="F998" s="124" t="n"/>
      <c r="G998" s="124" t="n"/>
      <c r="H998" s="84" t="n"/>
      <c r="I998" s="7" t="n"/>
      <c r="J998" s="32" t="inlineStr">
        <is>
          <t>Hernan Logmao</t>
        </is>
      </c>
      <c r="K998" s="24" t="n"/>
      <c r="L998" s="36" t="n">
        <v>150</v>
      </c>
      <c r="M998" s="204" t="n">
        <v>1</v>
      </c>
      <c r="N998" s="177" t="n">
        <v>1000</v>
      </c>
      <c r="O998" s="13" t="n"/>
      <c r="P998" s="139" t="inlineStr">
        <is>
          <t>kilos</t>
        </is>
      </c>
      <c r="Q998" s="2" t="n"/>
      <c r="R998" s="1" t="n"/>
      <c r="S998" s="229">
        <f>M998*N998</f>
        <v/>
      </c>
      <c r="T998" s="230">
        <f>CONCATENATE(S998,Q998,P998)</f>
        <v/>
      </c>
      <c r="U998" s="206">
        <f>L998*M998</f>
        <v/>
      </c>
      <c r="V998" s="4" t="n"/>
      <c r="W998" s="4" t="n"/>
      <c r="X998" s="4" t="n"/>
    </row>
    <row r="999" ht="15.75" customHeight="1" thickBot="1">
      <c r="A999" s="186" t="n">
        <v>55</v>
      </c>
      <c r="B999" s="214" t="inlineStr">
        <is>
          <t>Canton</t>
        </is>
      </c>
      <c r="C999" s="124" t="n"/>
      <c r="D999" s="115" t="n"/>
      <c r="E999" s="124" t="n"/>
      <c r="F999" s="124" t="n"/>
      <c r="G999" s="124" t="n"/>
      <c r="H999" s="84" t="n"/>
      <c r="I999" s="7" t="n"/>
      <c r="J999" s="32" t="inlineStr">
        <is>
          <t>Epti - Kitchen Blends</t>
        </is>
      </c>
      <c r="K999" s="24" t="n"/>
      <c r="L999" s="36" t="n">
        <v>125</v>
      </c>
      <c r="M999" s="204" t="n">
        <v>1</v>
      </c>
      <c r="N999" s="177" t="n">
        <v>1000</v>
      </c>
      <c r="O999" s="13" t="n"/>
      <c r="P999" s="139" t="inlineStr">
        <is>
          <t>grams</t>
        </is>
      </c>
      <c r="Q999" s="2" t="n"/>
      <c r="R999" s="1" t="n"/>
      <c r="S999" s="229">
        <f>M999*N999</f>
        <v/>
      </c>
      <c r="T999" s="230">
        <f>CONCATENATE(S999,Q999,P999)</f>
        <v/>
      </c>
      <c r="U999" s="206">
        <f>L999*M999</f>
        <v/>
      </c>
      <c r="V999" s="4" t="n"/>
      <c r="W999" s="4" t="n"/>
      <c r="X999" s="4" t="n"/>
    </row>
    <row r="1000" ht="15.75" customHeight="1" thickBot="1">
      <c r="A1000" s="186" t="n">
        <v>55</v>
      </c>
      <c r="B1000" s="214" t="inlineStr">
        <is>
          <t>Canton</t>
        </is>
      </c>
      <c r="C1000" s="124" t="n"/>
      <c r="D1000" s="115" t="n"/>
      <c r="E1000" s="124" t="n"/>
      <c r="F1000" s="124" t="n"/>
      <c r="G1000" s="124" t="n"/>
      <c r="H1000" s="84" t="n"/>
      <c r="I1000" s="7" t="n"/>
      <c r="J1000" s="32" t="inlineStr">
        <is>
          <t>Super Dragon</t>
        </is>
      </c>
      <c r="K1000" s="24" t="n"/>
      <c r="L1000" s="36" t="n">
        <v>90.73</v>
      </c>
      <c r="M1000" s="204" t="n">
        <v>3</v>
      </c>
      <c r="N1000" s="177" t="n">
        <v>500</v>
      </c>
      <c r="O1000" s="13" t="n"/>
      <c r="P1000" s="139" t="inlineStr">
        <is>
          <t>grams</t>
        </is>
      </c>
      <c r="Q1000" s="2" t="n"/>
      <c r="R1000" s="1" t="n"/>
      <c r="S1000" s="229">
        <f>M1000*N1000</f>
        <v/>
      </c>
      <c r="T1000" s="230">
        <f>CONCATENATE(S1000,Q1000,P1000)</f>
        <v/>
      </c>
      <c r="U1000" s="206">
        <f>L1000*M1000</f>
        <v/>
      </c>
      <c r="V1000" s="4" t="n"/>
      <c r="W1000" s="4" t="n"/>
      <c r="X1000" s="4" t="n"/>
    </row>
    <row r="1001" ht="15.75" customHeight="1" thickBot="1">
      <c r="A1001" s="186" t="n">
        <v>55</v>
      </c>
      <c r="B1001" s="214" t="inlineStr">
        <is>
          <t>Canton</t>
        </is>
      </c>
      <c r="C1001" s="124" t="n"/>
      <c r="D1001" s="115" t="n"/>
      <c r="E1001" s="124" t="n"/>
      <c r="F1001" s="124" t="n"/>
      <c r="G1001" s="124" t="n"/>
      <c r="H1001" s="84" t="n"/>
      <c r="I1001" s="7" t="n"/>
      <c r="J1001" s="32" t="inlineStr">
        <is>
          <t>Super Dragon</t>
        </is>
      </c>
      <c r="K1001" s="24" t="n"/>
      <c r="L1001" s="36" t="n">
        <v>90.73</v>
      </c>
      <c r="M1001" s="204" t="n">
        <v>30</v>
      </c>
      <c r="N1001" s="177" t="n">
        <v>500</v>
      </c>
      <c r="O1001" s="13" t="n"/>
      <c r="P1001" s="139" t="inlineStr">
        <is>
          <t>grams</t>
        </is>
      </c>
      <c r="Q1001" s="2" t="n"/>
      <c r="R1001" s="1" t="n"/>
      <c r="S1001" s="229">
        <f>M1001*N1001</f>
        <v/>
      </c>
      <c r="T1001" s="230">
        <f>CONCATENATE(S1001,Q1001,P1001)</f>
        <v/>
      </c>
      <c r="U1001" s="206">
        <f>L1001*M1001</f>
        <v/>
      </c>
      <c r="V1001" s="4" t="n"/>
      <c r="W1001" s="4" t="n"/>
      <c r="X1001" s="4" t="n"/>
    </row>
    <row r="1002" ht="15.75" customHeight="1" thickBot="1">
      <c r="A1002" s="186" t="n">
        <v>58</v>
      </c>
      <c r="B1002" s="214" t="inlineStr">
        <is>
          <t>Carrots</t>
        </is>
      </c>
      <c r="C1002" s="124" t="n"/>
      <c r="D1002" s="115" t="n"/>
      <c r="E1002" s="124" t="n"/>
      <c r="F1002" s="124" t="n"/>
      <c r="G1002" s="124" t="n"/>
      <c r="H1002" s="84" t="n"/>
      <c r="I1002" s="7" t="n"/>
      <c r="J1002" s="32" t="n"/>
      <c r="K1002" s="24" t="n"/>
      <c r="L1002" s="36" t="n">
        <v>225</v>
      </c>
      <c r="M1002" s="204" t="n">
        <v>0</v>
      </c>
      <c r="N1002" s="177" t="n">
        <v>1</v>
      </c>
      <c r="O1002" s="13" t="n"/>
      <c r="P1002" s="139" t="inlineStr">
        <is>
          <t>kilos</t>
        </is>
      </c>
      <c r="Q1002" s="2" t="n"/>
      <c r="R1002" s="1" t="n"/>
      <c r="S1002" s="229">
        <f>M1002*N1002</f>
        <v/>
      </c>
      <c r="T1002" s="230">
        <f>CONCATENATE(S1002,Q1002,P1002)</f>
        <v/>
      </c>
      <c r="U1002" s="206">
        <f>L1002*M1002</f>
        <v/>
      </c>
      <c r="V1002" s="4" t="n"/>
      <c r="W1002" s="4" t="n"/>
      <c r="X1002" s="4" t="n"/>
    </row>
    <row r="1003" ht="15.75" customHeight="1" thickBot="1">
      <c r="A1003" s="186" t="n">
        <v>58</v>
      </c>
      <c r="B1003" s="214" t="inlineStr">
        <is>
          <t>Carrots</t>
        </is>
      </c>
      <c r="C1003" s="124" t="n"/>
      <c r="D1003" s="115" t="n"/>
      <c r="E1003" s="124" t="n"/>
      <c r="F1003" s="124" t="n"/>
      <c r="G1003" s="124" t="n"/>
      <c r="H1003" s="84" t="n"/>
      <c r="I1003" s="7" t="n"/>
      <c r="J1003" s="32" t="n"/>
      <c r="K1003" s="24" t="n"/>
      <c r="L1003" s="36" t="n">
        <v>70</v>
      </c>
      <c r="M1003" s="204" t="n">
        <v>3</v>
      </c>
      <c r="N1003" s="177" t="n">
        <v>1</v>
      </c>
      <c r="O1003" s="13" t="n"/>
      <c r="P1003" s="139" t="inlineStr">
        <is>
          <t>kilos</t>
        </is>
      </c>
      <c r="Q1003" s="2" t="n"/>
      <c r="R1003" s="1" t="n"/>
      <c r="S1003" s="229">
        <f>M1003*N1003</f>
        <v/>
      </c>
      <c r="T1003" s="230">
        <f>CONCATENATE(S1003,Q1003,P1003)</f>
        <v/>
      </c>
      <c r="U1003" s="206">
        <f>L1003*M1003</f>
        <v/>
      </c>
      <c r="V1003" s="4" t="n"/>
      <c r="W1003" s="4" t="n"/>
      <c r="X1003" s="4" t="n"/>
    </row>
    <row r="1004" ht="15.75" customHeight="1" thickBot="1">
      <c r="A1004" s="186" t="n">
        <v>58</v>
      </c>
      <c r="B1004" s="214" t="inlineStr">
        <is>
          <t>Carrots</t>
        </is>
      </c>
      <c r="C1004" s="124" t="n"/>
      <c r="D1004" s="115" t="n"/>
      <c r="E1004" s="124" t="n"/>
      <c r="F1004" s="124" t="n"/>
      <c r="G1004" s="124" t="n"/>
      <c r="H1004" s="84" t="n"/>
      <c r="I1004" s="7" t="n"/>
      <c r="J1004" s="32" t="n"/>
      <c r="K1004" s="24" t="n"/>
      <c r="L1004" s="36" t="n">
        <v>120</v>
      </c>
      <c r="M1004" s="204" t="n">
        <v>2</v>
      </c>
      <c r="N1004" s="177" t="n">
        <v>1000</v>
      </c>
      <c r="O1004" s="13" t="n"/>
      <c r="P1004" s="139" t="inlineStr">
        <is>
          <t>grams</t>
        </is>
      </c>
      <c r="Q1004" s="2" t="n"/>
      <c r="R1004" s="1" t="n"/>
      <c r="S1004" s="229">
        <f>M1004*N1004</f>
        <v/>
      </c>
      <c r="T1004" s="230">
        <f>CONCATENATE(S1004,Q1004,P1004)</f>
        <v/>
      </c>
      <c r="U1004" s="206">
        <f>L1004*M1004</f>
        <v/>
      </c>
      <c r="V1004" s="4" t="n"/>
      <c r="W1004" s="4" t="n"/>
      <c r="X1004" s="4" t="n"/>
    </row>
    <row r="1005" ht="15.75" customHeight="1" thickBot="1">
      <c r="A1005" s="186" t="n">
        <v>58</v>
      </c>
      <c r="B1005" s="214" t="inlineStr">
        <is>
          <t>Carrots</t>
        </is>
      </c>
      <c r="C1005" s="124" t="n"/>
      <c r="D1005" s="115" t="n"/>
      <c r="E1005" s="124" t="n"/>
      <c r="F1005" s="124" t="n"/>
      <c r="G1005" s="124" t="n"/>
      <c r="H1005" s="84" t="n"/>
      <c r="I1005" s="7" t="n"/>
      <c r="J1005" s="32" t="n"/>
      <c r="K1005" s="24" t="n"/>
      <c r="L1005" s="36" t="n">
        <v>35</v>
      </c>
      <c r="M1005" s="204" t="n">
        <v>3</v>
      </c>
      <c r="N1005" s="177" t="n">
        <v>1000</v>
      </c>
      <c r="O1005" s="13" t="n"/>
      <c r="P1005" s="139" t="inlineStr">
        <is>
          <t>grams</t>
        </is>
      </c>
      <c r="Q1005" s="2" t="n"/>
      <c r="R1005" s="1" t="n"/>
      <c r="S1005" s="229">
        <f>M1005*N1005</f>
        <v/>
      </c>
      <c r="T1005" s="230">
        <f>CONCATENATE(S1005,Q1005,P1005)</f>
        <v/>
      </c>
      <c r="U1005" s="206">
        <f>L1005*M1005</f>
        <v/>
      </c>
      <c r="V1005" s="4" t="n"/>
      <c r="W1005" s="4" t="n"/>
      <c r="X1005" s="4" t="n"/>
    </row>
    <row r="1006" ht="15.75" customHeight="1" thickBot="1">
      <c r="A1006" s="186" t="n">
        <v>58</v>
      </c>
      <c r="B1006" s="214" t="inlineStr">
        <is>
          <t>Carrots</t>
        </is>
      </c>
      <c r="C1006" s="124" t="n"/>
      <c r="D1006" s="115" t="n"/>
      <c r="E1006" s="124" t="n"/>
      <c r="F1006" s="124" t="n"/>
      <c r="G1006" s="124" t="n"/>
      <c r="H1006" s="84" t="n"/>
      <c r="I1006" s="7" t="n"/>
      <c r="J1006" s="32" t="n"/>
      <c r="K1006" s="24" t="n"/>
      <c r="L1006" s="36" t="n">
        <v>160</v>
      </c>
      <c r="M1006" s="204" t="n">
        <v>2</v>
      </c>
      <c r="N1006" s="177" t="n">
        <v>1000</v>
      </c>
      <c r="O1006" s="13" t="n"/>
      <c r="P1006" s="139" t="inlineStr">
        <is>
          <t>grams</t>
        </is>
      </c>
      <c r="Q1006" s="2" t="n"/>
      <c r="R1006" s="1" t="n"/>
      <c r="S1006" s="229">
        <f>M1006*N1006</f>
        <v/>
      </c>
      <c r="T1006" s="230">
        <f>CONCATENATE(S1006,Q1006,P1006)</f>
        <v/>
      </c>
      <c r="U1006" s="206">
        <f>L1006*M1006</f>
        <v/>
      </c>
      <c r="V1006" s="4" t="n"/>
      <c r="W1006" s="4" t="n"/>
      <c r="X1006" s="4" t="n"/>
    </row>
    <row r="1007" ht="15.75" customHeight="1" thickBot="1">
      <c r="A1007" s="186" t="n">
        <v>58</v>
      </c>
      <c r="B1007" s="214" t="inlineStr">
        <is>
          <t>Carrots</t>
        </is>
      </c>
      <c r="C1007" s="124" t="n"/>
      <c r="D1007" s="115" t="n"/>
      <c r="E1007" s="124" t="n"/>
      <c r="F1007" s="124" t="n"/>
      <c r="G1007" s="124" t="n"/>
      <c r="H1007" s="84" t="n"/>
      <c r="I1007" s="7" t="n"/>
      <c r="J1007" s="32" t="inlineStr">
        <is>
          <t>Louise Food and Beverage Trading</t>
        </is>
      </c>
      <c r="K1007" s="24" t="n"/>
      <c r="L1007" s="36" t="n">
        <v>190</v>
      </c>
      <c r="M1007" s="204" t="n">
        <v>4</v>
      </c>
      <c r="N1007" s="177" t="n">
        <v>1000</v>
      </c>
      <c r="O1007" s="13" t="n"/>
      <c r="P1007" s="139" t="inlineStr">
        <is>
          <t>kilos</t>
        </is>
      </c>
      <c r="Q1007" s="2" t="n"/>
      <c r="R1007" s="1" t="n"/>
      <c r="S1007" s="229">
        <f>M1007*N1007</f>
        <v/>
      </c>
      <c r="T1007" s="230">
        <f>CONCATENATE(S1007,Q1007,P1007)</f>
        <v/>
      </c>
      <c r="U1007" s="206">
        <f>L1007*M1007</f>
        <v/>
      </c>
      <c r="V1007" s="4" t="n"/>
      <c r="W1007" s="4" t="n"/>
      <c r="X1007" s="4" t="n"/>
    </row>
    <row r="1008" ht="15.75" customHeight="1" thickBot="1">
      <c r="A1008" s="186" t="n">
        <v>539</v>
      </c>
      <c r="B1008" s="215" t="inlineStr">
        <is>
          <t>Cashew</t>
        </is>
      </c>
      <c r="C1008" s="124" t="n"/>
      <c r="D1008" s="115" t="n"/>
      <c r="E1008" s="124" t="n"/>
      <c r="F1008" s="124" t="n"/>
      <c r="G1008" s="124" t="n"/>
      <c r="H1008" s="84" t="n"/>
      <c r="I1008" s="7" t="n"/>
      <c r="J1008" s="32" t="inlineStr">
        <is>
          <t>Mialendra Online Shop</t>
        </is>
      </c>
      <c r="K1008" s="24" t="n"/>
      <c r="L1008" s="36" t="n">
        <v>90</v>
      </c>
      <c r="M1008" s="204" t="n">
        <v>4</v>
      </c>
      <c r="N1008" s="177" t="n">
        <v>1</v>
      </c>
      <c r="O1008" s="13" t="n"/>
      <c r="P1008" s="139" t="inlineStr">
        <is>
          <t>pouch</t>
        </is>
      </c>
      <c r="Q1008" s="2" t="n"/>
      <c r="R1008" s="1" t="n"/>
      <c r="S1008" s="229">
        <f>M1008*N1008</f>
        <v/>
      </c>
      <c r="T1008" s="230">
        <f>CONCATENATE(S1008,Q1008,P1008)</f>
        <v/>
      </c>
      <c r="U1008" s="206">
        <f>L1008*M1008</f>
        <v/>
      </c>
      <c r="V1008" s="4" t="n"/>
      <c r="W1008" s="4" t="n"/>
      <c r="X1008" s="4" t="n"/>
    </row>
    <row r="1009" ht="15.75" customHeight="1" thickBot="1">
      <c r="A1009" s="186" t="n">
        <v>539</v>
      </c>
      <c r="B1009" s="215" t="inlineStr">
        <is>
          <t>Cashew</t>
        </is>
      </c>
      <c r="C1009" s="124" t="n"/>
      <c r="D1009" s="115" t="n"/>
      <c r="E1009" s="124" t="n"/>
      <c r="F1009" s="124" t="n"/>
      <c r="G1009" s="124" t="n"/>
      <c r="H1009" s="84" t="n"/>
      <c r="I1009" s="7" t="n"/>
      <c r="J1009" s="32" t="inlineStr">
        <is>
          <t>Mialendra Online Shop</t>
        </is>
      </c>
      <c r="K1009" s="24" t="n"/>
      <c r="L1009" s="36" t="n">
        <v>245</v>
      </c>
      <c r="M1009" s="204" t="n">
        <v>4</v>
      </c>
      <c r="N1009" s="177" t="n">
        <v>1</v>
      </c>
      <c r="O1009" s="13" t="n"/>
      <c r="P1009" s="139" t="inlineStr">
        <is>
          <t>jar</t>
        </is>
      </c>
      <c r="Q1009" s="2" t="n"/>
      <c r="R1009" s="1" t="n"/>
      <c r="S1009" s="229">
        <f>M1009*N1009</f>
        <v/>
      </c>
      <c r="T1009" s="230">
        <f>CONCATENATE(S1009,Q1009,P1009)</f>
        <v/>
      </c>
      <c r="U1009" s="206">
        <f>L1009*M1009</f>
        <v/>
      </c>
      <c r="V1009" s="4" t="n"/>
      <c r="W1009" s="4" t="n"/>
      <c r="X1009" s="4" t="n"/>
    </row>
    <row r="1010" ht="15.75" customHeight="1" thickBot="1">
      <c r="A1010" s="186" t="n">
        <v>540</v>
      </c>
      <c r="B1010" s="214" t="inlineStr">
        <is>
          <t>Cashew Nuts</t>
        </is>
      </c>
      <c r="C1010" s="124" t="n"/>
      <c r="D1010" s="115" t="n"/>
      <c r="E1010" s="124" t="n"/>
      <c r="F1010" s="124" t="n"/>
      <c r="G1010" s="124" t="n"/>
      <c r="H1010" s="84" t="n"/>
      <c r="I1010" s="7" t="n"/>
      <c r="J1010" s="32" t="inlineStr">
        <is>
          <t>Growers</t>
        </is>
      </c>
      <c r="K1010" s="24" t="n"/>
      <c r="L1010" s="36" t="n">
        <v>98</v>
      </c>
      <c r="M1010" s="204" t="n">
        <v>5</v>
      </c>
      <c r="N1010" s="177" t="n">
        <v>80</v>
      </c>
      <c r="O1010" s="13" t="n"/>
      <c r="P1010" s="139" t="inlineStr">
        <is>
          <t>grams</t>
        </is>
      </c>
      <c r="Q1010" s="2" t="n"/>
      <c r="R1010" s="1" t="n"/>
      <c r="S1010" s="229">
        <f>M1010*N1010</f>
        <v/>
      </c>
      <c r="T1010" s="230">
        <f>CONCATENATE(S1010,Q1010,P1010)</f>
        <v/>
      </c>
      <c r="U1010" s="206">
        <f>L1010*M1010</f>
        <v/>
      </c>
      <c r="V1010" s="4" t="n"/>
      <c r="W1010" s="4" t="n"/>
      <c r="X1010" s="4" t="n"/>
    </row>
    <row r="1011" ht="15.75" customHeight="1" thickBot="1">
      <c r="A1011" s="186" t="n">
        <v>541</v>
      </c>
      <c r="B1011" s="214" t="inlineStr">
        <is>
          <t>Cassava Flour</t>
        </is>
      </c>
      <c r="C1011" s="124" t="n"/>
      <c r="D1011" s="115" t="n"/>
      <c r="E1011" s="124" t="n"/>
      <c r="F1011" s="124" t="n"/>
      <c r="G1011" s="124" t="n"/>
      <c r="H1011" s="84" t="n"/>
      <c r="I1011" s="7" t="n"/>
      <c r="J1011" s="32" t="inlineStr">
        <is>
          <t>Queen</t>
        </is>
      </c>
      <c r="K1011" s="24" t="n"/>
      <c r="L1011" s="36" t="n">
        <v>65</v>
      </c>
      <c r="M1011" s="204" t="n">
        <v>2</v>
      </c>
      <c r="N1011" s="177" t="n">
        <v>1000</v>
      </c>
      <c r="O1011" s="13" t="n"/>
      <c r="P1011" s="139" t="inlineStr">
        <is>
          <t>kilos</t>
        </is>
      </c>
      <c r="Q1011" s="2" t="n"/>
      <c r="R1011" s="1" t="n"/>
      <c r="S1011" s="229">
        <f>M1011*N1011</f>
        <v/>
      </c>
      <c r="T1011" s="230">
        <f>CONCATENATE(S1011,Q1011,P1011)</f>
        <v/>
      </c>
      <c r="U1011" s="206">
        <f>L1011*M1011</f>
        <v/>
      </c>
      <c r="V1011" s="4" t="n"/>
      <c r="W1011" s="4" t="n"/>
      <c r="X1011" s="4" t="n"/>
    </row>
    <row r="1012" ht="15.75" customHeight="1" thickBot="1">
      <c r="A1012" s="186" t="n">
        <v>541</v>
      </c>
      <c r="B1012" s="214" t="inlineStr">
        <is>
          <t>Cassava Flour</t>
        </is>
      </c>
      <c r="C1012" s="124" t="n"/>
      <c r="D1012" s="115" t="n"/>
      <c r="E1012" s="124" t="n"/>
      <c r="F1012" s="124" t="n"/>
      <c r="G1012" s="124" t="n"/>
      <c r="H1012" s="84" t="n"/>
      <c r="I1012" s="7" t="n"/>
      <c r="J1012" s="32" t="inlineStr">
        <is>
          <t>JRS Vegetables and Seafoods</t>
        </is>
      </c>
      <c r="K1012" s="24" t="n"/>
      <c r="L1012" s="36" t="n">
        <v>65</v>
      </c>
      <c r="M1012" s="204" t="n">
        <v>5</v>
      </c>
      <c r="N1012" s="177" t="n">
        <v>1</v>
      </c>
      <c r="O1012" s="13" t="n"/>
      <c r="P1012" s="139" t="inlineStr">
        <is>
          <t>kilos</t>
        </is>
      </c>
      <c r="Q1012" s="2" t="n"/>
      <c r="R1012" s="1" t="n"/>
      <c r="S1012" s="229">
        <f>M1012*N1012</f>
        <v/>
      </c>
      <c r="T1012" s="230">
        <f>CONCATENATE(S1012,Q1012,P1012)</f>
        <v/>
      </c>
      <c r="U1012" s="206">
        <f>L1012*M1012</f>
        <v/>
      </c>
      <c r="V1012" s="4" t="n"/>
      <c r="W1012" s="4" t="n"/>
      <c r="X1012" s="4" t="n"/>
    </row>
    <row r="1013" ht="15.75" customHeight="1" thickBot="1">
      <c r="A1013" s="186" t="n">
        <v>59</v>
      </c>
      <c r="B1013" s="214" t="inlineStr">
        <is>
          <t>Cassava Starch</t>
        </is>
      </c>
      <c r="C1013" s="124" t="n"/>
      <c r="D1013" s="115" t="n"/>
      <c r="E1013" s="124" t="n"/>
      <c r="F1013" s="124" t="n"/>
      <c r="G1013" s="124" t="n"/>
      <c r="H1013" s="84" t="n"/>
      <c r="I1013" s="7" t="n"/>
      <c r="J1013" s="32" t="n"/>
      <c r="K1013" s="24" t="n"/>
      <c r="L1013" s="36" t="n">
        <v>44</v>
      </c>
      <c r="M1013" s="204" t="n">
        <v>4</v>
      </c>
      <c r="N1013" s="177" t="n">
        <v>1</v>
      </c>
      <c r="O1013" s="13" t="n"/>
      <c r="P1013" s="139" t="inlineStr">
        <is>
          <t>kilos</t>
        </is>
      </c>
      <c r="Q1013" s="2" t="n"/>
      <c r="R1013" s="1" t="n"/>
      <c r="S1013" s="229">
        <f>M1013*N1013</f>
        <v/>
      </c>
      <c r="T1013" s="230">
        <f>CONCATENATE(S1013,Q1013,P1013)</f>
        <v/>
      </c>
      <c r="U1013" s="206">
        <f>L1013*M1013</f>
        <v/>
      </c>
      <c r="V1013" s="4" t="n"/>
      <c r="W1013" s="4" t="n"/>
      <c r="X1013" s="4" t="n"/>
    </row>
    <row r="1014" ht="15.75" customHeight="1" thickBot="1">
      <c r="A1014" s="186" t="n">
        <v>59</v>
      </c>
      <c r="B1014" s="214" t="inlineStr">
        <is>
          <t>Cassava Starch</t>
        </is>
      </c>
      <c r="C1014" s="124" t="n"/>
      <c r="D1014" s="115" t="n"/>
      <c r="E1014" s="124" t="n"/>
      <c r="F1014" s="124" t="n"/>
      <c r="G1014" s="124" t="n"/>
      <c r="H1014" s="84" t="n"/>
      <c r="I1014" s="7" t="n"/>
      <c r="J1014" s="32" t="n"/>
      <c r="K1014" s="24" t="n"/>
      <c r="L1014" s="36" t="n">
        <v>65</v>
      </c>
      <c r="M1014" s="204" t="n">
        <v>5</v>
      </c>
      <c r="N1014" s="177" t="n">
        <v>1000</v>
      </c>
      <c r="O1014" s="13" t="n"/>
      <c r="P1014" s="139" t="inlineStr">
        <is>
          <t>grams</t>
        </is>
      </c>
      <c r="Q1014" s="2" t="n"/>
      <c r="R1014" s="1" t="n"/>
      <c r="S1014" s="229">
        <f>M1014*N1014</f>
        <v/>
      </c>
      <c r="T1014" s="230">
        <f>CONCATENATE(S1014,Q1014,P1014)</f>
        <v/>
      </c>
      <c r="U1014" s="206">
        <f>L1014*M1014</f>
        <v/>
      </c>
      <c r="V1014" s="4" t="n"/>
      <c r="W1014" s="4" t="n"/>
      <c r="X1014" s="4" t="n"/>
    </row>
    <row r="1015" ht="15.75" customHeight="1" thickBot="1">
      <c r="A1015" s="186" t="n">
        <v>60</v>
      </c>
      <c r="B1015" s="214" t="inlineStr">
        <is>
          <t>Catsup</t>
        </is>
      </c>
      <c r="C1015" s="124" t="n"/>
      <c r="D1015" s="115" t="n"/>
      <c r="E1015" s="124" t="n"/>
      <c r="F1015" s="124" t="n"/>
      <c r="G1015" s="124" t="n"/>
      <c r="H1015" s="84" t="n"/>
      <c r="I1015" s="7" t="n"/>
      <c r="J1015" s="32" t="inlineStr">
        <is>
          <t>Ticman</t>
        </is>
      </c>
      <c r="K1015" s="24" t="n"/>
      <c r="L1015" s="36" t="n">
        <v>88</v>
      </c>
      <c r="M1015" s="204" t="n">
        <v>2</v>
      </c>
      <c r="N1015" s="177" t="n">
        <v>3500</v>
      </c>
      <c r="O1015" s="13" t="n"/>
      <c r="P1015" s="139" t="inlineStr">
        <is>
          <t>ml</t>
        </is>
      </c>
      <c r="Q1015" s="2" t="n"/>
      <c r="R1015" s="1" t="n"/>
      <c r="S1015" s="229">
        <f>M1015*N1015</f>
        <v/>
      </c>
      <c r="T1015" s="230">
        <f>CONCATENATE(S1015,Q1015,P1015)</f>
        <v/>
      </c>
      <c r="U1015" s="206">
        <f>L1015*M1015</f>
        <v/>
      </c>
      <c r="V1015" s="4" t="n"/>
      <c r="W1015" s="4" t="n"/>
      <c r="X1015" s="4" t="n"/>
    </row>
    <row r="1016" ht="15.75" customHeight="1" thickBot="1">
      <c r="A1016" s="186" t="n">
        <v>60</v>
      </c>
      <c r="B1016" s="214" t="inlineStr">
        <is>
          <t>Catsup</t>
        </is>
      </c>
      <c r="C1016" s="124" t="n"/>
      <c r="D1016" s="115" t="n"/>
      <c r="E1016" s="124" t="n"/>
      <c r="F1016" s="124" t="n"/>
      <c r="G1016" s="124" t="n"/>
      <c r="H1016" s="84" t="n"/>
      <c r="I1016" s="7" t="n"/>
      <c r="J1016" s="32" t="inlineStr">
        <is>
          <t>Ticman</t>
        </is>
      </c>
      <c r="K1016" s="24" t="n"/>
      <c r="L1016" s="36" t="n">
        <v>88</v>
      </c>
      <c r="M1016" s="204" t="n">
        <v>11</v>
      </c>
      <c r="N1016" s="177" t="n">
        <v>3500</v>
      </c>
      <c r="O1016" s="13" t="n"/>
      <c r="P1016" s="139" t="inlineStr">
        <is>
          <t>ml</t>
        </is>
      </c>
      <c r="Q1016" s="2" t="n"/>
      <c r="R1016" s="1" t="n"/>
      <c r="S1016" s="229">
        <f>M1016*N1016</f>
        <v/>
      </c>
      <c r="T1016" s="230">
        <f>CONCATENATE(S1016,Q1016,P1016)</f>
        <v/>
      </c>
      <c r="U1016" s="206">
        <f>L1016*M1016</f>
        <v/>
      </c>
      <c r="V1016" s="4" t="n"/>
      <c r="W1016" s="4" t="n"/>
      <c r="X1016" s="4" t="n"/>
    </row>
    <row r="1017" ht="15.75" customHeight="1" thickBot="1">
      <c r="A1017" s="186" t="n">
        <v>60</v>
      </c>
      <c r="B1017" s="214" t="inlineStr">
        <is>
          <t>Catsup</t>
        </is>
      </c>
      <c r="C1017" s="124" t="n"/>
      <c r="D1017" s="115" t="n"/>
      <c r="E1017" s="124" t="n"/>
      <c r="F1017" s="124" t="n"/>
      <c r="G1017" s="124" t="n"/>
      <c r="H1017" s="84" t="n"/>
      <c r="I1017" s="7" t="n"/>
      <c r="J1017" s="32" t="inlineStr">
        <is>
          <t>NutriAsia - UFC</t>
        </is>
      </c>
      <c r="K1017" s="24" t="n"/>
      <c r="L1017" s="36" t="n">
        <v>228.7</v>
      </c>
      <c r="M1017" s="204" t="n">
        <v>3</v>
      </c>
      <c r="N1017" s="177" t="n">
        <v>4</v>
      </c>
      <c r="O1017" s="13" t="n"/>
      <c r="P1017" s="139" t="inlineStr">
        <is>
          <t>liters</t>
        </is>
      </c>
      <c r="Q1017" s="2" t="n"/>
      <c r="R1017" s="1" t="n"/>
      <c r="S1017" s="229">
        <f>M1017*N1017</f>
        <v/>
      </c>
      <c r="T1017" s="230">
        <f>CONCATENATE(S1017,Q1017,P1017)</f>
        <v/>
      </c>
      <c r="U1017" s="206">
        <f>L1017*M1017</f>
        <v/>
      </c>
      <c r="V1017" s="4" t="n"/>
      <c r="W1017" s="4" t="n"/>
      <c r="X1017" s="4" t="n"/>
    </row>
    <row r="1018" ht="15.75" customHeight="1" thickBot="1">
      <c r="A1018" s="186" t="n">
        <v>60</v>
      </c>
      <c r="B1018" s="215" t="inlineStr">
        <is>
          <t>Catsup</t>
        </is>
      </c>
      <c r="C1018" s="124" t="n"/>
      <c r="D1018" s="115" t="n"/>
      <c r="E1018" s="124" t="n"/>
      <c r="F1018" s="124" t="n"/>
      <c r="G1018" s="124" t="n"/>
      <c r="H1018" s="84" t="n"/>
      <c r="I1018" s="7" t="n"/>
      <c r="J1018" s="32" t="inlineStr">
        <is>
          <t>Ticman</t>
        </is>
      </c>
      <c r="K1018" s="24" t="n"/>
      <c r="L1018" s="36" t="n">
        <v>88</v>
      </c>
      <c r="M1018" s="204" t="n">
        <v>1</v>
      </c>
      <c r="N1018" s="177" t="n">
        <v>3500</v>
      </c>
      <c r="O1018" s="13" t="n"/>
      <c r="P1018" s="139" t="inlineStr">
        <is>
          <t>gal</t>
        </is>
      </c>
      <c r="Q1018" s="2" t="n"/>
      <c r="R1018" s="1" t="n"/>
      <c r="S1018" s="229">
        <f>M1018*N1018</f>
        <v/>
      </c>
      <c r="T1018" s="230">
        <f>CONCATENATE(S1018,Q1018,P1018)</f>
        <v/>
      </c>
      <c r="U1018" s="206">
        <f>L1018*M1018</f>
        <v/>
      </c>
      <c r="V1018" s="4" t="n"/>
      <c r="W1018" s="4" t="n"/>
      <c r="X1018" s="4" t="n"/>
    </row>
    <row r="1019" ht="15.75" customHeight="1" thickBot="1">
      <c r="A1019" s="186" t="n">
        <v>60</v>
      </c>
      <c r="B1019" s="214" t="inlineStr">
        <is>
          <t>Catsup</t>
        </is>
      </c>
      <c r="C1019" s="124" t="n"/>
      <c r="D1019" s="115" t="n"/>
      <c r="E1019" s="124" t="n"/>
      <c r="F1019" s="124" t="n"/>
      <c r="G1019" s="124" t="n"/>
      <c r="H1019" s="84" t="n"/>
      <c r="I1019" s="7" t="n"/>
      <c r="J1019" s="32" t="inlineStr">
        <is>
          <t>Ticman</t>
        </is>
      </c>
      <c r="K1019" s="24" t="n"/>
      <c r="L1019" s="36" t="n">
        <v>80</v>
      </c>
      <c r="M1019" s="204" t="n">
        <v>13</v>
      </c>
      <c r="N1019" s="177" t="n">
        <v>3500</v>
      </c>
      <c r="O1019" s="13" t="n"/>
      <c r="P1019" s="139" t="inlineStr">
        <is>
          <t>gal</t>
        </is>
      </c>
      <c r="Q1019" s="2" t="n"/>
      <c r="R1019" s="1" t="n"/>
      <c r="S1019" s="229">
        <f>M1019*N1019</f>
        <v/>
      </c>
      <c r="T1019" s="230">
        <f>CONCATENATE(S1019,Q1019,P1019)</f>
        <v/>
      </c>
      <c r="U1019" s="206">
        <f>L1019*M1019</f>
        <v/>
      </c>
      <c r="V1019" s="4" t="n"/>
      <c r="W1019" s="4" t="n"/>
      <c r="X1019" s="4" t="n"/>
    </row>
    <row r="1020" ht="15.75" customHeight="1" thickBot="1">
      <c r="A1020" s="186" t="n">
        <v>60</v>
      </c>
      <c r="B1020" s="214" t="inlineStr">
        <is>
          <t>Catsup</t>
        </is>
      </c>
      <c r="C1020" s="124" t="n"/>
      <c r="D1020" s="115" t="n"/>
      <c r="E1020" s="124" t="n"/>
      <c r="F1020" s="124" t="n"/>
      <c r="G1020" s="124" t="n"/>
      <c r="H1020" s="84" t="n"/>
      <c r="I1020" s="7" t="n"/>
      <c r="J1020" s="32" t="inlineStr">
        <is>
          <t>Jugirox</t>
        </is>
      </c>
      <c r="K1020" s="24" t="n"/>
      <c r="L1020" s="36" t="n">
        <v>85</v>
      </c>
      <c r="M1020" s="204" t="n">
        <v>8</v>
      </c>
      <c r="N1020" s="177" t="n">
        <v>1</v>
      </c>
      <c r="O1020" s="13" t="n"/>
      <c r="P1020" s="139" t="inlineStr">
        <is>
          <t>gal</t>
        </is>
      </c>
      <c r="Q1020" s="2" t="n"/>
      <c r="R1020" s="1" t="n"/>
      <c r="S1020" s="229">
        <f>M1020*N1020</f>
        <v/>
      </c>
      <c r="T1020" s="230">
        <f>CONCATENATE(S1020,Q1020,P1020)</f>
        <v/>
      </c>
      <c r="U1020" s="206">
        <f>L1020*M1020</f>
        <v/>
      </c>
      <c r="V1020" s="4" t="n"/>
      <c r="W1020" s="4" t="n"/>
      <c r="X1020" s="4" t="n"/>
    </row>
    <row r="1021" ht="15.75" customHeight="1" thickBot="1">
      <c r="A1021" s="186" t="n">
        <v>60</v>
      </c>
      <c r="B1021" s="215" t="inlineStr">
        <is>
          <t>Catsup</t>
        </is>
      </c>
      <c r="C1021" s="124" t="n"/>
      <c r="D1021" s="115" t="n"/>
      <c r="E1021" s="124" t="n"/>
      <c r="F1021" s="124" t="n"/>
      <c r="G1021" s="124" t="n"/>
      <c r="H1021" s="84" t="n"/>
      <c r="I1021" s="7" t="n"/>
      <c r="J1021" s="32" t="inlineStr">
        <is>
          <t>Ticman</t>
        </is>
      </c>
      <c r="K1021" s="24" t="n"/>
      <c r="L1021" s="36" t="n">
        <v>76</v>
      </c>
      <c r="M1021" s="204" t="n">
        <v>7</v>
      </c>
      <c r="N1021" s="177" t="n">
        <v>3500</v>
      </c>
      <c r="O1021" s="13" t="n"/>
      <c r="P1021" s="139" t="inlineStr">
        <is>
          <t>gal</t>
        </is>
      </c>
      <c r="Q1021" s="2" t="n"/>
      <c r="R1021" s="1" t="n"/>
      <c r="S1021" s="229">
        <f>M1021*N1021</f>
        <v/>
      </c>
      <c r="T1021" s="230">
        <f>CONCATENATE(S1021,Q1021,P1021)</f>
        <v/>
      </c>
      <c r="U1021" s="206">
        <f>L1021*M1021</f>
        <v/>
      </c>
      <c r="V1021" s="4" t="n"/>
      <c r="W1021" s="4" t="n"/>
      <c r="X1021" s="4" t="n"/>
    </row>
    <row r="1022" ht="15.75" customHeight="1" thickBot="1">
      <c r="A1022" s="186" t="n">
        <v>542</v>
      </c>
      <c r="B1022" s="214" t="inlineStr">
        <is>
          <t>Cauliflower</t>
        </is>
      </c>
      <c r="C1022" s="124" t="n"/>
      <c r="D1022" s="115" t="n"/>
      <c r="E1022" s="124" t="n"/>
      <c r="F1022" s="124" t="n"/>
      <c r="G1022" s="124" t="n"/>
      <c r="H1022" s="84" t="n"/>
      <c r="I1022" s="7" t="n"/>
      <c r="J1022" s="32" t="n"/>
      <c r="K1022" s="24" t="n"/>
      <c r="L1022" s="36" t="n">
        <v>100</v>
      </c>
      <c r="M1022" s="204" t="n">
        <v>1</v>
      </c>
      <c r="N1022" s="177" t="n">
        <v>1000</v>
      </c>
      <c r="O1022" s="13" t="n"/>
      <c r="P1022" s="139" t="inlineStr">
        <is>
          <t>grams</t>
        </is>
      </c>
      <c r="Q1022" s="2" t="n"/>
      <c r="R1022" s="1" t="n"/>
      <c r="S1022" s="229">
        <f>M1022*N1022</f>
        <v/>
      </c>
      <c r="T1022" s="230">
        <f>CONCATENATE(S1022,Q1022,P1022)</f>
        <v/>
      </c>
      <c r="U1022" s="206">
        <f>L1022*M1022</f>
        <v/>
      </c>
      <c r="V1022" s="4" t="n"/>
      <c r="W1022" s="4" t="n"/>
      <c r="X1022" s="4" t="n"/>
    </row>
    <row r="1023" ht="15.75" customHeight="1" thickBot="1">
      <c r="A1023" s="186" t="n">
        <v>542</v>
      </c>
      <c r="B1023" s="214" t="inlineStr">
        <is>
          <t>Cauliflower</t>
        </is>
      </c>
      <c r="C1023" s="124" t="n"/>
      <c r="D1023" s="115" t="n"/>
      <c r="E1023" s="124" t="n"/>
      <c r="F1023" s="124" t="n"/>
      <c r="G1023" s="124" t="n"/>
      <c r="H1023" s="84" t="n"/>
      <c r="I1023" s="7" t="n"/>
      <c r="J1023" s="32" t="n"/>
      <c r="K1023" s="24" t="n"/>
      <c r="L1023" s="36" t="n">
        <v>160</v>
      </c>
      <c r="M1023" s="204" t="n">
        <v>1</v>
      </c>
      <c r="N1023" s="177" t="n">
        <v>1000</v>
      </c>
      <c r="O1023" s="13" t="n"/>
      <c r="P1023" s="139" t="inlineStr">
        <is>
          <t>grams</t>
        </is>
      </c>
      <c r="Q1023" s="2" t="n"/>
      <c r="R1023" s="1" t="n"/>
      <c r="S1023" s="229">
        <f>M1023*N1023</f>
        <v/>
      </c>
      <c r="T1023" s="230">
        <f>CONCATENATE(S1023,Q1023,P1023)</f>
        <v/>
      </c>
      <c r="U1023" s="206">
        <f>L1023*M1023</f>
        <v/>
      </c>
      <c r="V1023" s="4" t="n"/>
      <c r="W1023" s="4" t="n"/>
      <c r="X1023" s="4" t="n"/>
    </row>
    <row r="1024" ht="15.75" customHeight="1" thickBot="1">
      <c r="A1024" s="186" t="n">
        <v>542</v>
      </c>
      <c r="B1024" s="214" t="inlineStr">
        <is>
          <t>Cauliflower</t>
        </is>
      </c>
      <c r="C1024" s="124" t="n"/>
      <c r="D1024" s="115" t="n"/>
      <c r="E1024" s="124" t="n"/>
      <c r="F1024" s="124" t="n"/>
      <c r="G1024" s="124" t="n"/>
      <c r="H1024" s="84" t="n"/>
      <c r="I1024" s="7" t="n"/>
      <c r="J1024" s="32" t="n"/>
      <c r="K1024" s="24" t="n"/>
      <c r="L1024" s="36" t="n">
        <v>235</v>
      </c>
      <c r="M1024" s="204" t="n">
        <v>1</v>
      </c>
      <c r="N1024" s="177" t="n">
        <v>1000</v>
      </c>
      <c r="O1024" s="13" t="n"/>
      <c r="P1024" s="139" t="inlineStr">
        <is>
          <t>grams</t>
        </is>
      </c>
      <c r="Q1024" s="2" t="n"/>
      <c r="R1024" s="1" t="n"/>
      <c r="S1024" s="229">
        <f>M1024*N1024</f>
        <v/>
      </c>
      <c r="T1024" s="230">
        <f>CONCATENATE(S1024,Q1024,P1024)</f>
        <v/>
      </c>
      <c r="U1024" s="206">
        <f>L1024*M1024</f>
        <v/>
      </c>
      <c r="V1024" s="4" t="n"/>
      <c r="W1024" s="4" t="n"/>
      <c r="X1024" s="4" t="n"/>
    </row>
    <row r="1025" ht="15.75" customHeight="1" thickBot="1">
      <c r="A1025" s="186" t="n">
        <v>543</v>
      </c>
      <c r="B1025" s="215" t="inlineStr">
        <is>
          <t>Cayenne Pepper Powder</t>
        </is>
      </c>
      <c r="C1025" s="124" t="n"/>
      <c r="D1025" s="115" t="n"/>
      <c r="E1025" s="124" t="n"/>
      <c r="F1025" s="124" t="n"/>
      <c r="G1025" s="124" t="n"/>
      <c r="H1025" s="84" t="n"/>
      <c r="I1025" s="7" t="n"/>
      <c r="J1025" s="32" t="inlineStr">
        <is>
          <t>J&amp;Y</t>
        </is>
      </c>
      <c r="K1025" s="24" t="n"/>
      <c r="L1025" s="36" t="n">
        <v>18.5</v>
      </c>
      <c r="M1025" s="204" t="n">
        <v>4</v>
      </c>
      <c r="N1025" s="177" t="n">
        <v>30</v>
      </c>
      <c r="O1025" s="13" t="n"/>
      <c r="P1025" s="139" t="inlineStr">
        <is>
          <t>grams</t>
        </is>
      </c>
      <c r="Q1025" s="2" t="n"/>
      <c r="R1025" s="1" t="n"/>
      <c r="S1025" s="229">
        <f>M1025*N1025</f>
        <v/>
      </c>
      <c r="T1025" s="230">
        <f>CONCATENATE(S1025,Q1025,P1025)</f>
        <v/>
      </c>
      <c r="U1025" s="206">
        <f>L1025*M1025</f>
        <v/>
      </c>
      <c r="V1025" s="4" t="n"/>
      <c r="W1025" s="4" t="n"/>
      <c r="X1025" s="4" t="n"/>
    </row>
    <row r="1026" ht="15.75" customHeight="1" thickBot="1">
      <c r="A1026" s="186" t="n">
        <v>61</v>
      </c>
      <c r="B1026" s="214" t="inlineStr">
        <is>
          <t>Cayenne Powder</t>
        </is>
      </c>
      <c r="C1026" s="124" t="n"/>
      <c r="D1026" s="115" t="n"/>
      <c r="E1026" s="124" t="n"/>
      <c r="F1026" s="124" t="n"/>
      <c r="G1026" s="124" t="n"/>
      <c r="H1026" s="84" t="n"/>
      <c r="I1026" s="7" t="n"/>
      <c r="J1026" s="32" t="inlineStr">
        <is>
          <t>McCormick</t>
        </is>
      </c>
      <c r="K1026" s="24" t="n"/>
      <c r="L1026" s="36" t="n">
        <v>69</v>
      </c>
      <c r="M1026" s="204" t="n">
        <v>1</v>
      </c>
      <c r="N1026" s="177" t="n">
        <v>26</v>
      </c>
      <c r="O1026" s="13" t="n"/>
      <c r="P1026" s="139" t="inlineStr">
        <is>
          <t>grams</t>
        </is>
      </c>
      <c r="Q1026" s="2" t="n"/>
      <c r="R1026" s="1" t="n"/>
      <c r="S1026" s="229">
        <f>M1026*N1026</f>
        <v/>
      </c>
      <c r="T1026" s="230">
        <f>CONCATENATE(S1026,Q1026,P1026)</f>
        <v/>
      </c>
      <c r="U1026" s="206">
        <f>L1026*M1026</f>
        <v/>
      </c>
      <c r="V1026" s="4" t="n"/>
      <c r="W1026" s="4" t="n"/>
      <c r="X1026" s="4" t="n"/>
    </row>
    <row r="1027" ht="15.75" customHeight="1" thickBot="1">
      <c r="A1027" s="186" t="n">
        <v>61</v>
      </c>
      <c r="B1027" s="215" t="inlineStr">
        <is>
          <t>Cayenne Powder</t>
        </is>
      </c>
      <c r="C1027" s="124" t="n"/>
      <c r="D1027" s="115" t="n"/>
      <c r="E1027" s="124" t="n"/>
      <c r="F1027" s="124" t="n"/>
      <c r="G1027" s="124" t="n"/>
      <c r="H1027" s="84" t="n"/>
      <c r="I1027" s="7" t="n"/>
      <c r="J1027" s="32" t="inlineStr">
        <is>
          <t>McCormick</t>
        </is>
      </c>
      <c r="K1027" s="24" t="n"/>
      <c r="L1027" s="36" t="n">
        <v>65.5</v>
      </c>
      <c r="M1027" s="204" t="n">
        <v>2</v>
      </c>
      <c r="N1027" s="177" t="n">
        <v>26</v>
      </c>
      <c r="O1027" s="13" t="n"/>
      <c r="P1027" s="139" t="inlineStr">
        <is>
          <t>grams</t>
        </is>
      </c>
      <c r="Q1027" s="2" t="n"/>
      <c r="R1027" s="1" t="n"/>
      <c r="S1027" s="229">
        <f>M1027*N1027</f>
        <v/>
      </c>
      <c r="T1027" s="230">
        <f>CONCATENATE(S1027,Q1027,P1027)</f>
        <v/>
      </c>
      <c r="U1027" s="206">
        <f>L1027*M1027</f>
        <v/>
      </c>
      <c r="V1027" s="4" t="n"/>
      <c r="W1027" s="4" t="n"/>
      <c r="X1027" s="4" t="n"/>
    </row>
    <row r="1028" ht="15.75" customHeight="1" thickBot="1">
      <c r="A1028" s="186" t="n">
        <v>544</v>
      </c>
      <c r="B1028" s="214" t="inlineStr">
        <is>
          <t>Cereal Drink - Choco</t>
        </is>
      </c>
      <c r="C1028" s="124" t="n"/>
      <c r="D1028" s="115" t="n"/>
      <c r="E1028" s="124" t="n"/>
      <c r="F1028" s="124" t="n"/>
      <c r="G1028" s="124" t="n"/>
      <c r="H1028" s="84" t="n"/>
      <c r="I1028" s="7" t="n"/>
      <c r="J1028" s="32" t="inlineStr">
        <is>
          <t>Energen</t>
        </is>
      </c>
      <c r="K1028" s="24" t="n"/>
      <c r="L1028" s="36" t="n">
        <v>8.699999999999999</v>
      </c>
      <c r="M1028" s="204" t="n">
        <v>31</v>
      </c>
      <c r="N1028" s="177" t="n">
        <v>40</v>
      </c>
      <c r="O1028" s="13" t="n"/>
      <c r="P1028" s="139" t="inlineStr">
        <is>
          <t>grams</t>
        </is>
      </c>
      <c r="Q1028" s="2" t="n"/>
      <c r="R1028" s="1" t="n"/>
      <c r="S1028" s="229">
        <f>M1028*N1028</f>
        <v/>
      </c>
      <c r="T1028" s="230">
        <f>CONCATENATE(S1028,Q1028,P1028)</f>
        <v/>
      </c>
      <c r="U1028" s="206">
        <f>L1028*M1028</f>
        <v/>
      </c>
      <c r="V1028" s="4" t="n"/>
      <c r="W1028" s="4" t="n"/>
      <c r="X1028" s="4" t="n"/>
    </row>
    <row r="1029" ht="15.75" customHeight="1" thickBot="1">
      <c r="A1029" s="186" t="n">
        <v>545</v>
      </c>
      <c r="B1029" s="214" t="inlineStr">
        <is>
          <t>Cereal Drink - Chocolate</t>
        </is>
      </c>
      <c r="C1029" s="124" t="n"/>
      <c r="D1029" s="115" t="n"/>
      <c r="E1029" s="124" t="n"/>
      <c r="F1029" s="124" t="n"/>
      <c r="G1029" s="124" t="n"/>
      <c r="H1029" s="84" t="n"/>
      <c r="I1029" s="7" t="n"/>
      <c r="J1029" s="32" t="inlineStr">
        <is>
          <t>Energen - Chocolate</t>
        </is>
      </c>
      <c r="K1029" s="24" t="n"/>
      <c r="L1029" s="36" t="n">
        <v>8.699999999999999</v>
      </c>
      <c r="M1029" s="204" t="n">
        <v>2</v>
      </c>
      <c r="N1029" s="177" t="n">
        <v>40</v>
      </c>
      <c r="O1029" s="13" t="n"/>
      <c r="P1029" s="139" t="inlineStr">
        <is>
          <t>grams</t>
        </is>
      </c>
      <c r="Q1029" s="2" t="n"/>
      <c r="R1029" s="1" t="n"/>
      <c r="S1029" s="229">
        <f>M1029*N1029</f>
        <v/>
      </c>
      <c r="T1029" s="230">
        <f>CONCATENATE(S1029,Q1029,P1029)</f>
        <v/>
      </c>
      <c r="U1029" s="206">
        <f>L1029*M1029</f>
        <v/>
      </c>
      <c r="V1029" s="4" t="n"/>
      <c r="W1029" s="4" t="n"/>
      <c r="X1029" s="4" t="n"/>
    </row>
    <row r="1030" ht="15.75" customHeight="1" thickBot="1">
      <c r="A1030" s="186" t="n">
        <v>546</v>
      </c>
      <c r="B1030" s="214" t="inlineStr">
        <is>
          <t>Cereal Drink - Vanilla</t>
        </is>
      </c>
      <c r="C1030" s="124" t="n"/>
      <c r="D1030" s="115" t="n"/>
      <c r="E1030" s="124" t="n"/>
      <c r="F1030" s="124" t="n"/>
      <c r="G1030" s="124" t="n"/>
      <c r="H1030" s="84" t="n"/>
      <c r="I1030" s="7" t="n"/>
      <c r="J1030" s="32" t="inlineStr">
        <is>
          <t>Energen - Vanilla</t>
        </is>
      </c>
      <c r="K1030" s="24" t="n"/>
      <c r="L1030" s="36" t="n">
        <v>8.699999999999999</v>
      </c>
      <c r="M1030" s="204" t="n">
        <v>45</v>
      </c>
      <c r="N1030" s="177" t="n">
        <v>40</v>
      </c>
      <c r="O1030" s="13" t="n"/>
      <c r="P1030" s="139" t="inlineStr">
        <is>
          <t>grams</t>
        </is>
      </c>
      <c r="Q1030" s="2" t="n"/>
      <c r="R1030" s="1" t="n"/>
      <c r="S1030" s="229">
        <f>M1030*N1030</f>
        <v/>
      </c>
      <c r="T1030" s="230">
        <f>CONCATENATE(S1030,Q1030,P1030)</f>
        <v/>
      </c>
      <c r="U1030" s="206">
        <f>L1030*M1030</f>
        <v/>
      </c>
      <c r="V1030" s="4" t="n"/>
      <c r="W1030" s="4" t="n"/>
      <c r="X1030" s="4" t="n"/>
    </row>
    <row r="1031" ht="15.75" customHeight="1" thickBot="1">
      <c r="A1031" s="186" t="n">
        <v>546</v>
      </c>
      <c r="B1031" s="214" t="inlineStr">
        <is>
          <t>Cereal Drink - Vanilla</t>
        </is>
      </c>
      <c r="C1031" s="124" t="n"/>
      <c r="D1031" s="115" t="n"/>
      <c r="E1031" s="124" t="n"/>
      <c r="F1031" s="124" t="n"/>
      <c r="G1031" s="124" t="n"/>
      <c r="H1031" s="84" t="n"/>
      <c r="I1031" s="7" t="n"/>
      <c r="J1031" s="32" t="inlineStr">
        <is>
          <t>Energen - Vanilla</t>
        </is>
      </c>
      <c r="K1031" s="24" t="n"/>
      <c r="L1031" s="36" t="n">
        <v>8.699999999999999</v>
      </c>
      <c r="M1031" s="204" t="n">
        <v>6</v>
      </c>
      <c r="N1031" s="177" t="n">
        <v>40</v>
      </c>
      <c r="O1031" s="13" t="n"/>
      <c r="P1031" s="139" t="inlineStr">
        <is>
          <t>grams</t>
        </is>
      </c>
      <c r="Q1031" s="2" t="n"/>
      <c r="R1031" s="1" t="n"/>
      <c r="S1031" s="229">
        <f>M1031*N1031</f>
        <v/>
      </c>
      <c r="T1031" s="230">
        <f>CONCATENATE(S1031,Q1031,P1031)</f>
        <v/>
      </c>
      <c r="U1031" s="206">
        <f>L1031*M1031</f>
        <v/>
      </c>
      <c r="V1031" s="4" t="n"/>
      <c r="W1031" s="4" t="n"/>
      <c r="X1031" s="4" t="n"/>
    </row>
    <row r="1032" ht="15.75" customHeight="1" thickBot="1">
      <c r="A1032" s="186" t="n">
        <v>546</v>
      </c>
      <c r="B1032" s="214" t="inlineStr">
        <is>
          <t>Cereal Drink - Vanilla</t>
        </is>
      </c>
      <c r="C1032" s="124" t="n"/>
      <c r="D1032" s="115" t="n"/>
      <c r="E1032" s="124" t="n"/>
      <c r="F1032" s="124" t="n"/>
      <c r="G1032" s="124" t="n"/>
      <c r="H1032" s="84" t="n"/>
      <c r="I1032" s="7" t="n"/>
      <c r="J1032" s="32" t="inlineStr">
        <is>
          <t>Energen - Vanilla</t>
        </is>
      </c>
      <c r="K1032" s="24" t="n"/>
      <c r="L1032" s="36" t="n">
        <v>8.699999999999999</v>
      </c>
      <c r="M1032" s="204" t="n">
        <v>52</v>
      </c>
      <c r="N1032" s="177" t="n">
        <v>40</v>
      </c>
      <c r="O1032" s="13" t="n"/>
      <c r="P1032" s="139" t="inlineStr">
        <is>
          <t>grams</t>
        </is>
      </c>
      <c r="Q1032" s="2" t="n"/>
      <c r="R1032" s="1" t="n"/>
      <c r="S1032" s="229">
        <f>M1032*N1032</f>
        <v/>
      </c>
      <c r="T1032" s="230">
        <f>CONCATENATE(S1032,Q1032,P1032)</f>
        <v/>
      </c>
      <c r="U1032" s="206">
        <f>L1032*M1032</f>
        <v/>
      </c>
      <c r="V1032" s="4" t="n"/>
      <c r="W1032" s="4" t="n"/>
      <c r="X1032" s="4" t="n"/>
    </row>
    <row r="1033" ht="15.75" customHeight="1" thickBot="1">
      <c r="A1033" s="186" t="n">
        <v>547</v>
      </c>
      <c r="B1033" s="214" t="inlineStr">
        <is>
          <t>Chafing Fuel</t>
        </is>
      </c>
      <c r="C1033" s="124" t="n"/>
      <c r="D1033" s="115" t="n"/>
      <c r="E1033" s="124" t="n"/>
      <c r="F1033" s="124" t="n"/>
      <c r="G1033" s="124" t="n"/>
      <c r="H1033" s="84" t="n"/>
      <c r="I1033" s="7" t="n"/>
      <c r="J1033" s="32" t="inlineStr">
        <is>
          <t>Ko-nice Alcogel</t>
        </is>
      </c>
      <c r="K1033" s="24" t="n"/>
      <c r="L1033" s="36" t="n">
        <v>95</v>
      </c>
      <c r="M1033" s="204" t="n">
        <v>2</v>
      </c>
      <c r="N1033" s="177" t="n">
        <v>200</v>
      </c>
      <c r="O1033" s="13" t="n"/>
      <c r="P1033" s="139" t="inlineStr">
        <is>
          <t>grams</t>
        </is>
      </c>
      <c r="Q1033" s="2" t="n"/>
      <c r="R1033" s="1" t="n"/>
      <c r="S1033" s="229">
        <f>M1033*N1033</f>
        <v/>
      </c>
      <c r="T1033" s="230">
        <f>CONCATENATE(S1033,Q1033,P1033)</f>
        <v/>
      </c>
      <c r="U1033" s="206">
        <f>L1033*M1033</f>
        <v/>
      </c>
      <c r="V1033" s="4" t="n"/>
      <c r="W1033" s="4" t="n"/>
      <c r="X1033" s="4" t="n"/>
    </row>
    <row r="1034" ht="15.75" customHeight="1" thickBot="1">
      <c r="A1034" s="186" t="n">
        <v>65</v>
      </c>
      <c r="B1034" s="214" t="inlineStr">
        <is>
          <t>Cheese</t>
        </is>
      </c>
      <c r="C1034" s="124" t="n"/>
      <c r="D1034" s="115" t="n"/>
      <c r="E1034" s="124" t="n"/>
      <c r="F1034" s="124" t="n"/>
      <c r="G1034" s="124" t="n"/>
      <c r="H1034" s="84" t="n"/>
      <c r="I1034" s="7" t="n"/>
      <c r="J1034" s="32" t="inlineStr">
        <is>
          <t>Magnolia - Daily Quezo</t>
        </is>
      </c>
      <c r="K1034" s="24" t="n"/>
      <c r="L1034" s="36" t="n">
        <v>36.4</v>
      </c>
      <c r="M1034" s="204" t="n">
        <v>5</v>
      </c>
      <c r="N1034" s="177" t="n">
        <v>160</v>
      </c>
      <c r="O1034" s="13" t="n"/>
      <c r="P1034" s="139" t="inlineStr">
        <is>
          <t>grams</t>
        </is>
      </c>
      <c r="Q1034" s="2" t="n"/>
      <c r="R1034" s="1" t="n"/>
      <c r="S1034" s="229">
        <f>M1034*N1034</f>
        <v/>
      </c>
      <c r="T1034" s="230">
        <f>CONCATENATE(S1034,Q1034,P1034)</f>
        <v/>
      </c>
      <c r="U1034" s="206">
        <f>L1034*M1034</f>
        <v/>
      </c>
      <c r="V1034" s="4" t="n"/>
      <c r="W1034" s="4" t="n"/>
      <c r="X1034" s="4" t="n"/>
    </row>
    <row r="1035" ht="15.75" customHeight="1" thickBot="1">
      <c r="A1035" s="186" t="n">
        <v>65</v>
      </c>
      <c r="B1035" s="214" t="inlineStr">
        <is>
          <t>Cheese</t>
        </is>
      </c>
      <c r="C1035" s="124" t="n"/>
      <c r="D1035" s="115" t="n"/>
      <c r="E1035" s="124" t="n"/>
      <c r="F1035" s="124" t="n"/>
      <c r="G1035" s="124" t="n"/>
      <c r="H1035" s="84" t="n"/>
      <c r="I1035" s="7" t="n"/>
      <c r="J1035" s="32" t="inlineStr">
        <is>
          <t>Magnolia - Daily Quezo</t>
        </is>
      </c>
      <c r="K1035" s="24" t="n"/>
      <c r="L1035" s="36" t="n">
        <v>35.5</v>
      </c>
      <c r="M1035" s="204" t="n">
        <v>3</v>
      </c>
      <c r="N1035" s="177" t="n">
        <v>160</v>
      </c>
      <c r="O1035" s="13" t="n"/>
      <c r="P1035" s="139" t="inlineStr">
        <is>
          <t>grams</t>
        </is>
      </c>
      <c r="Q1035" s="2" t="n"/>
      <c r="R1035" s="1" t="n"/>
      <c r="S1035" s="229">
        <f>M1035*N1035</f>
        <v/>
      </c>
      <c r="T1035" s="230">
        <f>CONCATENATE(S1035,Q1035,P1035)</f>
        <v/>
      </c>
      <c r="U1035" s="206">
        <f>L1035*M1035</f>
        <v/>
      </c>
      <c r="V1035" s="4" t="n"/>
      <c r="W1035" s="4" t="n"/>
      <c r="X1035" s="4" t="n"/>
    </row>
    <row r="1036" ht="15.75" customHeight="1" thickBot="1">
      <c r="A1036" s="186" t="n">
        <v>65</v>
      </c>
      <c r="B1036" s="214" t="inlineStr">
        <is>
          <t>Cheese</t>
        </is>
      </c>
      <c r="C1036" s="124" t="n"/>
      <c r="D1036" s="115" t="n"/>
      <c r="E1036" s="124" t="n"/>
      <c r="F1036" s="124" t="n"/>
      <c r="G1036" s="124" t="n"/>
      <c r="H1036" s="84" t="n"/>
      <c r="I1036" s="7" t="n"/>
      <c r="J1036" s="32" t="inlineStr">
        <is>
          <t>Magnolia - Daily Quezo</t>
        </is>
      </c>
      <c r="K1036" s="24" t="n"/>
      <c r="L1036" s="36" t="n">
        <v>35.5</v>
      </c>
      <c r="M1036" s="204" t="n">
        <v>0</v>
      </c>
      <c r="N1036" s="177" t="n">
        <v>160</v>
      </c>
      <c r="O1036" s="13" t="n"/>
      <c r="P1036" s="139" t="inlineStr">
        <is>
          <t>grams</t>
        </is>
      </c>
      <c r="Q1036" s="2" t="n"/>
      <c r="R1036" s="1" t="n"/>
      <c r="S1036" s="229">
        <f>M1036*N1036</f>
        <v/>
      </c>
      <c r="T1036" s="230">
        <f>CONCATENATE(S1036,Q1036,P1036)</f>
        <v/>
      </c>
      <c r="U1036" s="206">
        <f>L1036*M1036</f>
        <v/>
      </c>
      <c r="V1036" s="4" t="n"/>
      <c r="W1036" s="4" t="n"/>
      <c r="X1036" s="4" t="n"/>
    </row>
    <row r="1037" ht="15.75" customHeight="1" thickBot="1">
      <c r="A1037" s="186" t="n">
        <v>65</v>
      </c>
      <c r="B1037" s="214" t="inlineStr">
        <is>
          <t>Cheese</t>
        </is>
      </c>
      <c r="C1037" s="124" t="n"/>
      <c r="D1037" s="115" t="n"/>
      <c r="E1037" s="124" t="n"/>
      <c r="F1037" s="124" t="n"/>
      <c r="G1037" s="124" t="n"/>
      <c r="H1037" s="84" t="n"/>
      <c r="I1037" s="7" t="n"/>
      <c r="J1037" s="32" t="inlineStr">
        <is>
          <t>Magnolia - Daily Quezo</t>
        </is>
      </c>
      <c r="K1037" s="24" t="n"/>
      <c r="L1037" s="36" t="n">
        <v>35.5</v>
      </c>
      <c r="M1037" s="204" t="n">
        <v>17</v>
      </c>
      <c r="N1037" s="177" t="n">
        <v>160</v>
      </c>
      <c r="O1037" s="13" t="n"/>
      <c r="P1037" s="139" t="inlineStr">
        <is>
          <t>grams</t>
        </is>
      </c>
      <c r="Q1037" s="2" t="n"/>
      <c r="R1037" s="1" t="n"/>
      <c r="S1037" s="229">
        <f>M1037*N1037</f>
        <v/>
      </c>
      <c r="T1037" s="230">
        <f>CONCATENATE(S1037,Q1037,P1037)</f>
        <v/>
      </c>
      <c r="U1037" s="206">
        <f>L1037*M1037</f>
        <v/>
      </c>
      <c r="V1037" s="4" t="n"/>
      <c r="W1037" s="4" t="n"/>
      <c r="X1037" s="4" t="n"/>
    </row>
    <row r="1038" ht="15.75" customHeight="1" thickBot="1">
      <c r="A1038" s="186" t="n">
        <v>65</v>
      </c>
      <c r="B1038" s="214" t="inlineStr">
        <is>
          <t>Cheese</t>
        </is>
      </c>
      <c r="C1038" s="124" t="n"/>
      <c r="D1038" s="115" t="n"/>
      <c r="E1038" s="124" t="n"/>
      <c r="F1038" s="124" t="n"/>
      <c r="G1038" s="124" t="n"/>
      <c r="H1038" s="84" t="n"/>
      <c r="I1038" s="7" t="n"/>
      <c r="J1038" s="32" t="inlineStr">
        <is>
          <t>Mondelez - Eden</t>
        </is>
      </c>
      <c r="K1038" s="24" t="n"/>
      <c r="L1038" s="36" t="n">
        <v>56.5</v>
      </c>
      <c r="M1038" s="204" t="n">
        <v>3</v>
      </c>
      <c r="N1038" s="177" t="n">
        <v>165</v>
      </c>
      <c r="O1038" s="13" t="n"/>
      <c r="P1038" s="139" t="inlineStr">
        <is>
          <t>grams</t>
        </is>
      </c>
      <c r="Q1038" s="2" t="n"/>
      <c r="R1038" s="1" t="n"/>
      <c r="S1038" s="229">
        <f>M1038*N1038</f>
        <v/>
      </c>
      <c r="T1038" s="230">
        <f>CONCATENATE(S1038,Q1038,P1038)</f>
        <v/>
      </c>
      <c r="U1038" s="206">
        <f>L1038*M1038</f>
        <v/>
      </c>
      <c r="V1038" s="4" t="n"/>
      <c r="W1038" s="4" t="n"/>
      <c r="X1038" s="4" t="n"/>
    </row>
    <row r="1039" ht="15.75" customHeight="1" thickBot="1">
      <c r="A1039" s="186" t="n">
        <v>65</v>
      </c>
      <c r="B1039" s="214" t="inlineStr">
        <is>
          <t>Cheese</t>
        </is>
      </c>
      <c r="C1039" s="124" t="n"/>
      <c r="D1039" s="115" t="n"/>
      <c r="E1039" s="124" t="n"/>
      <c r="F1039" s="124" t="n"/>
      <c r="G1039" s="124" t="n"/>
      <c r="H1039" s="84" t="n"/>
      <c r="I1039" s="7" t="n"/>
      <c r="J1039" s="32" t="inlineStr">
        <is>
          <t>Mondelez - Eden</t>
        </is>
      </c>
      <c r="K1039" s="24" t="n"/>
      <c r="L1039" s="36" t="n">
        <v>135</v>
      </c>
      <c r="M1039" s="204" t="n">
        <v>4</v>
      </c>
      <c r="N1039" s="177" t="n">
        <v>430</v>
      </c>
      <c r="O1039" s="13" t="n"/>
      <c r="P1039" s="139" t="inlineStr">
        <is>
          <t>grams</t>
        </is>
      </c>
      <c r="Q1039" s="2" t="n"/>
      <c r="R1039" s="1" t="n"/>
      <c r="S1039" s="229">
        <f>M1039*N1039</f>
        <v/>
      </c>
      <c r="T1039" s="230">
        <f>CONCATENATE(S1039,Q1039,P1039)</f>
        <v/>
      </c>
      <c r="U1039" s="206">
        <f>L1039*M1039</f>
        <v/>
      </c>
      <c r="V1039" s="4" t="n"/>
      <c r="W1039" s="4" t="n"/>
      <c r="X1039" s="4" t="n"/>
    </row>
    <row r="1040" ht="15.75" customHeight="1" thickBot="1">
      <c r="A1040" s="186" t="n">
        <v>65</v>
      </c>
      <c r="B1040" s="214" t="inlineStr">
        <is>
          <t>Cheese</t>
        </is>
      </c>
      <c r="C1040" s="124" t="n"/>
      <c r="D1040" s="115" t="n"/>
      <c r="E1040" s="124" t="n"/>
      <c r="F1040" s="124" t="n"/>
      <c r="G1040" s="124" t="n"/>
      <c r="H1040" s="84" t="n"/>
      <c r="I1040" s="7" t="n"/>
      <c r="J1040" s="32" t="inlineStr">
        <is>
          <t>CDO - Big Time</t>
        </is>
      </c>
      <c r="K1040" s="24" t="n"/>
      <c r="L1040" s="36" t="n">
        <v>36.7</v>
      </c>
      <c r="M1040" s="204" t="n">
        <v>1</v>
      </c>
      <c r="N1040" s="177" t="n">
        <v>160</v>
      </c>
      <c r="O1040" s="13" t="n"/>
      <c r="P1040" s="139" t="inlineStr">
        <is>
          <t>grams</t>
        </is>
      </c>
      <c r="Q1040" s="2" t="n"/>
      <c r="R1040" s="1" t="n"/>
      <c r="S1040" s="229">
        <f>M1040*N1040</f>
        <v/>
      </c>
      <c r="T1040" s="230">
        <f>CONCATENATE(S1040,Q1040,P1040)</f>
        <v/>
      </c>
      <c r="U1040" s="206">
        <f>L1040*M1040</f>
        <v/>
      </c>
      <c r="V1040" s="4" t="n"/>
      <c r="W1040" s="4" t="n"/>
      <c r="X1040" s="4" t="n"/>
    </row>
    <row r="1041" ht="15.75" customHeight="1" thickBot="1">
      <c r="A1041" s="186" t="n">
        <v>65</v>
      </c>
      <c r="B1041" s="214" t="inlineStr">
        <is>
          <t>Cheese</t>
        </is>
      </c>
      <c r="C1041" s="124" t="n"/>
      <c r="D1041" s="115" t="n"/>
      <c r="E1041" s="124" t="n"/>
      <c r="F1041" s="124" t="n"/>
      <c r="G1041" s="124" t="n"/>
      <c r="H1041" s="84" t="n"/>
      <c r="I1041" s="7" t="n"/>
      <c r="J1041" s="32" t="inlineStr">
        <is>
          <t>Magnolia - Daily Quezo</t>
        </is>
      </c>
      <c r="K1041" s="24" t="n"/>
      <c r="L1041" s="36" t="n">
        <v>105</v>
      </c>
      <c r="M1041" s="204" t="n">
        <v>2</v>
      </c>
      <c r="N1041" s="177" t="n">
        <v>430</v>
      </c>
      <c r="O1041" s="13" t="n"/>
      <c r="P1041" s="139" t="inlineStr">
        <is>
          <t>grams</t>
        </is>
      </c>
      <c r="Q1041" s="2" t="n"/>
      <c r="R1041" s="1" t="n"/>
      <c r="S1041" s="229">
        <f>M1041*N1041</f>
        <v/>
      </c>
      <c r="T1041" s="230">
        <f>CONCATENATE(S1041,Q1041,P1041)</f>
        <v/>
      </c>
      <c r="U1041" s="206">
        <f>L1041*M1041</f>
        <v/>
      </c>
      <c r="V1041" s="4" t="n"/>
      <c r="W1041" s="4" t="n"/>
      <c r="X1041" s="4" t="n"/>
    </row>
    <row r="1042" ht="15.75" customHeight="1" thickBot="1">
      <c r="A1042" s="186" t="n">
        <v>65</v>
      </c>
      <c r="B1042" s="214" t="inlineStr">
        <is>
          <t>Cheese</t>
        </is>
      </c>
      <c r="C1042" s="124" t="n"/>
      <c r="D1042" s="115" t="n"/>
      <c r="E1042" s="124" t="n"/>
      <c r="F1042" s="124" t="n"/>
      <c r="G1042" s="124" t="n"/>
      <c r="H1042" s="84" t="n"/>
      <c r="I1042" s="7" t="n"/>
      <c r="J1042" s="32" t="inlineStr">
        <is>
          <t>Magnolia - Daily Quezo</t>
        </is>
      </c>
      <c r="K1042" s="24" t="n"/>
      <c r="L1042" s="36" t="n">
        <v>40</v>
      </c>
      <c r="M1042" s="204" t="n">
        <v>1</v>
      </c>
      <c r="N1042" s="177" t="n">
        <v>165</v>
      </c>
      <c r="O1042" s="13" t="n"/>
      <c r="P1042" s="139" t="inlineStr">
        <is>
          <t>grams</t>
        </is>
      </c>
      <c r="Q1042" s="2" t="n"/>
      <c r="R1042" s="1" t="n"/>
      <c r="S1042" s="229">
        <f>M1042*N1042</f>
        <v/>
      </c>
      <c r="T1042" s="230">
        <f>CONCATENATE(S1042,Q1042,P1042)</f>
        <v/>
      </c>
      <c r="U1042" s="206">
        <f>L1042*M1042</f>
        <v/>
      </c>
      <c r="V1042" s="4" t="n"/>
      <c r="W1042" s="4" t="n"/>
      <c r="X1042" s="4" t="n"/>
    </row>
    <row r="1043" ht="15.75" customHeight="1" thickBot="1">
      <c r="A1043" s="186" t="n">
        <v>548</v>
      </c>
      <c r="B1043" s="214" t="inlineStr">
        <is>
          <t>Cheese - Sliced</t>
        </is>
      </c>
      <c r="C1043" s="124" t="n"/>
      <c r="D1043" s="115" t="n"/>
      <c r="E1043" s="124" t="n"/>
      <c r="F1043" s="124" t="n"/>
      <c r="G1043" s="124" t="n"/>
      <c r="H1043" s="84" t="n"/>
      <c r="I1043" s="7" t="n"/>
      <c r="J1043" s="32" t="inlineStr">
        <is>
          <t>Mondelez - Eden</t>
        </is>
      </c>
      <c r="K1043" s="24" t="n"/>
      <c r="L1043" s="36" t="n">
        <v>120</v>
      </c>
      <c r="M1043" s="204" t="n">
        <v>6</v>
      </c>
      <c r="N1043" s="177" t="n">
        <v>200</v>
      </c>
      <c r="O1043" s="13" t="n"/>
      <c r="P1043" s="139" t="inlineStr">
        <is>
          <t>grams</t>
        </is>
      </c>
      <c r="Q1043" s="2" t="n"/>
      <c r="R1043" s="1" t="n"/>
      <c r="S1043" s="229">
        <f>M1043*N1043</f>
        <v/>
      </c>
      <c r="T1043" s="230">
        <f>CONCATENATE(S1043,Q1043,P1043)</f>
        <v/>
      </c>
      <c r="U1043" s="206">
        <f>L1043*M1043</f>
        <v/>
      </c>
      <c r="V1043" s="4" t="n"/>
      <c r="W1043" s="4" t="n"/>
      <c r="X1043" s="4" t="n"/>
    </row>
    <row r="1044" ht="15.75" customHeight="1" thickBot="1">
      <c r="A1044" s="186" t="n">
        <v>548</v>
      </c>
      <c r="B1044" s="214" t="inlineStr">
        <is>
          <t>Cheese - Sliced</t>
        </is>
      </c>
      <c r="C1044" s="124" t="n"/>
      <c r="D1044" s="115" t="n"/>
      <c r="E1044" s="124" t="n"/>
      <c r="F1044" s="124" t="n"/>
      <c r="G1044" s="124" t="n"/>
      <c r="H1044" s="84" t="n"/>
      <c r="I1044" s="7" t="n"/>
      <c r="J1044" s="32" t="inlineStr">
        <is>
          <t>Danes</t>
        </is>
      </c>
      <c r="K1044" s="24" t="n"/>
      <c r="L1044" s="36" t="n">
        <v>79</v>
      </c>
      <c r="M1044" s="204" t="n">
        <v>5</v>
      </c>
      <c r="N1044" s="177" t="n">
        <v>250</v>
      </c>
      <c r="O1044" s="13" t="n"/>
      <c r="P1044" s="139" t="inlineStr">
        <is>
          <t>grams</t>
        </is>
      </c>
      <c r="Q1044" s="2" t="n"/>
      <c r="R1044" s="1" t="n"/>
      <c r="S1044" s="229">
        <f>M1044*N1044</f>
        <v/>
      </c>
      <c r="T1044" s="230">
        <f>CONCATENATE(S1044,Q1044,P1044)</f>
        <v/>
      </c>
      <c r="U1044" s="206">
        <f>L1044*M1044</f>
        <v/>
      </c>
      <c r="V1044" s="4" t="n"/>
      <c r="W1044" s="4" t="n"/>
      <c r="X1044" s="4" t="n"/>
    </row>
    <row r="1045" ht="15.75" customHeight="1" thickBot="1">
      <c r="A1045" s="186" t="n">
        <v>68</v>
      </c>
      <c r="B1045" s="214" t="inlineStr">
        <is>
          <t>Cheese Powder</t>
        </is>
      </c>
      <c r="C1045" s="124" t="n"/>
      <c r="D1045" s="115" t="n"/>
      <c r="E1045" s="124" t="n"/>
      <c r="F1045" s="124" t="n"/>
      <c r="G1045" s="124" t="n"/>
      <c r="H1045" s="84" t="n"/>
      <c r="I1045" s="7" t="n"/>
      <c r="J1045" s="32" t="inlineStr">
        <is>
          <t>A-mark</t>
        </is>
      </c>
      <c r="K1045" s="24" t="n"/>
      <c r="L1045" s="36" t="n">
        <v>88</v>
      </c>
      <c r="M1045" s="204" t="n">
        <v>1</v>
      </c>
      <c r="N1045" s="177" t="n">
        <v>250</v>
      </c>
      <c r="O1045" s="13" t="n"/>
      <c r="P1045" s="139" t="inlineStr">
        <is>
          <t>grams</t>
        </is>
      </c>
      <c r="Q1045" s="2" t="n"/>
      <c r="R1045" s="1" t="n"/>
      <c r="S1045" s="229">
        <f>M1045*N1045</f>
        <v/>
      </c>
      <c r="T1045" s="230">
        <f>CONCATENATE(S1045,Q1045,P1045)</f>
        <v/>
      </c>
      <c r="U1045" s="206">
        <f>L1045*M1045</f>
        <v/>
      </c>
      <c r="V1045" s="4" t="n"/>
      <c r="W1045" s="4" t="n"/>
      <c r="X1045" s="4" t="n"/>
    </row>
    <row r="1046" ht="15.75" customHeight="1" thickBot="1">
      <c r="A1046" s="186" t="n">
        <v>68</v>
      </c>
      <c r="B1046" s="214" t="inlineStr">
        <is>
          <t>Cheese Powder</t>
        </is>
      </c>
      <c r="C1046" s="124" t="n"/>
      <c r="D1046" s="115" t="n"/>
      <c r="E1046" s="124" t="n"/>
      <c r="F1046" s="124" t="n"/>
      <c r="G1046" s="124" t="n"/>
      <c r="H1046" s="84" t="n"/>
      <c r="I1046" s="7" t="n"/>
      <c r="J1046" s="32" t="inlineStr">
        <is>
          <t>Cheesemiss</t>
        </is>
      </c>
      <c r="K1046" s="24" t="n"/>
      <c r="L1046" s="36" t="n">
        <v>40</v>
      </c>
      <c r="M1046" s="204" t="n">
        <v>1</v>
      </c>
      <c r="N1046" s="177" t="n">
        <v>200</v>
      </c>
      <c r="O1046" s="13" t="n"/>
      <c r="P1046" s="139" t="inlineStr">
        <is>
          <t>grams</t>
        </is>
      </c>
      <c r="Q1046" s="2" t="n"/>
      <c r="R1046" s="1" t="n"/>
      <c r="S1046" s="229">
        <f>M1046*N1046</f>
        <v/>
      </c>
      <c r="T1046" s="230">
        <f>CONCATENATE(S1046,Q1046,P1046)</f>
        <v/>
      </c>
      <c r="U1046" s="206">
        <f>L1046*M1046</f>
        <v/>
      </c>
      <c r="V1046" s="4" t="n"/>
      <c r="W1046" s="4" t="n"/>
      <c r="X1046" s="4" t="n"/>
    </row>
    <row r="1047" ht="15.75" customHeight="1" thickBot="1">
      <c r="A1047" s="186" t="n">
        <v>68</v>
      </c>
      <c r="B1047" s="215" t="inlineStr">
        <is>
          <t>Cheese Powder</t>
        </is>
      </c>
      <c r="C1047" s="124" t="n"/>
      <c r="D1047" s="115" t="n"/>
      <c r="E1047" s="124" t="n"/>
      <c r="F1047" s="124" t="n"/>
      <c r="G1047" s="124" t="n"/>
      <c r="H1047" s="84" t="n"/>
      <c r="I1047" s="7" t="n"/>
      <c r="J1047" s="32" t="inlineStr">
        <is>
          <t>A-mark</t>
        </is>
      </c>
      <c r="K1047" s="24" t="n"/>
      <c r="L1047" s="36" t="n">
        <v>88</v>
      </c>
      <c r="M1047" s="204" t="n">
        <v>1</v>
      </c>
      <c r="N1047" s="177" t="n">
        <v>250</v>
      </c>
      <c r="O1047" s="13" t="n"/>
      <c r="P1047" s="139" t="inlineStr">
        <is>
          <t>grams</t>
        </is>
      </c>
      <c r="Q1047" s="2" t="n"/>
      <c r="R1047" s="1" t="n"/>
      <c r="S1047" s="229">
        <f>M1047*N1047</f>
        <v/>
      </c>
      <c r="T1047" s="230">
        <f>CONCATENATE(S1047,Q1047,P1047)</f>
        <v/>
      </c>
      <c r="U1047" s="206">
        <f>L1047*M1047</f>
        <v/>
      </c>
      <c r="V1047" s="4" t="n"/>
      <c r="W1047" s="4" t="n"/>
      <c r="X1047" s="4" t="n"/>
    </row>
    <row r="1048" ht="15.75" customHeight="1" thickBot="1">
      <c r="A1048" s="186" t="n">
        <v>549</v>
      </c>
      <c r="B1048" s="214" t="inlineStr">
        <is>
          <t>Chicharon</t>
        </is>
      </c>
      <c r="C1048" s="124" t="n"/>
      <c r="D1048" s="115" t="n"/>
      <c r="E1048" s="124" t="n"/>
      <c r="F1048" s="124" t="n"/>
      <c r="G1048" s="124" t="n"/>
      <c r="H1048" s="84" t="n"/>
      <c r="I1048" s="7" t="n"/>
      <c r="J1048" s="32" t="inlineStr">
        <is>
          <t>JRS Vegetables and Seafoods</t>
        </is>
      </c>
      <c r="K1048" s="24" t="n"/>
      <c r="L1048" s="36" t="n">
        <v>15</v>
      </c>
      <c r="M1048" s="204" t="n">
        <v>3</v>
      </c>
      <c r="N1048" s="177" t="n">
        <v>30</v>
      </c>
      <c r="O1048" s="13" t="n"/>
      <c r="P1048" s="139" t="inlineStr">
        <is>
          <t>grams</t>
        </is>
      </c>
      <c r="Q1048" s="2" t="n"/>
      <c r="R1048" s="1" t="n"/>
      <c r="S1048" s="229">
        <f>M1048*N1048</f>
        <v/>
      </c>
      <c r="T1048" s="230">
        <f>CONCATENATE(S1048,Q1048,P1048)</f>
        <v/>
      </c>
      <c r="U1048" s="206">
        <f>L1048*M1048</f>
        <v/>
      </c>
      <c r="V1048" s="4" t="n"/>
      <c r="W1048" s="4" t="n"/>
      <c r="X1048" s="4" t="n"/>
    </row>
    <row r="1049" ht="15.75" customHeight="1" thickBot="1">
      <c r="A1049" s="186" t="n">
        <v>549</v>
      </c>
      <c r="B1049" s="214" t="inlineStr">
        <is>
          <t>Chicharon</t>
        </is>
      </c>
      <c r="C1049" s="124" t="n"/>
      <c r="D1049" s="115" t="n"/>
      <c r="E1049" s="124" t="n"/>
      <c r="F1049" s="124" t="n"/>
      <c r="G1049" s="124" t="n"/>
      <c r="H1049" s="84" t="n"/>
      <c r="I1049" s="7" t="n"/>
      <c r="J1049" s="32" t="inlineStr">
        <is>
          <t>Ysanne Ktara Native Kakanin</t>
        </is>
      </c>
      <c r="K1049" s="24" t="n"/>
      <c r="L1049" s="36" t="n">
        <v>55</v>
      </c>
      <c r="M1049" s="204" t="n">
        <v>22</v>
      </c>
      <c r="N1049" s="177" t="n">
        <v>1</v>
      </c>
      <c r="O1049" s="13" t="n"/>
      <c r="P1049" s="139" t="inlineStr">
        <is>
          <t>packs</t>
        </is>
      </c>
      <c r="Q1049" s="2" t="n"/>
      <c r="R1049" s="1" t="n"/>
      <c r="S1049" s="229">
        <f>M1049*N1049</f>
        <v/>
      </c>
      <c r="T1049" s="230">
        <f>CONCATENATE(S1049,Q1049,P1049)</f>
        <v/>
      </c>
      <c r="U1049" s="206">
        <f>L1049*M1049</f>
        <v/>
      </c>
      <c r="V1049" s="4" t="n"/>
      <c r="W1049" s="4" t="n"/>
      <c r="X1049" s="4" t="n"/>
    </row>
    <row r="1050" ht="15.75" customHeight="1" thickBot="1">
      <c r="A1050" s="186" t="n">
        <v>550</v>
      </c>
      <c r="B1050" s="214" t="inlineStr">
        <is>
          <t>Chicharon Durog</t>
        </is>
      </c>
      <c r="C1050" s="124" t="n"/>
      <c r="D1050" s="115" t="n"/>
      <c r="E1050" s="124" t="n"/>
      <c r="F1050" s="124" t="n"/>
      <c r="G1050" s="124" t="n"/>
      <c r="H1050" s="84" t="n"/>
      <c r="I1050" s="7" t="n"/>
      <c r="J1050" s="32" t="inlineStr">
        <is>
          <t>JRS Vegetables and Seafoods</t>
        </is>
      </c>
      <c r="K1050" s="24" t="n"/>
      <c r="L1050" s="36" t="n">
        <v>60</v>
      </c>
      <c r="M1050" s="204" t="n">
        <v>1</v>
      </c>
      <c r="N1050" s="177" t="n">
        <v>1</v>
      </c>
      <c r="O1050" s="13" t="n"/>
      <c r="P1050" s="139" t="inlineStr">
        <is>
          <t>kilos</t>
        </is>
      </c>
      <c r="Q1050" s="2" t="n"/>
      <c r="R1050" s="1" t="n"/>
      <c r="S1050" s="229">
        <f>M1050*N1050</f>
        <v/>
      </c>
      <c r="T1050" s="230">
        <f>CONCATENATE(S1050,Q1050,P1050)</f>
        <v/>
      </c>
      <c r="U1050" s="206">
        <f>L1050*M1050</f>
        <v/>
      </c>
      <c r="V1050" s="4" t="n"/>
      <c r="W1050" s="4" t="n"/>
      <c r="X1050" s="4" t="n"/>
    </row>
    <row r="1051" ht="15.75" customHeight="1" thickBot="1">
      <c r="A1051" s="186" t="n">
        <v>551</v>
      </c>
      <c r="B1051" s="214" t="inlineStr">
        <is>
          <t>Chicharon Powder</t>
        </is>
      </c>
      <c r="C1051" s="124" t="n"/>
      <c r="D1051" s="115" t="n"/>
      <c r="E1051" s="124" t="n"/>
      <c r="F1051" s="124" t="n"/>
      <c r="G1051" s="124" t="n"/>
      <c r="H1051" s="84" t="n"/>
      <c r="I1051" s="7" t="n"/>
      <c r="J1051" s="32" t="n"/>
      <c r="K1051" s="24" t="n"/>
      <c r="L1051" s="36" t="n">
        <v>220</v>
      </c>
      <c r="M1051" s="204" t="n">
        <v>2</v>
      </c>
      <c r="N1051" s="177" t="n">
        <v>1000</v>
      </c>
      <c r="O1051" s="13" t="n"/>
      <c r="P1051" s="139" t="inlineStr">
        <is>
          <t>grams</t>
        </is>
      </c>
      <c r="Q1051" s="2" t="n"/>
      <c r="R1051" s="1" t="n"/>
      <c r="S1051" s="229">
        <f>M1051*N1051</f>
        <v/>
      </c>
      <c r="T1051" s="230">
        <f>CONCATENATE(S1051,Q1051,P1051)</f>
        <v/>
      </c>
      <c r="U1051" s="206">
        <f>L1051*M1051</f>
        <v/>
      </c>
      <c r="V1051" s="4" t="n"/>
      <c r="W1051" s="4" t="n"/>
      <c r="X1051" s="4" t="n"/>
    </row>
    <row r="1052" ht="15.75" customHeight="1" thickBot="1">
      <c r="A1052" s="186" t="n">
        <v>552</v>
      </c>
      <c r="B1052" s="214" t="inlineStr">
        <is>
          <t>Chicken - Breast</t>
        </is>
      </c>
      <c r="C1052" s="124" t="n"/>
      <c r="D1052" s="115" t="n"/>
      <c r="E1052" s="124" t="n"/>
      <c r="F1052" s="124" t="n"/>
      <c r="G1052" s="124" t="n"/>
      <c r="H1052" s="84" t="n"/>
      <c r="I1052" s="7" t="n"/>
      <c r="J1052" s="32" t="n"/>
      <c r="K1052" s="24" t="n"/>
      <c r="L1052" s="36" t="n">
        <v>290</v>
      </c>
      <c r="M1052" s="204" t="n">
        <v>3</v>
      </c>
      <c r="N1052" s="177" t="n">
        <v>1</v>
      </c>
      <c r="O1052" s="13" t="n"/>
      <c r="P1052" s="139" t="inlineStr">
        <is>
          <t>kilos</t>
        </is>
      </c>
      <c r="Q1052" s="2" t="n"/>
      <c r="R1052" s="1" t="n"/>
      <c r="S1052" s="229">
        <f>M1052*N1052</f>
        <v/>
      </c>
      <c r="T1052" s="230">
        <f>CONCATENATE(S1052,Q1052,P1052)</f>
        <v/>
      </c>
      <c r="U1052" s="206">
        <f>L1052*M1052</f>
        <v/>
      </c>
      <c r="V1052" s="4" t="n"/>
      <c r="W1052" s="4" t="n"/>
      <c r="X1052" s="4" t="n"/>
    </row>
    <row r="1053" ht="15.75" customHeight="1" thickBot="1">
      <c r="A1053" s="186" t="n">
        <v>553</v>
      </c>
      <c r="B1053" s="214" t="inlineStr">
        <is>
          <t>Chicken - Whole</t>
        </is>
      </c>
      <c r="C1053" s="124" t="n"/>
      <c r="D1053" s="115" t="n"/>
      <c r="E1053" s="124" t="n"/>
      <c r="F1053" s="124" t="n"/>
      <c r="G1053" s="124" t="n"/>
      <c r="H1053" s="84" t="n"/>
      <c r="I1053" s="7" t="n"/>
      <c r="J1053" s="32" t="n"/>
      <c r="K1053" s="24" t="n"/>
      <c r="L1053" s="36" t="n">
        <v>190</v>
      </c>
      <c r="M1053" s="204" t="n">
        <v>6</v>
      </c>
      <c r="N1053" s="177" t="n">
        <v>1</v>
      </c>
      <c r="O1053" s="13" t="n"/>
      <c r="P1053" s="139" t="inlineStr">
        <is>
          <t>kilos</t>
        </is>
      </c>
      <c r="Q1053" s="2" t="n"/>
      <c r="R1053" s="1" t="n"/>
      <c r="S1053" s="229">
        <f>M1053*N1053</f>
        <v/>
      </c>
      <c r="T1053" s="230">
        <f>CONCATENATE(S1053,Q1053,P1053)</f>
        <v/>
      </c>
      <c r="U1053" s="206">
        <f>L1053*M1053</f>
        <v/>
      </c>
      <c r="V1053" s="4" t="n"/>
      <c r="W1053" s="4" t="n"/>
      <c r="X1053" s="4" t="n"/>
    </row>
    <row r="1054" ht="15.75" customHeight="1" thickBot="1">
      <c r="A1054" s="186" t="n">
        <v>553</v>
      </c>
      <c r="B1054" s="214" t="inlineStr">
        <is>
          <t>Chicken - Whole</t>
        </is>
      </c>
      <c r="C1054" s="124" t="n"/>
      <c r="D1054" s="115" t="n"/>
      <c r="E1054" s="124" t="n"/>
      <c r="F1054" s="124" t="n"/>
      <c r="G1054" s="124" t="n"/>
      <c r="H1054" s="84" t="n"/>
      <c r="I1054" s="7" t="n"/>
      <c r="J1054" s="32" t="n"/>
      <c r="K1054" s="24" t="n"/>
      <c r="L1054" s="36" t="n">
        <v>170</v>
      </c>
      <c r="M1054" s="204" t="n">
        <v>7</v>
      </c>
      <c r="N1054" s="177" t="n">
        <v>1</v>
      </c>
      <c r="O1054" s="13" t="n"/>
      <c r="P1054" s="139" t="inlineStr">
        <is>
          <t>kilos</t>
        </is>
      </c>
      <c r="Q1054" s="2" t="n"/>
      <c r="R1054" s="1" t="n"/>
      <c r="S1054" s="229">
        <f>M1054*N1054</f>
        <v/>
      </c>
      <c r="T1054" s="230">
        <f>CONCATENATE(S1054,Q1054,P1054)</f>
        <v/>
      </c>
      <c r="U1054" s="206">
        <f>L1054*M1054</f>
        <v/>
      </c>
      <c r="V1054" s="4" t="n"/>
      <c r="W1054" s="4" t="n"/>
      <c r="X1054" s="4" t="n"/>
    </row>
    <row r="1055" ht="15.75" customHeight="1" thickBot="1">
      <c r="A1055" s="186" t="n">
        <v>553</v>
      </c>
      <c r="B1055" s="214" t="inlineStr">
        <is>
          <t>Chicken - Whole</t>
        </is>
      </c>
      <c r="C1055" s="124" t="n"/>
      <c r="D1055" s="115" t="n"/>
      <c r="E1055" s="124" t="n"/>
      <c r="F1055" s="124" t="n"/>
      <c r="G1055" s="124" t="n"/>
      <c r="H1055" s="84" t="n"/>
      <c r="I1055" s="7" t="n"/>
      <c r="J1055" s="32" t="n"/>
      <c r="K1055" s="24" t="n"/>
      <c r="L1055" s="36" t="n">
        <v>190</v>
      </c>
      <c r="M1055" s="204" t="n">
        <v>11</v>
      </c>
      <c r="N1055" s="177" t="n">
        <v>1</v>
      </c>
      <c r="O1055" s="13" t="n"/>
      <c r="P1055" s="139" t="inlineStr">
        <is>
          <t>kilos</t>
        </is>
      </c>
      <c r="Q1055" s="2" t="n"/>
      <c r="R1055" s="1" t="n"/>
      <c r="S1055" s="229">
        <f>M1055*N1055</f>
        <v/>
      </c>
      <c r="T1055" s="230">
        <f>CONCATENATE(S1055,Q1055,P1055)</f>
        <v/>
      </c>
      <c r="U1055" s="206">
        <f>L1055*M1055</f>
        <v/>
      </c>
      <c r="V1055" s="4" t="n"/>
      <c r="W1055" s="4" t="n"/>
      <c r="X1055" s="4" t="n"/>
    </row>
    <row r="1056" ht="15.75" customHeight="1" thickBot="1">
      <c r="A1056" s="186" t="n">
        <v>552</v>
      </c>
      <c r="B1056" s="214" t="inlineStr">
        <is>
          <t>Chicken - Breast</t>
        </is>
      </c>
      <c r="C1056" s="124" t="n"/>
      <c r="D1056" s="115" t="n"/>
      <c r="E1056" s="124" t="n"/>
      <c r="F1056" s="124" t="n"/>
      <c r="G1056" s="124" t="n"/>
      <c r="H1056" s="84" t="n"/>
      <c r="I1056" s="7" t="n"/>
      <c r="J1056" s="32" t="n"/>
      <c r="K1056" s="24" t="n"/>
      <c r="L1056" s="36" t="n">
        <v>265</v>
      </c>
      <c r="M1056" s="204" t="n">
        <v>2</v>
      </c>
      <c r="N1056" s="177" t="n">
        <v>1</v>
      </c>
      <c r="O1056" s="13" t="n"/>
      <c r="P1056" s="139" t="inlineStr">
        <is>
          <t>kilos</t>
        </is>
      </c>
      <c r="Q1056" s="2" t="n"/>
      <c r="R1056" s="1" t="n"/>
      <c r="S1056" s="229">
        <f>M1056*N1056</f>
        <v/>
      </c>
      <c r="T1056" s="230">
        <f>CONCATENATE(S1056,Q1056,P1056)</f>
        <v/>
      </c>
      <c r="U1056" s="206">
        <f>L1056*M1056</f>
        <v/>
      </c>
      <c r="V1056" s="4" t="n"/>
      <c r="W1056" s="4" t="n"/>
      <c r="X1056" s="4" t="n"/>
    </row>
    <row r="1057" ht="15.75" customHeight="1" thickBot="1">
      <c r="A1057" s="186" t="n">
        <v>554</v>
      </c>
      <c r="B1057" s="214" t="inlineStr">
        <is>
          <t>Chicken - Fillet</t>
        </is>
      </c>
      <c r="C1057" s="124" t="n"/>
      <c r="D1057" s="115" t="n"/>
      <c r="E1057" s="124" t="n"/>
      <c r="F1057" s="124" t="n"/>
      <c r="G1057" s="124" t="n"/>
      <c r="H1057" s="84" t="n"/>
      <c r="I1057" s="7" t="n"/>
      <c r="J1057" s="32" t="inlineStr">
        <is>
          <t>Magnolia</t>
        </is>
      </c>
      <c r="K1057" s="24" t="n"/>
      <c r="L1057" s="36" t="n">
        <v>265</v>
      </c>
      <c r="M1057" s="204" t="n">
        <v>7</v>
      </c>
      <c r="N1057" s="177" t="n">
        <v>1000</v>
      </c>
      <c r="O1057" s="13" t="n"/>
      <c r="P1057" s="139" t="inlineStr">
        <is>
          <t>grams</t>
        </is>
      </c>
      <c r="Q1057" s="2" t="n"/>
      <c r="R1057" s="1" t="n"/>
      <c r="S1057" s="229">
        <f>M1057*N1057</f>
        <v/>
      </c>
      <c r="T1057" s="230">
        <f>CONCATENATE(S1057,Q1057,P1057)</f>
        <v/>
      </c>
      <c r="U1057" s="206">
        <f>L1057*M1057</f>
        <v/>
      </c>
      <c r="V1057" s="4" t="n"/>
      <c r="W1057" s="4" t="n"/>
      <c r="X1057" s="4" t="n"/>
    </row>
    <row r="1058" ht="15.75" customHeight="1" thickBot="1">
      <c r="A1058" s="186" t="n">
        <v>555</v>
      </c>
      <c r="B1058" s="214" t="inlineStr">
        <is>
          <t>Chicken - Frozen Leg Quarter</t>
        </is>
      </c>
      <c r="C1058" s="124" t="n"/>
      <c r="D1058" s="115" t="n"/>
      <c r="E1058" s="124" t="n"/>
      <c r="F1058" s="124" t="n"/>
      <c r="G1058" s="124" t="n"/>
      <c r="H1058" s="84" t="n"/>
      <c r="I1058" s="7" t="n"/>
      <c r="J1058" s="32" t="n"/>
      <c r="K1058" s="24" t="n"/>
      <c r="L1058" s="36" t="n">
        <v>150</v>
      </c>
      <c r="M1058" s="204" t="n">
        <v>56</v>
      </c>
      <c r="N1058" s="177" t="n">
        <v>1</v>
      </c>
      <c r="O1058" s="13" t="n"/>
      <c r="P1058" s="139" t="inlineStr">
        <is>
          <t>kilos</t>
        </is>
      </c>
      <c r="Q1058" s="2" t="n"/>
      <c r="R1058" s="1" t="n"/>
      <c r="S1058" s="229">
        <f>M1058*N1058</f>
        <v/>
      </c>
      <c r="T1058" s="230">
        <f>CONCATENATE(S1058,Q1058,P1058)</f>
        <v/>
      </c>
      <c r="U1058" s="206">
        <f>L1058*M1058</f>
        <v/>
      </c>
      <c r="V1058" s="4" t="n"/>
      <c r="W1058" s="4" t="n"/>
      <c r="X1058" s="4" t="n"/>
    </row>
    <row r="1059" ht="15.75" customHeight="1" thickBot="1">
      <c r="A1059" s="186" t="n">
        <v>556</v>
      </c>
      <c r="B1059" s="214" t="inlineStr">
        <is>
          <t>Chicken - Leg Quarter</t>
        </is>
      </c>
      <c r="C1059" s="124" t="n"/>
      <c r="D1059" s="115" t="n"/>
      <c r="E1059" s="124" t="n"/>
      <c r="F1059" s="124" t="n"/>
      <c r="G1059" s="124" t="n"/>
      <c r="H1059" s="84" t="n"/>
      <c r="I1059" s="7" t="n"/>
      <c r="J1059" s="32" t="n"/>
      <c r="K1059" s="24" t="n"/>
      <c r="L1059" s="36" t="n">
        <v>134</v>
      </c>
      <c r="M1059" s="204" t="n">
        <v>4</v>
      </c>
      <c r="N1059" s="177" t="n">
        <v>1</v>
      </c>
      <c r="O1059" s="13" t="n"/>
      <c r="P1059" s="139" t="inlineStr">
        <is>
          <t>kilos</t>
        </is>
      </c>
      <c r="Q1059" s="2" t="n"/>
      <c r="R1059" s="1" t="n"/>
      <c r="S1059" s="229">
        <f>M1059*N1059</f>
        <v/>
      </c>
      <c r="T1059" s="230">
        <f>CONCATENATE(S1059,Q1059,P1059)</f>
        <v/>
      </c>
      <c r="U1059" s="206">
        <f>L1059*M1059</f>
        <v/>
      </c>
      <c r="V1059" s="4" t="n"/>
      <c r="W1059" s="4" t="n"/>
      <c r="X1059" s="4" t="n"/>
    </row>
    <row r="1060" ht="15.75" customHeight="1" thickBot="1">
      <c r="A1060" s="186" t="n">
        <v>556</v>
      </c>
      <c r="B1060" s="214" t="inlineStr">
        <is>
          <t>Chicken - Leg Quarter</t>
        </is>
      </c>
      <c r="C1060" s="124" t="n"/>
      <c r="D1060" s="115" t="n"/>
      <c r="E1060" s="124" t="n"/>
      <c r="F1060" s="124" t="n"/>
      <c r="G1060" s="124" t="n"/>
      <c r="H1060" s="84" t="n"/>
      <c r="I1060" s="7" t="n"/>
      <c r="J1060" s="32" t="n"/>
      <c r="K1060" s="24" t="n"/>
      <c r="L1060" s="36" t="n">
        <v>134</v>
      </c>
      <c r="M1060" s="204" t="n">
        <v>38</v>
      </c>
      <c r="N1060" s="177" t="n">
        <v>1</v>
      </c>
      <c r="O1060" s="13" t="n"/>
      <c r="P1060" s="139" t="inlineStr">
        <is>
          <t>kilos</t>
        </is>
      </c>
      <c r="Q1060" s="2" t="n"/>
      <c r="R1060" s="1" t="n"/>
      <c r="S1060" s="229">
        <f>M1060*N1060</f>
        <v/>
      </c>
      <c r="T1060" s="230">
        <f>CONCATENATE(S1060,Q1060,P1060)</f>
        <v/>
      </c>
      <c r="U1060" s="206">
        <f>L1060*M1060</f>
        <v/>
      </c>
      <c r="V1060" s="4" t="n"/>
      <c r="W1060" s="4" t="n"/>
      <c r="X1060" s="4" t="n"/>
    </row>
    <row r="1061" ht="15.75" customHeight="1" thickBot="1">
      <c r="A1061" s="186" t="n">
        <v>556</v>
      </c>
      <c r="B1061" s="214" t="inlineStr">
        <is>
          <t>Chicken - Leg Quarter</t>
        </is>
      </c>
      <c r="C1061" s="124" t="n"/>
      <c r="D1061" s="115" t="n"/>
      <c r="E1061" s="124" t="n"/>
      <c r="F1061" s="124" t="n"/>
      <c r="G1061" s="124" t="n"/>
      <c r="H1061" s="84" t="n"/>
      <c r="I1061" s="7" t="n"/>
      <c r="J1061" s="32" t="n"/>
      <c r="K1061" s="24" t="n"/>
      <c r="L1061" s="36" t="n">
        <v>134</v>
      </c>
      <c r="M1061" s="204" t="n">
        <v>115</v>
      </c>
      <c r="N1061" s="177" t="n">
        <v>1</v>
      </c>
      <c r="O1061" s="13" t="n"/>
      <c r="P1061" s="139" t="inlineStr">
        <is>
          <t>kilos</t>
        </is>
      </c>
      <c r="Q1061" s="2" t="n"/>
      <c r="R1061" s="1" t="n"/>
      <c r="S1061" s="229">
        <f>M1061*N1061</f>
        <v/>
      </c>
      <c r="T1061" s="230">
        <f>CONCATENATE(S1061,Q1061,P1061)</f>
        <v/>
      </c>
      <c r="U1061" s="206">
        <f>L1061*M1061</f>
        <v/>
      </c>
      <c r="V1061" s="4" t="n"/>
      <c r="W1061" s="4" t="n"/>
      <c r="X1061" s="4" t="n"/>
    </row>
    <row r="1062" ht="15.75" customHeight="1" thickBot="1">
      <c r="A1062" s="186" t="n">
        <v>556</v>
      </c>
      <c r="B1062" s="214" t="inlineStr">
        <is>
          <t>Chicken - Leg Quarter</t>
        </is>
      </c>
      <c r="C1062" s="124" t="n"/>
      <c r="D1062" s="115" t="n"/>
      <c r="E1062" s="124" t="n"/>
      <c r="F1062" s="124" t="n"/>
      <c r="G1062" s="124" t="n"/>
      <c r="H1062" s="84" t="n"/>
      <c r="I1062" s="7" t="n"/>
      <c r="J1062" s="32" t="n"/>
      <c r="K1062" s="24" t="n"/>
      <c r="L1062" s="36" t="n">
        <v>134</v>
      </c>
      <c r="M1062" s="204" t="n">
        <v>64</v>
      </c>
      <c r="N1062" s="177" t="n">
        <v>1</v>
      </c>
      <c r="O1062" s="13" t="n"/>
      <c r="P1062" s="139" t="inlineStr">
        <is>
          <t>kilos</t>
        </is>
      </c>
      <c r="Q1062" s="2" t="n"/>
      <c r="R1062" s="1" t="n"/>
      <c r="S1062" s="229">
        <f>M1062*N1062</f>
        <v/>
      </c>
      <c r="T1062" s="230">
        <f>CONCATENATE(S1062,Q1062,P1062)</f>
        <v/>
      </c>
      <c r="U1062" s="206">
        <f>L1062*M1062</f>
        <v/>
      </c>
      <c r="V1062" s="4" t="n"/>
      <c r="W1062" s="4" t="n"/>
      <c r="X1062" s="4" t="n"/>
    </row>
    <row r="1063" ht="15.75" customHeight="1" thickBot="1">
      <c r="A1063" s="186" t="n">
        <v>556</v>
      </c>
      <c r="B1063" s="214" t="inlineStr">
        <is>
          <t>Chicken - Leg Quarter</t>
        </is>
      </c>
      <c r="C1063" s="124" t="n"/>
      <c r="D1063" s="115" t="n"/>
      <c r="E1063" s="124" t="n"/>
      <c r="F1063" s="124" t="n"/>
      <c r="G1063" s="124" t="n"/>
      <c r="H1063" s="84" t="n"/>
      <c r="I1063" s="7" t="n"/>
      <c r="J1063" s="32" t="inlineStr">
        <is>
          <t>Daisuke</t>
        </is>
      </c>
      <c r="K1063" s="24" t="n"/>
      <c r="L1063" s="36" t="n">
        <v>145</v>
      </c>
      <c r="M1063" s="204" t="n">
        <v>11</v>
      </c>
      <c r="N1063" s="177" t="n">
        <v>1000</v>
      </c>
      <c r="O1063" s="13" t="n"/>
      <c r="P1063" s="139" t="inlineStr">
        <is>
          <t>kilos</t>
        </is>
      </c>
      <c r="Q1063" s="2" t="n"/>
      <c r="R1063" s="1" t="n"/>
      <c r="S1063" s="229">
        <f>M1063*N1063</f>
        <v/>
      </c>
      <c r="T1063" s="230">
        <f>CONCATENATE(S1063,Q1063,P1063)</f>
        <v/>
      </c>
      <c r="U1063" s="206">
        <f>L1063*M1063</f>
        <v/>
      </c>
      <c r="V1063" s="4" t="n"/>
      <c r="W1063" s="4" t="n"/>
      <c r="X1063" s="4" t="n"/>
    </row>
    <row r="1064" ht="15.75" customHeight="1" thickBot="1">
      <c r="A1064" s="186" t="n">
        <v>557</v>
      </c>
      <c r="B1064" s="214" t="inlineStr">
        <is>
          <t>Chicken - Neck</t>
        </is>
      </c>
      <c r="C1064" s="124" t="n"/>
      <c r="D1064" s="115" t="n"/>
      <c r="E1064" s="124" t="n"/>
      <c r="F1064" s="124" t="n"/>
      <c r="G1064" s="124" t="n"/>
      <c r="H1064" s="84" t="n"/>
      <c r="I1064" s="7" t="n"/>
      <c r="J1064" s="32" t="inlineStr">
        <is>
          <t>Magnolia</t>
        </is>
      </c>
      <c r="K1064" s="24" t="n"/>
      <c r="L1064" s="36" t="n">
        <v>190</v>
      </c>
      <c r="M1064" s="204" t="n">
        <v>12</v>
      </c>
      <c r="N1064" s="177" t="n">
        <v>1000</v>
      </c>
      <c r="O1064" s="13" t="n"/>
      <c r="P1064" s="139" t="inlineStr">
        <is>
          <t>grams</t>
        </is>
      </c>
      <c r="Q1064" s="2" t="n"/>
      <c r="R1064" s="1" t="n"/>
      <c r="S1064" s="229">
        <f>M1064*N1064</f>
        <v/>
      </c>
      <c r="T1064" s="230">
        <f>CONCATENATE(S1064,Q1064,P1064)</f>
        <v/>
      </c>
      <c r="U1064" s="206">
        <f>L1064*M1064</f>
        <v/>
      </c>
      <c r="V1064" s="4" t="n"/>
      <c r="W1064" s="4" t="n"/>
      <c r="X1064" s="4" t="n"/>
    </row>
    <row r="1065" ht="15.75" customHeight="1" thickBot="1">
      <c r="A1065" s="186" t="n">
        <v>553</v>
      </c>
      <c r="B1065" s="214" t="inlineStr">
        <is>
          <t>Chicken - Whole</t>
        </is>
      </c>
      <c r="C1065" s="124" t="n"/>
      <c r="D1065" s="115" t="n"/>
      <c r="E1065" s="124" t="n"/>
      <c r="F1065" s="124" t="n"/>
      <c r="G1065" s="124" t="n"/>
      <c r="H1065" s="84" t="n"/>
      <c r="I1065" s="7" t="n"/>
      <c r="J1065" s="32" t="n"/>
      <c r="K1065" s="24" t="n"/>
      <c r="L1065" s="36" t="n">
        <v>185</v>
      </c>
      <c r="M1065" s="204" t="n">
        <v>50</v>
      </c>
      <c r="N1065" s="177" t="n">
        <v>1</v>
      </c>
      <c r="O1065" s="13" t="n"/>
      <c r="P1065" s="139" t="inlineStr">
        <is>
          <t>kilos</t>
        </is>
      </c>
      <c r="Q1065" s="2" t="n"/>
      <c r="R1065" s="1" t="n"/>
      <c r="S1065" s="229">
        <f>M1065*N1065</f>
        <v/>
      </c>
      <c r="T1065" s="230">
        <f>CONCATENATE(S1065,Q1065,P1065)</f>
        <v/>
      </c>
      <c r="U1065" s="206">
        <f>L1065*M1065</f>
        <v/>
      </c>
      <c r="V1065" s="4" t="n"/>
      <c r="W1065" s="4" t="n"/>
      <c r="X1065" s="4" t="n"/>
    </row>
    <row r="1066" ht="15.75" customHeight="1" thickBot="1">
      <c r="A1066" s="186" t="n">
        <v>553</v>
      </c>
      <c r="B1066" s="214" t="inlineStr">
        <is>
          <t>Chicken - Whole</t>
        </is>
      </c>
      <c r="C1066" s="124" t="n"/>
      <c r="D1066" s="115" t="n"/>
      <c r="E1066" s="124" t="n"/>
      <c r="F1066" s="124" t="n"/>
      <c r="G1066" s="124" t="n"/>
      <c r="H1066" s="84" t="n"/>
      <c r="I1066" s="7" t="n"/>
      <c r="J1066" s="32" t="n"/>
      <c r="K1066" s="24" t="n"/>
      <c r="L1066" s="36" t="n">
        <v>195</v>
      </c>
      <c r="M1066" s="204" t="n">
        <v>78</v>
      </c>
      <c r="N1066" s="177" t="n">
        <v>1000</v>
      </c>
      <c r="O1066" s="13" t="n"/>
      <c r="P1066" s="139" t="inlineStr">
        <is>
          <t>grams</t>
        </is>
      </c>
      <c r="Q1066" s="2" t="n"/>
      <c r="R1066" s="1" t="n"/>
      <c r="S1066" s="229">
        <f>M1066*N1066</f>
        <v/>
      </c>
      <c r="T1066" s="230">
        <f>CONCATENATE(S1066,Q1066,P1066)</f>
        <v/>
      </c>
      <c r="U1066" s="206">
        <f>L1066*M1066</f>
        <v/>
      </c>
      <c r="V1066" s="4" t="n"/>
      <c r="W1066" s="4" t="n"/>
      <c r="X1066" s="4" t="n"/>
    </row>
    <row r="1067" ht="15.75" customHeight="1" thickBot="1">
      <c r="A1067" s="186" t="n">
        <v>73</v>
      </c>
      <c r="B1067" s="215" t="inlineStr">
        <is>
          <t>Chicken and Corn</t>
        </is>
      </c>
      <c r="C1067" s="124" t="n"/>
      <c r="D1067" s="115" t="n"/>
      <c r="E1067" s="124" t="n"/>
      <c r="F1067" s="124" t="n"/>
      <c r="G1067" s="124" t="n"/>
      <c r="H1067" s="84" t="n"/>
      <c r="I1067" s="7" t="n"/>
      <c r="J1067" s="32" t="inlineStr">
        <is>
          <t>Unilever - Knorr</t>
        </is>
      </c>
      <c r="K1067" s="24" t="n"/>
      <c r="L1067" s="36" t="n">
        <v>55</v>
      </c>
      <c r="M1067" s="204" t="n">
        <v>4</v>
      </c>
      <c r="N1067" s="177" t="n">
        <v>60</v>
      </c>
      <c r="O1067" s="13" t="n"/>
      <c r="P1067" s="139" t="inlineStr">
        <is>
          <t>grams</t>
        </is>
      </c>
      <c r="Q1067" s="2" t="n"/>
      <c r="R1067" s="1" t="n"/>
      <c r="S1067" s="229">
        <f>M1067*N1067</f>
        <v/>
      </c>
      <c r="T1067" s="230">
        <f>CONCATENATE(S1067,Q1067,P1067)</f>
        <v/>
      </c>
      <c r="U1067" s="206">
        <f>L1067*M1067</f>
        <v/>
      </c>
      <c r="V1067" s="4" t="n"/>
      <c r="W1067" s="4" t="n"/>
      <c r="X1067" s="4" t="n"/>
    </row>
    <row r="1068" ht="15.75" customHeight="1" thickBot="1">
      <c r="A1068" s="186" t="n">
        <v>558</v>
      </c>
      <c r="B1068" s="214" t="inlineStr">
        <is>
          <t>Chicken Nuggets</t>
        </is>
      </c>
      <c r="C1068" s="124" t="n"/>
      <c r="D1068" s="115" t="n"/>
      <c r="E1068" s="124" t="n"/>
      <c r="F1068" s="124" t="n"/>
      <c r="G1068" s="124" t="n"/>
      <c r="H1068" s="84" t="n"/>
      <c r="I1068" s="7" t="n"/>
      <c r="J1068" s="32" t="inlineStr">
        <is>
          <t>Gerabelle</t>
        </is>
      </c>
      <c r="K1068" s="24" t="n"/>
      <c r="L1068" s="36" t="n">
        <v>300</v>
      </c>
      <c r="M1068" s="204" t="n">
        <v>0</v>
      </c>
      <c r="N1068" s="177" t="n">
        <v>1000</v>
      </c>
      <c r="O1068" s="13" t="n"/>
      <c r="P1068" s="139" t="inlineStr">
        <is>
          <t>grams</t>
        </is>
      </c>
      <c r="Q1068" s="2" t="n"/>
      <c r="R1068" s="1" t="n"/>
      <c r="S1068" s="229">
        <f>M1068*N1068</f>
        <v/>
      </c>
      <c r="T1068" s="230">
        <f>CONCATENATE(S1068,Q1068,P1068)</f>
        <v/>
      </c>
      <c r="U1068" s="206">
        <f>L1068*M1068</f>
        <v/>
      </c>
      <c r="V1068" s="4" t="n"/>
      <c r="W1068" s="4" t="n"/>
      <c r="X1068" s="4" t="n"/>
    </row>
    <row r="1069" ht="15.75" customHeight="1" thickBot="1">
      <c r="A1069" s="186" t="n">
        <v>78</v>
      </c>
      <c r="B1069" s="214" t="inlineStr">
        <is>
          <t>Chili Garlic Sauce</t>
        </is>
      </c>
      <c r="C1069" s="124" t="n"/>
      <c r="D1069" s="115" t="n"/>
      <c r="E1069" s="124" t="n"/>
      <c r="F1069" s="124" t="n"/>
      <c r="G1069" s="124" t="n"/>
      <c r="H1069" s="84" t="n"/>
      <c r="I1069" s="7" t="n"/>
      <c r="J1069" s="32" t="inlineStr">
        <is>
          <t>Lee Kum Kee</t>
        </is>
      </c>
      <c r="K1069" s="24" t="n"/>
      <c r="L1069" s="36" t="n">
        <v>157.5</v>
      </c>
      <c r="M1069" s="204" t="n">
        <v>2</v>
      </c>
      <c r="N1069" s="177" t="n">
        <v>226</v>
      </c>
      <c r="O1069" s="13" t="n"/>
      <c r="P1069" s="139" t="inlineStr">
        <is>
          <t>grams</t>
        </is>
      </c>
      <c r="Q1069" s="2" t="n"/>
      <c r="R1069" s="1" t="n"/>
      <c r="S1069" s="229">
        <f>M1069*N1069</f>
        <v/>
      </c>
      <c r="T1069" s="230">
        <f>CONCATENATE(S1069,Q1069,P1069)</f>
        <v/>
      </c>
      <c r="U1069" s="206">
        <f>L1069*M1069</f>
        <v/>
      </c>
      <c r="V1069" s="4" t="n"/>
      <c r="W1069" s="4" t="n"/>
      <c r="X1069" s="4" t="n"/>
    </row>
    <row r="1070" ht="15.75" customHeight="1" thickBot="1">
      <c r="A1070" s="186" t="n">
        <v>559</v>
      </c>
      <c r="B1070" s="215" t="inlineStr">
        <is>
          <t>Chili Powder</t>
        </is>
      </c>
      <c r="C1070" s="124" t="n"/>
      <c r="D1070" s="115" t="n"/>
      <c r="E1070" s="124" t="n"/>
      <c r="F1070" s="124" t="n"/>
      <c r="G1070" s="124" t="n"/>
      <c r="H1070" s="84" t="n"/>
      <c r="I1070" s="7" t="n"/>
      <c r="J1070" s="32" t="n"/>
      <c r="K1070" s="24" t="n"/>
      <c r="L1070" s="36" t="n">
        <v>22</v>
      </c>
      <c r="M1070" s="204" t="n">
        <v>1</v>
      </c>
      <c r="N1070" s="177" t="n">
        <v>30</v>
      </c>
      <c r="O1070" s="13" t="n"/>
      <c r="P1070" s="139" t="inlineStr">
        <is>
          <t>grams</t>
        </is>
      </c>
      <c r="Q1070" s="2" t="n"/>
      <c r="R1070" s="1" t="n"/>
      <c r="S1070" s="229">
        <f>M1070*N1070</f>
        <v/>
      </c>
      <c r="T1070" s="230">
        <f>CONCATENATE(S1070,Q1070,P1070)</f>
        <v/>
      </c>
      <c r="U1070" s="206">
        <f>L1070*M1070</f>
        <v/>
      </c>
      <c r="V1070" s="4" t="n"/>
      <c r="W1070" s="4" t="n"/>
      <c r="X1070" s="4" t="n"/>
    </row>
    <row r="1071" ht="15.75" customHeight="1" thickBot="1">
      <c r="A1071" s="186" t="n">
        <v>559</v>
      </c>
      <c r="B1071" s="215" t="inlineStr">
        <is>
          <t>Chili Powder</t>
        </is>
      </c>
      <c r="C1071" s="124" t="n"/>
      <c r="D1071" s="115" t="n"/>
      <c r="E1071" s="124" t="n"/>
      <c r="F1071" s="124" t="n"/>
      <c r="G1071" s="124" t="n"/>
      <c r="H1071" s="84" t="n"/>
      <c r="I1071" s="7" t="n"/>
      <c r="J1071" s="32" t="inlineStr">
        <is>
          <t>McCormick</t>
        </is>
      </c>
      <c r="K1071" s="24" t="n"/>
      <c r="L1071" s="36" t="n">
        <v>87.5</v>
      </c>
      <c r="M1071" s="204" t="n">
        <v>2</v>
      </c>
      <c r="N1071" s="177" t="n">
        <v>35</v>
      </c>
      <c r="O1071" s="13" t="n"/>
      <c r="P1071" s="139" t="inlineStr">
        <is>
          <t>grams</t>
        </is>
      </c>
      <c r="Q1071" s="2" t="n"/>
      <c r="R1071" s="1" t="n"/>
      <c r="S1071" s="229">
        <f>M1071*N1071</f>
        <v/>
      </c>
      <c r="T1071" s="230">
        <f>CONCATENATE(S1071,Q1071,P1071)</f>
        <v/>
      </c>
      <c r="U1071" s="206">
        <f>L1071*M1071</f>
        <v/>
      </c>
      <c r="V1071" s="4" t="n"/>
      <c r="W1071" s="4" t="n"/>
      <c r="X1071" s="4" t="n"/>
    </row>
    <row r="1072" ht="15.75" customHeight="1" thickBot="1">
      <c r="A1072" s="186" t="n">
        <v>559</v>
      </c>
      <c r="B1072" s="215" t="inlineStr">
        <is>
          <t>Chili Powder</t>
        </is>
      </c>
      <c r="C1072" s="124" t="n"/>
      <c r="D1072" s="115" t="n"/>
      <c r="E1072" s="124" t="n"/>
      <c r="F1072" s="124" t="n"/>
      <c r="G1072" s="124" t="n"/>
      <c r="H1072" s="84" t="n"/>
      <c r="I1072" s="7" t="n"/>
      <c r="J1072" s="32" t="inlineStr">
        <is>
          <t>McCormick</t>
        </is>
      </c>
      <c r="K1072" s="24" t="n"/>
      <c r="L1072" s="36" t="n">
        <v>87.5</v>
      </c>
      <c r="M1072" s="204" t="n">
        <v>2</v>
      </c>
      <c r="N1072" s="177" t="n">
        <v>35</v>
      </c>
      <c r="O1072" s="13" t="n"/>
      <c r="P1072" s="139" t="inlineStr">
        <is>
          <t>grams</t>
        </is>
      </c>
      <c r="Q1072" s="2" t="n"/>
      <c r="R1072" s="1" t="n"/>
      <c r="S1072" s="229">
        <f>M1072*N1072</f>
        <v/>
      </c>
      <c r="T1072" s="230">
        <f>CONCATENATE(S1072,Q1072,P1072)</f>
        <v/>
      </c>
      <c r="U1072" s="206">
        <f>L1072*M1072</f>
        <v/>
      </c>
      <c r="V1072" s="4" t="n"/>
      <c r="W1072" s="4" t="n"/>
      <c r="X1072" s="4" t="n"/>
    </row>
    <row r="1073" ht="15.75" customHeight="1" thickBot="1">
      <c r="A1073" s="186" t="n">
        <v>560</v>
      </c>
      <c r="B1073" s="214" t="inlineStr">
        <is>
          <t>Chili Seasoning</t>
        </is>
      </c>
      <c r="C1073" s="124" t="n"/>
      <c r="D1073" s="115" t="n"/>
      <c r="E1073" s="124" t="n"/>
      <c r="F1073" s="124" t="n"/>
      <c r="G1073" s="124" t="n"/>
      <c r="H1073" s="84" t="n"/>
      <c r="I1073" s="7" t="n"/>
      <c r="J1073" s="32" t="inlineStr">
        <is>
          <t>McCormick</t>
        </is>
      </c>
      <c r="K1073" s="24" t="n"/>
      <c r="L1073" s="36" t="n">
        <v>87.5</v>
      </c>
      <c r="M1073" s="204" t="n">
        <v>0</v>
      </c>
      <c r="N1073" s="177" t="n">
        <v>35</v>
      </c>
      <c r="O1073" s="13" t="n"/>
      <c r="P1073" s="139" t="inlineStr">
        <is>
          <t>grams</t>
        </is>
      </c>
      <c r="Q1073" s="2" t="n"/>
      <c r="R1073" s="1" t="n"/>
      <c r="S1073" s="229">
        <f>M1073*N1073</f>
        <v/>
      </c>
      <c r="T1073" s="230">
        <f>CONCATENATE(S1073,Q1073,P1073)</f>
        <v/>
      </c>
      <c r="U1073" s="206">
        <f>L1073*M1073</f>
        <v/>
      </c>
      <c r="V1073" s="4" t="n"/>
      <c r="W1073" s="4" t="n"/>
      <c r="X1073" s="4" t="n"/>
    </row>
    <row r="1074" ht="15.75" customHeight="1" thickBot="1">
      <c r="A1074" s="186" t="n">
        <v>561</v>
      </c>
      <c r="B1074" s="215" t="inlineStr">
        <is>
          <t>Chocolate Chips - White</t>
        </is>
      </c>
      <c r="C1074" s="124" t="n"/>
      <c r="D1074" s="115" t="n"/>
      <c r="E1074" s="124" t="n"/>
      <c r="F1074" s="124" t="n"/>
      <c r="G1074" s="124" t="n"/>
      <c r="H1074" s="84" t="n"/>
      <c r="I1074" s="7" t="n"/>
      <c r="J1074" s="32" t="inlineStr">
        <is>
          <t>Dutche</t>
        </is>
      </c>
      <c r="K1074" s="24" t="n"/>
      <c r="L1074" s="36" t="n">
        <v>125</v>
      </c>
      <c r="M1074" s="204" t="n">
        <v>1</v>
      </c>
      <c r="N1074" s="177" t="n">
        <v>350</v>
      </c>
      <c r="O1074" s="13" t="n"/>
      <c r="P1074" s="139" t="inlineStr">
        <is>
          <t>grams</t>
        </is>
      </c>
      <c r="Q1074" s="2" t="n"/>
      <c r="R1074" s="1" t="n"/>
      <c r="S1074" s="229">
        <f>M1074*N1074</f>
        <v/>
      </c>
      <c r="T1074" s="230">
        <f>CONCATENATE(S1074,Q1074,P1074)</f>
        <v/>
      </c>
      <c r="U1074" s="206">
        <f>L1074*M1074</f>
        <v/>
      </c>
      <c r="V1074" s="4" t="n"/>
      <c r="W1074" s="4" t="n"/>
      <c r="X1074" s="4" t="n"/>
    </row>
    <row r="1075" ht="15.75" customHeight="1" thickBot="1">
      <c r="A1075" s="186" t="n">
        <v>562</v>
      </c>
      <c r="B1075" s="216" t="inlineStr">
        <is>
          <t>Chocolate Drink</t>
        </is>
      </c>
      <c r="C1075" s="124" t="n"/>
      <c r="D1075" s="115" t="n"/>
      <c r="E1075" s="124" t="n"/>
      <c r="F1075" s="124" t="n"/>
      <c r="G1075" s="124" t="n"/>
      <c r="H1075" s="84" t="n"/>
      <c r="I1075" s="7" t="n"/>
      <c r="J1075" s="32" t="inlineStr">
        <is>
          <t>Nestle - Milo</t>
        </is>
      </c>
      <c r="K1075" s="24" t="n"/>
      <c r="L1075" s="36" t="n">
        <v>8.9</v>
      </c>
      <c r="M1075" s="204" t="n">
        <v>576</v>
      </c>
      <c r="N1075" s="177" t="n">
        <v>24</v>
      </c>
      <c r="O1075" s="13" t="n"/>
      <c r="P1075" s="139" t="inlineStr">
        <is>
          <t>grams</t>
        </is>
      </c>
      <c r="Q1075" s="2" t="n"/>
      <c r="R1075" s="1" t="n"/>
      <c r="S1075" s="229">
        <f>M1075*N1075</f>
        <v/>
      </c>
      <c r="T1075" s="230">
        <f>CONCATENATE(S1075,Q1075,P1075)</f>
        <v/>
      </c>
      <c r="U1075" s="206">
        <f>L1075*M1075</f>
        <v/>
      </c>
      <c r="V1075" s="4" t="n"/>
      <c r="W1075" s="4" t="n"/>
      <c r="X1075" s="4" t="n"/>
    </row>
    <row r="1076" ht="15.75" customHeight="1" thickBot="1">
      <c r="A1076" s="186" t="n">
        <v>562</v>
      </c>
      <c r="B1076" s="216" t="inlineStr">
        <is>
          <t>Chocolate Drink</t>
        </is>
      </c>
      <c r="C1076" s="124" t="n"/>
      <c r="D1076" s="115" t="n"/>
      <c r="E1076" s="124" t="n"/>
      <c r="F1076" s="124" t="n"/>
      <c r="G1076" s="124" t="n"/>
      <c r="H1076" s="84" t="n"/>
      <c r="I1076" s="7" t="n"/>
      <c r="J1076" s="32" t="inlineStr">
        <is>
          <t>Nestle - Milo</t>
        </is>
      </c>
      <c r="K1076" s="24" t="n"/>
      <c r="L1076" s="36" t="n">
        <v>8.16</v>
      </c>
      <c r="M1076" s="204" t="n">
        <v>35</v>
      </c>
      <c r="N1076" s="177" t="n">
        <v>24</v>
      </c>
      <c r="O1076" s="13" t="n"/>
      <c r="P1076" s="139" t="inlineStr">
        <is>
          <t>grams</t>
        </is>
      </c>
      <c r="Q1076" s="2" t="n"/>
      <c r="R1076" s="1" t="n"/>
      <c r="S1076" s="229">
        <f>M1076*N1076</f>
        <v/>
      </c>
      <c r="T1076" s="230">
        <f>CONCATENATE(S1076,Q1076,P1076)</f>
        <v/>
      </c>
      <c r="U1076" s="206">
        <f>L1076*M1076</f>
        <v/>
      </c>
      <c r="V1076" s="4" t="n"/>
      <c r="W1076" s="4" t="n"/>
      <c r="X1076" s="4" t="n"/>
    </row>
    <row r="1077" ht="15.75" customHeight="1" thickBot="1">
      <c r="A1077" s="186" t="n">
        <v>562</v>
      </c>
      <c r="B1077" s="216" t="inlineStr">
        <is>
          <t>Chocolate Drink</t>
        </is>
      </c>
      <c r="C1077" s="124" t="n"/>
      <c r="D1077" s="115" t="n"/>
      <c r="E1077" s="124" t="n"/>
      <c r="F1077" s="124" t="n"/>
      <c r="G1077" s="124" t="n"/>
      <c r="H1077" s="84" t="n"/>
      <c r="I1077" s="7" t="n"/>
      <c r="J1077" s="32" t="inlineStr">
        <is>
          <t>Nestle - Milo</t>
        </is>
      </c>
      <c r="K1077" s="24" t="n"/>
      <c r="L1077" s="36" t="n">
        <v>8.9</v>
      </c>
      <c r="M1077" s="204" t="n">
        <v>5</v>
      </c>
      <c r="N1077" s="177" t="n">
        <v>24</v>
      </c>
      <c r="O1077" s="13" t="n"/>
      <c r="P1077" s="139" t="inlineStr">
        <is>
          <t>grams</t>
        </is>
      </c>
      <c r="Q1077" s="2" t="n"/>
      <c r="R1077" s="1" t="n"/>
      <c r="S1077" s="229">
        <f>M1077*N1077</f>
        <v/>
      </c>
      <c r="T1077" s="230">
        <f>CONCATENATE(S1077,Q1077,P1077)</f>
        <v/>
      </c>
      <c r="U1077" s="206">
        <f>L1077*M1077</f>
        <v/>
      </c>
      <c r="V1077" s="4" t="n"/>
      <c r="W1077" s="4" t="n"/>
      <c r="X1077" s="4" t="n"/>
    </row>
    <row r="1078" ht="15.75" customHeight="1" thickBot="1">
      <c r="A1078" s="186" t="n">
        <v>562</v>
      </c>
      <c r="B1078" s="216" t="inlineStr">
        <is>
          <t>Chocolate Drink</t>
        </is>
      </c>
      <c r="C1078" s="124" t="n"/>
      <c r="D1078" s="115" t="n"/>
      <c r="E1078" s="124" t="n"/>
      <c r="F1078" s="124" t="n"/>
      <c r="G1078" s="124" t="n"/>
      <c r="H1078" s="84" t="n"/>
      <c r="I1078" s="7" t="n"/>
      <c r="J1078" s="32" t="inlineStr">
        <is>
          <t>Nestle - Milo</t>
        </is>
      </c>
      <c r="K1078" s="24" t="n"/>
      <c r="L1078" s="36" t="n">
        <v>8.9</v>
      </c>
      <c r="M1078" s="204" t="n">
        <v>292</v>
      </c>
      <c r="N1078" s="177" t="n">
        <v>24</v>
      </c>
      <c r="O1078" s="13" t="n"/>
      <c r="P1078" s="139" t="inlineStr">
        <is>
          <t>grams</t>
        </is>
      </c>
      <c r="Q1078" s="2" t="n"/>
      <c r="R1078" s="1" t="n"/>
      <c r="S1078" s="229">
        <f>M1078*N1078</f>
        <v/>
      </c>
      <c r="T1078" s="230">
        <f>CONCATENATE(S1078,Q1078,P1078)</f>
        <v/>
      </c>
      <c r="U1078" s="206">
        <f>L1078*M1078</f>
        <v/>
      </c>
      <c r="V1078" s="4" t="n"/>
      <c r="W1078" s="4" t="n"/>
      <c r="X1078" s="4" t="n"/>
    </row>
    <row r="1079" ht="15.75" customHeight="1" thickBot="1">
      <c r="A1079" s="186" t="n">
        <v>84</v>
      </c>
      <c r="B1079" s="214" t="inlineStr">
        <is>
          <t>Chocolate Syrup</t>
        </is>
      </c>
      <c r="C1079" s="124" t="n"/>
      <c r="D1079" s="115" t="n"/>
      <c r="E1079" s="124" t="n"/>
      <c r="F1079" s="124" t="n"/>
      <c r="G1079" s="124" t="n"/>
      <c r="H1079" s="84" t="n"/>
      <c r="I1079" s="7" t="n"/>
      <c r="J1079" s="32" t="inlineStr">
        <is>
          <t>Hersheys</t>
        </is>
      </c>
      <c r="K1079" s="24" t="n"/>
      <c r="L1079" s="36" t="n">
        <v>274.5</v>
      </c>
      <c r="M1079" s="204" t="n">
        <v>1</v>
      </c>
      <c r="N1079" s="177" t="n">
        <v>623</v>
      </c>
      <c r="O1079" s="13" t="n"/>
      <c r="P1079" s="139" t="inlineStr">
        <is>
          <t>grams</t>
        </is>
      </c>
      <c r="Q1079" s="2" t="n"/>
      <c r="R1079" s="1" t="n"/>
      <c r="S1079" s="229">
        <f>M1079*N1079</f>
        <v/>
      </c>
      <c r="T1079" s="230">
        <f>CONCATENATE(S1079,Q1079,P1079)</f>
        <v/>
      </c>
      <c r="U1079" s="206">
        <f>L1079*M1079</f>
        <v/>
      </c>
      <c r="V1079" s="4" t="n"/>
      <c r="W1079" s="4" t="n"/>
      <c r="X1079" s="4" t="n"/>
    </row>
    <row r="1080" ht="15.75" customHeight="1" thickBot="1">
      <c r="A1080" s="186" t="n">
        <v>563</v>
      </c>
      <c r="B1080" s="215" t="inlineStr">
        <is>
          <t>Chorizo Bilbao</t>
        </is>
      </c>
      <c r="C1080" s="124" t="n"/>
      <c r="D1080" s="115" t="n"/>
      <c r="E1080" s="124" t="n"/>
      <c r="F1080" s="124" t="n"/>
      <c r="G1080" s="124" t="n"/>
      <c r="H1080" s="84" t="n"/>
      <c r="I1080" s="7" t="n"/>
      <c r="J1080" s="32" t="inlineStr">
        <is>
          <t>Purefoods</t>
        </is>
      </c>
      <c r="K1080" s="24" t="n"/>
      <c r="L1080" s="36" t="n">
        <v>163.5</v>
      </c>
      <c r="M1080" s="204" t="n">
        <v>1</v>
      </c>
      <c r="N1080" s="177" t="n">
        <v>210</v>
      </c>
      <c r="O1080" s="13" t="n"/>
      <c r="P1080" s="139" t="inlineStr">
        <is>
          <t>grams</t>
        </is>
      </c>
      <c r="Q1080" s="2" t="n"/>
      <c r="R1080" s="1" t="n"/>
      <c r="S1080" s="229">
        <f>M1080*N1080</f>
        <v/>
      </c>
      <c r="T1080" s="230">
        <f>CONCATENATE(S1080,Q1080,P1080)</f>
        <v/>
      </c>
      <c r="U1080" s="206">
        <f>L1080*M1080</f>
        <v/>
      </c>
      <c r="V1080" s="4" t="n"/>
      <c r="W1080" s="4" t="n"/>
      <c r="X1080" s="4" t="n"/>
    </row>
    <row r="1081" ht="15.75" customHeight="1" thickBot="1">
      <c r="A1081" s="186" t="n">
        <v>564</v>
      </c>
      <c r="B1081" s="214" t="inlineStr">
        <is>
          <t>Chorizo Macao</t>
        </is>
      </c>
      <c r="C1081" s="124" t="n"/>
      <c r="D1081" s="115" t="n"/>
      <c r="E1081" s="124" t="n"/>
      <c r="F1081" s="124" t="n"/>
      <c r="G1081" s="124" t="n"/>
      <c r="H1081" s="84" t="n"/>
      <c r="I1081" s="7" t="n"/>
      <c r="J1081" s="32" t="inlineStr">
        <is>
          <t>Hernan Logmao</t>
        </is>
      </c>
      <c r="K1081" s="24" t="n"/>
      <c r="L1081" s="36" t="n">
        <v>185</v>
      </c>
      <c r="M1081" s="204" t="n">
        <v>2</v>
      </c>
      <c r="N1081" s="177" t="n">
        <v>500</v>
      </c>
      <c r="O1081" s="13" t="n"/>
      <c r="P1081" s="139" t="inlineStr">
        <is>
          <t>grams</t>
        </is>
      </c>
      <c r="Q1081" s="2" t="n"/>
      <c r="R1081" s="1" t="n"/>
      <c r="S1081" s="229">
        <f>M1081*N1081</f>
        <v/>
      </c>
      <c r="T1081" s="230">
        <f>CONCATENATE(S1081,Q1081,P1081)</f>
        <v/>
      </c>
      <c r="U1081" s="206">
        <f>L1081*M1081</f>
        <v/>
      </c>
      <c r="V1081" s="4" t="n"/>
      <c r="W1081" s="4" t="n"/>
      <c r="X1081" s="4" t="n"/>
    </row>
    <row r="1082" ht="15.75" customHeight="1" thickBot="1">
      <c r="A1082" s="186" t="n">
        <v>565</v>
      </c>
      <c r="B1082" s="215" t="inlineStr">
        <is>
          <t>Cinnamon Powder</t>
        </is>
      </c>
      <c r="C1082" s="124" t="n"/>
      <c r="D1082" s="115" t="n"/>
      <c r="E1082" s="124" t="n"/>
      <c r="F1082" s="124" t="n"/>
      <c r="G1082" s="124" t="n"/>
      <c r="H1082" s="84" t="n"/>
      <c r="I1082" s="7" t="n"/>
      <c r="J1082" s="32" t="inlineStr">
        <is>
          <t>McCormick</t>
        </is>
      </c>
      <c r="K1082" s="24" t="n"/>
      <c r="L1082" s="36" t="n">
        <v>59</v>
      </c>
      <c r="M1082" s="204" t="n">
        <v>3</v>
      </c>
      <c r="N1082" s="177" t="n">
        <v>30</v>
      </c>
      <c r="O1082" s="13" t="n"/>
      <c r="P1082" s="139" t="inlineStr">
        <is>
          <t>grams</t>
        </is>
      </c>
      <c r="Q1082" s="2" t="n"/>
      <c r="R1082" s="1" t="n"/>
      <c r="S1082" s="229">
        <f>M1082*N1082</f>
        <v/>
      </c>
      <c r="T1082" s="230">
        <f>CONCATENATE(S1082,Q1082,P1082)</f>
        <v/>
      </c>
      <c r="U1082" s="206">
        <f>L1082*M1082</f>
        <v/>
      </c>
      <c r="V1082" s="4" t="n"/>
      <c r="W1082" s="4" t="n"/>
      <c r="X1082" s="4" t="n"/>
    </row>
    <row r="1083" ht="15.75" customHeight="1" thickBot="1">
      <c r="A1083" s="186" t="n">
        <v>566</v>
      </c>
      <c r="B1083" s="214" t="inlineStr">
        <is>
          <t>Cling Wrap</t>
        </is>
      </c>
      <c r="C1083" s="124" t="n"/>
      <c r="D1083" s="115" t="n"/>
      <c r="E1083" s="124" t="n"/>
      <c r="F1083" s="124" t="n"/>
      <c r="G1083" s="124" t="n"/>
      <c r="H1083" s="84" t="n"/>
      <c r="I1083" s="7" t="n"/>
      <c r="J1083" s="32" t="inlineStr">
        <is>
          <t>Formosa</t>
        </is>
      </c>
      <c r="K1083" s="24" t="n"/>
      <c r="L1083" s="36" t="n">
        <v>300</v>
      </c>
      <c r="M1083" s="204" t="n">
        <v>1</v>
      </c>
      <c r="N1083" s="177" t="n">
        <v>1</v>
      </c>
      <c r="O1083" s="13" t="n"/>
      <c r="P1083" s="139" t="inlineStr">
        <is>
          <t>roll</t>
        </is>
      </c>
      <c r="Q1083" s="2" t="n"/>
      <c r="R1083" s="1" t="n"/>
      <c r="S1083" s="229">
        <f>M1083*N1083</f>
        <v/>
      </c>
      <c r="T1083" s="230">
        <f>CONCATENATE(S1083,Q1083,P1083)</f>
        <v/>
      </c>
      <c r="U1083" s="206">
        <f>L1083*M1083</f>
        <v/>
      </c>
      <c r="V1083" s="4" t="n"/>
      <c r="W1083" s="4" t="n"/>
      <c r="X1083" s="4" t="n"/>
    </row>
    <row r="1084" ht="15.75" customHeight="1" thickBot="1">
      <c r="A1084" s="186" t="n">
        <v>566</v>
      </c>
      <c r="B1084" s="215" t="inlineStr">
        <is>
          <t>Cling Wrap</t>
        </is>
      </c>
      <c r="C1084" s="124" t="n"/>
      <c r="D1084" s="115" t="n"/>
      <c r="E1084" s="124" t="n"/>
      <c r="F1084" s="124" t="n"/>
      <c r="G1084" s="124" t="n"/>
      <c r="H1084" s="84" t="n"/>
      <c r="I1084" s="7" t="n"/>
      <c r="J1084" s="32" t="inlineStr">
        <is>
          <t>Formosa</t>
        </is>
      </c>
      <c r="K1084" s="24" t="n"/>
      <c r="L1084" s="36" t="n">
        <v>275</v>
      </c>
      <c r="M1084" s="204" t="n">
        <v>2</v>
      </c>
      <c r="N1084" s="177" t="n">
        <v>1</v>
      </c>
      <c r="O1084" s="13" t="n"/>
      <c r="P1084" s="139" t="inlineStr">
        <is>
          <t>pieces</t>
        </is>
      </c>
      <c r="Q1084" s="2" t="n"/>
      <c r="R1084" s="1" t="n"/>
      <c r="S1084" s="229">
        <f>M1084*N1084</f>
        <v/>
      </c>
      <c r="T1084" s="230">
        <f>CONCATENATE(S1084,Q1084,P1084)</f>
        <v/>
      </c>
      <c r="U1084" s="206">
        <f>L1084*M1084</f>
        <v/>
      </c>
      <c r="V1084" s="4" t="n"/>
      <c r="W1084" s="4" t="n"/>
      <c r="X1084" s="4" t="n"/>
    </row>
    <row r="1085" ht="15.75" customHeight="1" thickBot="1">
      <c r="A1085" s="186" t="n">
        <v>566</v>
      </c>
      <c r="B1085" s="215" t="inlineStr">
        <is>
          <t>Cling Wrap</t>
        </is>
      </c>
      <c r="C1085" s="124" t="n"/>
      <c r="D1085" s="115" t="n"/>
      <c r="E1085" s="124" t="n"/>
      <c r="F1085" s="124" t="n"/>
      <c r="G1085" s="124" t="n"/>
      <c r="H1085" s="84" t="n"/>
      <c r="I1085" s="7" t="n"/>
      <c r="J1085" s="32" t="inlineStr">
        <is>
          <t>Croco</t>
        </is>
      </c>
      <c r="K1085" s="24" t="n"/>
      <c r="L1085" s="36" t="n">
        <v>595</v>
      </c>
      <c r="M1085" s="204" t="n">
        <v>2</v>
      </c>
      <c r="N1085" s="177" t="n">
        <v>1</v>
      </c>
      <c r="O1085" s="13" t="n"/>
      <c r="P1085" s="139" t="inlineStr">
        <is>
          <t>roll</t>
        </is>
      </c>
      <c r="Q1085" s="2" t="n"/>
      <c r="R1085" s="1" t="n"/>
      <c r="S1085" s="229">
        <f>M1085*N1085</f>
        <v/>
      </c>
      <c r="T1085" s="230">
        <f>CONCATENATE(S1085,Q1085,P1085)</f>
        <v/>
      </c>
      <c r="U1085" s="206">
        <f>L1085*M1085</f>
        <v/>
      </c>
      <c r="V1085" s="4" t="n"/>
      <c r="W1085" s="4" t="n"/>
      <c r="X1085" s="4" t="n"/>
    </row>
    <row r="1086" ht="15.75" customHeight="1" thickBot="1">
      <c r="A1086" s="186" t="n">
        <v>566</v>
      </c>
      <c r="B1086" s="215" t="inlineStr">
        <is>
          <t>Cling Wrap</t>
        </is>
      </c>
      <c r="C1086" s="124" t="n"/>
      <c r="D1086" s="115" t="n"/>
      <c r="E1086" s="124" t="n"/>
      <c r="F1086" s="124" t="n"/>
      <c r="G1086" s="124" t="n"/>
      <c r="H1086" s="84" t="n"/>
      <c r="I1086" s="7" t="n"/>
      <c r="J1086" s="32" t="inlineStr">
        <is>
          <t>Formosa</t>
        </is>
      </c>
      <c r="K1086" s="24" t="n"/>
      <c r="L1086" s="36" t="n">
        <v>238</v>
      </c>
      <c r="M1086" s="204" t="n">
        <v>1</v>
      </c>
      <c r="N1086" s="177" t="n">
        <v>1</v>
      </c>
      <c r="O1086" s="13" t="n"/>
      <c r="P1086" s="139" t="inlineStr">
        <is>
          <t>pieces</t>
        </is>
      </c>
      <c r="Q1086" s="2" t="n"/>
      <c r="R1086" s="1" t="n"/>
      <c r="S1086" s="229">
        <f>M1086*N1086</f>
        <v/>
      </c>
      <c r="T1086" s="230">
        <f>CONCATENATE(S1086,Q1086,P1086)</f>
        <v/>
      </c>
      <c r="U1086" s="206">
        <f>L1086*M1086</f>
        <v/>
      </c>
      <c r="V1086" s="4" t="n"/>
      <c r="W1086" s="4" t="n"/>
      <c r="X1086" s="4" t="n"/>
    </row>
    <row r="1087" ht="15.75" customHeight="1" thickBot="1">
      <c r="A1087" s="186" t="n">
        <v>566</v>
      </c>
      <c r="B1087" s="215" t="inlineStr">
        <is>
          <t>Cling Wrap</t>
        </is>
      </c>
      <c r="C1087" s="124" t="n"/>
      <c r="D1087" s="115" t="n"/>
      <c r="E1087" s="124" t="n"/>
      <c r="F1087" s="124" t="n"/>
      <c r="G1087" s="124" t="n"/>
      <c r="H1087" s="84" t="n"/>
      <c r="I1087" s="7" t="n"/>
      <c r="J1087" s="32" t="inlineStr">
        <is>
          <t>Formosa</t>
        </is>
      </c>
      <c r="K1087" s="24" t="n"/>
      <c r="L1087" s="36" t="n">
        <v>192.5</v>
      </c>
      <c r="M1087" s="204" t="n">
        <v>1</v>
      </c>
      <c r="N1087" s="177" t="n">
        <v>1</v>
      </c>
      <c r="O1087" s="13" t="n"/>
      <c r="P1087" s="139" t="inlineStr">
        <is>
          <t>roll</t>
        </is>
      </c>
      <c r="Q1087" s="2" t="n"/>
      <c r="R1087" s="1" t="n"/>
      <c r="S1087" s="229">
        <f>M1087*N1087</f>
        <v/>
      </c>
      <c r="T1087" s="230">
        <f>CONCATENATE(S1087,Q1087,P1087)</f>
        <v/>
      </c>
      <c r="U1087" s="206">
        <f>L1087*M1087</f>
        <v/>
      </c>
      <c r="V1087" s="4" t="n"/>
      <c r="W1087" s="4" t="n"/>
      <c r="X1087" s="4" t="n"/>
    </row>
    <row r="1088" ht="15.75" customHeight="1" thickBot="1">
      <c r="A1088" s="186" t="n">
        <v>566</v>
      </c>
      <c r="B1088" s="215" t="inlineStr">
        <is>
          <t>Cling Wrap</t>
        </is>
      </c>
      <c r="C1088" s="124" t="n"/>
      <c r="D1088" s="115" t="n"/>
      <c r="E1088" s="124" t="n"/>
      <c r="F1088" s="124" t="n"/>
      <c r="G1088" s="124" t="n"/>
      <c r="H1088" s="84" t="n"/>
      <c r="I1088" s="7" t="n"/>
      <c r="J1088" s="32" t="inlineStr">
        <is>
          <t>Formosa</t>
        </is>
      </c>
      <c r="K1088" s="24" t="n"/>
      <c r="L1088" s="36" t="n">
        <v>340</v>
      </c>
      <c r="M1088" s="204" t="n">
        <v>2</v>
      </c>
      <c r="N1088" s="177" t="n">
        <v>1</v>
      </c>
      <c r="O1088" s="13" t="n"/>
      <c r="P1088" s="139" t="inlineStr">
        <is>
          <t>roll</t>
        </is>
      </c>
      <c r="Q1088" s="2" t="n"/>
      <c r="R1088" s="1" t="n"/>
      <c r="S1088" s="229">
        <f>M1088*N1088</f>
        <v/>
      </c>
      <c r="T1088" s="230">
        <f>CONCATENATE(S1088,Q1088,P1088)</f>
        <v/>
      </c>
      <c r="U1088" s="206">
        <f>L1088*M1088</f>
        <v/>
      </c>
      <c r="V1088" s="4" t="n"/>
      <c r="W1088" s="4" t="n"/>
      <c r="X1088" s="4" t="n"/>
    </row>
    <row r="1089" ht="15.75" customHeight="1" thickBot="1">
      <c r="A1089" s="186" t="n">
        <v>566</v>
      </c>
      <c r="B1089" s="215" t="inlineStr">
        <is>
          <t>Cling Wrap</t>
        </is>
      </c>
      <c r="C1089" s="124" t="n"/>
      <c r="D1089" s="115" t="n"/>
      <c r="E1089" s="124" t="n"/>
      <c r="F1089" s="124" t="n"/>
      <c r="G1089" s="124" t="n"/>
      <c r="H1089" s="84" t="n"/>
      <c r="I1089" s="7" t="n"/>
      <c r="J1089" s="32" t="inlineStr">
        <is>
          <t>Croco</t>
        </is>
      </c>
      <c r="K1089" s="24" t="n"/>
      <c r="L1089" s="36" t="n">
        <v>300</v>
      </c>
      <c r="M1089" s="204" t="n">
        <v>5</v>
      </c>
      <c r="N1089" s="177" t="n">
        <v>1</v>
      </c>
      <c r="O1089" s="13" t="n"/>
      <c r="P1089" s="139" t="inlineStr">
        <is>
          <t>roll</t>
        </is>
      </c>
      <c r="Q1089" s="2" t="n"/>
      <c r="R1089" s="1" t="n"/>
      <c r="S1089" s="229">
        <f>M1089*N1089</f>
        <v/>
      </c>
      <c r="T1089" s="230">
        <f>CONCATENATE(S1089,Q1089,P1089)</f>
        <v/>
      </c>
      <c r="U1089" s="206">
        <f>L1089*M1089</f>
        <v/>
      </c>
      <c r="V1089" s="4" t="n"/>
      <c r="W1089" s="4" t="n"/>
      <c r="X1089" s="4" t="n"/>
    </row>
    <row r="1090" ht="15.75" customHeight="1" thickBot="1">
      <c r="A1090" s="186" t="n">
        <v>567</v>
      </c>
      <c r="B1090" s="215" t="inlineStr">
        <is>
          <t>Cloves Powder</t>
        </is>
      </c>
      <c r="C1090" s="124" t="n"/>
      <c r="D1090" s="115" t="n"/>
      <c r="E1090" s="124" t="n"/>
      <c r="F1090" s="124" t="n"/>
      <c r="G1090" s="124" t="n"/>
      <c r="H1090" s="84" t="n"/>
      <c r="I1090" s="7" t="n"/>
      <c r="J1090" s="32" t="inlineStr">
        <is>
          <t>J&amp;Y</t>
        </is>
      </c>
      <c r="K1090" s="24" t="n"/>
      <c r="L1090" s="36" t="n">
        <v>43.6</v>
      </c>
      <c r="M1090" s="204" t="n">
        <v>4</v>
      </c>
      <c r="N1090" s="177" t="n">
        <v>20</v>
      </c>
      <c r="O1090" s="13" t="n"/>
      <c r="P1090" s="139" t="inlineStr">
        <is>
          <t>grams</t>
        </is>
      </c>
      <c r="Q1090" s="2" t="n"/>
      <c r="R1090" s="1" t="n"/>
      <c r="S1090" s="229">
        <f>M1090*N1090</f>
        <v/>
      </c>
      <c r="T1090" s="230">
        <f>CONCATENATE(S1090,Q1090,P1090)</f>
        <v/>
      </c>
      <c r="U1090" s="206">
        <f>L1090*M1090</f>
        <v/>
      </c>
      <c r="V1090" s="4" t="n"/>
      <c r="W1090" s="4" t="n"/>
      <c r="X1090" s="4" t="n"/>
    </row>
    <row r="1091" ht="15.75" customHeight="1" thickBot="1">
      <c r="A1091" s="186" t="n">
        <v>568</v>
      </c>
      <c r="B1091" s="214" t="inlineStr">
        <is>
          <t>Cocktail Toothpick</t>
        </is>
      </c>
      <c r="C1091" s="124" t="n"/>
      <c r="D1091" s="115" t="n"/>
      <c r="E1091" s="124" t="n"/>
      <c r="F1091" s="124" t="n"/>
      <c r="G1091" s="124" t="n"/>
      <c r="H1091" s="84" t="n"/>
      <c r="I1091" s="7" t="n"/>
      <c r="J1091" s="32" t="n"/>
      <c r="K1091" s="24" t="n"/>
      <c r="L1091" s="36" t="n">
        <v>50</v>
      </c>
      <c r="M1091" s="204" t="n">
        <v>9</v>
      </c>
      <c r="N1091" s="177" t="n">
        <v>100</v>
      </c>
      <c r="O1091" s="13" t="n"/>
      <c r="P1091" s="139" t="inlineStr">
        <is>
          <t>pieces</t>
        </is>
      </c>
      <c r="Q1091" s="2" t="n"/>
      <c r="R1091" s="1" t="n"/>
      <c r="S1091" s="229">
        <f>M1091*N1091</f>
        <v/>
      </c>
      <c r="T1091" s="230">
        <f>CONCATENATE(S1091,Q1091,P1091)</f>
        <v/>
      </c>
      <c r="U1091" s="206">
        <f>L1091*M1091</f>
        <v/>
      </c>
      <c r="V1091" s="4" t="n"/>
      <c r="W1091" s="4" t="n"/>
      <c r="X1091" s="4" t="n"/>
    </row>
    <row r="1092" ht="15.75" customHeight="1" thickBot="1">
      <c r="A1092" s="186" t="n">
        <v>568</v>
      </c>
      <c r="B1092" s="214" t="inlineStr">
        <is>
          <t>Cocktail Toothpick</t>
        </is>
      </c>
      <c r="C1092" s="124" t="n"/>
      <c r="D1092" s="115" t="n"/>
      <c r="E1092" s="124" t="n"/>
      <c r="F1092" s="124" t="n"/>
      <c r="G1092" s="124" t="n"/>
      <c r="H1092" s="84" t="n"/>
      <c r="I1092" s="7" t="n"/>
      <c r="J1092" s="32" t="inlineStr">
        <is>
          <t>pack by 200's</t>
        </is>
      </c>
      <c r="K1092" s="24" t="n"/>
      <c r="L1092" s="36" t="n">
        <v>25</v>
      </c>
      <c r="M1092" s="204" t="n">
        <v>13</v>
      </c>
      <c r="N1092" s="177" t="n">
        <v>1</v>
      </c>
      <c r="O1092" s="13" t="n"/>
      <c r="P1092" s="139" t="inlineStr">
        <is>
          <t>packs</t>
        </is>
      </c>
      <c r="Q1092" s="2" t="n"/>
      <c r="R1092" s="1" t="n"/>
      <c r="S1092" s="229">
        <f>M1092*N1092</f>
        <v/>
      </c>
      <c r="T1092" s="230">
        <f>CONCATENATE(S1092,Q1092,P1092)</f>
        <v/>
      </c>
      <c r="U1092" s="206">
        <f>L1092*M1092</f>
        <v/>
      </c>
      <c r="V1092" s="4" t="n"/>
      <c r="W1092" s="4" t="n"/>
      <c r="X1092" s="4" t="n"/>
    </row>
    <row r="1093" ht="15.75" customHeight="1" thickBot="1">
      <c r="A1093" s="186" t="n">
        <v>569</v>
      </c>
      <c r="B1093" s="214" t="inlineStr">
        <is>
          <t>Cocoa Powder</t>
        </is>
      </c>
      <c r="C1093" s="124" t="n"/>
      <c r="D1093" s="115" t="n"/>
      <c r="E1093" s="124" t="n"/>
      <c r="F1093" s="124" t="n"/>
      <c r="G1093" s="124" t="n"/>
      <c r="H1093" s="84" t="n"/>
      <c r="I1093" s="7" t="n"/>
      <c r="J1093" s="32" t="inlineStr">
        <is>
          <t>Ricoa</t>
        </is>
      </c>
      <c r="K1093" s="24" t="n"/>
      <c r="L1093" s="36" t="n">
        <v>60.2</v>
      </c>
      <c r="M1093" s="204" t="n">
        <v>4</v>
      </c>
      <c r="N1093" s="177" t="n">
        <v>70</v>
      </c>
      <c r="O1093" s="13" t="n"/>
      <c r="P1093" s="139" t="inlineStr">
        <is>
          <t>grams</t>
        </is>
      </c>
      <c r="Q1093" s="2" t="n"/>
      <c r="R1093" s="1" t="n"/>
      <c r="S1093" s="229">
        <f>M1093*N1093</f>
        <v/>
      </c>
      <c r="T1093" s="230">
        <f>CONCATENATE(S1093,Q1093,P1093)</f>
        <v/>
      </c>
      <c r="U1093" s="206">
        <f>L1093*M1093</f>
        <v/>
      </c>
      <c r="V1093" s="4" t="n"/>
      <c r="W1093" s="4" t="n"/>
      <c r="X1093" s="4" t="n"/>
    </row>
    <row r="1094" ht="15.75" customHeight="1" thickBot="1">
      <c r="A1094" s="186" t="n">
        <v>569</v>
      </c>
      <c r="B1094" s="214" t="inlineStr">
        <is>
          <t>Cocoa Powder</t>
        </is>
      </c>
      <c r="C1094" s="124" t="n"/>
      <c r="D1094" s="115" t="n"/>
      <c r="E1094" s="124" t="n"/>
      <c r="F1094" s="124" t="n"/>
      <c r="G1094" s="124" t="n"/>
      <c r="H1094" s="84" t="n"/>
      <c r="I1094" s="7" t="n"/>
      <c r="J1094" s="32" t="inlineStr">
        <is>
          <t>Ricoa</t>
        </is>
      </c>
      <c r="K1094" s="24" t="n"/>
      <c r="L1094" s="36" t="n">
        <v>60.2</v>
      </c>
      <c r="M1094" s="204" t="n">
        <v>1</v>
      </c>
      <c r="N1094" s="177" t="n">
        <v>70</v>
      </c>
      <c r="O1094" s="13" t="n"/>
      <c r="P1094" s="139" t="inlineStr">
        <is>
          <t>grams</t>
        </is>
      </c>
      <c r="Q1094" s="2" t="n"/>
      <c r="R1094" s="1" t="n"/>
      <c r="S1094" s="229">
        <f>M1094*N1094</f>
        <v/>
      </c>
      <c r="T1094" s="230">
        <f>CONCATENATE(S1094,Q1094,P1094)</f>
        <v/>
      </c>
      <c r="U1094" s="206">
        <f>L1094*M1094</f>
        <v/>
      </c>
      <c r="V1094" s="4" t="n"/>
      <c r="W1094" s="4" t="n"/>
      <c r="X1094" s="4" t="n"/>
    </row>
    <row r="1095" ht="15.75" customHeight="1" thickBot="1">
      <c r="A1095" s="186" t="n">
        <v>569</v>
      </c>
      <c r="B1095" s="215" t="inlineStr">
        <is>
          <t>Cocoa Powder</t>
        </is>
      </c>
      <c r="C1095" s="124" t="n"/>
      <c r="D1095" s="115" t="n"/>
      <c r="E1095" s="124" t="n"/>
      <c r="F1095" s="124" t="n"/>
      <c r="G1095" s="124" t="n"/>
      <c r="H1095" s="84" t="n"/>
      <c r="I1095" s="7" t="n"/>
      <c r="J1095" s="32" t="inlineStr">
        <is>
          <t>JB</t>
        </is>
      </c>
      <c r="K1095" s="24" t="n"/>
      <c r="L1095" s="36" t="n">
        <v>340</v>
      </c>
      <c r="M1095" s="204" t="n">
        <v>1</v>
      </c>
      <c r="N1095" s="177" t="n">
        <v>500</v>
      </c>
      <c r="O1095" s="13" t="n"/>
      <c r="P1095" s="139" t="inlineStr">
        <is>
          <t>grams</t>
        </is>
      </c>
      <c r="Q1095" s="2" t="n"/>
      <c r="R1095" s="1" t="n"/>
      <c r="S1095" s="229">
        <f>M1095*N1095</f>
        <v/>
      </c>
      <c r="T1095" s="230">
        <f>CONCATENATE(S1095,Q1095,P1095)</f>
        <v/>
      </c>
      <c r="U1095" s="206">
        <f>L1095*M1095</f>
        <v/>
      </c>
      <c r="V1095" s="4" t="n"/>
      <c r="W1095" s="4" t="n"/>
      <c r="X1095" s="4" t="n"/>
    </row>
    <row r="1096" ht="15.75" customHeight="1" thickBot="1">
      <c r="A1096" s="186" t="n">
        <v>569</v>
      </c>
      <c r="B1096" s="215" t="inlineStr">
        <is>
          <t>Cocoa Powder</t>
        </is>
      </c>
      <c r="C1096" s="124" t="n"/>
      <c r="D1096" s="115" t="n"/>
      <c r="E1096" s="124" t="n"/>
      <c r="F1096" s="124" t="n"/>
      <c r="G1096" s="124" t="n"/>
      <c r="H1096" s="84" t="n"/>
      <c r="I1096" s="7" t="n"/>
      <c r="J1096" s="32" t="inlineStr">
        <is>
          <t>Dutche</t>
        </is>
      </c>
      <c r="K1096" s="24" t="n"/>
      <c r="L1096" s="36" t="n">
        <v>262</v>
      </c>
      <c r="M1096" s="204" t="n">
        <v>1</v>
      </c>
      <c r="N1096" s="177" t="n">
        <v>1000</v>
      </c>
      <c r="O1096" s="13" t="n"/>
      <c r="P1096" s="139" t="inlineStr">
        <is>
          <t>grams</t>
        </is>
      </c>
      <c r="Q1096" s="2" t="n"/>
      <c r="R1096" s="1" t="n"/>
      <c r="S1096" s="229">
        <f>M1096*N1096</f>
        <v/>
      </c>
      <c r="T1096" s="230">
        <f>CONCATENATE(S1096,Q1096,P1096)</f>
        <v/>
      </c>
      <c r="U1096" s="206">
        <f>L1096*M1096</f>
        <v/>
      </c>
      <c r="V1096" s="4" t="n"/>
      <c r="W1096" s="4" t="n"/>
      <c r="X1096" s="4" t="n"/>
    </row>
    <row r="1097" ht="15.75" customHeight="1" thickBot="1">
      <c r="A1097" s="186" t="n">
        <v>570</v>
      </c>
      <c r="B1097" s="214" t="inlineStr">
        <is>
          <t>Coconut Milk</t>
        </is>
      </c>
      <c r="C1097" s="124" t="n"/>
      <c r="D1097" s="115" t="n"/>
      <c r="E1097" s="124" t="n"/>
      <c r="F1097" s="124" t="n"/>
      <c r="G1097" s="124" t="n"/>
      <c r="H1097" s="84" t="n"/>
      <c r="I1097" s="7" t="n"/>
      <c r="J1097" s="32" t="inlineStr">
        <is>
          <t>Coco Mama</t>
        </is>
      </c>
      <c r="K1097" s="24" t="n"/>
      <c r="L1097" s="36" t="n">
        <v>46</v>
      </c>
      <c r="M1097" s="204" t="n">
        <v>1</v>
      </c>
      <c r="N1097" s="177" t="n">
        <v>200</v>
      </c>
      <c r="O1097" s="13" t="n"/>
      <c r="P1097" s="139" t="inlineStr">
        <is>
          <t>grams</t>
        </is>
      </c>
      <c r="Q1097" s="2" t="n"/>
      <c r="R1097" s="1" t="n"/>
      <c r="S1097" s="229">
        <f>M1097*N1097</f>
        <v/>
      </c>
      <c r="T1097" s="230">
        <f>CONCATENATE(S1097,Q1097,P1097)</f>
        <v/>
      </c>
      <c r="U1097" s="206">
        <f>L1097*M1097</f>
        <v/>
      </c>
      <c r="V1097" s="4" t="n"/>
      <c r="W1097" s="4" t="n"/>
      <c r="X1097" s="4" t="n"/>
    </row>
    <row r="1098" ht="15.75" customHeight="1" thickBot="1">
      <c r="A1098" s="186" t="n">
        <v>91</v>
      </c>
      <c r="B1098" s="214" t="inlineStr">
        <is>
          <t>Coconut Milk Powder</t>
        </is>
      </c>
      <c r="C1098" s="124" t="n"/>
      <c r="D1098" s="115" t="n"/>
      <c r="E1098" s="124" t="n"/>
      <c r="F1098" s="124" t="n"/>
      <c r="G1098" s="124" t="n"/>
      <c r="H1098" s="84" t="n"/>
      <c r="I1098" s="7" t="n"/>
      <c r="J1098" s="32" t="inlineStr">
        <is>
          <t>Vista</t>
        </is>
      </c>
      <c r="K1098" s="24" t="n"/>
      <c r="L1098" s="36" t="n">
        <v>28.55</v>
      </c>
      <c r="M1098" s="204" t="n">
        <v>9</v>
      </c>
      <c r="N1098" s="177" t="n">
        <v>50</v>
      </c>
      <c r="O1098" s="13" t="n"/>
      <c r="P1098" s="139" t="inlineStr">
        <is>
          <t>grams</t>
        </is>
      </c>
      <c r="Q1098" s="2" t="n"/>
      <c r="R1098" s="1" t="n"/>
      <c r="S1098" s="229">
        <f>M1098*N1098</f>
        <v/>
      </c>
      <c r="T1098" s="230">
        <f>CONCATENATE(S1098,Q1098,P1098)</f>
        <v/>
      </c>
      <c r="U1098" s="206">
        <f>L1098*M1098</f>
        <v/>
      </c>
      <c r="V1098" s="4" t="n"/>
      <c r="W1098" s="4" t="n"/>
      <c r="X1098" s="4" t="n"/>
    </row>
    <row r="1099" ht="15.75" customHeight="1" thickBot="1">
      <c r="A1099" s="186" t="n">
        <v>91</v>
      </c>
      <c r="B1099" s="214" t="inlineStr">
        <is>
          <t>Coconut Milk Powder</t>
        </is>
      </c>
      <c r="C1099" s="124" t="n"/>
      <c r="D1099" s="115" t="n"/>
      <c r="E1099" s="124" t="n"/>
      <c r="F1099" s="124" t="n"/>
      <c r="G1099" s="124" t="n"/>
      <c r="H1099" s="84" t="n"/>
      <c r="I1099" s="7" t="n"/>
      <c r="J1099" s="32" t="inlineStr">
        <is>
          <t>Vista</t>
        </is>
      </c>
      <c r="K1099" s="24" t="n"/>
      <c r="L1099" s="36" t="n">
        <v>685</v>
      </c>
      <c r="M1099" s="204" t="n">
        <v>2</v>
      </c>
      <c r="N1099" s="177" t="n">
        <v>50</v>
      </c>
      <c r="O1099" s="13" t="n"/>
      <c r="P1099" s="139" t="inlineStr">
        <is>
          <t>grams</t>
        </is>
      </c>
      <c r="Q1099" s="2" t="n"/>
      <c r="R1099" s="1" t="n"/>
      <c r="S1099" s="229">
        <f>M1099*N1099</f>
        <v/>
      </c>
      <c r="T1099" s="230">
        <f>CONCATENATE(S1099,Q1099,P1099)</f>
        <v/>
      </c>
      <c r="U1099" s="206">
        <f>L1099*M1099</f>
        <v/>
      </c>
      <c r="V1099" s="4" t="n"/>
      <c r="W1099" s="4" t="n"/>
      <c r="X1099" s="4" t="n"/>
    </row>
    <row r="1100" ht="15.75" customHeight="1" thickBot="1">
      <c r="A1100" s="186" t="n">
        <v>91</v>
      </c>
      <c r="B1100" s="214" t="inlineStr">
        <is>
          <t>Coconut Milk Powder</t>
        </is>
      </c>
      <c r="C1100" s="124" t="n"/>
      <c r="D1100" s="115" t="n"/>
      <c r="E1100" s="124" t="n"/>
      <c r="F1100" s="124" t="n"/>
      <c r="G1100" s="124" t="n"/>
      <c r="H1100" s="84" t="n"/>
      <c r="I1100" s="7" t="n"/>
      <c r="J1100" s="32" t="inlineStr">
        <is>
          <t>Vista</t>
        </is>
      </c>
      <c r="K1100" s="24" t="n"/>
      <c r="L1100" s="36" t="n">
        <v>31.55</v>
      </c>
      <c r="M1100" s="204" t="n">
        <v>13</v>
      </c>
      <c r="N1100" s="177" t="n">
        <v>50</v>
      </c>
      <c r="O1100" s="13" t="n"/>
      <c r="P1100" s="139" t="inlineStr">
        <is>
          <t>grams</t>
        </is>
      </c>
      <c r="Q1100" s="2" t="n"/>
      <c r="R1100" s="1" t="n"/>
      <c r="S1100" s="229">
        <f>M1100*N1100</f>
        <v/>
      </c>
      <c r="T1100" s="230">
        <f>CONCATENATE(S1100,Q1100,P1100)</f>
        <v/>
      </c>
      <c r="U1100" s="206">
        <f>L1100*M1100</f>
        <v/>
      </c>
      <c r="V1100" s="4" t="n"/>
      <c r="W1100" s="4" t="n"/>
      <c r="X1100" s="4" t="n"/>
    </row>
    <row r="1101" ht="15.75" customHeight="1" thickBot="1">
      <c r="A1101" s="186" t="n">
        <v>91</v>
      </c>
      <c r="B1101" s="214" t="inlineStr">
        <is>
          <t>Coconut Milk Powder</t>
        </is>
      </c>
      <c r="C1101" s="124" t="n"/>
      <c r="D1101" s="115" t="n"/>
      <c r="E1101" s="124" t="n"/>
      <c r="F1101" s="124" t="n"/>
      <c r="G1101" s="124" t="n"/>
      <c r="H1101" s="84" t="n"/>
      <c r="I1101" s="7" t="n"/>
      <c r="J1101" s="32" t="inlineStr">
        <is>
          <t>Vista</t>
        </is>
      </c>
      <c r="K1101" s="24" t="n"/>
      <c r="L1101" s="36" t="n">
        <v>685.1</v>
      </c>
      <c r="M1101" s="204" t="n">
        <v>72</v>
      </c>
      <c r="N1101" s="177" t="n">
        <v>50</v>
      </c>
      <c r="O1101" s="13" t="n"/>
      <c r="P1101" s="139" t="inlineStr">
        <is>
          <t>grams</t>
        </is>
      </c>
      <c r="Q1101" s="2" t="n"/>
      <c r="R1101" s="1" t="n"/>
      <c r="S1101" s="229">
        <f>M1101*N1101</f>
        <v/>
      </c>
      <c r="T1101" s="230">
        <f>CONCATENATE(S1101,Q1101,P1101)</f>
        <v/>
      </c>
      <c r="U1101" s="206">
        <f>L1101*M1101</f>
        <v/>
      </c>
      <c r="V1101" s="4" t="n"/>
      <c r="W1101" s="4" t="n"/>
      <c r="X1101" s="4" t="n"/>
    </row>
    <row r="1102" ht="15.75" customHeight="1" thickBot="1">
      <c r="A1102" s="186" t="n">
        <v>92</v>
      </c>
      <c r="B1102" s="214" t="inlineStr">
        <is>
          <t>Coconut Powder</t>
        </is>
      </c>
      <c r="C1102" s="124" t="n"/>
      <c r="D1102" s="115" t="n"/>
      <c r="E1102" s="124" t="n"/>
      <c r="F1102" s="124" t="n"/>
      <c r="G1102" s="124" t="n"/>
      <c r="H1102" s="84" t="n"/>
      <c r="I1102" s="7" t="n"/>
      <c r="J1102" s="32" t="inlineStr">
        <is>
          <t>Vista</t>
        </is>
      </c>
      <c r="K1102" s="24" t="n"/>
      <c r="L1102" s="36" t="n">
        <v>26.15</v>
      </c>
      <c r="M1102" s="204" t="n">
        <v>47</v>
      </c>
      <c r="N1102" s="177" t="n">
        <v>50</v>
      </c>
      <c r="O1102" s="13" t="n"/>
      <c r="P1102" s="139" t="inlineStr">
        <is>
          <t>grams</t>
        </is>
      </c>
      <c r="Q1102" s="2" t="n"/>
      <c r="R1102" s="1" t="n"/>
      <c r="S1102" s="229">
        <f>M1102*N1102</f>
        <v/>
      </c>
      <c r="T1102" s="230">
        <f>CONCATENATE(S1102,Q1102,P1102)</f>
        <v/>
      </c>
      <c r="U1102" s="206">
        <f>L1102*M1102</f>
        <v/>
      </c>
      <c r="V1102" s="4" t="n"/>
      <c r="W1102" s="4" t="n"/>
      <c r="X1102" s="4" t="n"/>
    </row>
    <row r="1103" ht="15.75" customHeight="1" thickBot="1">
      <c r="A1103" s="186" t="n">
        <v>571</v>
      </c>
      <c r="B1103" s="214" t="inlineStr">
        <is>
          <t>Coffee - Brewed</t>
        </is>
      </c>
      <c r="C1103" s="124" t="n"/>
      <c r="D1103" s="115" t="n"/>
      <c r="E1103" s="124" t="n"/>
      <c r="F1103" s="124" t="n"/>
      <c r="G1103" s="124" t="n"/>
      <c r="H1103" s="84" t="n"/>
      <c r="I1103" s="7" t="n"/>
      <c r="J1103" s="32" t="inlineStr">
        <is>
          <t>Tropical Brew</t>
        </is>
      </c>
      <c r="K1103" s="24" t="n"/>
      <c r="L1103" s="36" t="n">
        <v>840</v>
      </c>
      <c r="M1103" s="204" t="n">
        <v>4</v>
      </c>
      <c r="N1103" s="177" t="n">
        <v>1000</v>
      </c>
      <c r="O1103" s="13" t="n"/>
      <c r="P1103" s="139" t="inlineStr">
        <is>
          <t>kilos</t>
        </is>
      </c>
      <c r="Q1103" s="2" t="n"/>
      <c r="R1103" s="1" t="n"/>
      <c r="S1103" s="229">
        <f>M1103*N1103</f>
        <v/>
      </c>
      <c r="T1103" s="230">
        <f>CONCATENATE(S1103,Q1103,P1103)</f>
        <v/>
      </c>
      <c r="U1103" s="206">
        <f>L1103*M1103</f>
        <v/>
      </c>
      <c r="V1103" s="4" t="n"/>
      <c r="W1103" s="4" t="n"/>
      <c r="X1103" s="4" t="n"/>
    </row>
    <row r="1104" ht="15.75" customHeight="1" thickBot="1">
      <c r="A1104" s="186" t="n">
        <v>572</v>
      </c>
      <c r="B1104" s="214" t="inlineStr">
        <is>
          <t>Coffee Creamer</t>
        </is>
      </c>
      <c r="C1104" s="124" t="n"/>
      <c r="D1104" s="115" t="n"/>
      <c r="E1104" s="124" t="n"/>
      <c r="F1104" s="124" t="n"/>
      <c r="G1104" s="124" t="n"/>
      <c r="H1104" s="84" t="n"/>
      <c r="I1104" s="7" t="n"/>
      <c r="J1104" s="32" t="inlineStr">
        <is>
          <t>Nestle - Coffee Mate</t>
        </is>
      </c>
      <c r="K1104" s="24" t="n"/>
      <c r="L1104" s="36" t="n">
        <v>1.96</v>
      </c>
      <c r="M1104" s="204" t="n">
        <v>528</v>
      </c>
      <c r="N1104" s="177" t="n">
        <v>5</v>
      </c>
      <c r="O1104" s="13" t="n"/>
      <c r="P1104" s="139" t="inlineStr">
        <is>
          <t>grams</t>
        </is>
      </c>
      <c r="Q1104" s="2" t="n"/>
      <c r="R1104" s="1" t="n"/>
      <c r="S1104" s="229">
        <f>M1104*N1104</f>
        <v/>
      </c>
      <c r="T1104" s="230">
        <f>CONCATENATE(S1104,Q1104,P1104)</f>
        <v/>
      </c>
      <c r="U1104" s="206">
        <f>L1104*M1104</f>
        <v/>
      </c>
      <c r="V1104" s="4" t="n"/>
      <c r="W1104" s="4" t="n"/>
      <c r="X1104" s="4" t="n"/>
    </row>
    <row r="1105" ht="15.75" customHeight="1" thickBot="1">
      <c r="A1105" s="186" t="n">
        <v>572</v>
      </c>
      <c r="B1105" s="214" t="inlineStr">
        <is>
          <t>Coffee Creamer</t>
        </is>
      </c>
      <c r="C1105" s="124" t="n"/>
      <c r="D1105" s="115" t="n"/>
      <c r="E1105" s="124" t="n"/>
      <c r="F1105" s="124" t="n"/>
      <c r="G1105" s="124" t="n"/>
      <c r="H1105" s="84" t="n"/>
      <c r="I1105" s="7" t="n"/>
      <c r="J1105" s="32" t="inlineStr">
        <is>
          <t>Nestle - Coffee Mate</t>
        </is>
      </c>
      <c r="K1105" s="24" t="n"/>
      <c r="L1105" s="36" t="n">
        <v>1.95</v>
      </c>
      <c r="M1105" s="204" t="n">
        <v>187</v>
      </c>
      <c r="N1105" s="177" t="n">
        <v>5</v>
      </c>
      <c r="O1105" s="13" t="n"/>
      <c r="P1105" s="139" t="inlineStr">
        <is>
          <t>grams</t>
        </is>
      </c>
      <c r="Q1105" s="2" t="n"/>
      <c r="R1105" s="1" t="n"/>
      <c r="S1105" s="229">
        <f>M1105*N1105</f>
        <v/>
      </c>
      <c r="T1105" s="230">
        <f>CONCATENATE(S1105,Q1105,P1105)</f>
        <v/>
      </c>
      <c r="U1105" s="206">
        <f>L1105*M1105</f>
        <v/>
      </c>
      <c r="V1105" s="4" t="n"/>
      <c r="W1105" s="4" t="n"/>
      <c r="X1105" s="4" t="n"/>
    </row>
    <row r="1106" ht="15.75" customHeight="1" thickBot="1">
      <c r="A1106" s="186" t="n">
        <v>572</v>
      </c>
      <c r="B1106" s="215" t="inlineStr">
        <is>
          <t>Coffee Creamer</t>
        </is>
      </c>
      <c r="C1106" s="124" t="n"/>
      <c r="D1106" s="115" t="n"/>
      <c r="E1106" s="124" t="n"/>
      <c r="F1106" s="124" t="n"/>
      <c r="G1106" s="124" t="n"/>
      <c r="H1106" s="84" t="n"/>
      <c r="I1106" s="7" t="n"/>
      <c r="J1106" s="32" t="inlineStr">
        <is>
          <t>Great Taste</t>
        </is>
      </c>
      <c r="K1106" s="24" t="n"/>
      <c r="L1106" s="36" t="n">
        <v>60.5</v>
      </c>
      <c r="M1106" s="204" t="n">
        <v>1</v>
      </c>
      <c r="N1106" s="177" t="n">
        <v>250</v>
      </c>
      <c r="O1106" s="13" t="n"/>
      <c r="P1106" s="139" t="inlineStr">
        <is>
          <t>grams</t>
        </is>
      </c>
      <c r="Q1106" s="2" t="n"/>
      <c r="R1106" s="1" t="n"/>
      <c r="S1106" s="229">
        <f>M1106*N1106</f>
        <v/>
      </c>
      <c r="T1106" s="230">
        <f>CONCATENATE(S1106,Q1106,P1106)</f>
        <v/>
      </c>
      <c r="U1106" s="206">
        <f>L1106*M1106</f>
        <v/>
      </c>
      <c r="V1106" s="4" t="n"/>
      <c r="W1106" s="4" t="n"/>
      <c r="X1106" s="4" t="n"/>
    </row>
    <row r="1107" ht="15.75" customHeight="1" thickBot="1">
      <c r="A1107" s="186" t="n">
        <v>572</v>
      </c>
      <c r="B1107" s="215" t="inlineStr">
        <is>
          <t>Coffee Creamer</t>
        </is>
      </c>
      <c r="C1107" s="124" t="n"/>
      <c r="D1107" s="115" t="n"/>
      <c r="E1107" s="124" t="n"/>
      <c r="F1107" s="124" t="n"/>
      <c r="G1107" s="124" t="n"/>
      <c r="H1107" s="84" t="n"/>
      <c r="I1107" s="7" t="n"/>
      <c r="J1107" s="32" t="inlineStr">
        <is>
          <t>Great Taste</t>
        </is>
      </c>
      <c r="K1107" s="24" t="n"/>
      <c r="L1107" s="36" t="n">
        <v>57</v>
      </c>
      <c r="M1107" s="204" t="n">
        <v>1</v>
      </c>
      <c r="N1107" s="177" t="n">
        <v>220</v>
      </c>
      <c r="O1107" s="13" t="n"/>
      <c r="P1107" s="139" t="inlineStr">
        <is>
          <t>grams</t>
        </is>
      </c>
      <c r="Q1107" s="2" t="n"/>
      <c r="R1107" s="1" t="n"/>
      <c r="S1107" s="229">
        <f>M1107*N1107</f>
        <v/>
      </c>
      <c r="T1107" s="230">
        <f>CONCATENATE(S1107,Q1107,P1107)</f>
        <v/>
      </c>
      <c r="U1107" s="206">
        <f>L1107*M1107</f>
        <v/>
      </c>
      <c r="V1107" s="4" t="n"/>
      <c r="W1107" s="4" t="n"/>
      <c r="X1107" s="4" t="n"/>
    </row>
    <row r="1108" ht="15.75" customHeight="1" thickBot="1">
      <c r="A1108" s="186" t="n">
        <v>573</v>
      </c>
      <c r="B1108" s="214" t="inlineStr">
        <is>
          <t>Coffee Cups</t>
        </is>
      </c>
      <c r="C1108" s="124" t="n"/>
      <c r="D1108" s="115" t="n"/>
      <c r="E1108" s="124" t="n"/>
      <c r="F1108" s="124" t="n"/>
      <c r="G1108" s="124" t="n"/>
      <c r="H1108" s="84" t="n"/>
      <c r="I1108" s="7" t="n"/>
      <c r="J1108" s="32" t="inlineStr">
        <is>
          <t>Carandang Merch. - 8oz Double Set</t>
        </is>
      </c>
      <c r="K1108" s="24" t="n"/>
      <c r="L1108" s="36" t="n">
        <v>486</v>
      </c>
      <c r="M1108" s="204" t="n">
        <v>1</v>
      </c>
      <c r="N1108" s="177" t="n">
        <v>100</v>
      </c>
      <c r="O1108" s="13" t="n"/>
      <c r="P1108" s="139" t="inlineStr">
        <is>
          <t>pieces</t>
        </is>
      </c>
      <c r="Q1108" s="2" t="n"/>
      <c r="R1108" s="1" t="n"/>
      <c r="S1108" s="229">
        <f>M1108*N1108</f>
        <v/>
      </c>
      <c r="T1108" s="230">
        <f>CONCATENATE(S1108,Q1108,P1108)</f>
        <v/>
      </c>
      <c r="U1108" s="206">
        <f>L1108*M1108</f>
        <v/>
      </c>
      <c r="V1108" s="4" t="n"/>
      <c r="W1108" s="4" t="n"/>
      <c r="X1108" s="4" t="n"/>
    </row>
    <row r="1109" ht="15.75" customHeight="1" thickBot="1">
      <c r="A1109" s="186" t="n">
        <v>573</v>
      </c>
      <c r="B1109" s="215" t="inlineStr">
        <is>
          <t>Coffee Cups</t>
        </is>
      </c>
      <c r="C1109" s="124" t="n"/>
      <c r="D1109" s="115" t="n"/>
      <c r="E1109" s="124" t="n"/>
      <c r="F1109" s="124" t="n"/>
      <c r="G1109" s="124" t="n"/>
      <c r="H1109" s="84" t="n"/>
      <c r="I1109" s="7" t="n"/>
      <c r="J1109" s="32" t="inlineStr">
        <is>
          <t>(Riffle-brown)</t>
        </is>
      </c>
      <c r="K1109" s="24" t="n"/>
      <c r="L1109" s="36" t="n">
        <v>5.6</v>
      </c>
      <c r="M1109" s="204" t="n">
        <v>300</v>
      </c>
      <c r="N1109" s="177" t="n">
        <v>1</v>
      </c>
      <c r="O1109" s="13" t="n"/>
      <c r="P1109" s="139" t="inlineStr">
        <is>
          <t>pieces</t>
        </is>
      </c>
      <c r="Q1109" s="2" t="n"/>
      <c r="R1109" s="1" t="n"/>
      <c r="S1109" s="229">
        <f>M1109*N1109</f>
        <v/>
      </c>
      <c r="T1109" s="230">
        <f>CONCATENATE(S1109,Q1109,P1109)</f>
        <v/>
      </c>
      <c r="U1109" s="206">
        <f>L1109*M1109</f>
        <v/>
      </c>
      <c r="V1109" s="4" t="n"/>
      <c r="W1109" s="4" t="n"/>
      <c r="X1109" s="4" t="n"/>
    </row>
    <row r="1110" ht="15.75" customHeight="1" thickBot="1">
      <c r="A1110" s="186" t="n">
        <v>97</v>
      </c>
      <c r="B1110" s="214" t="inlineStr">
        <is>
          <t>Coffee Stick</t>
        </is>
      </c>
      <c r="C1110" s="124" t="n"/>
      <c r="D1110" s="115" t="n"/>
      <c r="E1110" s="124" t="n"/>
      <c r="F1110" s="124" t="n"/>
      <c r="G1110" s="124" t="n"/>
      <c r="H1110" s="84" t="n"/>
      <c r="I1110" s="7" t="n"/>
      <c r="J1110" s="32" t="inlineStr">
        <is>
          <t>Nestle - Nescafe Classic Stick</t>
        </is>
      </c>
      <c r="K1110" s="24" t="n"/>
      <c r="L1110" s="36" t="n">
        <v>2.75</v>
      </c>
      <c r="M1110" s="204" t="n">
        <v>32</v>
      </c>
      <c r="N1110" s="177" t="n">
        <v>1</v>
      </c>
      <c r="O1110" s="13" t="n"/>
      <c r="P1110" s="139" t="inlineStr">
        <is>
          <t>pieces</t>
        </is>
      </c>
      <c r="Q1110" s="2" t="n"/>
      <c r="R1110" s="1" t="n"/>
      <c r="S1110" s="229">
        <f>M1110*N1110</f>
        <v/>
      </c>
      <c r="T1110" s="230">
        <f>CONCATENATE(S1110,Q1110,P1110)</f>
        <v/>
      </c>
      <c r="U1110" s="206">
        <f>L1110*M1110</f>
        <v/>
      </c>
      <c r="V1110" s="4" t="n"/>
      <c r="W1110" s="4" t="n"/>
      <c r="X1110" s="4" t="n"/>
    </row>
    <row r="1111" ht="15.75" customHeight="1" thickBot="1">
      <c r="A1111" s="186" t="n">
        <v>97</v>
      </c>
      <c r="B1111" s="214" t="inlineStr">
        <is>
          <t>Coffee Stick</t>
        </is>
      </c>
      <c r="C1111" s="124" t="n"/>
      <c r="D1111" s="115" t="n"/>
      <c r="E1111" s="124" t="n"/>
      <c r="F1111" s="124" t="n"/>
      <c r="G1111" s="124" t="n"/>
      <c r="H1111" s="84" t="n"/>
      <c r="I1111" s="7" t="n"/>
      <c r="J1111" s="32" t="inlineStr">
        <is>
          <t>Nestle - Nescafe Classic Stick (Pack)</t>
        </is>
      </c>
      <c r="K1111" s="24" t="n"/>
      <c r="L1111" s="36" t="n">
        <v>132</v>
      </c>
      <c r="M1111" s="204" t="n">
        <v>1</v>
      </c>
      <c r="N1111" s="177" t="n">
        <v>48</v>
      </c>
      <c r="O1111" s="13" t="n"/>
      <c r="P1111" s="139" t="inlineStr">
        <is>
          <t>pieces</t>
        </is>
      </c>
      <c r="Q1111" s="2" t="n"/>
      <c r="R1111" s="1" t="n"/>
      <c r="S1111" s="229">
        <f>M1111*N1111</f>
        <v/>
      </c>
      <c r="T1111" s="230">
        <f>CONCATENATE(S1111,Q1111,P1111)</f>
        <v/>
      </c>
      <c r="U1111" s="206">
        <f>L1111*M1111</f>
        <v/>
      </c>
      <c r="V1111" s="4" t="n"/>
      <c r="W1111" s="4" t="n"/>
      <c r="X1111" s="4" t="n"/>
    </row>
    <row r="1112" ht="15.75" customHeight="1" thickBot="1">
      <c r="A1112" s="186" t="n">
        <v>97</v>
      </c>
      <c r="B1112" s="214" t="inlineStr">
        <is>
          <t>Coffee Stick</t>
        </is>
      </c>
      <c r="C1112" s="124" t="n"/>
      <c r="D1112" s="115" t="n"/>
      <c r="E1112" s="124" t="n"/>
      <c r="F1112" s="124" t="n"/>
      <c r="G1112" s="124" t="n"/>
      <c r="H1112" s="84" t="n"/>
      <c r="I1112" s="7" t="n"/>
      <c r="J1112" s="32" t="inlineStr">
        <is>
          <t>Nestle - Nescafe Classic Stick</t>
        </is>
      </c>
      <c r="K1112" s="24" t="n"/>
      <c r="L1112" s="36" t="n">
        <v>2.75</v>
      </c>
      <c r="M1112" s="204" t="n">
        <v>40</v>
      </c>
      <c r="N1112" s="177" t="n">
        <v>2</v>
      </c>
      <c r="O1112" s="13" t="n"/>
      <c r="P1112" s="139" t="inlineStr">
        <is>
          <t>grams</t>
        </is>
      </c>
      <c r="Q1112" s="2" t="n"/>
      <c r="R1112" s="1" t="n"/>
      <c r="S1112" s="229">
        <f>M1112*N1112</f>
        <v/>
      </c>
      <c r="T1112" s="230">
        <f>CONCATENATE(S1112,Q1112,P1112)</f>
        <v/>
      </c>
      <c r="U1112" s="206">
        <f>L1112*M1112</f>
        <v/>
      </c>
      <c r="V1112" s="4" t="n"/>
      <c r="W1112" s="4" t="n"/>
      <c r="X1112" s="4" t="n"/>
    </row>
    <row r="1113" ht="15.75" customHeight="1" thickBot="1">
      <c r="A1113" s="186" t="n">
        <v>97</v>
      </c>
      <c r="B1113" s="215" t="inlineStr">
        <is>
          <t>Coffee Stick</t>
        </is>
      </c>
      <c r="C1113" s="124" t="n"/>
      <c r="D1113" s="115" t="n"/>
      <c r="E1113" s="124" t="n"/>
      <c r="F1113" s="124" t="n"/>
      <c r="G1113" s="124" t="n"/>
      <c r="H1113" s="84" t="n"/>
      <c r="I1113" s="7" t="n"/>
      <c r="J1113" s="32" t="inlineStr">
        <is>
          <t>Nescafe/pack (48pcsx1.9grams)</t>
        </is>
      </c>
      <c r="K1113" s="24" t="n"/>
      <c r="L1113" s="36" t="n">
        <v>3.2</v>
      </c>
      <c r="M1113" s="204" t="n">
        <v>31</v>
      </c>
      <c r="N1113" s="177" t="n">
        <v>1</v>
      </c>
      <c r="O1113" s="13" t="n"/>
      <c r="P1113" s="139" t="inlineStr">
        <is>
          <t>grams</t>
        </is>
      </c>
      <c r="Q1113" s="2" t="n"/>
      <c r="R1113" s="1" t="n"/>
      <c r="S1113" s="229">
        <f>M1113*N1113</f>
        <v/>
      </c>
      <c r="T1113" s="230">
        <f>CONCATENATE(S1113,Q1113,P1113)</f>
        <v/>
      </c>
      <c r="U1113" s="206">
        <f>L1113*M1113</f>
        <v/>
      </c>
      <c r="V1113" s="4" t="n"/>
      <c r="W1113" s="4" t="n"/>
      <c r="X1113" s="4" t="n"/>
    </row>
    <row r="1114" ht="15.75" customHeight="1" thickBot="1">
      <c r="A1114" s="186" t="n">
        <v>97</v>
      </c>
      <c r="B1114" s="214" t="inlineStr">
        <is>
          <t>Coffee Stick</t>
        </is>
      </c>
      <c r="C1114" s="124" t="n"/>
      <c r="D1114" s="115" t="n"/>
      <c r="E1114" s="124" t="n"/>
      <c r="F1114" s="124" t="n"/>
      <c r="G1114" s="124" t="n"/>
      <c r="H1114" s="84" t="n"/>
      <c r="I1114" s="7" t="n"/>
      <c r="J1114" s="32" t="inlineStr">
        <is>
          <t>Nestle - Nescafe Classic Stick</t>
        </is>
      </c>
      <c r="K1114" s="24" t="n"/>
      <c r="L1114" s="36" t="n">
        <v>3.1</v>
      </c>
      <c r="M1114" s="204" t="n">
        <v>1770</v>
      </c>
      <c r="N1114" s="177" t="n">
        <v>2</v>
      </c>
      <c r="O1114" s="13" t="n"/>
      <c r="P1114" s="139" t="inlineStr">
        <is>
          <t>grams</t>
        </is>
      </c>
      <c r="Q1114" s="2" t="n"/>
      <c r="R1114" s="1" t="n"/>
      <c r="S1114" s="229">
        <f>M1114*N1114</f>
        <v/>
      </c>
      <c r="T1114" s="230">
        <f>CONCATENATE(S1114,Q1114,P1114)</f>
        <v/>
      </c>
      <c r="U1114" s="206">
        <f>L1114*M1114</f>
        <v/>
      </c>
      <c r="V1114" s="4" t="n"/>
      <c r="W1114" s="4" t="n"/>
      <c r="X1114" s="4" t="n"/>
    </row>
    <row r="1115" ht="15.75" customHeight="1" thickBot="1">
      <c r="A1115" s="186" t="n">
        <v>102</v>
      </c>
      <c r="B1115" s="214" t="inlineStr">
        <is>
          <t>Condensed Milk</t>
        </is>
      </c>
      <c r="C1115" s="124" t="n"/>
      <c r="D1115" s="115" t="n"/>
      <c r="E1115" s="124" t="n"/>
      <c r="F1115" s="124" t="n"/>
      <c r="G1115" s="124" t="n"/>
      <c r="H1115" s="84" t="n"/>
      <c r="I1115" s="7" t="n"/>
      <c r="J1115" s="32" t="inlineStr">
        <is>
          <t>Alaska</t>
        </is>
      </c>
      <c r="K1115" s="24" t="n"/>
      <c r="L1115" s="36" t="n">
        <v>70.7</v>
      </c>
      <c r="M1115" s="204" t="n">
        <v>7</v>
      </c>
      <c r="N1115" s="177" t="n">
        <v>370</v>
      </c>
      <c r="O1115" s="13" t="n"/>
      <c r="P1115" s="139" t="inlineStr">
        <is>
          <t>ml</t>
        </is>
      </c>
      <c r="Q1115" s="2" t="n"/>
      <c r="R1115" s="1" t="n"/>
      <c r="S1115" s="229">
        <f>M1115*N1115</f>
        <v/>
      </c>
      <c r="T1115" s="230">
        <f>CONCATENATE(S1115,Q1115,P1115)</f>
        <v/>
      </c>
      <c r="U1115" s="206">
        <f>L1115*M1115</f>
        <v/>
      </c>
      <c r="V1115" s="4" t="n"/>
      <c r="W1115" s="4" t="n"/>
      <c r="X1115" s="4" t="n"/>
    </row>
    <row r="1116" ht="15.75" customHeight="1" thickBot="1">
      <c r="A1116" s="186" t="n">
        <v>102</v>
      </c>
      <c r="B1116" s="214" t="inlineStr">
        <is>
          <t>Condensed Milk</t>
        </is>
      </c>
      <c r="C1116" s="124" t="n"/>
      <c r="D1116" s="115" t="n"/>
      <c r="E1116" s="124" t="n"/>
      <c r="F1116" s="124" t="n"/>
      <c r="G1116" s="124" t="n"/>
      <c r="H1116" s="84" t="n"/>
      <c r="I1116" s="7" t="n"/>
      <c r="J1116" s="32" t="inlineStr">
        <is>
          <t>Alaska</t>
        </is>
      </c>
      <c r="K1116" s="24" t="n"/>
      <c r="L1116" s="36" t="n">
        <v>56</v>
      </c>
      <c r="M1116" s="204" t="n">
        <v>14</v>
      </c>
      <c r="N1116" s="177" t="n">
        <v>370</v>
      </c>
      <c r="O1116" s="13" t="n"/>
      <c r="P1116" s="139" t="inlineStr">
        <is>
          <t>ml</t>
        </is>
      </c>
      <c r="Q1116" s="2" t="n"/>
      <c r="R1116" s="1" t="n"/>
      <c r="S1116" s="229">
        <f>M1116*N1116</f>
        <v/>
      </c>
      <c r="T1116" s="230">
        <f>CONCATENATE(S1116,Q1116,P1116)</f>
        <v/>
      </c>
      <c r="U1116" s="206">
        <f>L1116*M1116</f>
        <v/>
      </c>
      <c r="V1116" s="4" t="n"/>
      <c r="W1116" s="4" t="n"/>
      <c r="X1116" s="4" t="n"/>
    </row>
    <row r="1117" ht="15.75" customHeight="1" thickBot="1">
      <c r="A1117" s="186" t="n">
        <v>102</v>
      </c>
      <c r="B1117" s="214" t="inlineStr">
        <is>
          <t>Condensed Milk</t>
        </is>
      </c>
      <c r="C1117" s="124" t="n"/>
      <c r="D1117" s="115" t="n"/>
      <c r="E1117" s="124" t="n"/>
      <c r="F1117" s="124" t="n"/>
      <c r="G1117" s="124" t="n"/>
      <c r="H1117" s="84" t="n"/>
      <c r="I1117" s="7" t="n"/>
      <c r="J1117" s="32" t="inlineStr">
        <is>
          <t>Alaska 370</t>
        </is>
      </c>
      <c r="K1117" s="24" t="n"/>
      <c r="L1117" s="36" t="n">
        <v>52.5</v>
      </c>
      <c r="M1117" s="204" t="n">
        <v>4</v>
      </c>
      <c r="N1117" s="177" t="n">
        <v>370</v>
      </c>
      <c r="O1117" s="13" t="n"/>
      <c r="P1117" s="139" t="inlineStr">
        <is>
          <t>ml</t>
        </is>
      </c>
      <c r="Q1117" s="2" t="n"/>
      <c r="R1117" s="1" t="n"/>
      <c r="S1117" s="229">
        <f>M1117*N1117</f>
        <v/>
      </c>
      <c r="T1117" s="230">
        <f>CONCATENATE(S1117,Q1117,P1117)</f>
        <v/>
      </c>
      <c r="U1117" s="206">
        <f>L1117*M1117</f>
        <v/>
      </c>
      <c r="V1117" s="4" t="n"/>
      <c r="W1117" s="4" t="n"/>
      <c r="X1117" s="4" t="n"/>
    </row>
    <row r="1118" ht="15.75" customHeight="1" thickBot="1">
      <c r="A1118" s="186" t="n">
        <v>102</v>
      </c>
      <c r="B1118" s="214" t="inlineStr">
        <is>
          <t>Condensed Milk</t>
        </is>
      </c>
      <c r="C1118" s="124" t="n"/>
      <c r="D1118" s="115" t="n"/>
      <c r="E1118" s="124" t="n"/>
      <c r="F1118" s="124" t="n"/>
      <c r="G1118" s="124" t="n"/>
      <c r="H1118" s="84" t="n"/>
      <c r="I1118" s="7" t="n"/>
      <c r="J1118" s="32" t="inlineStr">
        <is>
          <t>Cowbell</t>
        </is>
      </c>
      <c r="K1118" s="24" t="n"/>
      <c r="L1118" s="36" t="n">
        <v>41.6</v>
      </c>
      <c r="M1118" s="204" t="n">
        <v>6</v>
      </c>
      <c r="N1118" s="177" t="n">
        <v>374</v>
      </c>
      <c r="O1118" s="13" t="n"/>
      <c r="P1118" s="139" t="inlineStr">
        <is>
          <t>ml</t>
        </is>
      </c>
      <c r="Q1118" s="2" t="n"/>
      <c r="R1118" s="1" t="n"/>
      <c r="S1118" s="229">
        <f>M1118*N1118</f>
        <v/>
      </c>
      <c r="T1118" s="230">
        <f>CONCATENATE(S1118,Q1118,P1118)</f>
        <v/>
      </c>
      <c r="U1118" s="206">
        <f>L1118*M1118</f>
        <v/>
      </c>
      <c r="V1118" s="4" t="n"/>
      <c r="W1118" s="4" t="n"/>
      <c r="X1118" s="4" t="n"/>
    </row>
    <row r="1119" ht="15.75" customHeight="1" thickBot="1">
      <c r="A1119" s="186" t="n">
        <v>102</v>
      </c>
      <c r="B1119" s="214" t="inlineStr">
        <is>
          <t>Condensed Milk</t>
        </is>
      </c>
      <c r="C1119" s="124" t="n"/>
      <c r="D1119" s="115" t="n"/>
      <c r="E1119" s="124" t="n"/>
      <c r="F1119" s="124" t="n"/>
      <c r="G1119" s="124" t="n"/>
      <c r="H1119" s="84" t="n"/>
      <c r="I1119" s="7" t="n"/>
      <c r="J1119" s="32" t="inlineStr">
        <is>
          <t>Cowbell</t>
        </is>
      </c>
      <c r="K1119" s="24" t="n"/>
      <c r="L1119" s="36" t="n">
        <v>41.6</v>
      </c>
      <c r="M1119" s="204" t="n">
        <v>3</v>
      </c>
      <c r="N1119" s="177" t="n">
        <v>374</v>
      </c>
      <c r="O1119" s="13" t="n"/>
      <c r="P1119" s="139" t="inlineStr">
        <is>
          <t>ml</t>
        </is>
      </c>
      <c r="Q1119" s="2" t="n"/>
      <c r="R1119" s="1" t="n"/>
      <c r="S1119" s="229">
        <f>M1119*N1119</f>
        <v/>
      </c>
      <c r="T1119" s="230">
        <f>CONCATENATE(S1119,Q1119,P1119)</f>
        <v/>
      </c>
      <c r="U1119" s="206">
        <f>L1119*M1119</f>
        <v/>
      </c>
      <c r="V1119" s="4" t="n"/>
      <c r="W1119" s="4" t="n"/>
      <c r="X1119" s="4" t="n"/>
    </row>
    <row r="1120" ht="15.75" customHeight="1" thickBot="1">
      <c r="A1120" s="186" t="n">
        <v>102</v>
      </c>
      <c r="B1120" s="214" t="inlineStr">
        <is>
          <t>Condensed Milk</t>
        </is>
      </c>
      <c r="C1120" s="124" t="n"/>
      <c r="D1120" s="115" t="n"/>
      <c r="E1120" s="124" t="n"/>
      <c r="F1120" s="124" t="n"/>
      <c r="G1120" s="124" t="n"/>
      <c r="H1120" s="84" t="n"/>
      <c r="I1120" s="7" t="n"/>
      <c r="J1120" s="32" t="inlineStr">
        <is>
          <t>Cowbell</t>
        </is>
      </c>
      <c r="K1120" s="24" t="n"/>
      <c r="L1120" s="36" t="n">
        <v>41.6</v>
      </c>
      <c r="M1120" s="204" t="n">
        <v>0</v>
      </c>
      <c r="N1120" s="177" t="n">
        <v>374</v>
      </c>
      <c r="O1120" s="13" t="n"/>
      <c r="P1120" s="139" t="inlineStr">
        <is>
          <t>ml</t>
        </is>
      </c>
      <c r="Q1120" s="2" t="n"/>
      <c r="R1120" s="1" t="n"/>
      <c r="S1120" s="229">
        <f>M1120*N1120</f>
        <v/>
      </c>
      <c r="T1120" s="230">
        <f>CONCATENATE(S1120,Q1120,P1120)</f>
        <v/>
      </c>
      <c r="U1120" s="206">
        <f>L1120*M1120</f>
        <v/>
      </c>
      <c r="V1120" s="4" t="n"/>
      <c r="W1120" s="4" t="n"/>
      <c r="X1120" s="4" t="n"/>
    </row>
    <row r="1121" ht="15.75" customHeight="1" thickBot="1">
      <c r="A1121" s="186" t="n">
        <v>102</v>
      </c>
      <c r="B1121" s="214" t="inlineStr">
        <is>
          <t>Condensed Milk</t>
        </is>
      </c>
      <c r="C1121" s="124" t="n"/>
      <c r="D1121" s="115" t="n"/>
      <c r="E1121" s="124" t="n"/>
      <c r="F1121" s="124" t="n"/>
      <c r="G1121" s="124" t="n"/>
      <c r="H1121" s="84" t="n"/>
      <c r="I1121" s="7" t="n"/>
      <c r="J1121" s="32" t="inlineStr">
        <is>
          <t>Cowbell</t>
        </is>
      </c>
      <c r="K1121" s="24" t="n"/>
      <c r="L1121" s="36" t="n">
        <v>41.6</v>
      </c>
      <c r="M1121" s="204" t="n">
        <v>16</v>
      </c>
      <c r="N1121" s="177" t="n">
        <v>374</v>
      </c>
      <c r="O1121" s="13" t="n"/>
      <c r="P1121" s="139" t="inlineStr">
        <is>
          <t>ml</t>
        </is>
      </c>
      <c r="Q1121" s="2" t="n"/>
      <c r="R1121" s="1" t="n"/>
      <c r="S1121" s="229">
        <f>M1121*N1121</f>
        <v/>
      </c>
      <c r="T1121" s="230">
        <f>CONCATENATE(S1121,Q1121,P1121)</f>
        <v/>
      </c>
      <c r="U1121" s="206">
        <f>L1121*M1121</f>
        <v/>
      </c>
      <c r="V1121" s="4" t="n"/>
      <c r="W1121" s="4" t="n"/>
      <c r="X1121" s="4" t="n"/>
    </row>
    <row r="1122" ht="15.75" customHeight="1" thickBot="1">
      <c r="A1122" s="186" t="n">
        <v>102</v>
      </c>
      <c r="B1122" s="214" t="inlineStr">
        <is>
          <t>Condensed Milk</t>
        </is>
      </c>
      <c r="C1122" s="124" t="n"/>
      <c r="D1122" s="115" t="n"/>
      <c r="E1122" s="124" t="n"/>
      <c r="F1122" s="124" t="n"/>
      <c r="G1122" s="124" t="n"/>
      <c r="H1122" s="84" t="n"/>
      <c r="I1122" s="7" t="n"/>
      <c r="J1122" s="32" t="inlineStr">
        <is>
          <t>Cowbell</t>
        </is>
      </c>
      <c r="K1122" s="24" t="n"/>
      <c r="L1122" s="36" t="n">
        <v>42.5</v>
      </c>
      <c r="M1122" s="204" t="n">
        <v>7</v>
      </c>
      <c r="N1122" s="177" t="n">
        <v>390</v>
      </c>
      <c r="O1122" s="13" t="n"/>
      <c r="P1122" s="139" t="inlineStr">
        <is>
          <t>ml</t>
        </is>
      </c>
      <c r="Q1122" s="2" t="n"/>
      <c r="R1122" s="1" t="n"/>
      <c r="S1122" s="229">
        <f>M1122*N1122</f>
        <v/>
      </c>
      <c r="T1122" s="230">
        <f>CONCATENATE(S1122,Q1122,P1122)</f>
        <v/>
      </c>
      <c r="U1122" s="206">
        <f>L1122*M1122</f>
        <v/>
      </c>
      <c r="V1122" s="4" t="n"/>
      <c r="W1122" s="4" t="n"/>
      <c r="X1122" s="4" t="n"/>
    </row>
    <row r="1123" ht="15.75" customHeight="1" thickBot="1">
      <c r="A1123" s="186" t="n">
        <v>102</v>
      </c>
      <c r="B1123" s="214" t="inlineStr">
        <is>
          <t>Condensed Milk</t>
        </is>
      </c>
      <c r="C1123" s="124" t="n"/>
      <c r="D1123" s="115" t="n"/>
      <c r="E1123" s="124" t="n"/>
      <c r="F1123" s="124" t="n"/>
      <c r="G1123" s="124" t="n"/>
      <c r="H1123" s="84" t="n"/>
      <c r="I1123" s="7" t="n"/>
      <c r="J1123" s="32" t="inlineStr">
        <is>
          <t>Angel</t>
        </is>
      </c>
      <c r="K1123" s="24" t="n"/>
      <c r="L1123" s="36" t="n">
        <v>52.7</v>
      </c>
      <c r="M1123" s="204" t="n">
        <v>26</v>
      </c>
      <c r="N1123" s="177" t="n">
        <v>380</v>
      </c>
      <c r="O1123" s="13" t="n"/>
      <c r="P1123" s="139" t="inlineStr">
        <is>
          <t>ml</t>
        </is>
      </c>
      <c r="Q1123" s="2" t="n"/>
      <c r="R1123" s="1" t="n"/>
      <c r="S1123" s="229">
        <f>M1123*N1123</f>
        <v/>
      </c>
      <c r="T1123" s="230">
        <f>CONCATENATE(S1123,Q1123,P1123)</f>
        <v/>
      </c>
      <c r="U1123" s="206">
        <f>L1123*M1123</f>
        <v/>
      </c>
      <c r="V1123" s="4" t="n"/>
      <c r="W1123" s="4" t="n"/>
      <c r="X1123" s="4" t="n"/>
    </row>
    <row r="1124" ht="15.75" customHeight="1" thickBot="1">
      <c r="A1124" s="186" t="n">
        <v>102</v>
      </c>
      <c r="B1124" s="215" t="inlineStr">
        <is>
          <t>Condensed Milk</t>
        </is>
      </c>
      <c r="C1124" s="124" t="n"/>
      <c r="D1124" s="115" t="n"/>
      <c r="E1124" s="124" t="n"/>
      <c r="F1124" s="124" t="n"/>
      <c r="G1124" s="124" t="n"/>
      <c r="H1124" s="84" t="n"/>
      <c r="I1124" s="7" t="n"/>
      <c r="J1124" s="32" t="inlineStr">
        <is>
          <t>Vina</t>
        </is>
      </c>
      <c r="K1124" s="24" t="n"/>
      <c r="L1124" s="36" t="n">
        <v>41.66</v>
      </c>
      <c r="M1124" s="204" t="n">
        <v>28</v>
      </c>
      <c r="N1124" s="177" t="n">
        <v>380</v>
      </c>
      <c r="O1124" s="13" t="n"/>
      <c r="P1124" s="139" t="inlineStr">
        <is>
          <t>ml</t>
        </is>
      </c>
      <c r="Q1124" s="2" t="n"/>
      <c r="R1124" s="1" t="n"/>
      <c r="S1124" s="229">
        <f>M1124*N1124</f>
        <v/>
      </c>
      <c r="T1124" s="230">
        <f>CONCATENATE(S1124,Q1124,P1124)</f>
        <v/>
      </c>
      <c r="U1124" s="206">
        <f>L1124*M1124</f>
        <v/>
      </c>
      <c r="V1124" s="4" t="n"/>
      <c r="W1124" s="4" t="n"/>
      <c r="X1124" s="4" t="n"/>
    </row>
    <row r="1125" ht="15.75" customHeight="1" thickBot="1">
      <c r="A1125" s="186" t="n">
        <v>102</v>
      </c>
      <c r="B1125" s="214" t="inlineStr">
        <is>
          <t>Condensed Milk</t>
        </is>
      </c>
      <c r="C1125" s="124" t="n"/>
      <c r="D1125" s="115" t="n"/>
      <c r="E1125" s="124" t="n"/>
      <c r="F1125" s="124" t="n"/>
      <c r="G1125" s="124" t="n"/>
      <c r="H1125" s="84" t="n"/>
      <c r="I1125" s="7" t="n"/>
      <c r="J1125" s="32" t="inlineStr">
        <is>
          <t>Jersey - Pandan</t>
        </is>
      </c>
      <c r="K1125" s="24" t="n"/>
      <c r="L1125" s="36" t="n">
        <v>54</v>
      </c>
      <c r="M1125" s="204" t="n">
        <v>1</v>
      </c>
      <c r="N1125" s="177" t="n">
        <v>390</v>
      </c>
      <c r="O1125" s="13" t="n"/>
      <c r="P1125" s="139" t="inlineStr">
        <is>
          <t>ml</t>
        </is>
      </c>
      <c r="Q1125" s="2" t="n"/>
      <c r="R1125" s="1" t="n"/>
      <c r="S1125" s="229">
        <f>M1125*N1125</f>
        <v/>
      </c>
      <c r="T1125" s="230">
        <f>CONCATENATE(S1125,Q1125,P1125)</f>
        <v/>
      </c>
      <c r="U1125" s="206">
        <f>L1125*M1125</f>
        <v/>
      </c>
      <c r="V1125" s="4" t="n"/>
      <c r="W1125" s="4" t="n"/>
      <c r="X1125" s="4" t="n"/>
    </row>
    <row r="1126" ht="15.75" customHeight="1" thickBot="1">
      <c r="A1126" s="186" t="n">
        <v>102</v>
      </c>
      <c r="B1126" s="214" t="inlineStr">
        <is>
          <t>Condensed Milk</t>
        </is>
      </c>
      <c r="C1126" s="124" t="n"/>
      <c r="D1126" s="115" t="n"/>
      <c r="E1126" s="124" t="n"/>
      <c r="F1126" s="124" t="n"/>
      <c r="G1126" s="124" t="n"/>
      <c r="H1126" s="84" t="n"/>
      <c r="I1126" s="7" t="n"/>
      <c r="J1126" s="32" t="inlineStr">
        <is>
          <t>Jersey - Ube</t>
        </is>
      </c>
      <c r="K1126" s="24" t="n"/>
      <c r="L1126" s="36" t="n">
        <v>59</v>
      </c>
      <c r="M1126" s="204" t="n">
        <v>0</v>
      </c>
      <c r="N1126" s="177" t="n">
        <v>374</v>
      </c>
      <c r="O1126" s="13" t="n"/>
      <c r="P1126" s="139" t="inlineStr">
        <is>
          <t>ml</t>
        </is>
      </c>
      <c r="Q1126" s="2" t="n"/>
      <c r="R1126" s="1" t="n"/>
      <c r="S1126" s="229">
        <f>M1126*N1126</f>
        <v/>
      </c>
      <c r="T1126" s="230">
        <f>CONCATENATE(S1126,Q1126,P1126)</f>
        <v/>
      </c>
      <c r="U1126" s="206">
        <f>L1126*M1126</f>
        <v/>
      </c>
      <c r="V1126" s="4" t="n"/>
      <c r="W1126" s="4" t="n"/>
      <c r="X1126" s="4" t="n"/>
    </row>
    <row r="1127" ht="15.75" customHeight="1" thickBot="1">
      <c r="A1127" s="186" t="n">
        <v>102</v>
      </c>
      <c r="B1127" s="214" t="inlineStr">
        <is>
          <t>Condensed Milk</t>
        </is>
      </c>
      <c r="C1127" s="124" t="n"/>
      <c r="D1127" s="115" t="n"/>
      <c r="E1127" s="124" t="n"/>
      <c r="F1127" s="124" t="n"/>
      <c r="G1127" s="124" t="n"/>
      <c r="H1127" s="84" t="n"/>
      <c r="I1127" s="7" t="n"/>
      <c r="J1127" s="32" t="inlineStr">
        <is>
          <t>Jersey - Ube</t>
        </is>
      </c>
      <c r="K1127" s="24" t="n"/>
      <c r="L1127" s="36" t="n">
        <v>57.75</v>
      </c>
      <c r="M1127" s="204" t="n">
        <v>1</v>
      </c>
      <c r="N1127" s="177" t="n">
        <v>390</v>
      </c>
      <c r="O1127" s="13" t="n"/>
      <c r="P1127" s="139" t="inlineStr">
        <is>
          <t>ml</t>
        </is>
      </c>
      <c r="Q1127" s="2" t="n"/>
      <c r="R1127" s="1" t="n"/>
      <c r="S1127" s="229">
        <f>M1127*N1127</f>
        <v/>
      </c>
      <c r="T1127" s="230">
        <f>CONCATENATE(S1127,Q1127,P1127)</f>
        <v/>
      </c>
      <c r="U1127" s="206">
        <f>L1127*M1127</f>
        <v/>
      </c>
      <c r="V1127" s="4" t="n"/>
      <c r="W1127" s="4" t="n"/>
      <c r="X1127" s="4" t="n"/>
    </row>
    <row r="1128" ht="15.75" customHeight="1" thickBot="1">
      <c r="A1128" s="186" t="n">
        <v>574</v>
      </c>
      <c r="B1128" s="214" t="inlineStr">
        <is>
          <t>Conditioner - Creamsilk</t>
        </is>
      </c>
      <c r="C1128" s="124" t="n"/>
      <c r="D1128" s="115" t="n"/>
      <c r="E1128" s="124" t="n"/>
      <c r="F1128" s="124" t="n"/>
      <c r="G1128" s="124" t="n"/>
      <c r="H1128" s="84" t="n"/>
      <c r="I1128" s="7" t="n"/>
      <c r="J1128" s="32" t="inlineStr">
        <is>
          <t>Creamsilk</t>
        </is>
      </c>
      <c r="K1128" s="24" t="n"/>
      <c r="L1128" s="36" t="n">
        <v>6.1</v>
      </c>
      <c r="M1128" s="204" t="n">
        <v>11</v>
      </c>
      <c r="N1128" s="177" t="n">
        <v>13</v>
      </c>
      <c r="O1128" s="13" t="n"/>
      <c r="P1128" s="139" t="inlineStr">
        <is>
          <t>ml</t>
        </is>
      </c>
      <c r="Q1128" s="2" t="n"/>
      <c r="R1128" s="1" t="n"/>
      <c r="S1128" s="229">
        <f>M1128*N1128</f>
        <v/>
      </c>
      <c r="T1128" s="230">
        <f>CONCATENATE(S1128,Q1128,P1128)</f>
        <v/>
      </c>
      <c r="U1128" s="206">
        <f>L1128*M1128</f>
        <v/>
      </c>
      <c r="V1128" s="4" t="n"/>
      <c r="W1128" s="4" t="n"/>
      <c r="X1128" s="4" t="n"/>
    </row>
    <row r="1129" ht="15.75" customHeight="1" thickBot="1">
      <c r="A1129" s="186" t="n">
        <v>575</v>
      </c>
      <c r="B1129" s="214" t="inlineStr">
        <is>
          <t>Confectioner's Sugar</t>
        </is>
      </c>
      <c r="C1129" s="124" t="n"/>
      <c r="D1129" s="115" t="n"/>
      <c r="E1129" s="124" t="n"/>
      <c r="F1129" s="124" t="n"/>
      <c r="G1129" s="124" t="n"/>
      <c r="H1129" s="84" t="n"/>
      <c r="I1129" s="7" t="n"/>
      <c r="J1129" s="32" t="inlineStr">
        <is>
          <t>Peotraco</t>
        </is>
      </c>
      <c r="K1129" s="24" t="n"/>
      <c r="L1129" s="36" t="n">
        <v>210</v>
      </c>
      <c r="M1129" s="204" t="n">
        <v>1</v>
      </c>
      <c r="N1129" s="177" t="n">
        <v>2272</v>
      </c>
      <c r="O1129" s="13" t="n"/>
      <c r="P1129" s="139" t="inlineStr">
        <is>
          <t>grams</t>
        </is>
      </c>
      <c r="Q1129" s="2" t="n"/>
      <c r="R1129" s="1" t="n"/>
      <c r="S1129" s="229">
        <f>M1129*N1129</f>
        <v/>
      </c>
      <c r="T1129" s="230">
        <f>CONCATENATE(S1129,Q1129,P1129)</f>
        <v/>
      </c>
      <c r="U1129" s="206">
        <f>L1129*M1129</f>
        <v/>
      </c>
      <c r="V1129" s="4" t="n"/>
      <c r="W1129" s="4" t="n"/>
      <c r="X1129" s="4" t="n"/>
    </row>
    <row r="1130" ht="15.75" customHeight="1" thickBot="1">
      <c r="A1130" s="186" t="n">
        <v>575</v>
      </c>
      <c r="B1130" s="215" t="inlineStr">
        <is>
          <t>Confectioner's Sugar</t>
        </is>
      </c>
      <c r="C1130" s="124" t="n"/>
      <c r="D1130" s="115" t="n"/>
      <c r="E1130" s="124" t="n"/>
      <c r="F1130" s="124" t="n"/>
      <c r="G1130" s="124" t="n"/>
      <c r="H1130" s="84" t="n"/>
      <c r="I1130" s="7" t="n"/>
      <c r="J1130" s="32" t="inlineStr">
        <is>
          <t>Peotraco</t>
        </is>
      </c>
      <c r="K1130" s="24" t="n"/>
      <c r="L1130" s="36" t="n">
        <v>70</v>
      </c>
      <c r="M1130" s="204" t="n">
        <v>2</v>
      </c>
      <c r="N1130" s="177" t="n">
        <v>450</v>
      </c>
      <c r="O1130" s="13" t="n"/>
      <c r="P1130" s="139" t="inlineStr">
        <is>
          <t>grams</t>
        </is>
      </c>
      <c r="Q1130" s="2" t="n"/>
      <c r="R1130" s="1" t="n"/>
      <c r="S1130" s="229">
        <f>M1130*N1130</f>
        <v/>
      </c>
      <c r="T1130" s="230">
        <f>CONCATENATE(S1130,Q1130,P1130)</f>
        <v/>
      </c>
      <c r="U1130" s="206">
        <f>L1130*M1130</f>
        <v/>
      </c>
      <c r="V1130" s="4" t="n"/>
      <c r="W1130" s="4" t="n"/>
      <c r="X1130" s="4" t="n"/>
    </row>
    <row r="1131" ht="15.75" customHeight="1" thickBot="1">
      <c r="A1131" s="186" t="n">
        <v>107</v>
      </c>
      <c r="B1131" s="214" t="inlineStr">
        <is>
          <t>Cooked Ham</t>
        </is>
      </c>
      <c r="C1131" s="124" t="n"/>
      <c r="D1131" s="115" t="n"/>
      <c r="E1131" s="124" t="n"/>
      <c r="F1131" s="124" t="n"/>
      <c r="G1131" s="124" t="n"/>
      <c r="H1131" s="84" t="n"/>
      <c r="I1131" s="7" t="n"/>
      <c r="J1131" s="32" t="inlineStr">
        <is>
          <t>Winner</t>
        </is>
      </c>
      <c r="K1131" s="24" t="n"/>
      <c r="L1131" s="36" t="n">
        <v>69</v>
      </c>
      <c r="M1131" s="204" t="n">
        <v>7</v>
      </c>
      <c r="N1131" s="177" t="n">
        <v>250</v>
      </c>
      <c r="O1131" s="13" t="n"/>
      <c r="P1131" s="139" t="inlineStr">
        <is>
          <t>grams</t>
        </is>
      </c>
      <c r="Q1131" s="2" t="n"/>
      <c r="R1131" s="1" t="n"/>
      <c r="S1131" s="229">
        <f>M1131*N1131</f>
        <v/>
      </c>
      <c r="T1131" s="230">
        <f>CONCATENATE(S1131,Q1131,P1131)</f>
        <v/>
      </c>
      <c r="U1131" s="206">
        <f>L1131*M1131</f>
        <v/>
      </c>
      <c r="V1131" s="4" t="n"/>
      <c r="W1131" s="4" t="n"/>
      <c r="X1131" s="4" t="n"/>
    </row>
    <row r="1132" ht="15.75" customHeight="1" thickBot="1">
      <c r="A1132" s="186" t="n">
        <v>576</v>
      </c>
      <c r="B1132" s="215" t="inlineStr">
        <is>
          <t>Cookies</t>
        </is>
      </c>
      <c r="C1132" s="124" t="n"/>
      <c r="D1132" s="115" t="n"/>
      <c r="E1132" s="124" t="n"/>
      <c r="F1132" s="124" t="n"/>
      <c r="G1132" s="124" t="n"/>
      <c r="H1132" s="84" t="n"/>
      <c r="I1132" s="7" t="n"/>
      <c r="J1132" s="32" t="inlineStr">
        <is>
          <t>Jack n Jill - Chips Ahoy</t>
        </is>
      </c>
      <c r="K1132" s="24" t="n"/>
      <c r="L1132" s="36" t="n">
        <v>83.3</v>
      </c>
      <c r="M1132" s="204" t="n">
        <v>4</v>
      </c>
      <c r="N1132" s="177" t="n">
        <v>143</v>
      </c>
      <c r="O1132" s="13" t="n"/>
      <c r="P1132" s="139" t="inlineStr">
        <is>
          <t>grams</t>
        </is>
      </c>
      <c r="Q1132" s="2" t="n"/>
      <c r="R1132" s="1" t="n"/>
      <c r="S1132" s="229">
        <f>M1132*N1132</f>
        <v/>
      </c>
      <c r="T1132" s="230">
        <f>CONCATENATE(S1132,Q1132,P1132)</f>
        <v/>
      </c>
      <c r="U1132" s="206">
        <f>L1132*M1132</f>
        <v/>
      </c>
      <c r="V1132" s="4" t="n"/>
      <c r="W1132" s="4" t="n"/>
      <c r="X1132" s="4" t="n"/>
    </row>
    <row r="1133" ht="15.75" customHeight="1" thickBot="1">
      <c r="A1133" s="186" t="n">
        <v>576</v>
      </c>
      <c r="B1133" s="214" t="inlineStr">
        <is>
          <t>Cookies</t>
        </is>
      </c>
      <c r="C1133" s="124" t="n"/>
      <c r="D1133" s="115" t="n"/>
      <c r="E1133" s="124" t="n"/>
      <c r="F1133" s="124" t="n"/>
      <c r="G1133" s="124" t="n"/>
      <c r="H1133" s="84" t="n"/>
      <c r="I1133" s="7" t="n"/>
      <c r="J1133" s="32" t="inlineStr">
        <is>
          <t>Chips Delight</t>
        </is>
      </c>
      <c r="K1133" s="24" t="n"/>
      <c r="L1133" s="36" t="n">
        <v>56.2</v>
      </c>
      <c r="M1133" s="204" t="n">
        <v>2</v>
      </c>
      <c r="N1133" s="177" t="n">
        <v>130</v>
      </c>
      <c r="O1133" s="13" t="n"/>
      <c r="P1133" s="139" t="inlineStr">
        <is>
          <t>grams</t>
        </is>
      </c>
      <c r="Q1133" s="2" t="n"/>
      <c r="R1133" s="1" t="n"/>
      <c r="S1133" s="229">
        <f>M1133*N1133</f>
        <v/>
      </c>
      <c r="T1133" s="230">
        <f>CONCATENATE(S1133,Q1133,P1133)</f>
        <v/>
      </c>
      <c r="U1133" s="206">
        <f>L1133*M1133</f>
        <v/>
      </c>
      <c r="V1133" s="4" t="n"/>
      <c r="W1133" s="4" t="n"/>
      <c r="X1133" s="4" t="n"/>
    </row>
    <row r="1134" ht="15.75" customHeight="1" thickBot="1">
      <c r="A1134" s="186" t="n">
        <v>576</v>
      </c>
      <c r="B1134" s="214" t="inlineStr">
        <is>
          <t>Cookies</t>
        </is>
      </c>
      <c r="C1134" s="124" t="n"/>
      <c r="D1134" s="115" t="n"/>
      <c r="E1134" s="124" t="n"/>
      <c r="F1134" s="124" t="n"/>
      <c r="G1134" s="124" t="n"/>
      <c r="H1134" s="84" t="n"/>
      <c r="I1134" s="7" t="n"/>
      <c r="J1134" s="32" t="inlineStr">
        <is>
          <t>Nissin - Eggnog Cookies</t>
        </is>
      </c>
      <c r="K1134" s="24" t="n"/>
      <c r="L1134" s="36" t="n">
        <v>33.3</v>
      </c>
      <c r="M1134" s="204" t="n">
        <v>20</v>
      </c>
      <c r="N1134" s="177" t="n">
        <v>130</v>
      </c>
      <c r="O1134" s="13" t="n"/>
      <c r="P1134" s="139" t="inlineStr">
        <is>
          <t>grams</t>
        </is>
      </c>
      <c r="Q1134" s="2" t="n"/>
      <c r="R1134" s="1" t="n"/>
      <c r="S1134" s="229">
        <f>M1134*N1134</f>
        <v/>
      </c>
      <c r="T1134" s="230">
        <f>CONCATENATE(S1134,Q1134,P1134)</f>
        <v/>
      </c>
      <c r="U1134" s="206">
        <f>L1134*M1134</f>
        <v/>
      </c>
      <c r="V1134" s="4" t="n"/>
      <c r="W1134" s="4" t="n"/>
      <c r="X1134" s="4" t="n"/>
    </row>
    <row r="1135" ht="15.75" customHeight="1" thickBot="1">
      <c r="A1135" s="186" t="n">
        <v>576</v>
      </c>
      <c r="B1135" s="214" t="inlineStr">
        <is>
          <t>Cookies</t>
        </is>
      </c>
      <c r="C1135" s="124" t="n"/>
      <c r="D1135" s="115" t="n"/>
      <c r="E1135" s="124" t="n"/>
      <c r="F1135" s="124" t="n"/>
      <c r="G1135" s="124" t="n"/>
      <c r="H1135" s="84" t="n"/>
      <c r="I1135" s="7" t="n"/>
      <c r="J1135" s="32" t="inlineStr">
        <is>
          <t>Nissin - Eggnog Cookies</t>
        </is>
      </c>
      <c r="K1135" s="24" t="n"/>
      <c r="L1135" s="36" t="n">
        <v>11.08</v>
      </c>
      <c r="M1135" s="204" t="n">
        <v>60</v>
      </c>
      <c r="N1135" s="177" t="n">
        <v>32</v>
      </c>
      <c r="O1135" s="13" t="n"/>
      <c r="P1135" s="139" t="inlineStr">
        <is>
          <t>grams</t>
        </is>
      </c>
      <c r="Q1135" s="2" t="n"/>
      <c r="R1135" s="1" t="n"/>
      <c r="S1135" s="229">
        <f>M1135*N1135</f>
        <v/>
      </c>
      <c r="T1135" s="230">
        <f>CONCATENATE(S1135,Q1135,P1135)</f>
        <v/>
      </c>
      <c r="U1135" s="206">
        <f>L1135*M1135</f>
        <v/>
      </c>
      <c r="V1135" s="4" t="n"/>
      <c r="W1135" s="4" t="n"/>
      <c r="X1135" s="4" t="n"/>
    </row>
    <row r="1136" ht="15.75" customHeight="1" thickBot="1">
      <c r="A1136" s="186" t="n">
        <v>108</v>
      </c>
      <c r="B1136" s="214" t="inlineStr">
        <is>
          <t>Cooking Oil</t>
        </is>
      </c>
      <c r="C1136" s="124" t="n"/>
      <c r="D1136" s="115" t="n"/>
      <c r="E1136" s="124" t="n"/>
      <c r="F1136" s="124" t="n"/>
      <c r="G1136" s="124" t="n"/>
      <c r="H1136" s="84" t="n"/>
      <c r="I1136" s="7" t="n"/>
      <c r="J1136" s="32" t="n"/>
      <c r="K1136" s="24" t="n"/>
      <c r="L1136" s="36" t="n">
        <v>295</v>
      </c>
      <c r="M1136" s="204" t="n">
        <v>16</v>
      </c>
      <c r="N1136" s="177" t="n">
        <v>3500</v>
      </c>
      <c r="O1136" s="13" t="n"/>
      <c r="P1136" s="139" t="inlineStr">
        <is>
          <t>ml</t>
        </is>
      </c>
      <c r="Q1136" s="2" t="n"/>
      <c r="R1136" s="1" t="n"/>
      <c r="S1136" s="229">
        <f>M1136*N1136</f>
        <v/>
      </c>
      <c r="T1136" s="230">
        <f>CONCATENATE(S1136,Q1136,P1136)</f>
        <v/>
      </c>
      <c r="U1136" s="206">
        <f>L1136*M1136</f>
        <v/>
      </c>
      <c r="V1136" s="4" t="n"/>
      <c r="W1136" s="4" t="n"/>
      <c r="X1136" s="4" t="n"/>
    </row>
    <row r="1137" ht="15.75" customHeight="1" thickBot="1">
      <c r="A1137" s="186" t="n">
        <v>108</v>
      </c>
      <c r="B1137" s="214" t="inlineStr">
        <is>
          <t>Cooking Oil</t>
        </is>
      </c>
      <c r="C1137" s="124" t="n"/>
      <c r="D1137" s="115" t="n"/>
      <c r="E1137" s="124" t="n"/>
      <c r="F1137" s="124" t="n"/>
      <c r="G1137" s="124" t="n"/>
      <c r="H1137" s="84" t="n"/>
      <c r="I1137" s="7" t="n"/>
      <c r="J1137" s="32" t="inlineStr">
        <is>
          <t>Freeto</t>
        </is>
      </c>
      <c r="K1137" s="24" t="n"/>
      <c r="L1137" s="36" t="n">
        <v>1768</v>
      </c>
      <c r="M1137" s="204" t="n">
        <v>3</v>
      </c>
      <c r="N1137" s="177" t="n">
        <v>16</v>
      </c>
      <c r="O1137" s="13" t="n"/>
      <c r="P1137" s="139" t="inlineStr">
        <is>
          <t>liters</t>
        </is>
      </c>
      <c r="Q1137" s="2" t="n"/>
      <c r="R1137" s="1" t="n"/>
      <c r="S1137" s="229">
        <f>M1137*N1137</f>
        <v/>
      </c>
      <c r="T1137" s="230">
        <f>CONCATENATE(S1137,Q1137,P1137)</f>
        <v/>
      </c>
      <c r="U1137" s="206">
        <f>L1137*M1137</f>
        <v/>
      </c>
      <c r="V1137" s="4" t="n"/>
      <c r="W1137" s="4" t="n"/>
      <c r="X1137" s="4" t="n"/>
    </row>
    <row r="1138" ht="15.75" customHeight="1" thickBot="1">
      <c r="A1138" s="186" t="n">
        <v>108</v>
      </c>
      <c r="B1138" s="214" t="inlineStr">
        <is>
          <t>Cooking Oil</t>
        </is>
      </c>
      <c r="C1138" s="124" t="n"/>
      <c r="D1138" s="115" t="n"/>
      <c r="E1138" s="124" t="n"/>
      <c r="F1138" s="124" t="n"/>
      <c r="G1138" s="124" t="n"/>
      <c r="H1138" s="84" t="n"/>
      <c r="I1138" s="7" t="n"/>
      <c r="J1138" s="32" t="inlineStr">
        <is>
          <t>Freeto</t>
        </is>
      </c>
      <c r="K1138" s="24" t="n"/>
      <c r="L1138" s="36" t="n">
        <v>1608.5</v>
      </c>
      <c r="M1138" s="204" t="n">
        <v>2</v>
      </c>
      <c r="N1138" s="177" t="n">
        <v>16</v>
      </c>
      <c r="O1138" s="13" t="n"/>
      <c r="P1138" s="139" t="inlineStr">
        <is>
          <t>liters</t>
        </is>
      </c>
      <c r="Q1138" s="2" t="n"/>
      <c r="R1138" s="1" t="n"/>
      <c r="S1138" s="229">
        <f>M1138*N1138</f>
        <v/>
      </c>
      <c r="T1138" s="230">
        <f>CONCATENATE(S1138,Q1138,P1138)</f>
        <v/>
      </c>
      <c r="U1138" s="206">
        <f>L1138*M1138</f>
        <v/>
      </c>
      <c r="V1138" s="4" t="n"/>
      <c r="W1138" s="4" t="n"/>
      <c r="X1138" s="4" t="n"/>
    </row>
    <row r="1139" ht="15.75" customHeight="1" thickBot="1">
      <c r="A1139" s="186" t="n">
        <v>108</v>
      </c>
      <c r="B1139" s="214" t="inlineStr">
        <is>
          <t>Cooking Oil</t>
        </is>
      </c>
      <c r="C1139" s="124" t="n"/>
      <c r="D1139" s="115" t="n"/>
      <c r="E1139" s="124" t="n"/>
      <c r="F1139" s="124" t="n"/>
      <c r="G1139" s="124" t="n"/>
      <c r="H1139" s="84" t="n"/>
      <c r="I1139" s="7" t="n"/>
      <c r="J1139" s="32" t="inlineStr">
        <is>
          <t>Marca Leon</t>
        </is>
      </c>
      <c r="K1139" s="24" t="n"/>
      <c r="L1139" s="36" t="n">
        <v>318</v>
      </c>
      <c r="M1139" s="204" t="n">
        <v>7</v>
      </c>
      <c r="N1139" s="177" t="n">
        <v>3</v>
      </c>
      <c r="O1139" s="13" t="n"/>
      <c r="P1139" s="139" t="inlineStr">
        <is>
          <t>kilos</t>
        </is>
      </c>
      <c r="Q1139" s="2" t="n"/>
      <c r="R1139" s="1" t="n"/>
      <c r="S1139" s="229">
        <f>M1139*N1139</f>
        <v/>
      </c>
      <c r="T1139" s="230">
        <f>CONCATENATE(S1139,Q1139,P1139)</f>
        <v/>
      </c>
      <c r="U1139" s="206">
        <f>L1139*M1139</f>
        <v/>
      </c>
      <c r="V1139" s="4" t="n"/>
      <c r="W1139" s="4" t="n"/>
      <c r="X1139" s="4" t="n"/>
    </row>
    <row r="1140" ht="15.75" customHeight="1" thickBot="1">
      <c r="A1140" s="186" t="n">
        <v>108</v>
      </c>
      <c r="B1140" s="214" t="inlineStr">
        <is>
          <t>Cooking Oil</t>
        </is>
      </c>
      <c r="C1140" s="124" t="n"/>
      <c r="D1140" s="115" t="n"/>
      <c r="E1140" s="124" t="n"/>
      <c r="F1140" s="124" t="n"/>
      <c r="G1140" s="124" t="n"/>
      <c r="H1140" s="84" t="n"/>
      <c r="I1140" s="7" t="n"/>
      <c r="J1140" s="32" t="inlineStr">
        <is>
          <t>Freeto</t>
        </is>
      </c>
      <c r="K1140" s="24" t="n"/>
      <c r="L1140" s="36" t="n">
        <v>1768.3</v>
      </c>
      <c r="M1140" s="204" t="n">
        <v>2</v>
      </c>
      <c r="N1140" s="177" t="n">
        <v>16</v>
      </c>
      <c r="O1140" s="13" t="n"/>
      <c r="P1140" s="139" t="inlineStr">
        <is>
          <t>liters</t>
        </is>
      </c>
      <c r="Q1140" s="2" t="n"/>
      <c r="R1140" s="1" t="n"/>
      <c r="S1140" s="229">
        <f>M1140*N1140</f>
        <v/>
      </c>
      <c r="T1140" s="230">
        <f>CONCATENATE(S1140,Q1140,P1140)</f>
        <v/>
      </c>
      <c r="U1140" s="206">
        <f>L1140*M1140</f>
        <v/>
      </c>
      <c r="V1140" s="4" t="n"/>
      <c r="W1140" s="4" t="n"/>
      <c r="X1140" s="4" t="n"/>
    </row>
    <row r="1141" ht="15.75" customHeight="1" thickBot="1">
      <c r="A1141" s="186" t="n">
        <v>108</v>
      </c>
      <c r="B1141" s="214" t="inlineStr">
        <is>
          <t>Cooking Oil</t>
        </is>
      </c>
      <c r="C1141" s="124" t="n"/>
      <c r="D1141" s="115" t="n"/>
      <c r="E1141" s="124" t="n"/>
      <c r="F1141" s="124" t="n"/>
      <c r="G1141" s="124" t="n"/>
      <c r="H1141" s="84" t="n"/>
      <c r="I1141" s="7" t="n"/>
      <c r="J1141" s="32" t="n"/>
      <c r="K1141" s="24" t="n"/>
      <c r="L1141" s="36" t="n">
        <v>340</v>
      </c>
      <c r="M1141" s="204" t="n">
        <v>6</v>
      </c>
      <c r="N1141" s="177" t="n">
        <v>1</v>
      </c>
      <c r="O1141" s="13" t="n"/>
      <c r="P1141" s="139" t="inlineStr">
        <is>
          <t>gal</t>
        </is>
      </c>
      <c r="Q1141" s="2" t="n"/>
      <c r="R1141" s="1" t="n"/>
      <c r="S1141" s="229">
        <f>M1141*N1141</f>
        <v/>
      </c>
      <c r="T1141" s="230">
        <f>CONCATENATE(S1141,Q1141,P1141)</f>
        <v/>
      </c>
      <c r="U1141" s="206">
        <f>L1141*M1141</f>
        <v/>
      </c>
      <c r="V1141" s="4" t="n"/>
      <c r="W1141" s="4" t="n"/>
      <c r="X1141" s="4" t="n"/>
    </row>
    <row r="1142" ht="15.75" customHeight="1" thickBot="1">
      <c r="A1142" s="186" t="n">
        <v>108</v>
      </c>
      <c r="B1142" s="214" t="inlineStr">
        <is>
          <t>Cooking Oil</t>
        </is>
      </c>
      <c r="C1142" s="124" t="n"/>
      <c r="D1142" s="115" t="n"/>
      <c r="E1142" s="124" t="n"/>
      <c r="F1142" s="124" t="n"/>
      <c r="G1142" s="124" t="n"/>
      <c r="H1142" s="84" t="n"/>
      <c r="I1142" s="7" t="n"/>
      <c r="J1142" s="32" t="n"/>
      <c r="K1142" s="24" t="n"/>
      <c r="L1142" s="36" t="n">
        <v>1540</v>
      </c>
      <c r="M1142" s="204" t="n">
        <v>1</v>
      </c>
      <c r="N1142" s="177" t="n">
        <v>1</v>
      </c>
      <c r="O1142" s="13" t="n"/>
      <c r="P1142" s="139" t="inlineStr">
        <is>
          <t>ml</t>
        </is>
      </c>
      <c r="Q1142" s="2" t="n"/>
      <c r="R1142" s="1" t="n"/>
      <c r="S1142" s="229">
        <f>M1142*N1142</f>
        <v/>
      </c>
      <c r="T1142" s="230">
        <f>CONCATENATE(S1142,Q1142,P1142)</f>
        <v/>
      </c>
      <c r="U1142" s="206">
        <f>L1142*M1142</f>
        <v/>
      </c>
      <c r="V1142" s="4" t="n"/>
      <c r="W1142" s="4" t="n"/>
      <c r="X1142" s="4" t="n"/>
    </row>
    <row r="1143" ht="15.75" customHeight="1" thickBot="1">
      <c r="A1143" s="186" t="n">
        <v>108</v>
      </c>
      <c r="B1143" s="214" t="inlineStr">
        <is>
          <t>Cooking Oil</t>
        </is>
      </c>
      <c r="C1143" s="124" t="n"/>
      <c r="D1143" s="115" t="n"/>
      <c r="E1143" s="124" t="n"/>
      <c r="F1143" s="124" t="n"/>
      <c r="G1143" s="124" t="n"/>
      <c r="H1143" s="84" t="n"/>
      <c r="I1143" s="7" t="n"/>
      <c r="J1143" s="32" t="inlineStr">
        <is>
          <t>Freeto</t>
        </is>
      </c>
      <c r="K1143" s="24" t="n"/>
      <c r="L1143" s="36" t="n">
        <v>1608.5</v>
      </c>
      <c r="M1143" s="204" t="n">
        <v>1</v>
      </c>
      <c r="N1143" s="177" t="n">
        <v>16</v>
      </c>
      <c r="O1143" s="13" t="n"/>
      <c r="P1143" s="139" t="inlineStr">
        <is>
          <t>liters</t>
        </is>
      </c>
      <c r="Q1143" s="2" t="n"/>
      <c r="R1143" s="1" t="n"/>
      <c r="S1143" s="229">
        <f>M1143*N1143</f>
        <v/>
      </c>
      <c r="T1143" s="230">
        <f>CONCATENATE(S1143,Q1143,P1143)</f>
        <v/>
      </c>
      <c r="U1143" s="206">
        <f>L1143*M1143</f>
        <v/>
      </c>
      <c r="V1143" s="4" t="n"/>
      <c r="W1143" s="4" t="n"/>
      <c r="X1143" s="4" t="n"/>
    </row>
    <row r="1144" ht="15.75" customHeight="1" thickBot="1">
      <c r="A1144" s="186" t="n">
        <v>108</v>
      </c>
      <c r="B1144" s="214" t="inlineStr">
        <is>
          <t>Cooking Oil</t>
        </is>
      </c>
      <c r="C1144" s="124" t="n"/>
      <c r="D1144" s="115" t="n"/>
      <c r="E1144" s="124" t="n"/>
      <c r="F1144" s="124" t="n"/>
      <c r="G1144" s="124" t="n"/>
      <c r="H1144" s="84" t="n"/>
      <c r="I1144" s="7" t="n"/>
      <c r="J1144" s="32" t="inlineStr">
        <is>
          <t>Jugirox</t>
        </is>
      </c>
      <c r="K1144" s="24" t="n"/>
      <c r="L1144" s="36" t="n">
        <v>1560</v>
      </c>
      <c r="M1144" s="204" t="n">
        <v>4</v>
      </c>
      <c r="N1144" s="177" t="n">
        <v>16</v>
      </c>
      <c r="O1144" s="13" t="n"/>
      <c r="P1144" s="139" t="inlineStr">
        <is>
          <t>liters</t>
        </is>
      </c>
      <c r="Q1144" s="2" t="n"/>
      <c r="R1144" s="1" t="n"/>
      <c r="S1144" s="229">
        <f>M1144*N1144</f>
        <v/>
      </c>
      <c r="T1144" s="230">
        <f>CONCATENATE(S1144,Q1144,P1144)</f>
        <v/>
      </c>
      <c r="U1144" s="206">
        <f>L1144*M1144</f>
        <v/>
      </c>
      <c r="V1144" s="4" t="n"/>
      <c r="W1144" s="4" t="n"/>
      <c r="X1144" s="4" t="n"/>
    </row>
    <row r="1145" ht="15.75" customHeight="1" thickBot="1">
      <c r="A1145" s="186" t="n">
        <v>577</v>
      </c>
      <c r="B1145" s="214" t="inlineStr">
        <is>
          <t>Cooking Wine</t>
        </is>
      </c>
      <c r="C1145" s="124" t="n"/>
      <c r="D1145" s="115" t="n"/>
      <c r="E1145" s="124" t="n"/>
      <c r="F1145" s="124" t="n"/>
      <c r="G1145" s="124" t="n"/>
      <c r="H1145" s="84" t="n"/>
      <c r="I1145" s="7" t="n"/>
      <c r="J1145" s="32" t="inlineStr">
        <is>
          <t>Marca Pina</t>
        </is>
      </c>
      <c r="K1145" s="24" t="n"/>
      <c r="L1145" s="36" t="n">
        <v>78</v>
      </c>
      <c r="M1145" s="204" t="n">
        <v>1</v>
      </c>
      <c r="N1145" s="177" t="n">
        <v>350</v>
      </c>
      <c r="O1145" s="13" t="n"/>
      <c r="P1145" s="139" t="inlineStr">
        <is>
          <t>ml</t>
        </is>
      </c>
      <c r="Q1145" s="2" t="n"/>
      <c r="R1145" s="1" t="n"/>
      <c r="S1145" s="229">
        <f>M1145*N1145</f>
        <v/>
      </c>
      <c r="T1145" s="230">
        <f>CONCATENATE(S1145,Q1145,P1145)</f>
        <v/>
      </c>
      <c r="U1145" s="206">
        <f>L1145*M1145</f>
        <v/>
      </c>
      <c r="V1145" s="4" t="n"/>
      <c r="W1145" s="4" t="n"/>
      <c r="X1145" s="4" t="n"/>
    </row>
    <row r="1146" ht="15.75" customHeight="1" thickBot="1">
      <c r="A1146" s="186" t="n">
        <v>578</v>
      </c>
      <c r="B1146" s="215" t="inlineStr">
        <is>
          <t>Coriander Powder</t>
        </is>
      </c>
      <c r="C1146" s="124" t="n"/>
      <c r="D1146" s="115" t="n"/>
      <c r="E1146" s="124" t="n"/>
      <c r="F1146" s="124" t="n"/>
      <c r="G1146" s="124" t="n"/>
      <c r="H1146" s="84" t="n"/>
      <c r="I1146" s="7" t="n"/>
      <c r="J1146" s="32" t="inlineStr">
        <is>
          <t>J&amp;Y</t>
        </is>
      </c>
      <c r="K1146" s="24" t="n"/>
      <c r="L1146" s="36" t="n">
        <v>11.3</v>
      </c>
      <c r="M1146" s="204" t="n">
        <v>3</v>
      </c>
      <c r="N1146" s="177" t="n">
        <v>30</v>
      </c>
      <c r="O1146" s="13" t="n"/>
      <c r="P1146" s="139" t="inlineStr">
        <is>
          <t>grams</t>
        </is>
      </c>
      <c r="Q1146" s="2" t="n"/>
      <c r="R1146" s="1" t="n"/>
      <c r="S1146" s="229">
        <f>M1146*N1146</f>
        <v/>
      </c>
      <c r="T1146" s="230">
        <f>CONCATENATE(S1146,Q1146,P1146)</f>
        <v/>
      </c>
      <c r="U1146" s="206">
        <f>L1146*M1146</f>
        <v/>
      </c>
      <c r="V1146" s="4" t="n"/>
      <c r="W1146" s="4" t="n"/>
      <c r="X1146" s="4" t="n"/>
    </row>
    <row r="1147" ht="15.75" customHeight="1" thickBot="1">
      <c r="A1147" s="186" t="n">
        <v>579</v>
      </c>
      <c r="B1147" s="215" t="inlineStr">
        <is>
          <t>Corn Syrup</t>
        </is>
      </c>
      <c r="C1147" s="124" t="n"/>
      <c r="D1147" s="115" t="n"/>
      <c r="E1147" s="124" t="n"/>
      <c r="F1147" s="124" t="n"/>
      <c r="G1147" s="124" t="n"/>
      <c r="H1147" s="84" t="n"/>
      <c r="I1147" s="7" t="n"/>
      <c r="J1147" s="32" t="inlineStr">
        <is>
          <t>Peotraco/500ml</t>
        </is>
      </c>
      <c r="K1147" s="24" t="n"/>
      <c r="L1147" s="36" t="n">
        <v>102</v>
      </c>
      <c r="M1147" s="204" t="n">
        <v>1</v>
      </c>
      <c r="N1147" s="177" t="n">
        <v>500</v>
      </c>
      <c r="O1147" s="13" t="n"/>
      <c r="P1147" s="139" t="inlineStr">
        <is>
          <t>ml</t>
        </is>
      </c>
      <c r="Q1147" s="2" t="n"/>
      <c r="R1147" s="1" t="n"/>
      <c r="S1147" s="229">
        <f>M1147*N1147</f>
        <v/>
      </c>
      <c r="T1147" s="230">
        <f>CONCATENATE(S1147,Q1147,P1147)</f>
        <v/>
      </c>
      <c r="U1147" s="206">
        <f>L1147*M1147</f>
        <v/>
      </c>
      <c r="V1147" s="4" t="n"/>
      <c r="W1147" s="4" t="n"/>
      <c r="X1147" s="4" t="n"/>
    </row>
    <row r="1148" ht="15.75" customHeight="1" thickBot="1">
      <c r="A1148" s="186" t="n">
        <v>111</v>
      </c>
      <c r="B1148" s="214" t="inlineStr">
        <is>
          <t>Corned Beef</t>
        </is>
      </c>
      <c r="C1148" s="124" t="n"/>
      <c r="D1148" s="115" t="n"/>
      <c r="E1148" s="124" t="n"/>
      <c r="F1148" s="124" t="n"/>
      <c r="G1148" s="124" t="n"/>
      <c r="H1148" s="84" t="n"/>
      <c r="I1148" s="7" t="n"/>
      <c r="J1148" s="32" t="inlineStr">
        <is>
          <t>Star</t>
        </is>
      </c>
      <c r="K1148" s="24" t="n"/>
      <c r="L1148" s="36" t="n">
        <v>56.1</v>
      </c>
      <c r="M1148" s="204" t="n">
        <v>6</v>
      </c>
      <c r="N1148" s="177" t="n">
        <v>260</v>
      </c>
      <c r="O1148" s="13" t="n"/>
      <c r="P1148" s="139" t="inlineStr">
        <is>
          <t>grams</t>
        </is>
      </c>
      <c r="Q1148" s="2" t="n"/>
      <c r="R1148" s="1" t="n"/>
      <c r="S1148" s="229">
        <f>M1148*N1148</f>
        <v/>
      </c>
      <c r="T1148" s="230">
        <f>CONCATENATE(S1148,Q1148,P1148)</f>
        <v/>
      </c>
      <c r="U1148" s="206">
        <f>L1148*M1148</f>
        <v/>
      </c>
      <c r="V1148" s="4" t="n"/>
      <c r="W1148" s="4" t="n"/>
      <c r="X1148" s="4" t="n"/>
    </row>
    <row r="1149" ht="15.75" customHeight="1" thickBot="1">
      <c r="A1149" s="186" t="n">
        <v>114</v>
      </c>
      <c r="B1149" s="214" t="inlineStr">
        <is>
          <t>Cornstarch</t>
        </is>
      </c>
      <c r="C1149" s="124" t="n"/>
      <c r="D1149" s="115" t="n"/>
      <c r="E1149" s="124" t="n"/>
      <c r="F1149" s="124" t="n"/>
      <c r="G1149" s="124" t="n"/>
      <c r="H1149" s="84" t="n"/>
      <c r="I1149" s="7" t="n"/>
      <c r="J1149" s="32" t="inlineStr">
        <is>
          <t>JRS Vegetables and Seafoods</t>
        </is>
      </c>
      <c r="K1149" s="24" t="n"/>
      <c r="L1149" s="36" t="n">
        <v>65</v>
      </c>
      <c r="M1149" s="204" t="n">
        <v>5</v>
      </c>
      <c r="N1149" s="177" t="n">
        <v>1</v>
      </c>
      <c r="O1149" s="13" t="n"/>
      <c r="P1149" s="139" t="inlineStr">
        <is>
          <t>kilos</t>
        </is>
      </c>
      <c r="Q1149" s="2" t="n"/>
      <c r="R1149" s="1" t="n"/>
      <c r="S1149" s="229">
        <f>M1149*N1149</f>
        <v/>
      </c>
      <c r="T1149" s="230">
        <f>CONCATENATE(S1149,Q1149,P1149)</f>
        <v/>
      </c>
      <c r="U1149" s="206">
        <f>L1149*M1149</f>
        <v/>
      </c>
      <c r="V1149" s="4" t="n"/>
      <c r="W1149" s="4" t="n"/>
      <c r="X1149" s="4" t="n"/>
    </row>
    <row r="1150" ht="15.75" customHeight="1" thickBot="1">
      <c r="A1150" s="186" t="n">
        <v>114</v>
      </c>
      <c r="B1150" s="214" t="inlineStr">
        <is>
          <t>Cornstarch</t>
        </is>
      </c>
      <c r="C1150" s="124" t="n"/>
      <c r="D1150" s="115" t="n"/>
      <c r="E1150" s="124" t="n"/>
      <c r="F1150" s="124" t="n"/>
      <c r="G1150" s="124" t="n"/>
      <c r="H1150" s="84" t="n"/>
      <c r="I1150" s="7" t="n"/>
      <c r="J1150" s="32" t="inlineStr">
        <is>
          <t>Maya</t>
        </is>
      </c>
      <c r="K1150" s="24" t="n"/>
      <c r="L1150" s="36" t="n">
        <v>947.15</v>
      </c>
      <c r="M1150" s="204" t="n">
        <v>1</v>
      </c>
      <c r="N1150" s="177" t="n">
        <v>9600</v>
      </c>
      <c r="O1150" s="13" t="n"/>
      <c r="P1150" s="139" t="inlineStr">
        <is>
          <t>grams</t>
        </is>
      </c>
      <c r="Q1150" s="2" t="n"/>
      <c r="R1150" s="1" t="n"/>
      <c r="S1150" s="229">
        <f>M1150*N1150</f>
        <v/>
      </c>
      <c r="T1150" s="230">
        <f>CONCATENATE(S1150,Q1150,P1150)</f>
        <v/>
      </c>
      <c r="U1150" s="206">
        <f>L1150*M1150</f>
        <v/>
      </c>
      <c r="V1150" s="4" t="n"/>
      <c r="W1150" s="4" t="n"/>
      <c r="X1150" s="4" t="n"/>
    </row>
    <row r="1151" ht="15.75" customHeight="1" thickBot="1">
      <c r="A1151" s="186" t="n">
        <v>114</v>
      </c>
      <c r="B1151" s="214" t="inlineStr">
        <is>
          <t>Cornstarch</t>
        </is>
      </c>
      <c r="C1151" s="124" t="n"/>
      <c r="D1151" s="115" t="n"/>
      <c r="E1151" s="124" t="n"/>
      <c r="F1151" s="124" t="n"/>
      <c r="G1151" s="124" t="n"/>
      <c r="H1151" s="84" t="n"/>
      <c r="I1151" s="7" t="n"/>
      <c r="J1151" s="32" t="n"/>
      <c r="K1151" s="24" t="n"/>
      <c r="L1151" s="36" t="n">
        <v>54</v>
      </c>
      <c r="M1151" s="204" t="n">
        <v>3</v>
      </c>
      <c r="N1151" s="177" t="n">
        <v>1</v>
      </c>
      <c r="O1151" s="13" t="n"/>
      <c r="P1151" s="139" t="inlineStr">
        <is>
          <t>kilos</t>
        </is>
      </c>
      <c r="Q1151" s="2" t="n"/>
      <c r="R1151" s="1" t="n"/>
      <c r="S1151" s="229">
        <f>M1151*N1151</f>
        <v/>
      </c>
      <c r="T1151" s="230">
        <f>CONCATENATE(S1151,Q1151,P1151)</f>
        <v/>
      </c>
      <c r="U1151" s="206">
        <f>L1151*M1151</f>
        <v/>
      </c>
      <c r="V1151" s="4" t="n"/>
      <c r="W1151" s="4" t="n"/>
      <c r="X1151" s="4" t="n"/>
    </row>
    <row r="1152" ht="15.75" customHeight="1" thickBot="1">
      <c r="A1152" s="186" t="n">
        <v>114</v>
      </c>
      <c r="B1152" s="214" t="inlineStr">
        <is>
          <t>Cornstarch</t>
        </is>
      </c>
      <c r="C1152" s="124" t="n"/>
      <c r="D1152" s="115" t="n"/>
      <c r="E1152" s="124" t="n"/>
      <c r="F1152" s="124" t="n"/>
      <c r="G1152" s="124" t="n"/>
      <c r="H1152" s="84" t="n"/>
      <c r="I1152" s="7" t="n"/>
      <c r="J1152" s="32" t="inlineStr">
        <is>
          <t>Amparo's</t>
        </is>
      </c>
      <c r="K1152" s="24" t="n"/>
      <c r="L1152" s="36" t="n">
        <v>60</v>
      </c>
      <c r="M1152" s="204" t="n">
        <v>1</v>
      </c>
      <c r="N1152" s="177" t="n">
        <v>1000</v>
      </c>
      <c r="O1152" s="13" t="n"/>
      <c r="P1152" s="139" t="inlineStr">
        <is>
          <t>grams</t>
        </is>
      </c>
      <c r="Q1152" s="2" t="n"/>
      <c r="R1152" s="1" t="n"/>
      <c r="S1152" s="229">
        <f>M1152*N1152</f>
        <v/>
      </c>
      <c r="T1152" s="230">
        <f>CONCATENATE(S1152,Q1152,P1152)</f>
        <v/>
      </c>
      <c r="U1152" s="206">
        <f>L1152*M1152</f>
        <v/>
      </c>
      <c r="V1152" s="4" t="n"/>
      <c r="W1152" s="4" t="n"/>
      <c r="X1152" s="4" t="n"/>
    </row>
    <row r="1153" ht="15.75" customHeight="1" thickBot="1">
      <c r="A1153" s="186" t="n">
        <v>114</v>
      </c>
      <c r="B1153" s="214" t="inlineStr">
        <is>
          <t>Cornstarch</t>
        </is>
      </c>
      <c r="C1153" s="124" t="n"/>
      <c r="D1153" s="115" t="n"/>
      <c r="E1153" s="124" t="n"/>
      <c r="F1153" s="124" t="n"/>
      <c r="G1153" s="124" t="n"/>
      <c r="H1153" s="84" t="n"/>
      <c r="I1153" s="7" t="n"/>
      <c r="J1153" s="32" t="inlineStr">
        <is>
          <t>Queen</t>
        </is>
      </c>
      <c r="K1153" s="24" t="n"/>
      <c r="L1153" s="36" t="n">
        <v>48.7</v>
      </c>
      <c r="M1153" s="204" t="n">
        <v>4</v>
      </c>
      <c r="N1153" s="177" t="n">
        <v>400</v>
      </c>
      <c r="O1153" s="13" t="n"/>
      <c r="P1153" s="139" t="inlineStr">
        <is>
          <t>grams</t>
        </is>
      </c>
      <c r="Q1153" s="2" t="n"/>
      <c r="R1153" s="1" t="n"/>
      <c r="S1153" s="229">
        <f>M1153*N1153</f>
        <v/>
      </c>
      <c r="T1153" s="230">
        <f>CONCATENATE(S1153,Q1153,P1153)</f>
        <v/>
      </c>
      <c r="U1153" s="206">
        <f>L1153*M1153</f>
        <v/>
      </c>
      <c r="V1153" s="4" t="n"/>
      <c r="W1153" s="4" t="n"/>
      <c r="X1153" s="4" t="n"/>
    </row>
    <row r="1154" ht="15.75" customHeight="1" thickBot="1">
      <c r="A1154" s="186" t="n">
        <v>114</v>
      </c>
      <c r="B1154" s="214" t="inlineStr">
        <is>
          <t>Cornstarch</t>
        </is>
      </c>
      <c r="C1154" s="124" t="n"/>
      <c r="D1154" s="115" t="n"/>
      <c r="E1154" s="124" t="n"/>
      <c r="F1154" s="124" t="n"/>
      <c r="G1154" s="124" t="n"/>
      <c r="H1154" s="84" t="n"/>
      <c r="I1154" s="7" t="n"/>
      <c r="J1154" s="32" t="n"/>
      <c r="K1154" s="24" t="n"/>
      <c r="L1154" s="36" t="n">
        <v>56</v>
      </c>
      <c r="M1154" s="204" t="n">
        <v>15</v>
      </c>
      <c r="N1154" s="177" t="n">
        <v>1000</v>
      </c>
      <c r="O1154" s="13" t="n"/>
      <c r="P1154" s="139" t="inlineStr">
        <is>
          <t>grams</t>
        </is>
      </c>
      <c r="Q1154" s="2" t="n"/>
      <c r="R1154" s="1" t="n"/>
      <c r="S1154" s="229">
        <f>M1154*N1154</f>
        <v/>
      </c>
      <c r="T1154" s="230">
        <f>CONCATENATE(S1154,Q1154,P1154)</f>
        <v/>
      </c>
      <c r="U1154" s="206">
        <f>L1154*M1154</f>
        <v/>
      </c>
      <c r="V1154" s="4" t="n"/>
      <c r="W1154" s="4" t="n"/>
      <c r="X1154" s="4" t="n"/>
    </row>
    <row r="1155" ht="15.75" customHeight="1" thickBot="1">
      <c r="A1155" s="186" t="n">
        <v>114</v>
      </c>
      <c r="B1155" s="214" t="inlineStr">
        <is>
          <t>Cornstarch</t>
        </is>
      </c>
      <c r="C1155" s="124" t="n"/>
      <c r="D1155" s="115" t="n"/>
      <c r="E1155" s="124" t="n"/>
      <c r="F1155" s="124" t="n"/>
      <c r="G1155" s="124" t="n"/>
      <c r="H1155" s="84" t="n"/>
      <c r="I1155" s="7" t="n"/>
      <c r="J1155" s="32" t="inlineStr">
        <is>
          <t>Queen</t>
        </is>
      </c>
      <c r="K1155" s="24" t="n"/>
      <c r="L1155" s="36" t="n">
        <v>55</v>
      </c>
      <c r="M1155" s="204" t="n">
        <v>5</v>
      </c>
      <c r="N1155" s="177" t="n">
        <v>1000</v>
      </c>
      <c r="O1155" s="13" t="n"/>
      <c r="P1155" s="139" t="inlineStr">
        <is>
          <t>kilos</t>
        </is>
      </c>
      <c r="Q1155" s="2" t="n"/>
      <c r="R1155" s="1" t="n"/>
      <c r="S1155" s="229">
        <f>M1155*N1155</f>
        <v/>
      </c>
      <c r="T1155" s="230">
        <f>CONCATENATE(S1155,Q1155,P1155)</f>
        <v/>
      </c>
      <c r="U1155" s="206">
        <f>L1155*M1155</f>
        <v/>
      </c>
      <c r="V1155" s="4" t="n"/>
      <c r="W1155" s="4" t="n"/>
      <c r="X1155" s="4" t="n"/>
    </row>
    <row r="1156" ht="15.75" customHeight="1" thickBot="1">
      <c r="A1156" s="186" t="n">
        <v>580</v>
      </c>
      <c r="B1156" s="214" t="inlineStr">
        <is>
          <t>Couscous</t>
        </is>
      </c>
      <c r="C1156" s="124" t="n"/>
      <c r="D1156" s="115" t="n"/>
      <c r="E1156" s="124" t="n"/>
      <c r="F1156" s="124" t="n"/>
      <c r="G1156" s="124" t="n"/>
      <c r="H1156" s="84" t="n"/>
      <c r="I1156" s="7" t="n"/>
      <c r="J1156" s="32" t="n"/>
      <c r="K1156" s="24" t="n"/>
      <c r="L1156" s="36" t="n">
        <v>700</v>
      </c>
      <c r="M1156" s="204" t="n">
        <v>0</v>
      </c>
      <c r="N1156" s="177" t="n">
        <v>500</v>
      </c>
      <c r="O1156" s="13" t="n"/>
      <c r="P1156" s="139" t="inlineStr">
        <is>
          <t>grams</t>
        </is>
      </c>
      <c r="Q1156" s="2" t="n"/>
      <c r="R1156" s="1" t="n"/>
      <c r="S1156" s="229">
        <f>M1156*N1156</f>
        <v/>
      </c>
      <c r="T1156" s="230">
        <f>CONCATENATE(S1156,Q1156,P1156)</f>
        <v/>
      </c>
      <c r="U1156" s="206">
        <f>L1156*M1156</f>
        <v/>
      </c>
      <c r="V1156" s="4" t="n"/>
      <c r="W1156" s="4" t="n"/>
      <c r="X1156" s="4" t="n"/>
    </row>
    <row r="1157" ht="15.75" customHeight="1" thickBot="1">
      <c r="A1157" s="186" t="n">
        <v>115</v>
      </c>
      <c r="B1157" s="215" t="inlineStr">
        <is>
          <t>Crab and Corn</t>
        </is>
      </c>
      <c r="C1157" s="124" t="n"/>
      <c r="D1157" s="115" t="n"/>
      <c r="E1157" s="124" t="n"/>
      <c r="F1157" s="124" t="n"/>
      <c r="G1157" s="124" t="n"/>
      <c r="H1157" s="84" t="n"/>
      <c r="I1157" s="7" t="n"/>
      <c r="J1157" s="32" t="inlineStr">
        <is>
          <t>Unilever - Knorr</t>
        </is>
      </c>
      <c r="K1157" s="24" t="n"/>
      <c r="L1157" s="36" t="n">
        <v>35.9</v>
      </c>
      <c r="M1157" s="204" t="n">
        <v>1</v>
      </c>
      <c r="N1157" s="177" t="n">
        <v>37</v>
      </c>
      <c r="O1157" s="13" t="n"/>
      <c r="P1157" s="139" t="inlineStr">
        <is>
          <t>grams</t>
        </is>
      </c>
      <c r="Q1157" s="2" t="n"/>
      <c r="R1157" s="1" t="n"/>
      <c r="S1157" s="229">
        <f>M1157*N1157</f>
        <v/>
      </c>
      <c r="T1157" s="230">
        <f>CONCATENATE(S1157,Q1157,P1157)</f>
        <v/>
      </c>
      <c r="U1157" s="206">
        <f>L1157*M1157</f>
        <v/>
      </c>
      <c r="V1157" s="4" t="n"/>
      <c r="W1157" s="4" t="n"/>
      <c r="X1157" s="4" t="n"/>
    </row>
    <row r="1158" ht="15.75" customHeight="1" thickBot="1">
      <c r="A1158" s="186" t="n">
        <v>115</v>
      </c>
      <c r="B1158" s="215" t="inlineStr">
        <is>
          <t>Crab and Corn</t>
        </is>
      </c>
      <c r="C1158" s="124" t="n"/>
      <c r="D1158" s="115" t="n"/>
      <c r="E1158" s="124" t="n"/>
      <c r="F1158" s="124" t="n"/>
      <c r="G1158" s="124" t="n"/>
      <c r="H1158" s="84" t="n"/>
      <c r="I1158" s="7" t="n"/>
      <c r="J1158" s="32" t="inlineStr">
        <is>
          <t>Unilever - Knorr</t>
        </is>
      </c>
      <c r="K1158" s="24" t="n"/>
      <c r="L1158" s="36" t="n">
        <v>62</v>
      </c>
      <c r="M1158" s="204" t="n">
        <v>2</v>
      </c>
      <c r="N1158" s="177" t="n">
        <v>55</v>
      </c>
      <c r="O1158" s="13" t="n"/>
      <c r="P1158" s="139" t="inlineStr">
        <is>
          <t>grams</t>
        </is>
      </c>
      <c r="Q1158" s="2" t="n"/>
      <c r="R1158" s="1" t="n"/>
      <c r="S1158" s="229">
        <f>M1158*N1158</f>
        <v/>
      </c>
      <c r="T1158" s="230">
        <f>CONCATENATE(S1158,Q1158,P1158)</f>
        <v/>
      </c>
      <c r="U1158" s="206">
        <f>L1158*M1158</f>
        <v/>
      </c>
      <c r="V1158" s="4" t="n"/>
      <c r="W1158" s="4" t="n"/>
      <c r="X1158" s="4" t="n"/>
    </row>
    <row r="1159" ht="15.75" customHeight="1" thickBot="1">
      <c r="A1159" s="186" t="n">
        <v>581</v>
      </c>
      <c r="B1159" s="215" t="inlineStr">
        <is>
          <t>Crab Sticks</t>
        </is>
      </c>
      <c r="C1159" s="124" t="n"/>
      <c r="D1159" s="115" t="n"/>
      <c r="E1159" s="124" t="n"/>
      <c r="F1159" s="124" t="n"/>
      <c r="G1159" s="124" t="n"/>
      <c r="H1159" s="84" t="n"/>
      <c r="I1159" s="7" t="n"/>
      <c r="J1159" s="32" t="inlineStr">
        <is>
          <t>Robo</t>
        </is>
      </c>
      <c r="K1159" s="24" t="n"/>
      <c r="L1159" s="36" t="n">
        <v>186</v>
      </c>
      <c r="M1159" s="204" t="n">
        <v>0</v>
      </c>
      <c r="N1159" s="177" t="n">
        <v>500</v>
      </c>
      <c r="O1159" s="13" t="n"/>
      <c r="P1159" s="139" t="inlineStr">
        <is>
          <t>grams</t>
        </is>
      </c>
      <c r="Q1159" s="2" t="n"/>
      <c r="R1159" s="1" t="n"/>
      <c r="S1159" s="229">
        <f>M1159*N1159</f>
        <v/>
      </c>
      <c r="T1159" s="230">
        <f>CONCATENATE(S1159,Q1159,P1159)</f>
        <v/>
      </c>
      <c r="U1159" s="206">
        <f>L1159*M1159</f>
        <v/>
      </c>
      <c r="V1159" s="4" t="n"/>
      <c r="W1159" s="4" t="n"/>
      <c r="X1159" s="4" t="n"/>
    </row>
    <row r="1160" ht="15.75" customHeight="1" thickBot="1">
      <c r="A1160" s="186" t="n">
        <v>582</v>
      </c>
      <c r="B1160" s="214" t="inlineStr">
        <is>
          <t>Crackers</t>
        </is>
      </c>
      <c r="C1160" s="124" t="n"/>
      <c r="D1160" s="115" t="n"/>
      <c r="E1160" s="124" t="n"/>
      <c r="F1160" s="124" t="n"/>
      <c r="G1160" s="124" t="n"/>
      <c r="H1160" s="84" t="n"/>
      <c r="I1160" s="7" t="n"/>
      <c r="J1160" s="32" t="inlineStr">
        <is>
          <t>Rebisco - Combi Triple Choco</t>
        </is>
      </c>
      <c r="K1160" s="24" t="n"/>
      <c r="L1160" s="36" t="n">
        <v>6.13</v>
      </c>
      <c r="M1160" s="204" t="n">
        <v>50</v>
      </c>
      <c r="N1160" s="177" t="n">
        <v>30</v>
      </c>
      <c r="O1160" s="13" t="n"/>
      <c r="P1160" s="139" t="inlineStr">
        <is>
          <t>grams</t>
        </is>
      </c>
      <c r="Q1160" s="2" t="n"/>
      <c r="R1160" s="1" t="n"/>
      <c r="S1160" s="229">
        <f>M1160*N1160</f>
        <v/>
      </c>
      <c r="T1160" s="230">
        <f>CONCATENATE(S1160,Q1160,P1160)</f>
        <v/>
      </c>
      <c r="U1160" s="206">
        <f>L1160*M1160</f>
        <v/>
      </c>
      <c r="V1160" s="4" t="n"/>
      <c r="W1160" s="4" t="n"/>
      <c r="X1160" s="4" t="n"/>
    </row>
    <row r="1161" ht="15.75" customHeight="1" thickBot="1">
      <c r="A1161" s="186" t="n">
        <v>582</v>
      </c>
      <c r="B1161" s="214" t="inlineStr">
        <is>
          <t>Crackers</t>
        </is>
      </c>
      <c r="C1161" s="124" t="n"/>
      <c r="D1161" s="115" t="n"/>
      <c r="E1161" s="124" t="n"/>
      <c r="F1161" s="124" t="n"/>
      <c r="G1161" s="124" t="n"/>
      <c r="H1161" s="84" t="n"/>
      <c r="I1161" s="7" t="n"/>
      <c r="J1161" s="32" t="inlineStr">
        <is>
          <t>Jack n Jill - Magic Creams Cracker Sandwich - Choco</t>
        </is>
      </c>
      <c r="K1161" s="24" t="n"/>
      <c r="L1161" s="36" t="n">
        <v>5.71</v>
      </c>
      <c r="M1161" s="204" t="n">
        <v>30</v>
      </c>
      <c r="N1161" s="177" t="n">
        <v>28</v>
      </c>
      <c r="O1161" s="13" t="n"/>
      <c r="P1161" s="139" t="inlineStr">
        <is>
          <t>grams</t>
        </is>
      </c>
      <c r="Q1161" s="2" t="n"/>
      <c r="R1161" s="1" t="n"/>
      <c r="S1161" s="229">
        <f>M1161*N1161</f>
        <v/>
      </c>
      <c r="T1161" s="230">
        <f>CONCATENATE(S1161,Q1161,P1161)</f>
        <v/>
      </c>
      <c r="U1161" s="206">
        <f>L1161*M1161</f>
        <v/>
      </c>
      <c r="V1161" s="4" t="n"/>
      <c r="W1161" s="4" t="n"/>
      <c r="X1161" s="4" t="n"/>
    </row>
    <row r="1162" ht="15.75" customHeight="1" thickBot="1">
      <c r="A1162" s="186" t="n">
        <v>582</v>
      </c>
      <c r="B1162" s="215" t="inlineStr">
        <is>
          <t>Crackers</t>
        </is>
      </c>
      <c r="C1162" s="124" t="n"/>
      <c r="D1162" s="115" t="n"/>
      <c r="E1162" s="124" t="n"/>
      <c r="F1162" s="124" t="n"/>
      <c r="G1162" s="124" t="n"/>
      <c r="H1162" s="84" t="n"/>
      <c r="I1162" s="7" t="n"/>
      <c r="J1162" s="32" t="inlineStr">
        <is>
          <t>M.Y. San - Sky Flakes</t>
        </is>
      </c>
      <c r="K1162" s="24" t="n"/>
      <c r="L1162" s="36" t="n">
        <v>5.51</v>
      </c>
      <c r="M1162" s="204" t="n">
        <v>6</v>
      </c>
      <c r="N1162" s="177" t="n">
        <v>25</v>
      </c>
      <c r="O1162" s="13" t="n"/>
      <c r="P1162" s="139" t="inlineStr">
        <is>
          <t>grams</t>
        </is>
      </c>
      <c r="Q1162" s="2" t="n"/>
      <c r="R1162" s="1" t="n"/>
      <c r="S1162" s="229">
        <f>M1162*N1162</f>
        <v/>
      </c>
      <c r="T1162" s="230">
        <f>CONCATENATE(S1162,Q1162,P1162)</f>
        <v/>
      </c>
      <c r="U1162" s="206">
        <f>L1162*M1162</f>
        <v/>
      </c>
      <c r="V1162" s="4" t="n"/>
      <c r="W1162" s="4" t="n"/>
      <c r="X1162" s="4" t="n"/>
    </row>
    <row r="1163" ht="15.75" customHeight="1" thickBot="1">
      <c r="A1163" s="186" t="n">
        <v>582</v>
      </c>
      <c r="B1163" s="215" t="inlineStr">
        <is>
          <t>Crackers</t>
        </is>
      </c>
      <c r="C1163" s="124" t="n"/>
      <c r="D1163" s="115" t="n"/>
      <c r="E1163" s="124" t="n"/>
      <c r="F1163" s="124" t="n"/>
      <c r="G1163" s="124" t="n"/>
      <c r="H1163" s="84" t="n"/>
      <c r="I1163" s="7" t="n"/>
      <c r="J1163" s="32" t="inlineStr">
        <is>
          <t>M.Y. San - Sky Flakes</t>
        </is>
      </c>
      <c r="K1163" s="24" t="n"/>
      <c r="L1163" s="36" t="n">
        <v>5.51</v>
      </c>
      <c r="M1163" s="204" t="n">
        <v>72</v>
      </c>
      <c r="N1163" s="177" t="n">
        <v>25</v>
      </c>
      <c r="O1163" s="13" t="n"/>
      <c r="P1163" s="139" t="inlineStr">
        <is>
          <t>grams</t>
        </is>
      </c>
      <c r="Q1163" s="2" t="n"/>
      <c r="R1163" s="1" t="n"/>
      <c r="S1163" s="229">
        <f>M1163*N1163</f>
        <v/>
      </c>
      <c r="T1163" s="230">
        <f>CONCATENATE(S1163,Q1163,P1163)</f>
        <v/>
      </c>
      <c r="U1163" s="206">
        <f>L1163*M1163</f>
        <v/>
      </c>
      <c r="V1163" s="4" t="n"/>
      <c r="W1163" s="4" t="n"/>
      <c r="X1163" s="4" t="n"/>
    </row>
    <row r="1164" ht="15.75" customHeight="1" thickBot="1">
      <c r="A1164" s="186" t="n">
        <v>582</v>
      </c>
      <c r="B1164" s="215" t="inlineStr">
        <is>
          <t>Crackers</t>
        </is>
      </c>
      <c r="C1164" s="124" t="n"/>
      <c r="D1164" s="115" t="n"/>
      <c r="E1164" s="124" t="n"/>
      <c r="F1164" s="124" t="n"/>
      <c r="G1164" s="124" t="n"/>
      <c r="H1164" s="84" t="n"/>
      <c r="I1164" s="7" t="n"/>
      <c r="J1164" s="32" t="inlineStr">
        <is>
          <t>M.Y. San - Sky Flakes</t>
        </is>
      </c>
      <c r="K1164" s="24" t="n"/>
      <c r="L1164" s="36" t="n">
        <v>201</v>
      </c>
      <c r="M1164" s="204" t="n">
        <v>2</v>
      </c>
      <c r="N1164" s="177" t="n">
        <v>1</v>
      </c>
      <c r="O1164" s="13" t="n"/>
      <c r="P1164" s="139" t="inlineStr">
        <is>
          <t>tub</t>
        </is>
      </c>
      <c r="Q1164" s="2" t="n"/>
      <c r="R1164" s="1" t="n"/>
      <c r="S1164" s="229">
        <f>M1164*N1164</f>
        <v/>
      </c>
      <c r="T1164" s="230">
        <f>CONCATENATE(S1164,Q1164,P1164)</f>
        <v/>
      </c>
      <c r="U1164" s="206">
        <f>L1164*M1164</f>
        <v/>
      </c>
      <c r="V1164" s="4" t="n"/>
      <c r="W1164" s="4" t="n"/>
      <c r="X1164" s="4" t="n"/>
    </row>
    <row r="1165" ht="15.75" customHeight="1" thickBot="1">
      <c r="A1165" s="186" t="n">
        <v>582</v>
      </c>
      <c r="B1165" s="215" t="inlineStr">
        <is>
          <t>Crackers</t>
        </is>
      </c>
      <c r="C1165" s="124" t="n"/>
      <c r="D1165" s="115" t="n"/>
      <c r="E1165" s="124" t="n"/>
      <c r="F1165" s="124" t="n"/>
      <c r="G1165" s="124" t="n"/>
      <c r="H1165" s="84" t="n"/>
      <c r="I1165" s="7" t="n"/>
      <c r="J1165" s="32" t="inlineStr">
        <is>
          <t>M.Y. San - Sky Flakes</t>
        </is>
      </c>
      <c r="K1165" s="24" t="n"/>
      <c r="L1165" s="36" t="n">
        <v>5.85</v>
      </c>
      <c r="M1165" s="204" t="n">
        <v>20</v>
      </c>
      <c r="N1165" s="177" t="n">
        <v>10</v>
      </c>
      <c r="O1165" s="13" t="n"/>
      <c r="P1165" s="139" t="inlineStr">
        <is>
          <t>pieces</t>
        </is>
      </c>
      <c r="Q1165" s="2" t="n"/>
      <c r="R1165" s="1" t="n"/>
      <c r="S1165" s="229">
        <f>M1165*N1165</f>
        <v/>
      </c>
      <c r="T1165" s="230">
        <f>CONCATENATE(S1165,Q1165,P1165)</f>
        <v/>
      </c>
      <c r="U1165" s="206">
        <f>L1165*M1165</f>
        <v/>
      </c>
      <c r="V1165" s="4" t="n"/>
      <c r="W1165" s="4" t="n"/>
      <c r="X1165" s="4" t="n"/>
    </row>
    <row r="1166" ht="15.75" customHeight="1" thickBot="1">
      <c r="A1166" s="186" t="n">
        <v>582</v>
      </c>
      <c r="B1166" s="215" t="inlineStr">
        <is>
          <t>Crackers</t>
        </is>
      </c>
      <c r="C1166" s="124" t="n"/>
      <c r="D1166" s="115" t="n"/>
      <c r="E1166" s="124" t="n"/>
      <c r="F1166" s="124" t="n"/>
      <c r="G1166" s="124" t="n"/>
      <c r="H1166" s="84" t="n"/>
      <c r="I1166" s="7" t="n"/>
      <c r="J1166" s="32" t="inlineStr">
        <is>
          <t>M.Y. San - Sky Flakes Sweet Butter</t>
        </is>
      </c>
      <c r="K1166" s="24" t="n"/>
      <c r="L1166" s="36" t="n">
        <v>6.66</v>
      </c>
      <c r="M1166" s="204" t="n">
        <v>30</v>
      </c>
      <c r="N1166" s="177" t="n">
        <v>10</v>
      </c>
      <c r="O1166" s="13" t="n"/>
      <c r="P1166" s="139" t="inlineStr">
        <is>
          <t>pieces</t>
        </is>
      </c>
      <c r="Q1166" s="2" t="n"/>
      <c r="R1166" s="1" t="n"/>
      <c r="S1166" s="229">
        <f>M1166*N1166</f>
        <v/>
      </c>
      <c r="T1166" s="230">
        <f>CONCATENATE(S1166,Q1166,P1166)</f>
        <v/>
      </c>
      <c r="U1166" s="206">
        <f>L1166*M1166</f>
        <v/>
      </c>
      <c r="V1166" s="4" t="n"/>
      <c r="W1166" s="4" t="n"/>
      <c r="X1166" s="4" t="n"/>
    </row>
    <row r="1167" ht="15.75" customHeight="1" thickBot="1">
      <c r="A1167" s="186" t="n">
        <v>582</v>
      </c>
      <c r="B1167" s="215" t="inlineStr">
        <is>
          <t>Crackers</t>
        </is>
      </c>
      <c r="C1167" s="124" t="n"/>
      <c r="D1167" s="115" t="n"/>
      <c r="E1167" s="124" t="n"/>
      <c r="F1167" s="124" t="n"/>
      <c r="G1167" s="124" t="n"/>
      <c r="H1167" s="84" t="n"/>
      <c r="I1167" s="7" t="n"/>
      <c r="J1167" s="32" t="inlineStr">
        <is>
          <t>M.Y. San - Sky Flakes</t>
        </is>
      </c>
      <c r="K1167" s="24" t="n"/>
      <c r="L1167" s="36" t="n">
        <v>58.5</v>
      </c>
      <c r="M1167" s="204" t="n">
        <v>20</v>
      </c>
      <c r="N1167" s="177" t="n">
        <v>25</v>
      </c>
      <c r="O1167" s="13" t="n"/>
      <c r="P1167" s="139" t="inlineStr">
        <is>
          <t>grams</t>
        </is>
      </c>
      <c r="Q1167" s="2" t="n"/>
      <c r="R1167" s="1" t="n"/>
      <c r="S1167" s="229">
        <f>M1167*N1167</f>
        <v/>
      </c>
      <c r="T1167" s="230">
        <f>CONCATENATE(S1167,Q1167,P1167)</f>
        <v/>
      </c>
      <c r="U1167" s="206">
        <f>L1167*M1167</f>
        <v/>
      </c>
      <c r="V1167" s="4" t="n"/>
      <c r="W1167" s="4" t="n"/>
      <c r="X1167" s="4" t="n"/>
    </row>
    <row r="1168" ht="15.75" customHeight="1" thickBot="1">
      <c r="A1168" s="186" t="n">
        <v>582</v>
      </c>
      <c r="B1168" s="215" t="inlineStr">
        <is>
          <t>Crackers</t>
        </is>
      </c>
      <c r="C1168" s="124" t="n"/>
      <c r="D1168" s="115" t="n"/>
      <c r="E1168" s="124" t="n"/>
      <c r="F1168" s="124" t="n"/>
      <c r="G1168" s="124" t="n"/>
      <c r="H1168" s="84" t="n"/>
      <c r="I1168" s="7" t="n"/>
      <c r="J1168" s="32" t="inlineStr">
        <is>
          <t>M.Y. San - Sky Flakes - Condensada</t>
        </is>
      </c>
      <c r="K1168" s="24" t="n"/>
      <c r="L1168" s="36" t="n">
        <v>6.66</v>
      </c>
      <c r="M1168" s="204" t="n">
        <v>16</v>
      </c>
      <c r="N1168" s="177" t="n">
        <v>10</v>
      </c>
      <c r="O1168" s="13" t="n"/>
      <c r="P1168" s="139" t="inlineStr">
        <is>
          <t>pieces</t>
        </is>
      </c>
      <c r="Q1168" s="2" t="n"/>
      <c r="R1168" s="1" t="n"/>
      <c r="S1168" s="229">
        <f>M1168*N1168</f>
        <v/>
      </c>
      <c r="T1168" s="230">
        <f>CONCATENATE(S1168,Q1168,P1168)</f>
        <v/>
      </c>
      <c r="U1168" s="206">
        <f>L1168*M1168</f>
        <v/>
      </c>
      <c r="V1168" s="4" t="n"/>
      <c r="W1168" s="4" t="n"/>
      <c r="X1168" s="4" t="n"/>
    </row>
    <row r="1169" ht="15.75" customHeight="1" thickBot="1">
      <c r="A1169" s="186" t="n">
        <v>582</v>
      </c>
      <c r="B1169" s="214" t="inlineStr">
        <is>
          <t>Crackers</t>
        </is>
      </c>
      <c r="C1169" s="124" t="n"/>
      <c r="D1169" s="115" t="n"/>
      <c r="E1169" s="124" t="n"/>
      <c r="F1169" s="124" t="n"/>
      <c r="G1169" s="124" t="n"/>
      <c r="H1169" s="84" t="n"/>
      <c r="I1169" s="7" t="n"/>
      <c r="J1169" s="32" t="inlineStr">
        <is>
          <t>Rebisco Crackers</t>
        </is>
      </c>
      <c r="K1169" s="24" t="n"/>
      <c r="L1169" s="36" t="n">
        <v>5.7</v>
      </c>
      <c r="M1169" s="204" t="n">
        <v>6</v>
      </c>
      <c r="N1169" s="177" t="n">
        <v>33</v>
      </c>
      <c r="O1169" s="13" t="n"/>
      <c r="P1169" s="139" t="inlineStr">
        <is>
          <t>grams</t>
        </is>
      </c>
      <c r="Q1169" s="2" t="n"/>
      <c r="R1169" s="1" t="n"/>
      <c r="S1169" s="229">
        <f>M1169*N1169</f>
        <v/>
      </c>
      <c r="T1169" s="230">
        <f>CONCATENATE(S1169,Q1169,P1169)</f>
        <v/>
      </c>
      <c r="U1169" s="206">
        <f>L1169*M1169</f>
        <v/>
      </c>
      <c r="V1169" s="4" t="n"/>
      <c r="W1169" s="4" t="n"/>
      <c r="X1169" s="4" t="n"/>
    </row>
    <row r="1170" ht="15.75" customHeight="1" thickBot="1">
      <c r="A1170" s="186" t="n">
        <v>582</v>
      </c>
      <c r="B1170" s="214" t="inlineStr">
        <is>
          <t>Crackers</t>
        </is>
      </c>
      <c r="C1170" s="124" t="n"/>
      <c r="D1170" s="115" t="n"/>
      <c r="E1170" s="124" t="n"/>
      <c r="F1170" s="124" t="n"/>
      <c r="G1170" s="124" t="n"/>
      <c r="H1170" s="84" t="n"/>
      <c r="I1170" s="7" t="n"/>
      <c r="J1170" s="32" t="inlineStr">
        <is>
          <t>Rebisco - Pastillas</t>
        </is>
      </c>
      <c r="K1170" s="24" t="n"/>
      <c r="L1170" s="36" t="n">
        <v>5.6</v>
      </c>
      <c r="M1170" s="204" t="n">
        <v>7</v>
      </c>
      <c r="N1170" s="177" t="n">
        <v>30</v>
      </c>
      <c r="O1170" s="13" t="n"/>
      <c r="P1170" s="139" t="inlineStr">
        <is>
          <t>grams</t>
        </is>
      </c>
      <c r="Q1170" s="2" t="n"/>
      <c r="R1170" s="1" t="n"/>
      <c r="S1170" s="229">
        <f>M1170*N1170</f>
        <v/>
      </c>
      <c r="T1170" s="230">
        <f>CONCATENATE(S1170,Q1170,P1170)</f>
        <v/>
      </c>
      <c r="U1170" s="206">
        <f>L1170*M1170</f>
        <v/>
      </c>
      <c r="V1170" s="4" t="n"/>
      <c r="W1170" s="4" t="n"/>
      <c r="X1170" s="4" t="n"/>
    </row>
    <row r="1171" ht="15.75" customHeight="1" thickBot="1">
      <c r="A1171" s="186" t="n">
        <v>582</v>
      </c>
      <c r="B1171" s="214" t="inlineStr">
        <is>
          <t>Crackers</t>
        </is>
      </c>
      <c r="C1171" s="124" t="n"/>
      <c r="D1171" s="115" t="n"/>
      <c r="E1171" s="124" t="n"/>
      <c r="F1171" s="124" t="n"/>
      <c r="G1171" s="124" t="n"/>
      <c r="H1171" s="84" t="n"/>
      <c r="I1171" s="7" t="n"/>
      <c r="J1171" s="32" t="inlineStr">
        <is>
          <t>Jack n Jill - Magic Creams Cracker Sandwich - Butter/box (10pcsx28grams)</t>
        </is>
      </c>
      <c r="K1171" s="24" t="n"/>
      <c r="L1171" s="36" t="n">
        <v>5.71</v>
      </c>
      <c r="M1171" s="204" t="n">
        <v>30</v>
      </c>
      <c r="N1171" s="177" t="n">
        <v>10</v>
      </c>
      <c r="O1171" s="13" t="n"/>
      <c r="P1171" s="139" t="inlineStr">
        <is>
          <t>pieces</t>
        </is>
      </c>
      <c r="Q1171" s="2" t="n"/>
      <c r="R1171" s="1" t="n"/>
      <c r="S1171" s="229">
        <f>M1171*N1171</f>
        <v/>
      </c>
      <c r="T1171" s="230">
        <f>CONCATENATE(S1171,Q1171,P1171)</f>
        <v/>
      </c>
      <c r="U1171" s="206">
        <f>L1171*M1171</f>
        <v/>
      </c>
      <c r="V1171" s="4" t="n"/>
      <c r="W1171" s="4" t="n"/>
      <c r="X1171" s="4" t="n"/>
    </row>
    <row r="1172" ht="15.75" customHeight="1" thickBot="1">
      <c r="A1172" s="186" t="n">
        <v>582</v>
      </c>
      <c r="B1172" s="214" t="inlineStr">
        <is>
          <t>Crackers</t>
        </is>
      </c>
      <c r="C1172" s="124" t="n"/>
      <c r="D1172" s="115" t="n"/>
      <c r="E1172" s="124" t="n"/>
      <c r="F1172" s="124" t="n"/>
      <c r="G1172" s="124" t="n"/>
      <c r="H1172" s="84" t="n"/>
      <c r="I1172" s="7" t="n"/>
      <c r="J1172" s="32" t="inlineStr">
        <is>
          <t>Jack n Jill - Magic Creams Cracker Sandwich - Condensada/box (10pcsx28grams)</t>
        </is>
      </c>
      <c r="K1172" s="24" t="n"/>
      <c r="L1172" s="36" t="n">
        <v>5.71</v>
      </c>
      <c r="M1172" s="204" t="n">
        <v>30</v>
      </c>
      <c r="N1172" s="177" t="n">
        <v>10</v>
      </c>
      <c r="O1172" s="13" t="n"/>
      <c r="P1172" s="139" t="inlineStr">
        <is>
          <t>pieces</t>
        </is>
      </c>
      <c r="Q1172" s="2" t="n"/>
      <c r="R1172" s="1" t="n"/>
      <c r="S1172" s="229">
        <f>M1172*N1172</f>
        <v/>
      </c>
      <c r="T1172" s="230">
        <f>CONCATENATE(S1172,Q1172,P1172)</f>
        <v/>
      </c>
      <c r="U1172" s="206">
        <f>L1172*M1172</f>
        <v/>
      </c>
      <c r="V1172" s="4" t="n"/>
      <c r="W1172" s="4" t="n"/>
      <c r="X1172" s="4" t="n"/>
    </row>
    <row r="1173" ht="15.75" customHeight="1" thickBot="1">
      <c r="A1173" s="186" t="n">
        <v>582</v>
      </c>
      <c r="B1173" s="214" t="inlineStr">
        <is>
          <t>Crackers</t>
        </is>
      </c>
      <c r="C1173" s="124" t="n"/>
      <c r="D1173" s="115" t="n"/>
      <c r="E1173" s="124" t="n"/>
      <c r="F1173" s="124" t="n"/>
      <c r="G1173" s="124" t="n"/>
      <c r="H1173" s="84" t="n"/>
      <c r="I1173" s="7" t="n"/>
      <c r="J1173" s="32" t="inlineStr">
        <is>
          <t>Jack n jill - Magic Creams Cracker Sandwich - Peanut Butter/box (10pcsx28grams)</t>
        </is>
      </c>
      <c r="K1173" s="24" t="n"/>
      <c r="L1173" s="36" t="n">
        <v>5.71</v>
      </c>
      <c r="M1173" s="204" t="n">
        <v>60</v>
      </c>
      <c r="N1173" s="177" t="n">
        <v>10</v>
      </c>
      <c r="O1173" s="13" t="n"/>
      <c r="P1173" s="139" t="inlineStr">
        <is>
          <t>pieces</t>
        </is>
      </c>
      <c r="Q1173" s="2" t="n"/>
      <c r="R1173" s="1" t="n"/>
      <c r="S1173" s="229">
        <f>M1173*N1173</f>
        <v/>
      </c>
      <c r="T1173" s="230">
        <f>CONCATENATE(S1173,Q1173,P1173)</f>
        <v/>
      </c>
      <c r="U1173" s="206">
        <f>L1173*M1173</f>
        <v/>
      </c>
      <c r="V1173" s="4" t="n"/>
      <c r="W1173" s="4" t="n"/>
      <c r="X1173" s="4" t="n"/>
    </row>
    <row r="1174" ht="15.75" customHeight="1" thickBot="1">
      <c r="A1174" s="186" t="n">
        <v>582</v>
      </c>
      <c r="B1174" s="214" t="inlineStr">
        <is>
          <t>Crackers</t>
        </is>
      </c>
      <c r="C1174" s="124" t="n"/>
      <c r="D1174" s="115" t="n"/>
      <c r="E1174" s="124" t="n"/>
      <c r="F1174" s="124" t="n"/>
      <c r="G1174" s="124" t="n"/>
      <c r="H1174" s="84" t="n"/>
      <c r="I1174" s="7" t="n"/>
      <c r="J1174" s="32" t="inlineStr">
        <is>
          <t>Jack n Jill - Magic Flakes Cheese/pack (10pcsx28grams)</t>
        </is>
      </c>
      <c r="K1174" s="24" t="n"/>
      <c r="L1174" s="36" t="n">
        <v>5.6</v>
      </c>
      <c r="M1174" s="204" t="n">
        <v>60</v>
      </c>
      <c r="N1174" s="177" t="n">
        <v>10</v>
      </c>
      <c r="O1174" s="13" t="n"/>
      <c r="P1174" s="139" t="inlineStr">
        <is>
          <t>pieces</t>
        </is>
      </c>
      <c r="Q1174" s="2" t="n"/>
      <c r="R1174" s="1" t="n"/>
      <c r="S1174" s="229">
        <f>M1174*N1174</f>
        <v/>
      </c>
      <c r="T1174" s="230">
        <f>CONCATENATE(S1174,Q1174,P1174)</f>
        <v/>
      </c>
      <c r="U1174" s="206">
        <f>L1174*M1174</f>
        <v/>
      </c>
      <c r="V1174" s="4" t="n"/>
      <c r="W1174" s="4" t="n"/>
      <c r="X1174" s="4" t="n"/>
    </row>
    <row r="1175" ht="15.75" customHeight="1" thickBot="1">
      <c r="A1175" s="186" t="n">
        <v>582</v>
      </c>
      <c r="B1175" s="214" t="inlineStr">
        <is>
          <t>Crackers</t>
        </is>
      </c>
      <c r="C1175" s="124" t="n"/>
      <c r="D1175" s="115" t="n"/>
      <c r="E1175" s="124" t="n"/>
      <c r="F1175" s="124" t="n"/>
      <c r="G1175" s="124" t="n"/>
      <c r="H1175" s="84" t="n"/>
      <c r="I1175" s="7" t="n"/>
      <c r="J1175" s="32" t="inlineStr">
        <is>
          <t>Jack n Jill - Magic Flakes Cheese 28g</t>
        </is>
      </c>
      <c r="K1175" s="24" t="n"/>
      <c r="L1175" s="36" t="n">
        <v>5.6</v>
      </c>
      <c r="M1175" s="204" t="n">
        <v>10</v>
      </c>
      <c r="N1175" s="177" t="n">
        <v>1</v>
      </c>
      <c r="O1175" s="13" t="n"/>
      <c r="P1175" s="139" t="inlineStr">
        <is>
          <t>pieces</t>
        </is>
      </c>
      <c r="Q1175" s="2" t="n"/>
      <c r="R1175" s="1" t="n"/>
      <c r="S1175" s="229">
        <f>M1175*N1175</f>
        <v/>
      </c>
      <c r="T1175" s="230">
        <f>CONCATENATE(S1175,Q1175,P1175)</f>
        <v/>
      </c>
      <c r="U1175" s="206">
        <f>L1175*M1175</f>
        <v/>
      </c>
      <c r="V1175" s="4" t="n"/>
      <c r="W1175" s="4" t="n"/>
      <c r="X1175" s="4" t="n"/>
    </row>
    <row r="1176" ht="15.75" customHeight="1" thickBot="1">
      <c r="A1176" s="186" t="n">
        <v>582</v>
      </c>
      <c r="B1176" s="214" t="inlineStr">
        <is>
          <t>Crackers</t>
        </is>
      </c>
      <c r="C1176" s="124" t="n"/>
      <c r="D1176" s="115" t="n"/>
      <c r="E1176" s="124" t="n"/>
      <c r="F1176" s="124" t="n"/>
      <c r="G1176" s="124" t="n"/>
      <c r="H1176" s="84" t="n"/>
      <c r="I1176" s="7" t="n"/>
      <c r="J1176" s="32" t="inlineStr">
        <is>
          <t>Rebisco - Choco</t>
        </is>
      </c>
      <c r="K1176" s="24" t="n"/>
      <c r="L1176" s="36" t="n">
        <v>5.9</v>
      </c>
      <c r="M1176" s="204" t="n">
        <v>10</v>
      </c>
      <c r="N1176" s="177" t="n">
        <v>30</v>
      </c>
      <c r="O1176" s="13" t="n"/>
      <c r="P1176" s="139" t="inlineStr">
        <is>
          <t>grams</t>
        </is>
      </c>
      <c r="Q1176" s="2" t="n"/>
      <c r="R1176" s="1" t="n"/>
      <c r="S1176" s="229">
        <f>M1176*N1176</f>
        <v/>
      </c>
      <c r="T1176" s="230">
        <f>CONCATENATE(S1176,Q1176,P1176)</f>
        <v/>
      </c>
      <c r="U1176" s="206">
        <f>L1176*M1176</f>
        <v/>
      </c>
      <c r="V1176" s="4" t="n"/>
      <c r="W1176" s="4" t="n"/>
      <c r="X1176" s="4" t="n"/>
    </row>
    <row r="1177" ht="15.75" customHeight="1" thickBot="1">
      <c r="A1177" s="186" t="n">
        <v>117</v>
      </c>
      <c r="B1177" s="214" t="inlineStr">
        <is>
          <t>Cream Dory Fish Fillet</t>
        </is>
      </c>
      <c r="C1177" s="124" t="n"/>
      <c r="D1177" s="115" t="n"/>
      <c r="E1177" s="124" t="n"/>
      <c r="F1177" s="124" t="n"/>
      <c r="G1177" s="124" t="n"/>
      <c r="H1177" s="84" t="n"/>
      <c r="I1177" s="7" t="n"/>
      <c r="J1177" s="32" t="n"/>
      <c r="K1177" s="24" t="n"/>
      <c r="L1177" s="36" t="n">
        <v>144</v>
      </c>
      <c r="M1177" s="204" t="n">
        <v>3</v>
      </c>
      <c r="N1177" s="177" t="n">
        <v>1000</v>
      </c>
      <c r="O1177" s="13" t="n"/>
      <c r="P1177" s="139" t="inlineStr">
        <is>
          <t>grams</t>
        </is>
      </c>
      <c r="Q1177" s="2" t="n"/>
      <c r="R1177" s="1" t="n"/>
      <c r="S1177" s="229">
        <f>M1177*N1177</f>
        <v/>
      </c>
      <c r="T1177" s="230">
        <f>CONCATENATE(S1177,Q1177,P1177)</f>
        <v/>
      </c>
      <c r="U1177" s="206">
        <f>L1177*M1177</f>
        <v/>
      </c>
      <c r="V1177" s="4" t="n"/>
      <c r="W1177" s="4" t="n"/>
      <c r="X1177" s="4" t="n"/>
    </row>
    <row r="1178" ht="15.75" customHeight="1" thickBot="1">
      <c r="A1178" s="186" t="n">
        <v>117</v>
      </c>
      <c r="B1178" s="214" t="inlineStr">
        <is>
          <t>Cream Dory Fish Fillet</t>
        </is>
      </c>
      <c r="C1178" s="124" t="n"/>
      <c r="D1178" s="115" t="n"/>
      <c r="E1178" s="124" t="n"/>
      <c r="F1178" s="124" t="n"/>
      <c r="G1178" s="124" t="n"/>
      <c r="H1178" s="84" t="n"/>
      <c r="I1178" s="7" t="n"/>
      <c r="J1178" s="32" t="n"/>
      <c r="K1178" s="24" t="n"/>
      <c r="L1178" s="36" t="n">
        <v>165</v>
      </c>
      <c r="M1178" s="204" t="n">
        <v>1</v>
      </c>
      <c r="N1178" s="177" t="n">
        <v>1000</v>
      </c>
      <c r="O1178" s="13" t="n"/>
      <c r="P1178" s="139" t="inlineStr">
        <is>
          <t>grams</t>
        </is>
      </c>
      <c r="Q1178" s="2" t="n"/>
      <c r="R1178" s="1" t="n"/>
      <c r="S1178" s="229">
        <f>M1178*N1178</f>
        <v/>
      </c>
      <c r="T1178" s="230">
        <f>CONCATENATE(S1178,Q1178,P1178)</f>
        <v/>
      </c>
      <c r="U1178" s="206">
        <f>L1178*M1178</f>
        <v/>
      </c>
      <c r="V1178" s="4" t="n"/>
      <c r="W1178" s="4" t="n"/>
      <c r="X1178" s="4" t="n"/>
    </row>
    <row r="1179" ht="15.75" customHeight="1" thickBot="1">
      <c r="A1179" s="186" t="n">
        <v>583</v>
      </c>
      <c r="B1179" s="215" t="inlineStr">
        <is>
          <t>Cream of Corn</t>
        </is>
      </c>
      <c r="C1179" s="124" t="n"/>
      <c r="D1179" s="115" t="n"/>
      <c r="E1179" s="124" t="n"/>
      <c r="F1179" s="124" t="n"/>
      <c r="G1179" s="124" t="n"/>
      <c r="H1179" s="84" t="n"/>
      <c r="I1179" s="7" t="n"/>
      <c r="J1179" s="32" t="inlineStr">
        <is>
          <t>Jolly</t>
        </is>
      </c>
      <c r="K1179" s="24" t="n"/>
      <c r="L1179" s="36" t="n">
        <v>44.75</v>
      </c>
      <c r="M1179" s="204" t="n">
        <v>3</v>
      </c>
      <c r="N1179" s="177" t="n">
        <v>425</v>
      </c>
      <c r="O1179" s="13" t="n"/>
      <c r="P1179" s="139" t="inlineStr">
        <is>
          <t>grams</t>
        </is>
      </c>
      <c r="Q1179" s="2" t="n"/>
      <c r="R1179" s="1" t="n"/>
      <c r="S1179" s="229">
        <f>M1179*N1179</f>
        <v/>
      </c>
      <c r="T1179" s="230">
        <f>CONCATENATE(S1179,Q1179,P1179)</f>
        <v/>
      </c>
      <c r="U1179" s="206">
        <f>L1179*M1179</f>
        <v/>
      </c>
      <c r="V1179" s="4" t="n"/>
      <c r="W1179" s="4" t="n"/>
      <c r="X1179" s="4" t="n"/>
    </row>
    <row r="1180" ht="15.75" customHeight="1" thickBot="1">
      <c r="A1180" s="186" t="n">
        <v>583</v>
      </c>
      <c r="B1180" s="215" t="inlineStr">
        <is>
          <t>Cream of Corn</t>
        </is>
      </c>
      <c r="C1180" s="124" t="n"/>
      <c r="D1180" s="115" t="n"/>
      <c r="E1180" s="124" t="n"/>
      <c r="F1180" s="124" t="n"/>
      <c r="G1180" s="124" t="n"/>
      <c r="H1180" s="84" t="n"/>
      <c r="I1180" s="7" t="n"/>
      <c r="J1180" s="32" t="inlineStr">
        <is>
          <t>Jolly</t>
        </is>
      </c>
      <c r="K1180" s="24" t="n"/>
      <c r="L1180" s="36" t="n">
        <v>56.3</v>
      </c>
      <c r="M1180" s="204" t="n">
        <v>4</v>
      </c>
      <c r="N1180" s="177" t="n">
        <v>425</v>
      </c>
      <c r="O1180" s="13" t="n"/>
      <c r="P1180" s="139" t="inlineStr">
        <is>
          <t>grams</t>
        </is>
      </c>
      <c r="Q1180" s="2" t="n"/>
      <c r="R1180" s="1" t="n"/>
      <c r="S1180" s="229">
        <f>M1180*N1180</f>
        <v/>
      </c>
      <c r="T1180" s="230">
        <f>CONCATENATE(S1180,Q1180,P1180)</f>
        <v/>
      </c>
      <c r="U1180" s="206">
        <f>L1180*M1180</f>
        <v/>
      </c>
      <c r="V1180" s="4" t="n"/>
      <c r="W1180" s="4" t="n"/>
      <c r="X1180" s="4" t="n"/>
    </row>
    <row r="1181" ht="15.75" customHeight="1" thickBot="1">
      <c r="A1181" s="186" t="n">
        <v>583</v>
      </c>
      <c r="B1181" s="214" t="inlineStr">
        <is>
          <t>Cream of Corn</t>
        </is>
      </c>
      <c r="C1181" s="124" t="n"/>
      <c r="D1181" s="115" t="n"/>
      <c r="E1181" s="124" t="n"/>
      <c r="F1181" s="124" t="n"/>
      <c r="G1181" s="124" t="n"/>
      <c r="H1181" s="84" t="n"/>
      <c r="I1181" s="7" t="n"/>
      <c r="J1181" s="32" t="inlineStr">
        <is>
          <t>Golden Sweet</t>
        </is>
      </c>
      <c r="K1181" s="24" t="n"/>
      <c r="L1181" s="36" t="n">
        <v>52.6</v>
      </c>
      <c r="M1181" s="204" t="n">
        <v>5</v>
      </c>
      <c r="N1181" s="177" t="n">
        <v>425</v>
      </c>
      <c r="O1181" s="13" t="n"/>
      <c r="P1181" s="139" t="inlineStr">
        <is>
          <t>grams</t>
        </is>
      </c>
      <c r="Q1181" s="2" t="n"/>
      <c r="R1181" s="1" t="n"/>
      <c r="S1181" s="229">
        <f>M1181*N1181</f>
        <v/>
      </c>
      <c r="T1181" s="230">
        <f>CONCATENATE(S1181,Q1181,P1181)</f>
        <v/>
      </c>
      <c r="U1181" s="206">
        <f>L1181*M1181</f>
        <v/>
      </c>
      <c r="V1181" s="4" t="n"/>
      <c r="W1181" s="4" t="n"/>
      <c r="X1181" s="4" t="n"/>
    </row>
    <row r="1182" ht="15.75" customHeight="1" thickBot="1">
      <c r="A1182" s="186" t="n">
        <v>121</v>
      </c>
      <c r="B1182" s="214" t="inlineStr">
        <is>
          <t>Cream of Mushroom</t>
        </is>
      </c>
      <c r="C1182" s="124" t="n"/>
      <c r="D1182" s="115" t="n"/>
      <c r="E1182" s="124" t="n"/>
      <c r="F1182" s="124" t="n"/>
      <c r="G1182" s="124" t="n"/>
      <c r="H1182" s="84" t="n"/>
      <c r="I1182" s="7" t="n"/>
      <c r="J1182" s="32" t="inlineStr">
        <is>
          <t>Unilever - Knorr</t>
        </is>
      </c>
      <c r="K1182" s="24" t="n"/>
      <c r="L1182" s="36" t="n">
        <v>52.6</v>
      </c>
      <c r="M1182" s="204" t="n">
        <v>5</v>
      </c>
      <c r="N1182" s="177" t="n">
        <v>62</v>
      </c>
      <c r="O1182" s="13" t="n"/>
      <c r="P1182" s="139" t="inlineStr">
        <is>
          <t>grams</t>
        </is>
      </c>
      <c r="Q1182" s="2" t="n"/>
      <c r="R1182" s="1" t="n"/>
      <c r="S1182" s="229">
        <f>M1182*N1182</f>
        <v/>
      </c>
      <c r="T1182" s="230">
        <f>CONCATENATE(S1182,Q1182,P1182)</f>
        <v/>
      </c>
      <c r="U1182" s="206">
        <f>L1182*M1182</f>
        <v/>
      </c>
      <c r="V1182" s="4" t="n"/>
      <c r="W1182" s="4" t="n"/>
      <c r="X1182" s="4" t="n"/>
    </row>
    <row r="1183" ht="15.75" customHeight="1" thickBot="1">
      <c r="A1183" s="186" t="n">
        <v>121</v>
      </c>
      <c r="B1183" s="214" t="inlineStr">
        <is>
          <t>Cream of Mushroom</t>
        </is>
      </c>
      <c r="C1183" s="124" t="n"/>
      <c r="D1183" s="115" t="n"/>
      <c r="E1183" s="124" t="n"/>
      <c r="F1183" s="124" t="n"/>
      <c r="G1183" s="124" t="n"/>
      <c r="H1183" s="84" t="n"/>
      <c r="I1183" s="7" t="n"/>
      <c r="J1183" s="32" t="inlineStr">
        <is>
          <t>Unilever - Knorr</t>
        </is>
      </c>
      <c r="K1183" s="24" t="n"/>
      <c r="L1183" s="36" t="n">
        <v>52.6</v>
      </c>
      <c r="M1183" s="204" t="n">
        <v>13</v>
      </c>
      <c r="N1183" s="177" t="n">
        <v>62</v>
      </c>
      <c r="O1183" s="13" t="n"/>
      <c r="P1183" s="139" t="inlineStr">
        <is>
          <t>grams</t>
        </is>
      </c>
      <c r="Q1183" s="2" t="n"/>
      <c r="R1183" s="1" t="n"/>
      <c r="S1183" s="229">
        <f>M1183*N1183</f>
        <v/>
      </c>
      <c r="T1183" s="230">
        <f>CONCATENATE(S1183,Q1183,P1183)</f>
        <v/>
      </c>
      <c r="U1183" s="206">
        <f>L1183*M1183</f>
        <v/>
      </c>
      <c r="V1183" s="4" t="n"/>
      <c r="W1183" s="4" t="n"/>
      <c r="X1183" s="4" t="n"/>
    </row>
    <row r="1184" ht="15.75" customHeight="1" thickBot="1">
      <c r="A1184" s="186" t="n">
        <v>121</v>
      </c>
      <c r="B1184" s="214" t="inlineStr">
        <is>
          <t>Cream of Mushroom</t>
        </is>
      </c>
      <c r="C1184" s="124" t="n"/>
      <c r="D1184" s="115" t="n"/>
      <c r="E1184" s="124" t="n"/>
      <c r="F1184" s="124" t="n"/>
      <c r="G1184" s="124" t="n"/>
      <c r="H1184" s="84" t="n"/>
      <c r="I1184" s="7" t="n"/>
      <c r="J1184" s="32" t="inlineStr">
        <is>
          <t>Unilever - Knorr</t>
        </is>
      </c>
      <c r="K1184" s="24" t="n"/>
      <c r="L1184" s="36" t="n">
        <v>55</v>
      </c>
      <c r="M1184" s="204" t="n">
        <v>6</v>
      </c>
      <c r="N1184" s="177" t="n">
        <v>62</v>
      </c>
      <c r="O1184" s="13" t="n"/>
      <c r="P1184" s="139" t="inlineStr">
        <is>
          <t>grams</t>
        </is>
      </c>
      <c r="Q1184" s="2" t="n"/>
      <c r="R1184" s="1" t="n"/>
      <c r="S1184" s="229">
        <f>M1184*N1184</f>
        <v/>
      </c>
      <c r="T1184" s="230">
        <f>CONCATENATE(S1184,Q1184,P1184)</f>
        <v/>
      </c>
      <c r="U1184" s="206">
        <f>L1184*M1184</f>
        <v/>
      </c>
      <c r="V1184" s="4" t="n"/>
      <c r="W1184" s="4" t="n"/>
      <c r="X1184" s="4" t="n"/>
    </row>
    <row r="1185" ht="15.75" customHeight="1" thickBot="1">
      <c r="A1185" s="186" t="n">
        <v>121</v>
      </c>
      <c r="B1185" s="215" t="inlineStr">
        <is>
          <t>Cream of Mushroom</t>
        </is>
      </c>
      <c r="C1185" s="124" t="n"/>
      <c r="D1185" s="115" t="n"/>
      <c r="E1185" s="124" t="n"/>
      <c r="F1185" s="124" t="n"/>
      <c r="G1185" s="124" t="n"/>
      <c r="H1185" s="84" t="n"/>
      <c r="I1185" s="7" t="n"/>
      <c r="J1185" s="32" t="inlineStr">
        <is>
          <t>Unilever - Knorr</t>
        </is>
      </c>
      <c r="K1185" s="24" t="n"/>
      <c r="L1185" s="36" t="n">
        <v>52.6</v>
      </c>
      <c r="M1185" s="204" t="n">
        <v>9</v>
      </c>
      <c r="N1185" s="177" t="n">
        <v>62</v>
      </c>
      <c r="O1185" s="13" t="n"/>
      <c r="P1185" s="139" t="inlineStr">
        <is>
          <t>grams</t>
        </is>
      </c>
      <c r="Q1185" s="2" t="n"/>
      <c r="R1185" s="1" t="n"/>
      <c r="S1185" s="229">
        <f>M1185*N1185</f>
        <v/>
      </c>
      <c r="T1185" s="230">
        <f>CONCATENATE(S1185,Q1185,P1185)</f>
        <v/>
      </c>
      <c r="U1185" s="206">
        <f>L1185*M1185</f>
        <v/>
      </c>
      <c r="V1185" s="4" t="n"/>
      <c r="W1185" s="4" t="n"/>
      <c r="X1185" s="4" t="n"/>
    </row>
    <row r="1186" ht="15.75" customHeight="1" thickBot="1">
      <c r="A1186" s="186" t="n">
        <v>121</v>
      </c>
      <c r="B1186" s="215" t="inlineStr">
        <is>
          <t>Cream of Mushroom</t>
        </is>
      </c>
      <c r="C1186" s="124" t="n"/>
      <c r="D1186" s="115" t="n"/>
      <c r="E1186" s="124" t="n"/>
      <c r="F1186" s="124" t="n"/>
      <c r="G1186" s="124" t="n"/>
      <c r="H1186" s="84" t="n"/>
      <c r="I1186" s="7" t="n"/>
      <c r="J1186" s="32" t="inlineStr">
        <is>
          <t>Unilever - Knorr</t>
        </is>
      </c>
      <c r="K1186" s="24" t="n"/>
      <c r="L1186" s="36" t="n">
        <v>55</v>
      </c>
      <c r="M1186" s="204" t="n">
        <v>7</v>
      </c>
      <c r="N1186" s="177" t="n">
        <v>62</v>
      </c>
      <c r="O1186" s="13" t="n"/>
      <c r="P1186" s="139" t="inlineStr">
        <is>
          <t>grams</t>
        </is>
      </c>
      <c r="Q1186" s="2" t="n"/>
      <c r="R1186" s="1" t="n"/>
      <c r="S1186" s="229">
        <f>M1186*N1186</f>
        <v/>
      </c>
      <c r="T1186" s="230">
        <f>CONCATENATE(S1186,Q1186,P1186)</f>
        <v/>
      </c>
      <c r="U1186" s="206">
        <f>L1186*M1186</f>
        <v/>
      </c>
      <c r="V1186" s="4" t="n"/>
      <c r="W1186" s="4" t="n"/>
      <c r="X1186" s="4" t="n"/>
    </row>
    <row r="1187" ht="15.75" customHeight="1" thickBot="1">
      <c r="A1187" s="186" t="n">
        <v>121</v>
      </c>
      <c r="B1187" s="214" t="inlineStr">
        <is>
          <t>Cream of Mushroom</t>
        </is>
      </c>
      <c r="C1187" s="124" t="n"/>
      <c r="D1187" s="115" t="n"/>
      <c r="E1187" s="124" t="n"/>
      <c r="F1187" s="124" t="n"/>
      <c r="G1187" s="124" t="n"/>
      <c r="H1187" s="84" t="n"/>
      <c r="I1187" s="7" t="n"/>
      <c r="J1187" s="32" t="inlineStr">
        <is>
          <t>Unilever - Knorr</t>
        </is>
      </c>
      <c r="K1187" s="24" t="n"/>
      <c r="L1187" s="36" t="n">
        <v>52.6</v>
      </c>
      <c r="M1187" s="204" t="n">
        <v>18</v>
      </c>
      <c r="N1187" s="177" t="n">
        <v>62</v>
      </c>
      <c r="O1187" s="13" t="n"/>
      <c r="P1187" s="139" t="inlineStr">
        <is>
          <t>grams</t>
        </is>
      </c>
      <c r="Q1187" s="2" t="n"/>
      <c r="R1187" s="1" t="n"/>
      <c r="S1187" s="229">
        <f>M1187*N1187</f>
        <v/>
      </c>
      <c r="T1187" s="230">
        <f>CONCATENATE(S1187,Q1187,P1187)</f>
        <v/>
      </c>
      <c r="U1187" s="206">
        <f>L1187*M1187</f>
        <v/>
      </c>
      <c r="V1187" s="4" t="n"/>
      <c r="W1187" s="4" t="n"/>
      <c r="X1187" s="4" t="n"/>
    </row>
    <row r="1188" ht="15.75" customHeight="1" thickBot="1">
      <c r="A1188" s="186" t="n">
        <v>121</v>
      </c>
      <c r="B1188" s="214" t="inlineStr">
        <is>
          <t>Cream of Mushroom</t>
        </is>
      </c>
      <c r="C1188" s="124" t="n"/>
      <c r="D1188" s="115" t="n"/>
      <c r="E1188" s="124" t="n"/>
      <c r="F1188" s="124" t="n"/>
      <c r="G1188" s="124" t="n"/>
      <c r="H1188" s="84" t="n"/>
      <c r="I1188" s="7" t="n"/>
      <c r="J1188" s="32" t="inlineStr">
        <is>
          <t>Unilever - Knorr</t>
        </is>
      </c>
      <c r="K1188" s="24" t="n"/>
      <c r="L1188" s="36" t="n">
        <v>52</v>
      </c>
      <c r="M1188" s="204" t="n">
        <v>11</v>
      </c>
      <c r="N1188" s="177" t="n">
        <v>62</v>
      </c>
      <c r="O1188" s="13" t="n"/>
      <c r="P1188" s="139" t="inlineStr">
        <is>
          <t>grams</t>
        </is>
      </c>
      <c r="Q1188" s="2" t="n"/>
      <c r="R1188" s="1" t="n"/>
      <c r="S1188" s="229">
        <f>M1188*N1188</f>
        <v/>
      </c>
      <c r="T1188" s="230">
        <f>CONCATENATE(S1188,Q1188,P1188)</f>
        <v/>
      </c>
      <c r="U1188" s="206">
        <f>L1188*M1188</f>
        <v/>
      </c>
      <c r="V1188" s="4" t="n"/>
      <c r="W1188" s="4" t="n"/>
      <c r="X1188" s="4" t="n"/>
    </row>
    <row r="1189" ht="15.75" customHeight="1" thickBot="1">
      <c r="A1189" s="186" t="n">
        <v>121</v>
      </c>
      <c r="B1189" s="215" t="inlineStr">
        <is>
          <t>Cream of Mushroom</t>
        </is>
      </c>
      <c r="C1189" s="124" t="n"/>
      <c r="D1189" s="115" t="n"/>
      <c r="E1189" s="124" t="n"/>
      <c r="F1189" s="124" t="n"/>
      <c r="G1189" s="124" t="n"/>
      <c r="H1189" s="84" t="n"/>
      <c r="I1189" s="7" t="n"/>
      <c r="J1189" s="32" t="inlineStr">
        <is>
          <t>Unilever - Knorr</t>
        </is>
      </c>
      <c r="K1189" s="24" t="n"/>
      <c r="L1189" s="36" t="n">
        <v>52</v>
      </c>
      <c r="M1189" s="204" t="n">
        <v>3</v>
      </c>
      <c r="N1189" s="177" t="n">
        <v>62</v>
      </c>
      <c r="O1189" s="13" t="n"/>
      <c r="P1189" s="139" t="inlineStr">
        <is>
          <t>grams</t>
        </is>
      </c>
      <c r="Q1189" s="2" t="n"/>
      <c r="R1189" s="1" t="n"/>
      <c r="S1189" s="229">
        <f>M1189*N1189</f>
        <v/>
      </c>
      <c r="T1189" s="230">
        <f>CONCATENATE(S1189,Q1189,P1189)</f>
        <v/>
      </c>
      <c r="U1189" s="206">
        <f>L1189*M1189</f>
        <v/>
      </c>
      <c r="V1189" s="4" t="n"/>
      <c r="W1189" s="4" t="n"/>
      <c r="X1189" s="4" t="n"/>
    </row>
    <row r="1190" ht="15.75" customHeight="1" thickBot="1">
      <c r="A1190" s="186" t="n">
        <v>121</v>
      </c>
      <c r="B1190" s="214" t="inlineStr">
        <is>
          <t>Cream of Mushroom</t>
        </is>
      </c>
      <c r="C1190" s="124" t="n"/>
      <c r="D1190" s="115" t="n"/>
      <c r="E1190" s="124" t="n"/>
      <c r="F1190" s="124" t="n"/>
      <c r="G1190" s="124" t="n"/>
      <c r="H1190" s="84" t="n"/>
      <c r="I1190" s="7" t="n"/>
      <c r="J1190" s="32" t="inlineStr">
        <is>
          <t>Unilever - Knorr</t>
        </is>
      </c>
      <c r="K1190" s="24" t="n"/>
      <c r="L1190" s="36" t="n">
        <v>52.6</v>
      </c>
      <c r="M1190" s="204" t="n">
        <v>9</v>
      </c>
      <c r="N1190" s="177" t="n">
        <v>62</v>
      </c>
      <c r="O1190" s="13" t="n"/>
      <c r="P1190" s="139" t="inlineStr">
        <is>
          <t>grams</t>
        </is>
      </c>
      <c r="Q1190" s="2" t="n"/>
      <c r="R1190" s="1" t="n"/>
      <c r="S1190" s="229">
        <f>M1190*N1190</f>
        <v/>
      </c>
      <c r="T1190" s="230">
        <f>CONCATENATE(S1190,Q1190,P1190)</f>
        <v/>
      </c>
      <c r="U1190" s="206">
        <f>L1190*M1190</f>
        <v/>
      </c>
      <c r="V1190" s="4" t="n"/>
      <c r="W1190" s="4" t="n"/>
      <c r="X1190" s="4" t="n"/>
    </row>
    <row r="1191" ht="15.75" customHeight="1" thickBot="1">
      <c r="A1191" s="186" t="n">
        <v>584</v>
      </c>
      <c r="B1191" s="214" t="inlineStr">
        <is>
          <t>Cream of Pumpkin</t>
        </is>
      </c>
      <c r="C1191" s="124" t="n"/>
      <c r="D1191" s="115" t="n"/>
      <c r="E1191" s="124" t="n"/>
      <c r="F1191" s="124" t="n"/>
      <c r="G1191" s="124" t="n"/>
      <c r="H1191" s="84" t="n"/>
      <c r="I1191" s="7" t="n"/>
      <c r="J1191" s="32" t="inlineStr">
        <is>
          <t>Unilever - Knorr</t>
        </is>
      </c>
      <c r="K1191" s="24" t="n"/>
      <c r="L1191" s="36" t="n">
        <v>55</v>
      </c>
      <c r="M1191" s="204" t="n">
        <v>1</v>
      </c>
      <c r="N1191" s="177" t="n">
        <v>55</v>
      </c>
      <c r="O1191" s="13" t="n"/>
      <c r="P1191" s="139" t="inlineStr">
        <is>
          <t>grams</t>
        </is>
      </c>
      <c r="Q1191" s="2" t="n"/>
      <c r="R1191" s="1" t="n"/>
      <c r="S1191" s="229">
        <f>M1191*N1191</f>
        <v/>
      </c>
      <c r="T1191" s="230">
        <f>CONCATENATE(S1191,Q1191,P1191)</f>
        <v/>
      </c>
      <c r="U1191" s="206">
        <f>L1191*M1191</f>
        <v/>
      </c>
      <c r="V1191" s="4" t="n"/>
      <c r="W1191" s="4" t="n"/>
      <c r="X1191" s="4" t="n"/>
    </row>
    <row r="1192" ht="15.75" customHeight="1" thickBot="1">
      <c r="A1192" s="186" t="n">
        <v>585</v>
      </c>
      <c r="B1192" s="215" t="inlineStr">
        <is>
          <t>Cream of Tartar</t>
        </is>
      </c>
      <c r="C1192" s="124" t="n"/>
      <c r="D1192" s="115" t="n"/>
      <c r="E1192" s="124" t="n"/>
      <c r="F1192" s="124" t="n"/>
      <c r="G1192" s="124" t="n"/>
      <c r="H1192" s="84" t="n"/>
      <c r="I1192" s="7" t="n"/>
      <c r="J1192" s="32" t="inlineStr">
        <is>
          <t>J&amp;Y</t>
        </is>
      </c>
      <c r="K1192" s="24" t="n"/>
      <c r="L1192" s="36" t="n">
        <v>17.75</v>
      </c>
      <c r="M1192" s="204" t="n">
        <v>2</v>
      </c>
      <c r="N1192" s="177" t="n">
        <v>30</v>
      </c>
      <c r="O1192" s="13" t="n"/>
      <c r="P1192" s="139" t="inlineStr">
        <is>
          <t>grams</t>
        </is>
      </c>
      <c r="Q1192" s="2" t="n"/>
      <c r="R1192" s="1" t="n"/>
      <c r="S1192" s="229">
        <f>M1192*N1192</f>
        <v/>
      </c>
      <c r="T1192" s="230">
        <f>CONCATENATE(S1192,Q1192,P1192)</f>
        <v/>
      </c>
      <c r="U1192" s="206">
        <f>L1192*M1192</f>
        <v/>
      </c>
      <c r="V1192" s="4" t="n"/>
      <c r="W1192" s="4" t="n"/>
      <c r="X1192" s="4" t="n"/>
    </row>
    <row r="1193" ht="15.75" customHeight="1" thickBot="1">
      <c r="A1193" s="186" t="n">
        <v>585</v>
      </c>
      <c r="B1193" s="215" t="inlineStr">
        <is>
          <t>Cream of Tartar</t>
        </is>
      </c>
      <c r="C1193" s="124" t="n"/>
      <c r="D1193" s="115" t="n"/>
      <c r="E1193" s="124" t="n"/>
      <c r="F1193" s="124" t="n"/>
      <c r="G1193" s="124" t="n"/>
      <c r="H1193" s="84" t="n"/>
      <c r="I1193" s="7" t="n"/>
      <c r="J1193" s="32" t="inlineStr">
        <is>
          <t>McCormick</t>
        </is>
      </c>
      <c r="K1193" s="24" t="n"/>
      <c r="L1193" s="36" t="n">
        <v>102.5</v>
      </c>
      <c r="M1193" s="204" t="n">
        <v>2</v>
      </c>
      <c r="N1193" s="177" t="n">
        <v>45</v>
      </c>
      <c r="O1193" s="13" t="n"/>
      <c r="P1193" s="139" t="inlineStr">
        <is>
          <t>grams</t>
        </is>
      </c>
      <c r="Q1193" s="2" t="n"/>
      <c r="R1193" s="1" t="n"/>
      <c r="S1193" s="229">
        <f>M1193*N1193</f>
        <v/>
      </c>
      <c r="T1193" s="230">
        <f>CONCATENATE(S1193,Q1193,P1193)</f>
        <v/>
      </c>
      <c r="U1193" s="206">
        <f>L1193*M1193</f>
        <v/>
      </c>
      <c r="V1193" s="4" t="n"/>
      <c r="W1193" s="4" t="n"/>
      <c r="X1193" s="4" t="n"/>
    </row>
    <row r="1194" ht="15.75" customHeight="1" thickBot="1">
      <c r="A1194" s="186" t="n">
        <v>585</v>
      </c>
      <c r="B1194" s="215" t="inlineStr">
        <is>
          <t>Cream of Tartar</t>
        </is>
      </c>
      <c r="C1194" s="124" t="n"/>
      <c r="D1194" s="115" t="n"/>
      <c r="E1194" s="124" t="n"/>
      <c r="F1194" s="124" t="n"/>
      <c r="G1194" s="124" t="n"/>
      <c r="H1194" s="84" t="n"/>
      <c r="I1194" s="7" t="n"/>
      <c r="J1194" s="32" t="inlineStr">
        <is>
          <t>McCormick</t>
        </is>
      </c>
      <c r="K1194" s="24" t="n"/>
      <c r="L1194" s="36" t="n">
        <v>102</v>
      </c>
      <c r="M1194" s="204" t="n">
        <v>1</v>
      </c>
      <c r="N1194" s="177" t="n">
        <v>45</v>
      </c>
      <c r="O1194" s="13" t="n"/>
      <c r="P1194" s="139" t="inlineStr">
        <is>
          <t>grams</t>
        </is>
      </c>
      <c r="Q1194" s="2" t="n"/>
      <c r="R1194" s="1" t="n"/>
      <c r="S1194" s="229">
        <f>M1194*N1194</f>
        <v/>
      </c>
      <c r="T1194" s="230">
        <f>CONCATENATE(S1194,Q1194,P1194)</f>
        <v/>
      </c>
      <c r="U1194" s="206">
        <f>L1194*M1194</f>
        <v/>
      </c>
      <c r="V1194" s="4" t="n"/>
      <c r="W1194" s="4" t="n"/>
      <c r="X1194" s="4" t="n"/>
    </row>
    <row r="1195" ht="15.75" customHeight="1" thickBot="1">
      <c r="A1195" s="186" t="n">
        <v>585</v>
      </c>
      <c r="B1195" s="215" t="inlineStr">
        <is>
          <t>Cream of Tartar</t>
        </is>
      </c>
      <c r="C1195" s="124" t="n"/>
      <c r="D1195" s="115" t="n"/>
      <c r="E1195" s="124" t="n"/>
      <c r="F1195" s="124" t="n"/>
      <c r="G1195" s="124" t="n"/>
      <c r="H1195" s="84" t="n"/>
      <c r="I1195" s="7" t="n"/>
      <c r="J1195" s="32" t="inlineStr">
        <is>
          <t>McCormick</t>
        </is>
      </c>
      <c r="K1195" s="24" t="n"/>
      <c r="L1195" s="36" t="n">
        <v>102.5</v>
      </c>
      <c r="M1195" s="204" t="n">
        <v>1</v>
      </c>
      <c r="N1195" s="177" t="n">
        <v>45</v>
      </c>
      <c r="O1195" s="13" t="n"/>
      <c r="P1195" s="139" t="inlineStr">
        <is>
          <t>grams</t>
        </is>
      </c>
      <c r="Q1195" s="2" t="n"/>
      <c r="R1195" s="1" t="n"/>
      <c r="S1195" s="229">
        <f>M1195*N1195</f>
        <v/>
      </c>
      <c r="T1195" s="230">
        <f>CONCATENATE(S1195,Q1195,P1195)</f>
        <v/>
      </c>
      <c r="U1195" s="206">
        <f>L1195*M1195</f>
        <v/>
      </c>
      <c r="V1195" s="4" t="n"/>
      <c r="W1195" s="4" t="n"/>
      <c r="X1195" s="4" t="n"/>
    </row>
    <row r="1196" ht="15.75" customHeight="1" thickBot="1">
      <c r="A1196" s="186" t="n">
        <v>586</v>
      </c>
      <c r="B1196" s="214" t="inlineStr">
        <is>
          <t>Crushed Grahams</t>
        </is>
      </c>
      <c r="C1196" s="124" t="n"/>
      <c r="D1196" s="115" t="n"/>
      <c r="E1196" s="124" t="n"/>
      <c r="F1196" s="124" t="n"/>
      <c r="G1196" s="124" t="n"/>
      <c r="H1196" s="84" t="n"/>
      <c r="I1196" s="7" t="n"/>
      <c r="J1196" s="32" t="inlineStr">
        <is>
          <t>M.Y. San</t>
        </is>
      </c>
      <c r="K1196" s="24" t="n"/>
      <c r="L1196" s="36" t="n">
        <v>51</v>
      </c>
      <c r="M1196" s="204" t="n">
        <v>1</v>
      </c>
      <c r="N1196" s="177" t="n">
        <v>200</v>
      </c>
      <c r="O1196" s="13" t="n"/>
      <c r="P1196" s="139" t="inlineStr">
        <is>
          <t>grams</t>
        </is>
      </c>
      <c r="Q1196" s="2" t="n"/>
      <c r="R1196" s="1" t="n"/>
      <c r="S1196" s="229">
        <f>M1196*N1196</f>
        <v/>
      </c>
      <c r="T1196" s="230">
        <f>CONCATENATE(S1196,Q1196,P1196)</f>
        <v/>
      </c>
      <c r="U1196" s="206">
        <f>L1196*M1196</f>
        <v/>
      </c>
      <c r="V1196" s="4" t="n"/>
      <c r="W1196" s="4" t="n"/>
      <c r="X1196" s="4" t="n"/>
    </row>
    <row r="1197" ht="15.75" customHeight="1" thickBot="1">
      <c r="A1197" s="186" t="n">
        <v>586</v>
      </c>
      <c r="B1197" s="214" t="inlineStr">
        <is>
          <t>Crushed Grahams</t>
        </is>
      </c>
      <c r="C1197" s="124" t="n"/>
      <c r="D1197" s="115" t="n"/>
      <c r="E1197" s="124" t="n"/>
      <c r="F1197" s="124" t="n"/>
      <c r="G1197" s="124" t="n"/>
      <c r="H1197" s="84" t="n"/>
      <c r="I1197" s="7" t="n"/>
      <c r="J1197" s="32" t="inlineStr">
        <is>
          <t>M.Y. San</t>
        </is>
      </c>
      <c r="K1197" s="24" t="n"/>
      <c r="L1197" s="36" t="n">
        <v>41.9</v>
      </c>
      <c r="M1197" s="204" t="n">
        <v>3</v>
      </c>
      <c r="N1197" s="177" t="n">
        <v>210</v>
      </c>
      <c r="O1197" s="13" t="n"/>
      <c r="P1197" s="139" t="inlineStr">
        <is>
          <t>grams</t>
        </is>
      </c>
      <c r="Q1197" s="2" t="n"/>
      <c r="R1197" s="1" t="n"/>
      <c r="S1197" s="229">
        <f>M1197*N1197</f>
        <v/>
      </c>
      <c r="T1197" s="230">
        <f>CONCATENATE(S1197,Q1197,P1197)</f>
        <v/>
      </c>
      <c r="U1197" s="206">
        <f>L1197*M1197</f>
        <v/>
      </c>
      <c r="V1197" s="4" t="n"/>
      <c r="W1197" s="4" t="n"/>
      <c r="X1197" s="4" t="n"/>
    </row>
    <row r="1198" ht="15.75" customHeight="1" thickBot="1">
      <c r="A1198" s="186" t="n">
        <v>586</v>
      </c>
      <c r="B1198" s="215" t="inlineStr">
        <is>
          <t>Crushed Grahams</t>
        </is>
      </c>
      <c r="C1198" s="124" t="n"/>
      <c r="D1198" s="115" t="n"/>
      <c r="E1198" s="124" t="n"/>
      <c r="F1198" s="124" t="n"/>
      <c r="G1198" s="124" t="n"/>
      <c r="H1198" s="84" t="n"/>
      <c r="I1198" s="7" t="n"/>
      <c r="J1198" s="32" t="inlineStr">
        <is>
          <t>M.Y. San</t>
        </is>
      </c>
      <c r="K1198" s="24" t="n"/>
      <c r="L1198" s="36" t="n">
        <v>47</v>
      </c>
      <c r="M1198" s="204" t="n">
        <v>4</v>
      </c>
      <c r="N1198" s="177" t="n">
        <v>200</v>
      </c>
      <c r="O1198" s="13" t="n"/>
      <c r="P1198" s="139" t="inlineStr">
        <is>
          <t>grams</t>
        </is>
      </c>
      <c r="Q1198" s="2" t="n"/>
      <c r="R1198" s="1" t="n"/>
      <c r="S1198" s="229">
        <f>M1198*N1198</f>
        <v/>
      </c>
      <c r="T1198" s="230">
        <f>CONCATENATE(S1198,Q1198,P1198)</f>
        <v/>
      </c>
      <c r="U1198" s="206">
        <f>L1198*M1198</f>
        <v/>
      </c>
      <c r="V1198" s="4" t="n"/>
      <c r="W1198" s="4" t="n"/>
      <c r="X1198" s="4" t="n"/>
    </row>
    <row r="1199" ht="15.75" customHeight="1" thickBot="1">
      <c r="A1199" s="186" t="n">
        <v>131</v>
      </c>
      <c r="B1199" s="214" t="inlineStr">
        <is>
          <t>Cumin Powder</t>
        </is>
      </c>
      <c r="C1199" s="124" t="n"/>
      <c r="D1199" s="115" t="n"/>
      <c r="E1199" s="124" t="n"/>
      <c r="F1199" s="124" t="n"/>
      <c r="G1199" s="124" t="n"/>
      <c r="H1199" s="84" t="n"/>
      <c r="I1199" s="7" t="n"/>
      <c r="J1199" s="32" t="inlineStr">
        <is>
          <t>Robinsons</t>
        </is>
      </c>
      <c r="K1199" s="24" t="n"/>
      <c r="L1199" s="36" t="n">
        <v>26.5</v>
      </c>
      <c r="M1199" s="204" t="n">
        <v>1</v>
      </c>
      <c r="N1199" s="177" t="n">
        <v>20</v>
      </c>
      <c r="O1199" s="13" t="n"/>
      <c r="P1199" s="139" t="inlineStr">
        <is>
          <t>grams</t>
        </is>
      </c>
      <c r="Q1199" s="2" t="n"/>
      <c r="R1199" s="1" t="n"/>
      <c r="S1199" s="229">
        <f>M1199*N1199</f>
        <v/>
      </c>
      <c r="T1199" s="230">
        <f>CONCATENATE(S1199,Q1199,P1199)</f>
        <v/>
      </c>
      <c r="U1199" s="206">
        <f>L1199*M1199</f>
        <v/>
      </c>
      <c r="V1199" s="4" t="n"/>
      <c r="W1199" s="4" t="n"/>
      <c r="X1199" s="4" t="n"/>
    </row>
    <row r="1200" ht="15.75" customHeight="1" thickBot="1">
      <c r="A1200" s="186" t="n">
        <v>136</v>
      </c>
      <c r="B1200" s="214" t="inlineStr">
        <is>
          <t>Curry Powder</t>
        </is>
      </c>
      <c r="C1200" s="124" t="n"/>
      <c r="D1200" s="115" t="n"/>
      <c r="E1200" s="124" t="n"/>
      <c r="F1200" s="124" t="n"/>
      <c r="G1200" s="124" t="n"/>
      <c r="H1200" s="84" t="n"/>
      <c r="I1200" s="7" t="n"/>
      <c r="J1200" s="32" t="inlineStr">
        <is>
          <t>Puregold - Pure Basics</t>
        </is>
      </c>
      <c r="K1200" s="24" t="n"/>
      <c r="L1200" s="36" t="n">
        <v>113</v>
      </c>
      <c r="M1200" s="204" t="n">
        <v>1</v>
      </c>
      <c r="N1200" s="177" t="n">
        <v>50</v>
      </c>
      <c r="O1200" s="13" t="n"/>
      <c r="P1200" s="139" t="inlineStr">
        <is>
          <t>grams</t>
        </is>
      </c>
      <c r="Q1200" s="2" t="n"/>
      <c r="R1200" s="1" t="n"/>
      <c r="S1200" s="229">
        <f>M1200*N1200</f>
        <v/>
      </c>
      <c r="T1200" s="230">
        <f>CONCATENATE(S1200,Q1200,P1200)</f>
        <v/>
      </c>
      <c r="U1200" s="206">
        <f>L1200*M1200</f>
        <v/>
      </c>
      <c r="V1200" s="4" t="n"/>
      <c r="W1200" s="4" t="n"/>
      <c r="X1200" s="4" t="n"/>
    </row>
    <row r="1201" ht="15.75" customHeight="1" thickBot="1">
      <c r="A1201" s="186" t="n">
        <v>136</v>
      </c>
      <c r="B1201" s="214" t="inlineStr">
        <is>
          <t>Curry Powder</t>
        </is>
      </c>
      <c r="C1201" s="124" t="n"/>
      <c r="D1201" s="115" t="n"/>
      <c r="E1201" s="124" t="n"/>
      <c r="F1201" s="124" t="n"/>
      <c r="G1201" s="124" t="n"/>
      <c r="H1201" s="84" t="n"/>
      <c r="I1201" s="7" t="n"/>
      <c r="J1201" s="32" t="inlineStr">
        <is>
          <t>UFC</t>
        </is>
      </c>
      <c r="K1201" s="24" t="n"/>
      <c r="L1201" s="36" t="n">
        <v>34</v>
      </c>
      <c r="M1201" s="204" t="n">
        <v>2</v>
      </c>
      <c r="N1201" s="177" t="n">
        <v>30</v>
      </c>
      <c r="O1201" s="13" t="n"/>
      <c r="P1201" s="139" t="inlineStr">
        <is>
          <t>grams</t>
        </is>
      </c>
      <c r="Q1201" s="2" t="n"/>
      <c r="R1201" s="1" t="n"/>
      <c r="S1201" s="229">
        <f>M1201*N1201</f>
        <v/>
      </c>
      <c r="T1201" s="230">
        <f>CONCATENATE(S1201,Q1201,P1201)</f>
        <v/>
      </c>
      <c r="U1201" s="206">
        <f>L1201*M1201</f>
        <v/>
      </c>
      <c r="V1201" s="4" t="n"/>
      <c r="W1201" s="4" t="n"/>
      <c r="X1201" s="4" t="n"/>
    </row>
    <row r="1202" ht="15.75" customHeight="1" thickBot="1">
      <c r="A1202" s="186" t="n">
        <v>136</v>
      </c>
      <c r="B1202" s="214" t="inlineStr">
        <is>
          <t>Curry Powder</t>
        </is>
      </c>
      <c r="C1202" s="124" t="n"/>
      <c r="D1202" s="115" t="n"/>
      <c r="E1202" s="124" t="n"/>
      <c r="F1202" s="124" t="n"/>
      <c r="G1202" s="124" t="n"/>
      <c r="H1202" s="84" t="n"/>
      <c r="I1202" s="7" t="n"/>
      <c r="J1202" s="32" t="inlineStr">
        <is>
          <t>Edward Edit</t>
        </is>
      </c>
      <c r="K1202" s="24" t="n"/>
      <c r="L1202" s="36" t="n">
        <v>250</v>
      </c>
      <c r="M1202" s="204" t="n">
        <v>2</v>
      </c>
      <c r="N1202" s="177" t="n">
        <v>500</v>
      </c>
      <c r="O1202" s="13" t="n"/>
      <c r="P1202" s="139" t="inlineStr">
        <is>
          <t>grams</t>
        </is>
      </c>
      <c r="Q1202" s="2" t="n"/>
      <c r="R1202" s="1" t="n"/>
      <c r="S1202" s="229">
        <f>M1202*N1202</f>
        <v/>
      </c>
      <c r="T1202" s="230">
        <f>CONCATENATE(S1202,Q1202,P1202)</f>
        <v/>
      </c>
      <c r="U1202" s="206">
        <f>L1202*M1202</f>
        <v/>
      </c>
      <c r="V1202" s="4" t="n"/>
      <c r="W1202" s="4" t="n"/>
      <c r="X1202" s="4" t="n"/>
    </row>
    <row r="1203" ht="15.75" customHeight="1" thickBot="1">
      <c r="A1203" s="186" t="n">
        <v>136</v>
      </c>
      <c r="B1203" s="215" t="inlineStr">
        <is>
          <t>Curry Powder</t>
        </is>
      </c>
      <c r="C1203" s="124" t="n"/>
      <c r="D1203" s="115" t="n"/>
      <c r="E1203" s="124" t="n"/>
      <c r="F1203" s="124" t="n"/>
      <c r="G1203" s="124" t="n"/>
      <c r="H1203" s="84" t="n"/>
      <c r="I1203" s="7" t="n"/>
      <c r="J1203" s="32" t="inlineStr">
        <is>
          <t>UFC</t>
        </is>
      </c>
      <c r="K1203" s="24" t="n"/>
      <c r="L1203" s="36" t="n">
        <v>32.75</v>
      </c>
      <c r="M1203" s="204" t="n">
        <v>1</v>
      </c>
      <c r="N1203" s="177" t="n">
        <v>30</v>
      </c>
      <c r="O1203" s="13" t="n"/>
      <c r="P1203" s="139" t="inlineStr">
        <is>
          <t>grams</t>
        </is>
      </c>
      <c r="Q1203" s="2" t="n"/>
      <c r="R1203" s="1" t="n"/>
      <c r="S1203" s="229">
        <f>M1203*N1203</f>
        <v/>
      </c>
      <c r="T1203" s="230">
        <f>CONCATENATE(S1203,Q1203,P1203)</f>
        <v/>
      </c>
      <c r="U1203" s="206">
        <f>L1203*M1203</f>
        <v/>
      </c>
      <c r="V1203" s="4" t="n"/>
      <c r="W1203" s="4" t="n"/>
      <c r="X1203" s="4" t="n"/>
    </row>
    <row r="1204" ht="15.75" customHeight="1" thickBot="1">
      <c r="A1204" s="186" t="n">
        <v>587</v>
      </c>
      <c r="B1204" s="214" t="inlineStr">
        <is>
          <t>Dahunan</t>
        </is>
      </c>
      <c r="C1204" s="124" t="n"/>
      <c r="D1204" s="115" t="n"/>
      <c r="E1204" s="124" t="n"/>
      <c r="F1204" s="124" t="n"/>
      <c r="G1204" s="124" t="n"/>
      <c r="H1204" s="84" t="n"/>
      <c r="I1204" s="7" t="n"/>
      <c r="J1204" s="32" t="n"/>
      <c r="K1204" s="24" t="n"/>
      <c r="L1204" s="36" t="n">
        <v>90</v>
      </c>
      <c r="M1204" s="204" t="n">
        <v>1</v>
      </c>
      <c r="N1204" s="177" t="n">
        <v>1000</v>
      </c>
      <c r="O1204" s="13" t="n"/>
      <c r="P1204" s="139" t="inlineStr">
        <is>
          <t>grams</t>
        </is>
      </c>
      <c r="Q1204" s="2" t="n"/>
      <c r="R1204" s="1" t="n"/>
      <c r="S1204" s="229">
        <f>M1204*N1204</f>
        <v/>
      </c>
      <c r="T1204" s="230">
        <f>CONCATENATE(S1204,Q1204,P1204)</f>
        <v/>
      </c>
      <c r="U1204" s="206">
        <f>L1204*M1204</f>
        <v/>
      </c>
      <c r="V1204" s="4" t="n"/>
      <c r="W1204" s="4" t="n"/>
      <c r="X1204" s="4" t="n"/>
    </row>
    <row r="1205" ht="15.75" customHeight="1" thickBot="1">
      <c r="A1205" s="186" t="n">
        <v>588</v>
      </c>
      <c r="B1205" s="214" t="inlineStr">
        <is>
          <t>Dalagang Bukid</t>
        </is>
      </c>
      <c r="C1205" s="124" t="n"/>
      <c r="D1205" s="115" t="n"/>
      <c r="E1205" s="124" t="n"/>
      <c r="F1205" s="124" t="n"/>
      <c r="G1205" s="124" t="n"/>
      <c r="H1205" s="84" t="n"/>
      <c r="I1205" s="7" t="n"/>
      <c r="J1205" s="32" t="n"/>
      <c r="K1205" s="24" t="n"/>
      <c r="L1205" s="36" t="n">
        <v>310</v>
      </c>
      <c r="M1205" s="204" t="n">
        <v>3</v>
      </c>
      <c r="N1205" s="177" t="n">
        <v>1</v>
      </c>
      <c r="O1205" s="13" t="n"/>
      <c r="P1205" s="139" t="inlineStr">
        <is>
          <t>kilos</t>
        </is>
      </c>
      <c r="Q1205" s="2" t="n"/>
      <c r="R1205" s="1" t="n"/>
      <c r="S1205" s="229">
        <f>M1205*N1205</f>
        <v/>
      </c>
      <c r="T1205" s="230">
        <f>CONCATENATE(S1205,Q1205,P1205)</f>
        <v/>
      </c>
      <c r="U1205" s="206">
        <f>L1205*M1205</f>
        <v/>
      </c>
      <c r="V1205" s="4" t="n"/>
      <c r="W1205" s="4" t="n"/>
      <c r="X1205" s="4" t="n"/>
    </row>
    <row r="1206" ht="15.75" customHeight="1" thickBot="1">
      <c r="A1206" s="186" t="n">
        <v>589</v>
      </c>
      <c r="B1206" s="214" t="inlineStr">
        <is>
          <t>Danggit</t>
        </is>
      </c>
      <c r="C1206" s="124" t="n"/>
      <c r="D1206" s="115" t="n"/>
      <c r="E1206" s="124" t="n"/>
      <c r="F1206" s="124" t="n"/>
      <c r="G1206" s="124" t="n"/>
      <c r="H1206" s="84" t="n"/>
      <c r="I1206" s="7" t="n"/>
      <c r="J1206" s="32" t="inlineStr">
        <is>
          <t>JRS Vegetables and Seafoods</t>
        </is>
      </c>
      <c r="K1206" s="24" t="n"/>
      <c r="L1206" s="36" t="n">
        <v>1300</v>
      </c>
      <c r="M1206" s="204" t="n">
        <v>1</v>
      </c>
      <c r="N1206" s="177" t="n">
        <v>1</v>
      </c>
      <c r="O1206" s="13" t="n"/>
      <c r="P1206" s="139" t="inlineStr">
        <is>
          <t>kilos</t>
        </is>
      </c>
      <c r="Q1206" s="2" t="n"/>
      <c r="R1206" s="1" t="n"/>
      <c r="S1206" s="229">
        <f>M1206*N1206</f>
        <v/>
      </c>
      <c r="T1206" s="230">
        <f>CONCATENATE(S1206,Q1206,P1206)</f>
        <v/>
      </c>
      <c r="U1206" s="206">
        <f>L1206*M1206</f>
        <v/>
      </c>
      <c r="V1206" s="4" t="n"/>
      <c r="W1206" s="4" t="n"/>
      <c r="X1206" s="4" t="n"/>
    </row>
    <row r="1207" ht="15.75" customHeight="1" thickBot="1">
      <c r="A1207" s="186" t="n">
        <v>590</v>
      </c>
      <c r="B1207" s="214" t="inlineStr">
        <is>
          <t>Diced Tomato</t>
        </is>
      </c>
      <c r="C1207" s="124" t="n"/>
      <c r="D1207" s="115" t="n"/>
      <c r="E1207" s="124" t="n"/>
      <c r="F1207" s="124" t="n"/>
      <c r="G1207" s="124" t="n"/>
      <c r="H1207" s="84" t="n"/>
      <c r="I1207" s="7" t="n"/>
      <c r="J1207" s="32" t="inlineStr">
        <is>
          <t>Sunbest</t>
        </is>
      </c>
      <c r="K1207" s="24" t="n"/>
      <c r="L1207" s="36" t="n">
        <v>69.75</v>
      </c>
      <c r="M1207" s="204" t="n">
        <v>2</v>
      </c>
      <c r="N1207" s="177" t="n">
        <v>230</v>
      </c>
      <c r="O1207" s="13" t="n"/>
      <c r="P1207" s="139" t="inlineStr">
        <is>
          <t>drained weight grams</t>
        </is>
      </c>
      <c r="Q1207" s="2" t="n"/>
      <c r="R1207" s="1" t="n"/>
      <c r="S1207" s="229">
        <f>M1207*N1207</f>
        <v/>
      </c>
      <c r="T1207" s="230">
        <f>CONCATENATE(S1207,Q1207,P1207)</f>
        <v/>
      </c>
      <c r="U1207" s="206">
        <f>L1207*M1207</f>
        <v/>
      </c>
      <c r="V1207" s="4" t="n"/>
      <c r="W1207" s="4" t="n"/>
      <c r="X1207" s="4" t="n"/>
    </row>
    <row r="1208" ht="15.75" customHeight="1" thickBot="1">
      <c r="A1208" s="186" t="n">
        <v>591</v>
      </c>
      <c r="B1208" s="214" t="inlineStr">
        <is>
          <t>Dilis</t>
        </is>
      </c>
      <c r="C1208" s="124" t="n"/>
      <c r="D1208" s="115" t="n"/>
      <c r="E1208" s="124" t="n"/>
      <c r="F1208" s="124" t="n"/>
      <c r="G1208" s="124" t="n"/>
      <c r="H1208" s="84" t="n"/>
      <c r="I1208" s="7" t="n"/>
      <c r="J1208" s="32" t="n"/>
      <c r="K1208" s="24" t="n"/>
      <c r="L1208" s="36" t="n">
        <v>190</v>
      </c>
      <c r="M1208" s="204" t="n">
        <v>4</v>
      </c>
      <c r="N1208" s="177" t="n">
        <v>1</v>
      </c>
      <c r="O1208" s="13" t="n"/>
      <c r="P1208" s="139" t="inlineStr">
        <is>
          <t>kilos</t>
        </is>
      </c>
      <c r="Q1208" s="2" t="n"/>
      <c r="R1208" s="1" t="n"/>
      <c r="S1208" s="229">
        <f>M1208*N1208</f>
        <v/>
      </c>
      <c r="T1208" s="230">
        <f>CONCATENATE(S1208,Q1208,P1208)</f>
        <v/>
      </c>
      <c r="U1208" s="206">
        <f>L1208*M1208</f>
        <v/>
      </c>
      <c r="V1208" s="4" t="n"/>
      <c r="W1208" s="4" t="n"/>
      <c r="X1208" s="4" t="n"/>
    </row>
    <row r="1209" ht="15.75" customHeight="1" thickBot="1">
      <c r="A1209" s="186" t="n">
        <v>591</v>
      </c>
      <c r="B1209" s="214" t="inlineStr">
        <is>
          <t>Dilis</t>
        </is>
      </c>
      <c r="C1209" s="124" t="n"/>
      <c r="D1209" s="115" t="n"/>
      <c r="E1209" s="124" t="n"/>
      <c r="F1209" s="124" t="n"/>
      <c r="G1209" s="124" t="n"/>
      <c r="H1209" s="84" t="n"/>
      <c r="I1209" s="7" t="n"/>
      <c r="J1209" s="32" t="n"/>
      <c r="K1209" s="24" t="n"/>
      <c r="L1209" s="36" t="n">
        <v>400</v>
      </c>
      <c r="M1209" s="204" t="n">
        <v>0</v>
      </c>
      <c r="N1209" s="177" t="n">
        <v>1000</v>
      </c>
      <c r="O1209" s="13" t="n"/>
      <c r="P1209" s="139" t="inlineStr">
        <is>
          <t>grams</t>
        </is>
      </c>
      <c r="Q1209" s="2" t="n"/>
      <c r="R1209" s="1" t="n"/>
      <c r="S1209" s="229">
        <f>M1209*N1209</f>
        <v/>
      </c>
      <c r="T1209" s="230">
        <f>CONCATENATE(S1209,Q1209,P1209)</f>
        <v/>
      </c>
      <c r="U1209" s="206">
        <f>L1209*M1209</f>
        <v/>
      </c>
      <c r="V1209" s="4" t="n"/>
      <c r="W1209" s="4" t="n"/>
      <c r="X1209" s="4" t="n"/>
    </row>
    <row r="1210" ht="15.75" customHeight="1" thickBot="1">
      <c r="A1210" s="186" t="n">
        <v>592</v>
      </c>
      <c r="B1210" s="214" t="inlineStr">
        <is>
          <t>Dilis - Boneless</t>
        </is>
      </c>
      <c r="C1210" s="124" t="n"/>
      <c r="D1210" s="115" t="n"/>
      <c r="E1210" s="124" t="n"/>
      <c r="F1210" s="124" t="n"/>
      <c r="G1210" s="124" t="n"/>
      <c r="H1210" s="84" t="n"/>
      <c r="I1210" s="7" t="n"/>
      <c r="J1210" s="32" t="inlineStr">
        <is>
          <t>JRS Vegetables and Sea Foods</t>
        </is>
      </c>
      <c r="K1210" s="24" t="n"/>
      <c r="L1210" s="36" t="n">
        <v>1300</v>
      </c>
      <c r="M1210" s="204" t="n">
        <v>0</v>
      </c>
      <c r="N1210" s="177" t="n">
        <v>1</v>
      </c>
      <c r="O1210" s="13" t="n"/>
      <c r="P1210" s="139" t="inlineStr">
        <is>
          <t>kilos</t>
        </is>
      </c>
      <c r="Q1210" s="2" t="n"/>
      <c r="R1210" s="1" t="n"/>
      <c r="S1210" s="229">
        <f>M1210*N1210</f>
        <v/>
      </c>
      <c r="T1210" s="230">
        <f>CONCATENATE(S1210,Q1210,P1210)</f>
        <v/>
      </c>
      <c r="U1210" s="206">
        <f>L1210*M1210</f>
        <v/>
      </c>
      <c r="V1210" s="4" t="n"/>
      <c r="W1210" s="4" t="n"/>
      <c r="X1210" s="4" t="n"/>
    </row>
    <row r="1211" ht="15.75" customHeight="1" thickBot="1">
      <c r="A1211" s="186" t="n">
        <v>140</v>
      </c>
      <c r="B1211" s="215" t="inlineStr">
        <is>
          <t>Dishwashing Liquid</t>
        </is>
      </c>
      <c r="C1211" s="124" t="n"/>
      <c r="D1211" s="115" t="n"/>
      <c r="E1211" s="124" t="n"/>
      <c r="F1211" s="124" t="n"/>
      <c r="G1211" s="124" t="n"/>
      <c r="H1211" s="84" t="n"/>
      <c r="I1211" s="7" t="n"/>
      <c r="J1211" s="32" t="inlineStr">
        <is>
          <t>Quinriv</t>
        </is>
      </c>
      <c r="K1211" s="24" t="n"/>
      <c r="L1211" s="36" t="n">
        <v>309</v>
      </c>
      <c r="M1211" s="204" t="n">
        <v>7</v>
      </c>
      <c r="N1211" s="177" t="n">
        <v>1</v>
      </c>
      <c r="O1211" s="13" t="n"/>
      <c r="P1211" s="139" t="inlineStr">
        <is>
          <t>gal</t>
        </is>
      </c>
      <c r="Q1211" s="2" t="n"/>
      <c r="R1211" s="1" t="n"/>
      <c r="S1211" s="229">
        <f>M1211*N1211</f>
        <v/>
      </c>
      <c r="T1211" s="230">
        <f>CONCATENATE(S1211,Q1211,P1211)</f>
        <v/>
      </c>
      <c r="U1211" s="206">
        <f>L1211*M1211</f>
        <v/>
      </c>
      <c r="V1211" s="4" t="n"/>
      <c r="W1211" s="4" t="n"/>
      <c r="X1211" s="4" t="n"/>
    </row>
    <row r="1212" ht="15.75" customHeight="1" thickBot="1">
      <c r="A1212" s="186" t="n">
        <v>140</v>
      </c>
      <c r="B1212" s="214" t="inlineStr">
        <is>
          <t>Dishwashing Liquid</t>
        </is>
      </c>
      <c r="C1212" s="124" t="n"/>
      <c r="D1212" s="115" t="n"/>
      <c r="E1212" s="124" t="n"/>
      <c r="F1212" s="124" t="n"/>
      <c r="G1212" s="124" t="n"/>
      <c r="H1212" s="84" t="n"/>
      <c r="I1212" s="7" t="n"/>
      <c r="J1212" s="32" t="inlineStr">
        <is>
          <t>Quinriv</t>
        </is>
      </c>
      <c r="K1212" s="24" t="n"/>
      <c r="L1212" s="36" t="n">
        <v>309</v>
      </c>
      <c r="M1212" s="204" t="n">
        <v>4</v>
      </c>
      <c r="N1212" s="177" t="n">
        <v>1</v>
      </c>
      <c r="O1212" s="13" t="n"/>
      <c r="P1212" s="139" t="inlineStr">
        <is>
          <t>gal</t>
        </is>
      </c>
      <c r="Q1212" s="2" t="n"/>
      <c r="R1212" s="1" t="n"/>
      <c r="S1212" s="229">
        <f>M1212*N1212</f>
        <v/>
      </c>
      <c r="T1212" s="230">
        <f>CONCATENATE(S1212,Q1212,P1212)</f>
        <v/>
      </c>
      <c r="U1212" s="206">
        <f>L1212*M1212</f>
        <v/>
      </c>
      <c r="V1212" s="4" t="n"/>
      <c r="W1212" s="4" t="n"/>
      <c r="X1212" s="4" t="n"/>
    </row>
    <row r="1213" ht="15.75" customHeight="1" thickBot="1">
      <c r="A1213" s="186" t="n">
        <v>593</v>
      </c>
      <c r="B1213" s="214" t="inlineStr">
        <is>
          <t>Disposable Fork</t>
        </is>
      </c>
      <c r="C1213" s="124" t="n"/>
      <c r="D1213" s="115" t="n"/>
      <c r="E1213" s="124" t="n"/>
      <c r="F1213" s="124" t="n"/>
      <c r="G1213" s="124" t="n"/>
      <c r="H1213" s="84" t="n"/>
      <c r="I1213" s="7" t="n"/>
      <c r="J1213" s="32" t="n"/>
      <c r="K1213" s="24" t="n"/>
      <c r="L1213" s="36" t="n">
        <v>0.64</v>
      </c>
      <c r="M1213" s="204" t="n">
        <v>39</v>
      </c>
      <c r="N1213" s="177" t="n">
        <v>156</v>
      </c>
      <c r="O1213" s="13" t="n"/>
      <c r="P1213" s="139" t="inlineStr">
        <is>
          <t>pieces</t>
        </is>
      </c>
      <c r="Q1213" s="2" t="n"/>
      <c r="R1213" s="1" t="n"/>
      <c r="S1213" s="229">
        <f>M1213*N1213</f>
        <v/>
      </c>
      <c r="T1213" s="230">
        <f>CONCATENATE(S1213,Q1213,P1213)</f>
        <v/>
      </c>
      <c r="U1213" s="206">
        <f>L1213*M1213</f>
        <v/>
      </c>
      <c r="V1213" s="4" t="n"/>
      <c r="W1213" s="4" t="n"/>
      <c r="X1213" s="4" t="n"/>
    </row>
    <row r="1214" ht="15.75" customHeight="1" thickBot="1">
      <c r="A1214" s="186" t="n">
        <v>594</v>
      </c>
      <c r="B1214" s="215" t="inlineStr">
        <is>
          <t>Disposable Gloves</t>
        </is>
      </c>
      <c r="C1214" s="124" t="n"/>
      <c r="D1214" s="115" t="n"/>
      <c r="E1214" s="124" t="n"/>
      <c r="F1214" s="124" t="n"/>
      <c r="G1214" s="124" t="n"/>
      <c r="H1214" s="84" t="n"/>
      <c r="I1214" s="7" t="n"/>
      <c r="J1214" s="32" t="inlineStr">
        <is>
          <t>Surebuy</t>
        </is>
      </c>
      <c r="K1214" s="24" t="n"/>
      <c r="L1214" s="36" t="n">
        <v>52</v>
      </c>
      <c r="M1214" s="204" t="n">
        <v>3</v>
      </c>
      <c r="N1214" s="177" t="n">
        <v>1</v>
      </c>
      <c r="O1214" s="13" t="n"/>
      <c r="P1214" s="139" t="inlineStr">
        <is>
          <t>packs</t>
        </is>
      </c>
      <c r="Q1214" s="2" t="n"/>
      <c r="R1214" s="1" t="n"/>
      <c r="S1214" s="229">
        <f>M1214*N1214</f>
        <v/>
      </c>
      <c r="T1214" s="230">
        <f>CONCATENATE(S1214,Q1214,P1214)</f>
        <v/>
      </c>
      <c r="U1214" s="206">
        <f>L1214*M1214</f>
        <v/>
      </c>
      <c r="V1214" s="4" t="n"/>
      <c r="W1214" s="4" t="n"/>
      <c r="X1214" s="4" t="n"/>
    </row>
    <row r="1215" ht="15.75" customHeight="1" thickBot="1">
      <c r="A1215" s="186" t="n">
        <v>594</v>
      </c>
      <c r="B1215" s="215" t="inlineStr">
        <is>
          <t>Disposable Gloves</t>
        </is>
      </c>
      <c r="C1215" s="124" t="n"/>
      <c r="D1215" s="115" t="n"/>
      <c r="E1215" s="124" t="n"/>
      <c r="F1215" s="124" t="n"/>
      <c r="G1215" s="124" t="n"/>
      <c r="H1215" s="84" t="n"/>
      <c r="I1215" s="7" t="n"/>
      <c r="J1215" s="32" t="inlineStr">
        <is>
          <t>Safe Hand</t>
        </is>
      </c>
      <c r="K1215" s="24" t="n"/>
      <c r="L1215" s="36" t="n">
        <v>40</v>
      </c>
      <c r="M1215" s="204" t="n">
        <v>1</v>
      </c>
      <c r="N1215" s="177" t="n">
        <v>1</v>
      </c>
      <c r="O1215" s="13" t="n"/>
      <c r="P1215" s="139" t="inlineStr">
        <is>
          <t>packs</t>
        </is>
      </c>
      <c r="Q1215" s="2" t="n"/>
      <c r="R1215" s="1" t="n"/>
      <c r="S1215" s="229">
        <f>M1215*N1215</f>
        <v/>
      </c>
      <c r="T1215" s="230">
        <f>CONCATENATE(S1215,Q1215,P1215)</f>
        <v/>
      </c>
      <c r="U1215" s="206">
        <f>L1215*M1215</f>
        <v/>
      </c>
      <c r="V1215" s="4" t="n"/>
      <c r="W1215" s="4" t="n"/>
      <c r="X1215" s="4" t="n"/>
    </row>
    <row r="1216" ht="15.75" customHeight="1" thickBot="1">
      <c r="A1216" s="186" t="n">
        <v>594</v>
      </c>
      <c r="B1216" s="215" t="inlineStr">
        <is>
          <t>Disposable Gloves</t>
        </is>
      </c>
      <c r="C1216" s="124" t="n"/>
      <c r="D1216" s="115" t="n"/>
      <c r="E1216" s="124" t="n"/>
      <c r="F1216" s="124" t="n"/>
      <c r="G1216" s="124" t="n"/>
      <c r="H1216" s="84" t="n"/>
      <c r="I1216" s="7" t="n"/>
      <c r="J1216" s="32" t="inlineStr">
        <is>
          <t>Pinoy Gloves</t>
        </is>
      </c>
      <c r="K1216" s="24" t="n"/>
      <c r="L1216" s="36" t="n">
        <v>50</v>
      </c>
      <c r="M1216" s="204" t="n">
        <v>2</v>
      </c>
      <c r="N1216" s="177" t="n">
        <v>1</v>
      </c>
      <c r="O1216" s="13" t="n"/>
      <c r="P1216" s="139" t="inlineStr">
        <is>
          <t>packs</t>
        </is>
      </c>
      <c r="Q1216" s="2" t="n"/>
      <c r="R1216" s="1" t="n"/>
      <c r="S1216" s="229">
        <f>M1216*N1216</f>
        <v/>
      </c>
      <c r="T1216" s="230">
        <f>CONCATENATE(S1216,Q1216,P1216)</f>
        <v/>
      </c>
      <c r="U1216" s="206">
        <f>L1216*M1216</f>
        <v/>
      </c>
      <c r="V1216" s="4" t="n"/>
      <c r="W1216" s="4" t="n"/>
      <c r="X1216" s="4" t="n"/>
    </row>
    <row r="1217" ht="15.75" customHeight="1" thickBot="1">
      <c r="A1217" s="186" t="n">
        <v>595</v>
      </c>
      <c r="B1217" s="214" t="inlineStr">
        <is>
          <t>Disposable Popcorn Cups</t>
        </is>
      </c>
      <c r="C1217" s="124" t="n"/>
      <c r="D1217" s="115" t="n"/>
      <c r="E1217" s="124" t="n"/>
      <c r="F1217" s="124" t="n"/>
      <c r="G1217" s="124" t="n"/>
      <c r="H1217" s="84" t="n"/>
      <c r="I1217" s="7" t="n"/>
      <c r="J1217" s="32" t="n"/>
      <c r="K1217" s="24" t="n"/>
      <c r="L1217" s="36" t="n">
        <v>2.24</v>
      </c>
      <c r="M1217" s="204" t="n">
        <v>20</v>
      </c>
      <c r="N1217" s="177" t="n">
        <v>1</v>
      </c>
      <c r="O1217" s="13" t="n"/>
      <c r="P1217" s="139" t="inlineStr">
        <is>
          <t>pieces</t>
        </is>
      </c>
      <c r="Q1217" s="2" t="n"/>
      <c r="R1217" s="1" t="n"/>
      <c r="S1217" s="229">
        <f>M1217*N1217</f>
        <v/>
      </c>
      <c r="T1217" s="230">
        <f>CONCATENATE(S1217,Q1217,P1217)</f>
        <v/>
      </c>
      <c r="U1217" s="206">
        <f>L1217*M1217</f>
        <v/>
      </c>
      <c r="V1217" s="4" t="n"/>
      <c r="W1217" s="4" t="n"/>
      <c r="X1217" s="4" t="n"/>
    </row>
    <row r="1218" ht="15.75" customHeight="1" thickBot="1">
      <c r="A1218" s="186" t="n">
        <v>596</v>
      </c>
      <c r="B1218" s="214" t="inlineStr">
        <is>
          <t>Disposable Spoon</t>
        </is>
      </c>
      <c r="C1218" s="124" t="n"/>
      <c r="D1218" s="115" t="n"/>
      <c r="E1218" s="124" t="n"/>
      <c r="F1218" s="124" t="n"/>
      <c r="G1218" s="124" t="n"/>
      <c r="H1218" s="84" t="n"/>
      <c r="I1218" s="7" t="n"/>
      <c r="J1218" s="32" t="inlineStr">
        <is>
          <t>Glow</t>
        </is>
      </c>
      <c r="K1218" s="24" t="n"/>
      <c r="L1218" s="36" t="n">
        <v>35</v>
      </c>
      <c r="M1218" s="204" t="n">
        <v>2</v>
      </c>
      <c r="N1218" s="177" t="n">
        <v>1</v>
      </c>
      <c r="O1218" s="13" t="n"/>
      <c r="P1218" s="139" t="inlineStr">
        <is>
          <t>packs</t>
        </is>
      </c>
      <c r="Q1218" s="2" t="n"/>
      <c r="R1218" s="1" t="n"/>
      <c r="S1218" s="229">
        <f>M1218*N1218</f>
        <v/>
      </c>
      <c r="T1218" s="230">
        <f>CONCATENATE(S1218,Q1218,P1218)</f>
        <v/>
      </c>
      <c r="U1218" s="206">
        <f>L1218*M1218</f>
        <v/>
      </c>
      <c r="V1218" s="4" t="n"/>
      <c r="W1218" s="4" t="n"/>
      <c r="X1218" s="4" t="n"/>
    </row>
    <row r="1219" ht="15.75" customHeight="1" thickBot="1">
      <c r="A1219" s="186" t="n">
        <v>596</v>
      </c>
      <c r="B1219" s="214" t="inlineStr">
        <is>
          <t>Disposable Spoon</t>
        </is>
      </c>
      <c r="C1219" s="124" t="n"/>
      <c r="D1219" s="115" t="n"/>
      <c r="E1219" s="124" t="n"/>
      <c r="F1219" s="124" t="n"/>
      <c r="G1219" s="124" t="n"/>
      <c r="H1219" s="84" t="n"/>
      <c r="I1219" s="7" t="n"/>
      <c r="J1219" s="32" t="n"/>
      <c r="K1219" s="24" t="n"/>
      <c r="L1219" s="36" t="n">
        <v>0.82</v>
      </c>
      <c r="M1219" s="204" t="n">
        <v>208</v>
      </c>
      <c r="N1219" s="177" t="n">
        <v>1</v>
      </c>
      <c r="O1219" s="13" t="n"/>
      <c r="P1219" s="139" t="inlineStr">
        <is>
          <t>pieces</t>
        </is>
      </c>
      <c r="Q1219" s="2" t="n"/>
      <c r="R1219" s="1" t="n"/>
      <c r="S1219" s="229">
        <f>M1219*N1219</f>
        <v/>
      </c>
      <c r="T1219" s="230">
        <f>CONCATENATE(S1219,Q1219,P1219)</f>
        <v/>
      </c>
      <c r="U1219" s="206">
        <f>L1219*M1219</f>
        <v/>
      </c>
      <c r="V1219" s="4" t="n"/>
      <c r="W1219" s="4" t="n"/>
      <c r="X1219" s="4" t="n"/>
    </row>
    <row r="1220" ht="15.75" customHeight="1" thickBot="1">
      <c r="A1220" s="186" t="n">
        <v>597</v>
      </c>
      <c r="B1220" s="214" t="inlineStr">
        <is>
          <t>Division Box</t>
        </is>
      </c>
      <c r="C1220" s="124" t="n"/>
      <c r="D1220" s="115" t="n"/>
      <c r="E1220" s="124" t="n"/>
      <c r="F1220" s="124" t="n"/>
      <c r="G1220" s="124" t="n"/>
      <c r="H1220" s="84" t="n"/>
      <c r="I1220" s="7" t="n"/>
      <c r="J1220" s="32" t="inlineStr">
        <is>
          <t>Bio Pack</t>
        </is>
      </c>
      <c r="K1220" s="24" t="n"/>
      <c r="L1220" s="36" t="n">
        <v>10</v>
      </c>
      <c r="M1220" s="204" t="n">
        <v>200</v>
      </c>
      <c r="N1220" s="177" t="n">
        <v>1</v>
      </c>
      <c r="O1220" s="13" t="n"/>
      <c r="P1220" s="139" t="inlineStr">
        <is>
          <t>pieces</t>
        </is>
      </c>
      <c r="Q1220" s="2" t="n"/>
      <c r="R1220" s="1" t="n"/>
      <c r="S1220" s="229">
        <f>M1220*N1220</f>
        <v/>
      </c>
      <c r="T1220" s="230">
        <f>CONCATENATE(S1220,Q1220,P1220)</f>
        <v/>
      </c>
      <c r="U1220" s="206">
        <f>L1220*M1220</f>
        <v/>
      </c>
      <c r="V1220" s="4" t="n"/>
      <c r="W1220" s="4" t="n"/>
      <c r="X1220" s="4" t="n"/>
    </row>
    <row r="1221" ht="15.75" customHeight="1" thickBot="1">
      <c r="A1221" s="186" t="n">
        <v>598</v>
      </c>
      <c r="B1221" s="215" t="inlineStr">
        <is>
          <t>Dixie cups w/ Lid</t>
        </is>
      </c>
      <c r="C1221" s="124" t="n"/>
      <c r="D1221" s="115" t="n"/>
      <c r="E1221" s="124" t="n"/>
      <c r="F1221" s="124" t="n"/>
      <c r="G1221" s="124" t="n"/>
      <c r="H1221" s="84" t="n"/>
      <c r="I1221" s="7" t="n"/>
      <c r="J1221" s="32" t="inlineStr">
        <is>
          <t>Belle</t>
        </is>
      </c>
      <c r="K1221" s="24" t="n"/>
      <c r="L1221" s="36" t="n">
        <v>2.7</v>
      </c>
      <c r="M1221" s="204" t="n">
        <v>125</v>
      </c>
      <c r="N1221" s="177" t="n">
        <v>1</v>
      </c>
      <c r="O1221" s="13" t="n"/>
      <c r="P1221" s="139" t="inlineStr">
        <is>
          <t>pieces</t>
        </is>
      </c>
      <c r="Q1221" s="2" t="n"/>
      <c r="R1221" s="1" t="n"/>
      <c r="S1221" s="229">
        <f>M1221*N1221</f>
        <v/>
      </c>
      <c r="T1221" s="230">
        <f>CONCATENATE(S1221,Q1221,P1221)</f>
        <v/>
      </c>
      <c r="U1221" s="206">
        <f>L1221*M1221</f>
        <v/>
      </c>
      <c r="V1221" s="4" t="n"/>
      <c r="W1221" s="4" t="n"/>
      <c r="X1221" s="4" t="n"/>
    </row>
    <row r="1222" ht="15.75" customHeight="1" thickBot="1">
      <c r="A1222" s="186" t="n">
        <v>599</v>
      </c>
      <c r="B1222" s="214" t="inlineStr">
        <is>
          <t>Dried Oregano</t>
        </is>
      </c>
      <c r="C1222" s="124" t="n"/>
      <c r="D1222" s="115" t="n"/>
      <c r="E1222" s="124" t="n"/>
      <c r="F1222" s="124" t="n"/>
      <c r="G1222" s="124" t="n"/>
      <c r="H1222" s="84" t="n"/>
      <c r="I1222" s="7" t="n"/>
      <c r="J1222" s="32" t="inlineStr">
        <is>
          <t>J&amp;Y</t>
        </is>
      </c>
      <c r="K1222" s="24" t="n"/>
      <c r="L1222" s="36" t="n">
        <v>25</v>
      </c>
      <c r="M1222" s="204" t="n">
        <v>2</v>
      </c>
      <c r="N1222" s="177" t="n">
        <v>10</v>
      </c>
      <c r="O1222" s="13" t="n"/>
      <c r="P1222" s="139" t="inlineStr">
        <is>
          <t>grams</t>
        </is>
      </c>
      <c r="Q1222" s="2" t="n"/>
      <c r="R1222" s="1" t="n"/>
      <c r="S1222" s="229">
        <f>M1222*N1222</f>
        <v/>
      </c>
      <c r="T1222" s="230">
        <f>CONCATENATE(S1222,Q1222,P1222)</f>
        <v/>
      </c>
      <c r="U1222" s="206">
        <f>L1222*M1222</f>
        <v/>
      </c>
      <c r="V1222" s="4" t="n"/>
      <c r="W1222" s="4" t="n"/>
      <c r="X1222" s="4" t="n"/>
    </row>
    <row r="1223" ht="15.75" customHeight="1" thickBot="1">
      <c r="A1223" s="186" t="n">
        <v>600</v>
      </c>
      <c r="B1223" s="214" t="inlineStr">
        <is>
          <t>Dry Yeast</t>
        </is>
      </c>
      <c r="C1223" s="124" t="n"/>
      <c r="D1223" s="115" t="n"/>
      <c r="E1223" s="124" t="n"/>
      <c r="F1223" s="124" t="n"/>
      <c r="G1223" s="124" t="n"/>
      <c r="H1223" s="84" t="n"/>
      <c r="I1223" s="7" t="n"/>
      <c r="J1223" s="32" t="inlineStr">
        <is>
          <t>Super 8 - Great Buy</t>
        </is>
      </c>
      <c r="K1223" s="24" t="n"/>
      <c r="L1223" s="36" t="n">
        <v>120</v>
      </c>
      <c r="M1223" s="204" t="n">
        <v>1</v>
      </c>
      <c r="N1223" s="177" t="n">
        <v>1000</v>
      </c>
      <c r="O1223" s="13" t="n"/>
      <c r="P1223" s="139" t="inlineStr">
        <is>
          <t>grams</t>
        </is>
      </c>
      <c r="Q1223" s="2" t="n"/>
      <c r="R1223" s="1" t="n"/>
      <c r="S1223" s="229">
        <f>M1223*N1223</f>
        <v/>
      </c>
      <c r="T1223" s="230">
        <f>CONCATENATE(S1223,Q1223,P1223)</f>
        <v/>
      </c>
      <c r="U1223" s="206">
        <f>L1223*M1223</f>
        <v/>
      </c>
      <c r="V1223" s="4" t="n"/>
      <c r="W1223" s="4" t="n"/>
      <c r="X1223" s="4" t="n"/>
    </row>
    <row r="1224" ht="15.75" customHeight="1" thickBot="1">
      <c r="A1224" s="186" t="n">
        <v>600</v>
      </c>
      <c r="B1224" s="215" t="inlineStr">
        <is>
          <t>Dry Yeast</t>
        </is>
      </c>
      <c r="C1224" s="124" t="n"/>
      <c r="D1224" s="115" t="n"/>
      <c r="E1224" s="124" t="n"/>
      <c r="F1224" s="124" t="n"/>
      <c r="G1224" s="124" t="n"/>
      <c r="H1224" s="84" t="n"/>
      <c r="I1224" s="7" t="n"/>
      <c r="J1224" s="32" t="inlineStr">
        <is>
          <t>Angel</t>
        </is>
      </c>
      <c r="K1224" s="24" t="n"/>
      <c r="L1224" s="36" t="n">
        <v>140</v>
      </c>
      <c r="M1224" s="204" t="n">
        <v>1</v>
      </c>
      <c r="N1224" s="177" t="n">
        <v>500</v>
      </c>
      <c r="O1224" s="13" t="n"/>
      <c r="P1224" s="139" t="inlineStr">
        <is>
          <t>grams</t>
        </is>
      </c>
      <c r="Q1224" s="2" t="n"/>
      <c r="R1224" s="1" t="n"/>
      <c r="S1224" s="229">
        <f>M1224*N1224</f>
        <v/>
      </c>
      <c r="T1224" s="230">
        <f>CONCATENATE(S1224,Q1224,P1224)</f>
        <v/>
      </c>
      <c r="U1224" s="206">
        <f>L1224*M1224</f>
        <v/>
      </c>
      <c r="V1224" s="4" t="n"/>
      <c r="W1224" s="4" t="n"/>
      <c r="X1224" s="4" t="n"/>
    </row>
    <row r="1225" ht="15.75" customHeight="1" thickBot="1">
      <c r="A1225" s="186" t="n">
        <v>143</v>
      </c>
      <c r="B1225" s="214" t="inlineStr">
        <is>
          <t>Dulong</t>
        </is>
      </c>
      <c r="C1225" s="124" t="n"/>
      <c r="D1225" s="115" t="n"/>
      <c r="E1225" s="124" t="n"/>
      <c r="F1225" s="124" t="n"/>
      <c r="G1225" s="124" t="n"/>
      <c r="H1225" s="84" t="n"/>
      <c r="I1225" s="7" t="n"/>
      <c r="J1225" s="32" t="n"/>
      <c r="K1225" s="24" t="n"/>
      <c r="L1225" s="36" t="n">
        <v>190</v>
      </c>
      <c r="M1225" s="204" t="n">
        <v>1</v>
      </c>
      <c r="N1225" s="177" t="n">
        <v>1</v>
      </c>
      <c r="O1225" s="13" t="n"/>
      <c r="P1225" s="139" t="inlineStr">
        <is>
          <t>kilos</t>
        </is>
      </c>
      <c r="Q1225" s="2" t="n"/>
      <c r="R1225" s="1" t="n"/>
      <c r="S1225" s="229">
        <f>M1225*N1225</f>
        <v/>
      </c>
      <c r="T1225" s="230">
        <f>CONCATENATE(S1225,Q1225,P1225)</f>
        <v/>
      </c>
      <c r="U1225" s="206">
        <f>L1225*M1225</f>
        <v/>
      </c>
      <c r="V1225" s="4" t="n"/>
      <c r="W1225" s="4" t="n"/>
      <c r="X1225" s="4" t="n"/>
    </row>
    <row r="1226" ht="15.75" customHeight="1" thickBot="1">
      <c r="A1226" s="186" t="n">
        <v>601</v>
      </c>
      <c r="B1226" s="215" t="inlineStr">
        <is>
          <t>Eco Bag</t>
        </is>
      </c>
      <c r="C1226" s="124" t="n"/>
      <c r="D1226" s="115" t="n"/>
      <c r="E1226" s="124" t="n"/>
      <c r="F1226" s="124" t="n"/>
      <c r="G1226" s="124" t="n"/>
      <c r="H1226" s="84" t="n"/>
      <c r="I1226" s="7" t="n"/>
      <c r="J1226" s="32" t="n"/>
      <c r="K1226" s="24" t="n"/>
      <c r="L1226" s="36" t="n">
        <v>7</v>
      </c>
      <c r="M1226" s="204" t="n">
        <v>66</v>
      </c>
      <c r="N1226" s="177" t="n">
        <v>1</v>
      </c>
      <c r="O1226" s="13" t="n"/>
      <c r="P1226" s="139" t="inlineStr">
        <is>
          <t>pieces</t>
        </is>
      </c>
      <c r="Q1226" s="2" t="n"/>
      <c r="R1226" s="1" t="n"/>
      <c r="S1226" s="229">
        <f>M1226*N1226</f>
        <v/>
      </c>
      <c r="T1226" s="230">
        <f>CONCATENATE(S1226,Q1226,P1226)</f>
        <v/>
      </c>
      <c r="U1226" s="206">
        <f>L1226*M1226</f>
        <v/>
      </c>
      <c r="V1226" s="4" t="n"/>
      <c r="W1226" s="4" t="n"/>
      <c r="X1226" s="4" t="n"/>
    </row>
    <row r="1227" ht="15.75" customHeight="1" thickBot="1">
      <c r="A1227" s="186" t="n">
        <v>602</v>
      </c>
      <c r="B1227" s="214" t="inlineStr">
        <is>
          <t>Eco Bag - Medium</t>
        </is>
      </c>
      <c r="C1227" s="124" t="n"/>
      <c r="D1227" s="115" t="n"/>
      <c r="E1227" s="124" t="n"/>
      <c r="F1227" s="124" t="n"/>
      <c r="G1227" s="124" t="n"/>
      <c r="H1227" s="84" t="n"/>
      <c r="I1227" s="7" t="n"/>
      <c r="J1227" s="32" t="inlineStr">
        <is>
          <t>Everyday/bundle/25pcs</t>
        </is>
      </c>
      <c r="K1227" s="24" t="n"/>
      <c r="L1227" s="36" t="n">
        <v>10.82</v>
      </c>
      <c r="M1227" s="204" t="n">
        <v>25</v>
      </c>
      <c r="N1227" s="177" t="n">
        <v>25</v>
      </c>
      <c r="O1227" s="13" t="n"/>
      <c r="P1227" s="139" t="inlineStr">
        <is>
          <t>pieces</t>
        </is>
      </c>
      <c r="Q1227" s="2" t="n"/>
      <c r="R1227" s="1" t="n"/>
      <c r="S1227" s="229">
        <f>M1227*N1227</f>
        <v/>
      </c>
      <c r="T1227" s="230">
        <f>CONCATENATE(S1227,Q1227,P1227)</f>
        <v/>
      </c>
      <c r="U1227" s="206">
        <f>L1227*M1227</f>
        <v/>
      </c>
      <c r="V1227" s="4" t="n"/>
      <c r="W1227" s="4" t="n"/>
      <c r="X1227" s="4" t="n"/>
    </row>
    <row r="1228" ht="15.75" customHeight="1" thickBot="1">
      <c r="A1228" s="186" t="n">
        <v>147</v>
      </c>
      <c r="B1228" s="214" t="inlineStr">
        <is>
          <t>Egg</t>
        </is>
      </c>
      <c r="C1228" s="124" t="n"/>
      <c r="D1228" s="115" t="n"/>
      <c r="E1228" s="124" t="n"/>
      <c r="F1228" s="124" t="n"/>
      <c r="G1228" s="124" t="n"/>
      <c r="H1228" s="84" t="n"/>
      <c r="I1228" s="7" t="n"/>
      <c r="J1228" s="32" t="inlineStr">
        <is>
          <t>Small/tray</t>
        </is>
      </c>
      <c r="K1228" s="24" t="n"/>
      <c r="L1228" s="36" t="n">
        <v>7.17</v>
      </c>
      <c r="M1228" s="204" t="n">
        <v>1949</v>
      </c>
      <c r="N1228" s="177" t="n">
        <v>1</v>
      </c>
      <c r="O1228" s="13" t="n"/>
      <c r="P1228" s="139" t="inlineStr">
        <is>
          <t>pieces</t>
        </is>
      </c>
      <c r="Q1228" s="2" t="n"/>
      <c r="R1228" s="1" t="n"/>
      <c r="S1228" s="229">
        <f>M1228*N1228</f>
        <v/>
      </c>
      <c r="T1228" s="230">
        <f>CONCATENATE(S1228,Q1228,P1228)</f>
        <v/>
      </c>
      <c r="U1228" s="206">
        <f>L1228*M1228</f>
        <v/>
      </c>
      <c r="V1228" s="4" t="n"/>
      <c r="W1228" s="4" t="n"/>
      <c r="X1228" s="4" t="n"/>
    </row>
    <row r="1229" ht="15.75" customHeight="1" thickBot="1">
      <c r="A1229" s="186" t="n">
        <v>147</v>
      </c>
      <c r="B1229" s="214" t="inlineStr">
        <is>
          <t>Egg</t>
        </is>
      </c>
      <c r="C1229" s="124" t="n"/>
      <c r="D1229" s="115" t="n"/>
      <c r="E1229" s="124" t="n"/>
      <c r="F1229" s="124" t="n"/>
      <c r="G1229" s="124" t="n"/>
      <c r="H1229" s="84" t="n"/>
      <c r="I1229" s="7" t="n"/>
      <c r="J1229" s="32" t="inlineStr">
        <is>
          <t>Medium/tray</t>
        </is>
      </c>
      <c r="K1229" s="24" t="n"/>
      <c r="L1229" s="36" t="n">
        <v>7.5</v>
      </c>
      <c r="M1229" s="204" t="n">
        <v>600</v>
      </c>
      <c r="N1229" s="177" t="n">
        <v>1</v>
      </c>
      <c r="O1229" s="13" t="n"/>
      <c r="P1229" s="139" t="inlineStr">
        <is>
          <t>pieces</t>
        </is>
      </c>
      <c r="Q1229" s="2" t="n"/>
      <c r="R1229" s="1" t="n"/>
      <c r="S1229" s="229">
        <f>M1229*N1229</f>
        <v/>
      </c>
      <c r="T1229" s="230">
        <f>CONCATENATE(S1229,Q1229,P1229)</f>
        <v/>
      </c>
      <c r="U1229" s="206">
        <f>L1229*M1229</f>
        <v/>
      </c>
      <c r="V1229" s="4" t="n"/>
      <c r="W1229" s="4" t="n"/>
      <c r="X1229" s="4" t="n"/>
    </row>
    <row r="1230" ht="15.75" customHeight="1" thickBot="1">
      <c r="A1230" s="186" t="n">
        <v>147</v>
      </c>
      <c r="B1230" s="214" t="inlineStr">
        <is>
          <t>Egg</t>
        </is>
      </c>
      <c r="C1230" s="124" t="n"/>
      <c r="D1230" s="115" t="n"/>
      <c r="E1230" s="124" t="n"/>
      <c r="F1230" s="124" t="n"/>
      <c r="G1230" s="124" t="n"/>
      <c r="H1230" s="84" t="n"/>
      <c r="I1230" s="7" t="n"/>
      <c r="J1230" s="32" t="n"/>
      <c r="K1230" s="24" t="n"/>
      <c r="L1230" s="36" t="n">
        <v>6</v>
      </c>
      <c r="M1230" s="204" t="n">
        <v>530</v>
      </c>
      <c r="N1230" s="177" t="n">
        <v>1</v>
      </c>
      <c r="O1230" s="13" t="n"/>
      <c r="P1230" s="139" t="inlineStr">
        <is>
          <t>pieces</t>
        </is>
      </c>
      <c r="Q1230" s="2" t="n"/>
      <c r="R1230" s="1" t="n"/>
      <c r="S1230" s="229">
        <f>M1230*N1230</f>
        <v/>
      </c>
      <c r="T1230" s="230">
        <f>CONCATENATE(S1230,Q1230,P1230)</f>
        <v/>
      </c>
      <c r="U1230" s="206">
        <f>L1230*M1230</f>
        <v/>
      </c>
      <c r="V1230" s="4" t="n"/>
      <c r="W1230" s="4" t="n"/>
      <c r="X1230" s="4" t="n"/>
    </row>
    <row r="1231" ht="15.75" customHeight="1" thickBot="1">
      <c r="A1231" s="186" t="n">
        <v>147</v>
      </c>
      <c r="B1231" s="214" t="inlineStr">
        <is>
          <t>Egg</t>
        </is>
      </c>
      <c r="C1231" s="124" t="n"/>
      <c r="D1231" s="115" t="n"/>
      <c r="E1231" s="124" t="n"/>
      <c r="F1231" s="124" t="n"/>
      <c r="G1231" s="124" t="n"/>
      <c r="H1231" s="84" t="n"/>
      <c r="I1231" s="7" t="n"/>
      <c r="J1231" s="32" t="inlineStr">
        <is>
          <t>Medium/tray</t>
        </is>
      </c>
      <c r="K1231" s="24" t="n"/>
      <c r="L1231" s="36" t="n">
        <v>215</v>
      </c>
      <c r="M1231" s="204" t="n">
        <v>1</v>
      </c>
      <c r="N1231" s="177" t="n">
        <v>30</v>
      </c>
      <c r="O1231" s="13" t="n"/>
      <c r="P1231" s="139" t="inlineStr">
        <is>
          <t>pieces</t>
        </is>
      </c>
      <c r="Q1231" s="2" t="n"/>
      <c r="R1231" s="1" t="n"/>
      <c r="S1231" s="229">
        <f>M1231*N1231</f>
        <v/>
      </c>
      <c r="T1231" s="230">
        <f>CONCATENATE(S1231,Q1231,P1231)</f>
        <v/>
      </c>
      <c r="U1231" s="206">
        <f>L1231*M1231</f>
        <v/>
      </c>
      <c r="V1231" s="4" t="n"/>
      <c r="W1231" s="4" t="n"/>
      <c r="X1231" s="4" t="n"/>
    </row>
    <row r="1232" ht="15.75" customHeight="1" thickBot="1">
      <c r="A1232" s="186" t="n">
        <v>147</v>
      </c>
      <c r="B1232" s="214" t="inlineStr">
        <is>
          <t>Egg</t>
        </is>
      </c>
      <c r="C1232" s="124" t="n"/>
      <c r="D1232" s="115" t="n"/>
      <c r="E1232" s="124" t="n"/>
      <c r="F1232" s="124" t="n"/>
      <c r="G1232" s="124" t="n"/>
      <c r="H1232" s="84" t="n"/>
      <c r="I1232" s="7" t="n"/>
      <c r="J1232" s="32" t="inlineStr">
        <is>
          <t>Medium/tray</t>
        </is>
      </c>
      <c r="K1232" s="24" t="n"/>
      <c r="L1232" s="36" t="n">
        <v>222</v>
      </c>
      <c r="M1232" s="204" t="n">
        <v>30</v>
      </c>
      <c r="N1232" s="177" t="n">
        <v>30</v>
      </c>
      <c r="O1232" s="13" t="n"/>
      <c r="P1232" s="139" t="inlineStr">
        <is>
          <t>pieces</t>
        </is>
      </c>
      <c r="Q1232" s="2" t="n"/>
      <c r="R1232" s="1" t="n"/>
      <c r="S1232" s="229">
        <f>M1232*N1232</f>
        <v/>
      </c>
      <c r="T1232" s="230">
        <f>CONCATENATE(S1232,Q1232,P1232)</f>
        <v/>
      </c>
      <c r="U1232" s="206">
        <f>L1232*M1232</f>
        <v/>
      </c>
      <c r="V1232" s="4" t="n"/>
      <c r="W1232" s="4" t="n"/>
      <c r="X1232" s="4" t="n"/>
    </row>
    <row r="1233" ht="15.75" customHeight="1" thickBot="1">
      <c r="A1233" s="186" t="n">
        <v>147</v>
      </c>
      <c r="B1233" s="214" t="inlineStr">
        <is>
          <t>Egg</t>
        </is>
      </c>
      <c r="C1233" s="124" t="n"/>
      <c r="D1233" s="115" t="n"/>
      <c r="E1233" s="124" t="n"/>
      <c r="F1233" s="124" t="n"/>
      <c r="G1233" s="124" t="n"/>
      <c r="H1233" s="84" t="n"/>
      <c r="I1233" s="7" t="n"/>
      <c r="J1233" s="32" t="inlineStr">
        <is>
          <t>Medium</t>
        </is>
      </c>
      <c r="K1233" s="24" t="n"/>
      <c r="L1233" s="36" t="n">
        <v>230</v>
      </c>
      <c r="M1233" s="204" t="n">
        <v>12</v>
      </c>
      <c r="N1233" s="177" t="n">
        <v>30</v>
      </c>
      <c r="O1233" s="13" t="n"/>
      <c r="P1233" s="139" t="inlineStr">
        <is>
          <t>trays</t>
        </is>
      </c>
      <c r="Q1233" s="2" t="n"/>
      <c r="R1233" s="1" t="n"/>
      <c r="S1233" s="229">
        <f>M1233*N1233</f>
        <v/>
      </c>
      <c r="T1233" s="230">
        <f>CONCATENATE(S1233,Q1233,P1233)</f>
        <v/>
      </c>
      <c r="U1233" s="206">
        <f>L1233*M1233</f>
        <v/>
      </c>
      <c r="V1233" s="4" t="n"/>
      <c r="W1233" s="4" t="n"/>
      <c r="X1233" s="4" t="n"/>
    </row>
    <row r="1234" ht="15.75" customHeight="1" thickBot="1">
      <c r="A1234" s="186" t="n">
        <v>147</v>
      </c>
      <c r="B1234" s="214" t="inlineStr">
        <is>
          <t>Egg</t>
        </is>
      </c>
      <c r="C1234" s="124" t="n"/>
      <c r="D1234" s="115" t="n"/>
      <c r="E1234" s="124" t="n"/>
      <c r="F1234" s="124" t="n"/>
      <c r="G1234" s="124" t="n"/>
      <c r="H1234" s="84" t="n"/>
      <c r="I1234" s="7" t="n"/>
      <c r="J1234" s="32" t="inlineStr">
        <is>
          <t>Medium/tray/30pieces</t>
        </is>
      </c>
      <c r="K1234" s="24" t="n"/>
      <c r="L1234" s="36" t="n">
        <v>8.33</v>
      </c>
      <c r="M1234" s="204" t="n">
        <v>159</v>
      </c>
      <c r="N1234" s="177" t="n">
        <v>1</v>
      </c>
      <c r="O1234" s="13" t="n"/>
      <c r="P1234" s="139" t="inlineStr">
        <is>
          <t>pieces</t>
        </is>
      </c>
      <c r="Q1234" s="2" t="n"/>
      <c r="R1234" s="1" t="n"/>
      <c r="S1234" s="229">
        <f>M1234*N1234</f>
        <v/>
      </c>
      <c r="T1234" s="230">
        <f>CONCATENATE(S1234,Q1234,P1234)</f>
        <v/>
      </c>
      <c r="U1234" s="206">
        <f>L1234*M1234</f>
        <v/>
      </c>
      <c r="V1234" s="4" t="n"/>
      <c r="W1234" s="4" t="n"/>
      <c r="X1234" s="4" t="n"/>
    </row>
    <row r="1235" ht="15.75" customHeight="1" thickBot="1">
      <c r="A1235" s="186" t="n">
        <v>147</v>
      </c>
      <c r="B1235" s="214" t="inlineStr">
        <is>
          <t>Egg</t>
        </is>
      </c>
      <c r="C1235" s="124" t="n"/>
      <c r="D1235" s="115" t="n"/>
      <c r="E1235" s="124" t="n"/>
      <c r="F1235" s="124" t="n"/>
      <c r="G1235" s="124" t="n"/>
      <c r="H1235" s="84" t="n"/>
      <c r="I1235" s="7" t="n"/>
      <c r="J1235" s="32" t="n"/>
      <c r="K1235" s="24" t="n"/>
      <c r="L1235" s="36" t="n">
        <v>240</v>
      </c>
      <c r="M1235" s="204" t="n">
        <v>14</v>
      </c>
      <c r="N1235" s="177" t="n">
        <v>1</v>
      </c>
      <c r="O1235" s="13" t="n"/>
      <c r="P1235" s="139" t="inlineStr">
        <is>
          <t>trays</t>
        </is>
      </c>
      <c r="Q1235" s="2" t="n"/>
      <c r="R1235" s="1" t="n"/>
      <c r="S1235" s="229">
        <f>M1235*N1235</f>
        <v/>
      </c>
      <c r="T1235" s="230">
        <f>CONCATENATE(S1235,Q1235,P1235)</f>
        <v/>
      </c>
      <c r="U1235" s="206">
        <f>L1235*M1235</f>
        <v/>
      </c>
      <c r="V1235" s="4" t="n"/>
      <c r="W1235" s="4" t="n"/>
      <c r="X1235" s="4" t="n"/>
    </row>
    <row r="1236" ht="15.75" customHeight="1" thickBot="1">
      <c r="A1236" s="186" t="n">
        <v>603</v>
      </c>
      <c r="B1236" s="214" t="inlineStr">
        <is>
          <t>Electrolyte Drink</t>
        </is>
      </c>
      <c r="C1236" s="124" t="n"/>
      <c r="D1236" s="115" t="n"/>
      <c r="E1236" s="124" t="n"/>
      <c r="F1236" s="124" t="n"/>
      <c r="G1236" s="124" t="n"/>
      <c r="H1236" s="84" t="n"/>
      <c r="I1236" s="7" t="n"/>
      <c r="J1236" s="32" t="inlineStr">
        <is>
          <t>Pepsi - Gatorade (Assorted)</t>
        </is>
      </c>
      <c r="K1236" s="24" t="n"/>
      <c r="L1236" s="36" t="n">
        <v>34</v>
      </c>
      <c r="M1236" s="204" t="n">
        <v>174</v>
      </c>
      <c r="N1236" s="177" t="n">
        <v>1</v>
      </c>
      <c r="O1236" s="13" t="n"/>
      <c r="P1236" s="139" t="inlineStr">
        <is>
          <t>pieces</t>
        </is>
      </c>
      <c r="Q1236" s="2" t="n"/>
      <c r="R1236" s="1" t="n"/>
      <c r="S1236" s="229">
        <f>M1236*N1236</f>
        <v/>
      </c>
      <c r="T1236" s="230">
        <f>CONCATENATE(S1236,Q1236,P1236)</f>
        <v/>
      </c>
      <c r="U1236" s="206">
        <f>L1236*M1236</f>
        <v/>
      </c>
      <c r="V1236" s="4" t="n"/>
      <c r="W1236" s="4" t="n"/>
      <c r="X1236" s="4" t="n"/>
    </row>
    <row r="1237" ht="15.75" customHeight="1" thickBot="1">
      <c r="A1237" s="186" t="n">
        <v>603</v>
      </c>
      <c r="B1237" s="214" t="inlineStr">
        <is>
          <t>Electrolyte Drink</t>
        </is>
      </c>
      <c r="C1237" s="124" t="n"/>
      <c r="D1237" s="115" t="n"/>
      <c r="E1237" s="124" t="n"/>
      <c r="F1237" s="124" t="n"/>
      <c r="G1237" s="124" t="n"/>
      <c r="H1237" s="84" t="n"/>
      <c r="I1237" s="7" t="n"/>
      <c r="J1237" s="32" t="inlineStr">
        <is>
          <t>Pepsi - Gatorade (Assorted)</t>
        </is>
      </c>
      <c r="K1237" s="24" t="n"/>
      <c r="L1237" s="36" t="n">
        <v>33.62</v>
      </c>
      <c r="M1237" s="204" t="n">
        <v>72</v>
      </c>
      <c r="N1237" s="177" t="n">
        <v>500</v>
      </c>
      <c r="O1237" s="13" t="n"/>
      <c r="P1237" s="139" t="inlineStr">
        <is>
          <t>ml</t>
        </is>
      </c>
      <c r="Q1237" s="2" t="n"/>
      <c r="R1237" s="1" t="n"/>
      <c r="S1237" s="229">
        <f>M1237*N1237</f>
        <v/>
      </c>
      <c r="T1237" s="230">
        <f>CONCATENATE(S1237,Q1237,P1237)</f>
        <v/>
      </c>
      <c r="U1237" s="206">
        <f>L1237*M1237</f>
        <v/>
      </c>
      <c r="V1237" s="4" t="n"/>
      <c r="W1237" s="4" t="n"/>
      <c r="X1237" s="4" t="n"/>
    </row>
    <row r="1238" ht="15.75" customHeight="1" thickBot="1">
      <c r="A1238" s="186" t="n">
        <v>603</v>
      </c>
      <c r="B1238" s="214" t="inlineStr">
        <is>
          <t>Electrolyte Drink</t>
        </is>
      </c>
      <c r="C1238" s="124" t="n"/>
      <c r="D1238" s="115" t="n"/>
      <c r="E1238" s="124" t="n"/>
      <c r="F1238" s="124" t="n"/>
      <c r="G1238" s="124" t="n"/>
      <c r="H1238" s="84" t="n"/>
      <c r="I1238" s="7" t="n"/>
      <c r="J1238" s="32" t="inlineStr">
        <is>
          <t>Pepsi - Gatorade (Assorted)</t>
        </is>
      </c>
      <c r="K1238" s="24" t="n"/>
      <c r="L1238" s="36" t="n">
        <v>868.8</v>
      </c>
      <c r="M1238" s="204" t="n">
        <v>72</v>
      </c>
      <c r="N1238" s="177" t="n">
        <v>500</v>
      </c>
      <c r="O1238" s="13" t="n"/>
      <c r="P1238" s="139" t="inlineStr">
        <is>
          <t>ml</t>
        </is>
      </c>
      <c r="Q1238" s="2" t="n"/>
      <c r="R1238" s="1" t="n"/>
      <c r="S1238" s="229">
        <f>M1238*N1238</f>
        <v/>
      </c>
      <c r="T1238" s="230">
        <f>CONCATENATE(S1238,Q1238,P1238)</f>
        <v/>
      </c>
      <c r="U1238" s="206">
        <f>L1238*M1238</f>
        <v/>
      </c>
      <c r="V1238" s="4" t="n"/>
      <c r="W1238" s="4" t="n"/>
      <c r="X1238" s="4" t="n"/>
    </row>
    <row r="1239" ht="15.75" customHeight="1" thickBot="1">
      <c r="A1239" s="186" t="n">
        <v>603</v>
      </c>
      <c r="B1239" s="214" t="inlineStr">
        <is>
          <t>Electrolyte Drink</t>
        </is>
      </c>
      <c r="C1239" s="124" t="n"/>
      <c r="D1239" s="115" t="n"/>
      <c r="E1239" s="124" t="n"/>
      <c r="F1239" s="124" t="n"/>
      <c r="G1239" s="124" t="n"/>
      <c r="H1239" s="84" t="n"/>
      <c r="I1239" s="7" t="n"/>
      <c r="J1239" s="32" t="inlineStr">
        <is>
          <t>Pepsi - Gatorade (Assorted)</t>
        </is>
      </c>
      <c r="K1239" s="24" t="n"/>
      <c r="L1239" s="36" t="n">
        <v>33.62</v>
      </c>
      <c r="M1239" s="204" t="n">
        <v>38</v>
      </c>
      <c r="N1239" s="177" t="n">
        <v>500</v>
      </c>
      <c r="O1239" s="13" t="n"/>
      <c r="P1239" s="139" t="inlineStr">
        <is>
          <t>ml</t>
        </is>
      </c>
      <c r="Q1239" s="2" t="n"/>
      <c r="R1239" s="1" t="n"/>
      <c r="S1239" s="229">
        <f>M1239*N1239</f>
        <v/>
      </c>
      <c r="T1239" s="230">
        <f>CONCATENATE(S1239,Q1239,P1239)</f>
        <v/>
      </c>
      <c r="U1239" s="206">
        <f>L1239*M1239</f>
        <v/>
      </c>
      <c r="V1239" s="4" t="n"/>
      <c r="W1239" s="4" t="n"/>
      <c r="X1239" s="4" t="n"/>
    </row>
    <row r="1240" ht="15.75" customHeight="1" thickBot="1">
      <c r="A1240" s="186" t="n">
        <v>603</v>
      </c>
      <c r="B1240" s="214" t="inlineStr">
        <is>
          <t>Electrolyte Drink</t>
        </is>
      </c>
      <c r="C1240" s="124" t="n"/>
      <c r="D1240" s="115" t="n"/>
      <c r="E1240" s="124" t="n"/>
      <c r="F1240" s="124" t="n"/>
      <c r="G1240" s="124" t="n"/>
      <c r="H1240" s="84" t="n"/>
      <c r="I1240" s="7" t="n"/>
      <c r="J1240" s="32" t="inlineStr">
        <is>
          <t>Pepsi - Gatorade</t>
        </is>
      </c>
      <c r="K1240" s="24" t="n"/>
      <c r="L1240" s="36" t="n">
        <v>36.03</v>
      </c>
      <c r="M1240" s="204" t="n">
        <v>14</v>
      </c>
      <c r="N1240" s="177" t="n">
        <v>500</v>
      </c>
      <c r="O1240" s="13" t="n"/>
      <c r="P1240" s="139" t="inlineStr">
        <is>
          <t>ml</t>
        </is>
      </c>
      <c r="Q1240" s="2" t="n"/>
      <c r="R1240" s="1" t="n"/>
      <c r="S1240" s="229">
        <f>M1240*N1240</f>
        <v/>
      </c>
      <c r="T1240" s="230">
        <f>CONCATENATE(S1240,Q1240,P1240)</f>
        <v/>
      </c>
      <c r="U1240" s="206">
        <f>L1240*M1240</f>
        <v/>
      </c>
      <c r="V1240" s="4" t="n"/>
      <c r="W1240" s="4" t="n"/>
      <c r="X1240" s="4" t="n"/>
    </row>
    <row r="1241" ht="15.75" customHeight="1" thickBot="1">
      <c r="A1241" s="186" t="n">
        <v>603</v>
      </c>
      <c r="B1241" s="214" t="inlineStr">
        <is>
          <t>Electrolyte Drink</t>
        </is>
      </c>
      <c r="C1241" s="124" t="n"/>
      <c r="D1241" s="115" t="n"/>
      <c r="E1241" s="124" t="n"/>
      <c r="F1241" s="124" t="n"/>
      <c r="G1241" s="124" t="n"/>
      <c r="H1241" s="84" t="n"/>
      <c r="I1241" s="7" t="n"/>
      <c r="J1241" s="32" t="inlineStr">
        <is>
          <t>Otsuka - Pocari Sweat</t>
        </is>
      </c>
      <c r="K1241" s="24" t="n"/>
      <c r="L1241" s="36" t="n">
        <v>32.2</v>
      </c>
      <c r="M1241" s="204" t="n">
        <v>11</v>
      </c>
      <c r="N1241" s="177" t="n">
        <v>220</v>
      </c>
      <c r="O1241" s="13" t="n"/>
      <c r="P1241" s="139" t="inlineStr">
        <is>
          <t>ml</t>
        </is>
      </c>
      <c r="Q1241" s="2" t="n"/>
      <c r="R1241" s="1" t="n"/>
      <c r="S1241" s="229">
        <f>M1241*N1241</f>
        <v/>
      </c>
      <c r="T1241" s="230">
        <f>CONCATENATE(S1241,Q1241,P1241)</f>
        <v/>
      </c>
      <c r="U1241" s="206">
        <f>L1241*M1241</f>
        <v/>
      </c>
      <c r="V1241" s="4" t="n"/>
      <c r="W1241" s="4" t="n"/>
      <c r="X1241" s="4" t="n"/>
    </row>
    <row r="1242" ht="15.75" customHeight="1" thickBot="1">
      <c r="A1242" s="186" t="n">
        <v>603</v>
      </c>
      <c r="B1242" s="214" t="inlineStr">
        <is>
          <t>Electrolyte Drink</t>
        </is>
      </c>
      <c r="C1242" s="124" t="n"/>
      <c r="D1242" s="115" t="n"/>
      <c r="E1242" s="124" t="n"/>
      <c r="F1242" s="124" t="n"/>
      <c r="G1242" s="124" t="n"/>
      <c r="H1242" s="84" t="n"/>
      <c r="I1242" s="7" t="n"/>
      <c r="J1242" s="32" t="inlineStr">
        <is>
          <t>Otsuka - Pocari Sweat</t>
        </is>
      </c>
      <c r="K1242" s="24" t="n"/>
      <c r="L1242" s="36" t="n">
        <v>34</v>
      </c>
      <c r="M1242" s="204" t="n">
        <v>18</v>
      </c>
      <c r="N1242" s="177" t="n">
        <v>350</v>
      </c>
      <c r="O1242" s="13" t="n"/>
      <c r="P1242" s="139" t="inlineStr">
        <is>
          <t>ml</t>
        </is>
      </c>
      <c r="Q1242" s="2" t="n"/>
      <c r="R1242" s="1" t="n"/>
      <c r="S1242" s="229">
        <f>M1242*N1242</f>
        <v/>
      </c>
      <c r="T1242" s="230">
        <f>CONCATENATE(S1242,Q1242,P1242)</f>
        <v/>
      </c>
      <c r="U1242" s="206">
        <f>L1242*M1242</f>
        <v/>
      </c>
      <c r="V1242" s="4" t="n"/>
      <c r="W1242" s="4" t="n"/>
      <c r="X1242" s="4" t="n"/>
    </row>
    <row r="1243" ht="15.75" customHeight="1" thickBot="1">
      <c r="A1243" s="186" t="n">
        <v>152</v>
      </c>
      <c r="B1243" s="214" t="inlineStr">
        <is>
          <t>Evaporated Milk</t>
        </is>
      </c>
      <c r="C1243" s="124" t="n"/>
      <c r="D1243" s="115" t="n"/>
      <c r="E1243" s="124" t="n"/>
      <c r="F1243" s="124" t="n"/>
      <c r="G1243" s="124" t="n"/>
      <c r="H1243" s="84" t="n"/>
      <c r="I1243" s="7" t="n"/>
      <c r="J1243" s="32" t="inlineStr">
        <is>
          <t>Alaska</t>
        </is>
      </c>
      <c r="K1243" s="24" t="n"/>
      <c r="L1243" s="36" t="n">
        <v>34</v>
      </c>
      <c r="M1243" s="204" t="n">
        <v>7</v>
      </c>
      <c r="N1243" s="177" t="n">
        <v>360</v>
      </c>
      <c r="O1243" s="13" t="n"/>
      <c r="P1243" s="139" t="inlineStr">
        <is>
          <t>ml</t>
        </is>
      </c>
      <c r="Q1243" s="2" t="n"/>
      <c r="R1243" s="1" t="n"/>
      <c r="S1243" s="229">
        <f>M1243*N1243</f>
        <v/>
      </c>
      <c r="T1243" s="230">
        <f>CONCATENATE(S1243,Q1243,P1243)</f>
        <v/>
      </c>
      <c r="U1243" s="206">
        <f>L1243*M1243</f>
        <v/>
      </c>
      <c r="V1243" s="4" t="n"/>
      <c r="W1243" s="4" t="n"/>
      <c r="X1243" s="4" t="n"/>
    </row>
    <row r="1244" ht="15.75" customHeight="1" thickBot="1">
      <c r="A1244" s="186" t="n">
        <v>152</v>
      </c>
      <c r="B1244" s="214" t="inlineStr">
        <is>
          <t>Evaporated Milk</t>
        </is>
      </c>
      <c r="C1244" s="124" t="n"/>
      <c r="D1244" s="115" t="n"/>
      <c r="E1244" s="124" t="n"/>
      <c r="F1244" s="124" t="n"/>
      <c r="G1244" s="124" t="n"/>
      <c r="H1244" s="84" t="n"/>
      <c r="I1244" s="7" t="n"/>
      <c r="J1244" s="32" t="inlineStr">
        <is>
          <t>Cowbell</t>
        </is>
      </c>
      <c r="K1244" s="24" t="n"/>
      <c r="L1244" s="36" t="n">
        <v>30.3</v>
      </c>
      <c r="M1244" s="204" t="n">
        <v>3</v>
      </c>
      <c r="N1244" s="177" t="n">
        <v>360</v>
      </c>
      <c r="O1244" s="13" t="n"/>
      <c r="P1244" s="139" t="inlineStr">
        <is>
          <t>ml</t>
        </is>
      </c>
      <c r="Q1244" s="2" t="n"/>
      <c r="R1244" s="1" t="n"/>
      <c r="S1244" s="229">
        <f>M1244*N1244</f>
        <v/>
      </c>
      <c r="T1244" s="230">
        <f>CONCATENATE(S1244,Q1244,P1244)</f>
        <v/>
      </c>
      <c r="U1244" s="206">
        <f>L1244*M1244</f>
        <v/>
      </c>
      <c r="V1244" s="4" t="n"/>
      <c r="W1244" s="4" t="n"/>
      <c r="X1244" s="4" t="n"/>
    </row>
    <row r="1245" ht="15.75" customHeight="1" thickBot="1">
      <c r="A1245" s="186" t="n">
        <v>152</v>
      </c>
      <c r="B1245" s="214" t="inlineStr">
        <is>
          <t>Evaporated Milk</t>
        </is>
      </c>
      <c r="C1245" s="124" t="n"/>
      <c r="D1245" s="115" t="n"/>
      <c r="E1245" s="124" t="n"/>
      <c r="F1245" s="124" t="n"/>
      <c r="G1245" s="124" t="n"/>
      <c r="H1245" s="84" t="n"/>
      <c r="I1245" s="7" t="n"/>
      <c r="J1245" s="32" t="inlineStr">
        <is>
          <t>Angel</t>
        </is>
      </c>
      <c r="K1245" s="24" t="n"/>
      <c r="L1245" s="36" t="n">
        <v>31.9</v>
      </c>
      <c r="M1245" s="204" t="n">
        <v>30</v>
      </c>
      <c r="N1245" s="177" t="n">
        <v>410</v>
      </c>
      <c r="O1245" s="13" t="n"/>
      <c r="P1245" s="139" t="inlineStr">
        <is>
          <t>ml</t>
        </is>
      </c>
      <c r="Q1245" s="2" t="n"/>
      <c r="R1245" s="1" t="n"/>
      <c r="S1245" s="229">
        <f>M1245*N1245</f>
        <v/>
      </c>
      <c r="T1245" s="230">
        <f>CONCATENATE(S1245,Q1245,P1245)</f>
        <v/>
      </c>
      <c r="U1245" s="206">
        <f>L1245*M1245</f>
        <v/>
      </c>
      <c r="V1245" s="4" t="n"/>
      <c r="W1245" s="4" t="n"/>
      <c r="X1245" s="4" t="n"/>
    </row>
    <row r="1246" ht="15.75" customHeight="1" thickBot="1">
      <c r="A1246" s="186" t="n">
        <v>152</v>
      </c>
      <c r="B1246" s="214" t="inlineStr">
        <is>
          <t>Evaporated Milk</t>
        </is>
      </c>
      <c r="C1246" s="124" t="n"/>
      <c r="D1246" s="115" t="n"/>
      <c r="E1246" s="124" t="n"/>
      <c r="F1246" s="124" t="n"/>
      <c r="G1246" s="124" t="n"/>
      <c r="H1246" s="84" t="n"/>
      <c r="I1246" s="7" t="n"/>
      <c r="J1246" s="32" t="inlineStr">
        <is>
          <t>Angel</t>
        </is>
      </c>
      <c r="K1246" s="24" t="n"/>
      <c r="L1246" s="36" t="n">
        <v>28.7</v>
      </c>
      <c r="M1246" s="204" t="n">
        <v>0</v>
      </c>
      <c r="N1246" s="177" t="n">
        <v>360</v>
      </c>
      <c r="O1246" s="13" t="n"/>
      <c r="P1246" s="139" t="inlineStr">
        <is>
          <t>ml</t>
        </is>
      </c>
      <c r="Q1246" s="2" t="n"/>
      <c r="R1246" s="1" t="n"/>
      <c r="S1246" s="229">
        <f>M1246*N1246</f>
        <v/>
      </c>
      <c r="T1246" s="230">
        <f>CONCATENATE(S1246,Q1246,P1246)</f>
        <v/>
      </c>
      <c r="U1246" s="206">
        <f>L1246*M1246</f>
        <v/>
      </c>
      <c r="V1246" s="4" t="n"/>
      <c r="W1246" s="4" t="n"/>
      <c r="X1246" s="4" t="n"/>
    </row>
    <row r="1247" ht="15.75" customHeight="1" thickBot="1">
      <c r="A1247" s="186" t="n">
        <v>152</v>
      </c>
      <c r="B1247" s="214" t="inlineStr">
        <is>
          <t>Evaporated Milk</t>
        </is>
      </c>
      <c r="C1247" s="124" t="n"/>
      <c r="D1247" s="115" t="n"/>
      <c r="E1247" s="124" t="n"/>
      <c r="F1247" s="124" t="n"/>
      <c r="G1247" s="124" t="n"/>
      <c r="H1247" s="84" t="n"/>
      <c r="I1247" s="7" t="n"/>
      <c r="J1247" s="32" t="inlineStr">
        <is>
          <t>Alaska</t>
        </is>
      </c>
      <c r="K1247" s="24" t="n"/>
      <c r="L1247" s="36" t="n">
        <v>34</v>
      </c>
      <c r="M1247" s="204" t="n">
        <v>24</v>
      </c>
      <c r="N1247" s="177" t="n">
        <v>360</v>
      </c>
      <c r="O1247" s="13" t="n"/>
      <c r="P1247" s="139" t="inlineStr">
        <is>
          <t>ml</t>
        </is>
      </c>
      <c r="Q1247" s="2" t="n"/>
      <c r="R1247" s="1" t="n"/>
      <c r="S1247" s="229">
        <f>M1247*N1247</f>
        <v/>
      </c>
      <c r="T1247" s="230">
        <f>CONCATENATE(S1247,Q1247,P1247)</f>
        <v/>
      </c>
      <c r="U1247" s="206">
        <f>L1247*M1247</f>
        <v/>
      </c>
      <c r="V1247" s="4" t="n"/>
      <c r="W1247" s="4" t="n"/>
      <c r="X1247" s="4" t="n"/>
    </row>
    <row r="1248" ht="15.75" customHeight="1" thickBot="1">
      <c r="A1248" s="186" t="n">
        <v>152</v>
      </c>
      <c r="B1248" s="214" t="inlineStr">
        <is>
          <t>Evaporated Milk</t>
        </is>
      </c>
      <c r="C1248" s="124" t="n"/>
      <c r="D1248" s="115" t="n"/>
      <c r="E1248" s="124" t="n"/>
      <c r="F1248" s="124" t="n"/>
      <c r="G1248" s="124" t="n"/>
      <c r="H1248" s="84" t="n"/>
      <c r="I1248" s="7" t="n"/>
      <c r="J1248" s="32" t="inlineStr">
        <is>
          <t>Angel</t>
        </is>
      </c>
      <c r="K1248" s="24" t="n"/>
      <c r="L1248" s="36" t="n">
        <v>34.75</v>
      </c>
      <c r="M1248" s="204" t="n">
        <v>7</v>
      </c>
      <c r="N1248" s="177" t="n">
        <v>365</v>
      </c>
      <c r="O1248" s="13" t="n"/>
      <c r="P1248" s="139" t="inlineStr">
        <is>
          <t>ml</t>
        </is>
      </c>
      <c r="Q1248" s="2" t="n"/>
      <c r="R1248" s="1" t="n"/>
      <c r="S1248" s="229">
        <f>M1248*N1248</f>
        <v/>
      </c>
      <c r="T1248" s="230">
        <f>CONCATENATE(S1248,Q1248,P1248)</f>
        <v/>
      </c>
      <c r="U1248" s="206">
        <f>L1248*M1248</f>
        <v/>
      </c>
      <c r="V1248" s="4" t="n"/>
      <c r="W1248" s="4" t="n"/>
      <c r="X1248" s="4" t="n"/>
    </row>
    <row r="1249" ht="15.75" customHeight="1" thickBot="1">
      <c r="A1249" s="186" t="n">
        <v>152</v>
      </c>
      <c r="B1249" s="214" t="inlineStr">
        <is>
          <t>Evaporated Milk</t>
        </is>
      </c>
      <c r="C1249" s="124" t="n"/>
      <c r="D1249" s="115" t="n"/>
      <c r="E1249" s="124" t="n"/>
      <c r="F1249" s="124" t="n"/>
      <c r="G1249" s="124" t="n"/>
      <c r="H1249" s="84" t="n"/>
      <c r="I1249" s="7" t="n"/>
      <c r="J1249" s="32" t="inlineStr">
        <is>
          <t>Angel</t>
        </is>
      </c>
      <c r="K1249" s="24" t="n"/>
      <c r="L1249" s="36" t="n">
        <v>31.9</v>
      </c>
      <c r="M1249" s="204" t="n">
        <v>12</v>
      </c>
      <c r="N1249" s="177" t="n">
        <v>410</v>
      </c>
      <c r="O1249" s="13" t="n"/>
      <c r="P1249" s="139" t="inlineStr">
        <is>
          <t>ml</t>
        </is>
      </c>
      <c r="Q1249" s="2" t="n"/>
      <c r="R1249" s="1" t="n"/>
      <c r="S1249" s="229">
        <f>M1249*N1249</f>
        <v/>
      </c>
      <c r="T1249" s="230">
        <f>CONCATENATE(S1249,Q1249,P1249)</f>
        <v/>
      </c>
      <c r="U1249" s="206">
        <f>L1249*M1249</f>
        <v/>
      </c>
      <c r="V1249" s="4" t="n"/>
      <c r="W1249" s="4" t="n"/>
      <c r="X1249" s="4" t="n"/>
    </row>
    <row r="1250" ht="15.75" customHeight="1" thickBot="1">
      <c r="A1250" s="186" t="n">
        <v>152</v>
      </c>
      <c r="B1250" s="214" t="inlineStr">
        <is>
          <t>Evaporated Milk</t>
        </is>
      </c>
      <c r="C1250" s="124" t="n"/>
      <c r="D1250" s="115" t="n"/>
      <c r="E1250" s="124" t="n"/>
      <c r="F1250" s="124" t="n"/>
      <c r="G1250" s="124" t="n"/>
      <c r="H1250" s="84" t="n"/>
      <c r="I1250" s="7" t="n"/>
      <c r="J1250" s="32" t="inlineStr">
        <is>
          <t>Alaska</t>
        </is>
      </c>
      <c r="K1250" s="24" t="n"/>
      <c r="L1250" s="36" t="n">
        <v>38.5</v>
      </c>
      <c r="M1250" s="204" t="n">
        <v>46</v>
      </c>
      <c r="N1250" s="177" t="n">
        <v>360</v>
      </c>
      <c r="O1250" s="13" t="n"/>
      <c r="P1250" s="139" t="inlineStr">
        <is>
          <t>ml</t>
        </is>
      </c>
      <c r="Q1250" s="2" t="n"/>
      <c r="R1250" s="1" t="n"/>
      <c r="S1250" s="229">
        <f>M1250*N1250</f>
        <v/>
      </c>
      <c r="T1250" s="230">
        <f>CONCATENATE(S1250,Q1250,P1250)</f>
        <v/>
      </c>
      <c r="U1250" s="206">
        <f>L1250*M1250</f>
        <v/>
      </c>
      <c r="V1250" s="4" t="n"/>
      <c r="W1250" s="4" t="n"/>
      <c r="X1250" s="4" t="n"/>
    </row>
    <row r="1251" ht="15.75" customHeight="1" thickBot="1">
      <c r="A1251" s="186" t="n">
        <v>152</v>
      </c>
      <c r="B1251" s="214" t="inlineStr">
        <is>
          <t>Evaporated Milk</t>
        </is>
      </c>
      <c r="C1251" s="124" t="n"/>
      <c r="D1251" s="115" t="n"/>
      <c r="E1251" s="124" t="n"/>
      <c r="F1251" s="124" t="n"/>
      <c r="G1251" s="124" t="n"/>
      <c r="H1251" s="84" t="n"/>
      <c r="I1251" s="7" t="n"/>
      <c r="J1251" s="32" t="inlineStr">
        <is>
          <t>Alaska</t>
        </is>
      </c>
      <c r="K1251" s="24" t="n"/>
      <c r="L1251" s="36" t="n">
        <v>34</v>
      </c>
      <c r="M1251" s="204" t="n">
        <v>4</v>
      </c>
      <c r="N1251" s="177" t="n">
        <v>360</v>
      </c>
      <c r="O1251" s="13" t="n"/>
      <c r="P1251" s="139" t="inlineStr">
        <is>
          <t>ml</t>
        </is>
      </c>
      <c r="Q1251" s="2" t="n"/>
      <c r="R1251" s="1" t="n"/>
      <c r="S1251" s="229">
        <f>M1251*N1251</f>
        <v/>
      </c>
      <c r="T1251" s="230">
        <f>CONCATENATE(S1251,Q1251,P1251)</f>
        <v/>
      </c>
      <c r="U1251" s="206">
        <f>L1251*M1251</f>
        <v/>
      </c>
      <c r="V1251" s="4" t="n"/>
      <c r="W1251" s="4" t="n"/>
      <c r="X1251" s="4" t="n"/>
    </row>
    <row r="1252" ht="15.75" customHeight="1" thickBot="1">
      <c r="A1252" s="186" t="n">
        <v>604</v>
      </c>
      <c r="B1252" s="214" t="inlineStr">
        <is>
          <t>Fettuccine</t>
        </is>
      </c>
      <c r="C1252" s="124" t="n"/>
      <c r="D1252" s="115" t="n"/>
      <c r="E1252" s="124" t="n"/>
      <c r="F1252" s="124" t="n"/>
      <c r="G1252" s="124" t="n"/>
      <c r="H1252" s="84" t="n"/>
      <c r="I1252" s="7" t="n"/>
      <c r="J1252" s="32" t="inlineStr">
        <is>
          <t>San Remo</t>
        </is>
      </c>
      <c r="K1252" s="24" t="n"/>
      <c r="L1252" s="36" t="n">
        <v>78</v>
      </c>
      <c r="M1252" s="204" t="n">
        <v>2</v>
      </c>
      <c r="N1252" s="177" t="n">
        <v>500</v>
      </c>
      <c r="O1252" s="13" t="n"/>
      <c r="P1252" s="139" t="inlineStr">
        <is>
          <t>grams</t>
        </is>
      </c>
      <c r="Q1252" s="2" t="n"/>
      <c r="R1252" s="1" t="n"/>
      <c r="S1252" s="229">
        <f>M1252*N1252</f>
        <v/>
      </c>
      <c r="T1252" s="230">
        <f>CONCATENATE(S1252,Q1252,P1252)</f>
        <v/>
      </c>
      <c r="U1252" s="206">
        <f>L1252*M1252</f>
        <v/>
      </c>
      <c r="V1252" s="4" t="n"/>
      <c r="W1252" s="4" t="n"/>
      <c r="X1252" s="4" t="n"/>
    </row>
    <row r="1253" ht="15.75" customHeight="1" thickBot="1">
      <c r="A1253" s="186" t="n">
        <v>605</v>
      </c>
      <c r="B1253" s="214" t="inlineStr">
        <is>
          <t>Fish Balls</t>
        </is>
      </c>
      <c r="C1253" s="124" t="n"/>
      <c r="D1253" s="115" t="n"/>
      <c r="E1253" s="124" t="n"/>
      <c r="F1253" s="124" t="n"/>
      <c r="G1253" s="124" t="n"/>
      <c r="H1253" s="84" t="n"/>
      <c r="I1253" s="7" t="n"/>
      <c r="J1253" s="32" t="inlineStr">
        <is>
          <t>Shanghai</t>
        </is>
      </c>
      <c r="K1253" s="24" t="n"/>
      <c r="L1253" s="36" t="n">
        <v>57</v>
      </c>
      <c r="M1253" s="204" t="n">
        <v>1</v>
      </c>
      <c r="N1253" s="177" t="n">
        <v>1000</v>
      </c>
      <c r="O1253" s="13" t="n"/>
      <c r="P1253" s="139" t="inlineStr">
        <is>
          <t>grams</t>
        </is>
      </c>
      <c r="Q1253" s="2" t="n"/>
      <c r="R1253" s="1" t="n"/>
      <c r="S1253" s="229">
        <f>M1253*N1253</f>
        <v/>
      </c>
      <c r="T1253" s="230">
        <f>CONCATENATE(S1253,Q1253,P1253)</f>
        <v/>
      </c>
      <c r="U1253" s="206">
        <f>L1253*M1253</f>
        <v/>
      </c>
      <c r="V1253" s="4" t="n"/>
      <c r="W1253" s="4" t="n"/>
      <c r="X1253" s="4" t="n"/>
    </row>
    <row r="1254" ht="15.75" customHeight="1" thickBot="1">
      <c r="A1254" s="186" t="n">
        <v>605</v>
      </c>
      <c r="B1254" s="214" t="inlineStr">
        <is>
          <t>Fish Balls</t>
        </is>
      </c>
      <c r="C1254" s="124" t="n"/>
      <c r="D1254" s="115" t="n"/>
      <c r="E1254" s="124" t="n"/>
      <c r="F1254" s="124" t="n"/>
      <c r="G1254" s="124" t="n"/>
      <c r="H1254" s="84" t="n"/>
      <c r="I1254" s="7" t="n"/>
      <c r="J1254" s="32" t="inlineStr">
        <is>
          <t>Shanghai</t>
        </is>
      </c>
      <c r="K1254" s="24" t="n"/>
      <c r="L1254" s="36" t="n">
        <v>120</v>
      </c>
      <c r="M1254" s="204" t="n">
        <v>1</v>
      </c>
      <c r="N1254" s="177" t="n">
        <v>1000</v>
      </c>
      <c r="O1254" s="13" t="n"/>
      <c r="P1254" s="139" t="inlineStr">
        <is>
          <t>grams</t>
        </is>
      </c>
      <c r="Q1254" s="2" t="n"/>
      <c r="R1254" s="1" t="n"/>
      <c r="S1254" s="229">
        <f>M1254*N1254</f>
        <v/>
      </c>
      <c r="T1254" s="230">
        <f>CONCATENATE(S1254,Q1254,P1254)</f>
        <v/>
      </c>
      <c r="U1254" s="206">
        <f>L1254*M1254</f>
        <v/>
      </c>
      <c r="V1254" s="4" t="n"/>
      <c r="W1254" s="4" t="n"/>
      <c r="X1254" s="4" t="n"/>
    </row>
    <row r="1255" ht="15.75" customHeight="1" thickBot="1">
      <c r="A1255" s="186" t="n">
        <v>154</v>
      </c>
      <c r="B1255" s="214" t="inlineStr">
        <is>
          <t>Fish Sauce</t>
        </is>
      </c>
      <c r="C1255" s="124" t="n"/>
      <c r="D1255" s="115" t="n"/>
      <c r="E1255" s="124" t="n"/>
      <c r="F1255" s="124" t="n"/>
      <c r="G1255" s="124" t="n"/>
      <c r="H1255" s="84" t="n"/>
      <c r="I1255" s="7" t="n"/>
      <c r="J1255" s="32" t="inlineStr">
        <is>
          <t>Ticman</t>
        </is>
      </c>
      <c r="K1255" s="24" t="n"/>
      <c r="L1255" s="36" t="n">
        <v>73</v>
      </c>
      <c r="M1255" s="204" t="n">
        <v>1</v>
      </c>
      <c r="N1255" s="177" t="n">
        <v>3500</v>
      </c>
      <c r="O1255" s="13" t="n"/>
      <c r="P1255" s="139" t="inlineStr">
        <is>
          <t>ml</t>
        </is>
      </c>
      <c r="Q1255" s="2" t="n"/>
      <c r="R1255" s="1" t="n"/>
      <c r="S1255" s="229">
        <f>M1255*N1255</f>
        <v/>
      </c>
      <c r="T1255" s="230">
        <f>CONCATENATE(S1255,Q1255,P1255)</f>
        <v/>
      </c>
      <c r="U1255" s="206">
        <f>L1255*M1255</f>
        <v/>
      </c>
      <c r="V1255" s="4" t="n"/>
      <c r="W1255" s="4" t="n"/>
      <c r="X1255" s="4" t="n"/>
    </row>
    <row r="1256" ht="15.75" customHeight="1" thickBot="1">
      <c r="A1256" s="186" t="n">
        <v>154</v>
      </c>
      <c r="B1256" s="214" t="inlineStr">
        <is>
          <t>Fish Sauce</t>
        </is>
      </c>
      <c r="C1256" s="124" t="n"/>
      <c r="D1256" s="115" t="n"/>
      <c r="E1256" s="124" t="n"/>
      <c r="F1256" s="124" t="n"/>
      <c r="G1256" s="124" t="n"/>
      <c r="H1256" s="84" t="n"/>
      <c r="I1256" s="7" t="n"/>
      <c r="J1256" s="32" t="inlineStr">
        <is>
          <t>Ticman</t>
        </is>
      </c>
      <c r="K1256" s="24" t="n"/>
      <c r="L1256" s="36" t="n">
        <v>73</v>
      </c>
      <c r="M1256" s="204" t="n">
        <v>7</v>
      </c>
      <c r="N1256" s="177" t="n">
        <v>3500</v>
      </c>
      <c r="O1256" s="13" t="n"/>
      <c r="P1256" s="139" t="inlineStr">
        <is>
          <t>ml</t>
        </is>
      </c>
      <c r="Q1256" s="2" t="n"/>
      <c r="R1256" s="1" t="n"/>
      <c r="S1256" s="229">
        <f>M1256*N1256</f>
        <v/>
      </c>
      <c r="T1256" s="230">
        <f>CONCATENATE(S1256,Q1256,P1256)</f>
        <v/>
      </c>
      <c r="U1256" s="206">
        <f>L1256*M1256</f>
        <v/>
      </c>
      <c r="V1256" s="4" t="n"/>
      <c r="W1256" s="4" t="n"/>
      <c r="X1256" s="4" t="n"/>
    </row>
    <row r="1257" ht="15.75" customHeight="1" thickBot="1">
      <c r="A1257" s="186" t="n">
        <v>154</v>
      </c>
      <c r="B1257" s="215" t="inlineStr">
        <is>
          <t>Fish Sauce</t>
        </is>
      </c>
      <c r="C1257" s="124" t="n"/>
      <c r="D1257" s="115" t="n"/>
      <c r="E1257" s="124" t="n"/>
      <c r="F1257" s="124" t="n"/>
      <c r="G1257" s="124" t="n"/>
      <c r="H1257" s="84" t="n"/>
      <c r="I1257" s="7" t="n"/>
      <c r="J1257" s="32" t="inlineStr">
        <is>
          <t>Ticman</t>
        </is>
      </c>
      <c r="K1257" s="24" t="n"/>
      <c r="L1257" s="36" t="n">
        <v>73</v>
      </c>
      <c r="M1257" s="204" t="n">
        <v>2</v>
      </c>
      <c r="N1257" s="177" t="n">
        <v>3500</v>
      </c>
      <c r="O1257" s="13" t="n"/>
      <c r="P1257" s="139" t="inlineStr">
        <is>
          <t>ml</t>
        </is>
      </c>
      <c r="Q1257" s="2" t="n"/>
      <c r="R1257" s="1" t="n"/>
      <c r="S1257" s="229">
        <f>M1257*N1257</f>
        <v/>
      </c>
      <c r="T1257" s="230">
        <f>CONCATENATE(S1257,Q1257,P1257)</f>
        <v/>
      </c>
      <c r="U1257" s="206">
        <f>L1257*M1257</f>
        <v/>
      </c>
      <c r="V1257" s="4" t="n"/>
      <c r="W1257" s="4" t="n"/>
      <c r="X1257" s="4" t="n"/>
    </row>
    <row r="1258" ht="15.75" customHeight="1" thickBot="1">
      <c r="A1258" s="186" t="n">
        <v>154</v>
      </c>
      <c r="B1258" s="215" t="inlineStr">
        <is>
          <t>Fish Sauce</t>
        </is>
      </c>
      <c r="C1258" s="124" t="n"/>
      <c r="D1258" s="115" t="n"/>
      <c r="E1258" s="124" t="n"/>
      <c r="F1258" s="124" t="n"/>
      <c r="G1258" s="124" t="n"/>
      <c r="H1258" s="84" t="n"/>
      <c r="I1258" s="7" t="n"/>
      <c r="J1258" s="32" t="inlineStr">
        <is>
          <t>Lorin's</t>
        </is>
      </c>
      <c r="K1258" s="24" t="n"/>
      <c r="L1258" s="36" t="n">
        <v>24.75</v>
      </c>
      <c r="M1258" s="204" t="n">
        <v>2</v>
      </c>
      <c r="N1258" s="177" t="n">
        <v>350</v>
      </c>
      <c r="O1258" s="13" t="n"/>
      <c r="P1258" s="139" t="inlineStr">
        <is>
          <t>ml</t>
        </is>
      </c>
      <c r="Q1258" s="2" t="n"/>
      <c r="R1258" s="1" t="n"/>
      <c r="S1258" s="229">
        <f>M1258*N1258</f>
        <v/>
      </c>
      <c r="T1258" s="230">
        <f>CONCATENATE(S1258,Q1258,P1258)</f>
        <v/>
      </c>
      <c r="U1258" s="206">
        <f>L1258*M1258</f>
        <v/>
      </c>
      <c r="V1258" s="4" t="n"/>
      <c r="W1258" s="4" t="n"/>
      <c r="X1258" s="4" t="n"/>
    </row>
    <row r="1259" ht="15.75" customHeight="1" thickBot="1">
      <c r="A1259" s="186" t="n">
        <v>154</v>
      </c>
      <c r="B1259" s="215" t="inlineStr">
        <is>
          <t>Fish Sauce</t>
        </is>
      </c>
      <c r="C1259" s="124" t="n"/>
      <c r="D1259" s="115" t="n"/>
      <c r="E1259" s="124" t="n"/>
      <c r="F1259" s="124" t="n"/>
      <c r="G1259" s="124" t="n"/>
      <c r="H1259" s="84" t="n"/>
      <c r="I1259" s="7" t="n"/>
      <c r="J1259" s="32" t="inlineStr">
        <is>
          <t>Ticman</t>
        </is>
      </c>
      <c r="K1259" s="24" t="n"/>
      <c r="L1259" s="36" t="n">
        <v>65</v>
      </c>
      <c r="M1259" s="204" t="n">
        <v>2</v>
      </c>
      <c r="N1259" s="177" t="n">
        <v>3500</v>
      </c>
      <c r="O1259" s="13" t="n"/>
      <c r="P1259" s="139" t="inlineStr">
        <is>
          <t>ml</t>
        </is>
      </c>
      <c r="Q1259" s="2" t="n"/>
      <c r="R1259" s="1" t="n"/>
      <c r="S1259" s="229">
        <f>M1259*N1259</f>
        <v/>
      </c>
      <c r="T1259" s="230">
        <f>CONCATENATE(S1259,Q1259,P1259)</f>
        <v/>
      </c>
      <c r="U1259" s="206">
        <f>L1259*M1259</f>
        <v/>
      </c>
      <c r="V1259" s="4" t="n"/>
      <c r="W1259" s="4" t="n"/>
      <c r="X1259" s="4" t="n"/>
    </row>
    <row r="1260" ht="15.75" customHeight="1" thickBot="1">
      <c r="A1260" s="186" t="n">
        <v>154</v>
      </c>
      <c r="B1260" s="215" t="inlineStr">
        <is>
          <t>Fish Sauce</t>
        </is>
      </c>
      <c r="C1260" s="124" t="n"/>
      <c r="D1260" s="115" t="n"/>
      <c r="E1260" s="124" t="n"/>
      <c r="F1260" s="124" t="n"/>
      <c r="G1260" s="124" t="n"/>
      <c r="H1260" s="84" t="n"/>
      <c r="I1260" s="7" t="n"/>
      <c r="J1260" s="32" t="inlineStr">
        <is>
          <t>JP - Pangasinan Fish Sauce</t>
        </is>
      </c>
      <c r="K1260" s="24" t="n"/>
      <c r="L1260" s="36" t="n">
        <v>32</v>
      </c>
      <c r="M1260" s="204" t="n">
        <v>1</v>
      </c>
      <c r="N1260" s="177" t="n">
        <v>12</v>
      </c>
      <c r="O1260" s="13" t="n"/>
      <c r="P1260" s="139" t="inlineStr">
        <is>
          <t>ounces</t>
        </is>
      </c>
      <c r="Q1260" s="2" t="n"/>
      <c r="R1260" s="1" t="n"/>
      <c r="S1260" s="229">
        <f>M1260*N1260</f>
        <v/>
      </c>
      <c r="T1260" s="230">
        <f>CONCATENATE(S1260,Q1260,P1260)</f>
        <v/>
      </c>
      <c r="U1260" s="206">
        <f>L1260*M1260</f>
        <v/>
      </c>
      <c r="V1260" s="4" t="n"/>
      <c r="W1260" s="4" t="n"/>
      <c r="X1260" s="4" t="n"/>
    </row>
    <row r="1261" ht="15.75" customHeight="1" thickBot="1">
      <c r="A1261" s="186" t="n">
        <v>159</v>
      </c>
      <c r="B1261" s="214" t="inlineStr">
        <is>
          <t>Food Color</t>
        </is>
      </c>
      <c r="C1261" s="124" t="n"/>
      <c r="D1261" s="115" t="n"/>
      <c r="E1261" s="124" t="n"/>
      <c r="F1261" s="124" t="n"/>
      <c r="G1261" s="124" t="n"/>
      <c r="H1261" s="84" t="n"/>
      <c r="I1261" s="7" t="n"/>
      <c r="J1261" s="32" t="inlineStr">
        <is>
          <t>Hyco</t>
        </is>
      </c>
      <c r="K1261" s="24" t="n"/>
      <c r="L1261" s="36" t="n">
        <v>120</v>
      </c>
      <c r="M1261" s="204" t="n">
        <v>1</v>
      </c>
      <c r="N1261" s="177" t="n">
        <v>454</v>
      </c>
      <c r="O1261" s="13" t="n"/>
      <c r="P1261" s="139" t="inlineStr">
        <is>
          <t>grams</t>
        </is>
      </c>
      <c r="Q1261" s="2" t="n"/>
      <c r="R1261" s="1" t="n"/>
      <c r="S1261" s="229">
        <f>M1261*N1261</f>
        <v/>
      </c>
      <c r="T1261" s="230">
        <f>CONCATENATE(S1261,Q1261,P1261)</f>
        <v/>
      </c>
      <c r="U1261" s="206">
        <f>L1261*M1261</f>
        <v/>
      </c>
      <c r="V1261" s="4" t="n"/>
      <c r="W1261" s="4" t="n"/>
      <c r="X1261" s="4" t="n"/>
    </row>
    <row r="1262" ht="15.75" customHeight="1" thickBot="1">
      <c r="A1262" s="186" t="n">
        <v>606</v>
      </c>
      <c r="B1262" s="214" t="inlineStr">
        <is>
          <t>Food Color - Green</t>
        </is>
      </c>
      <c r="C1262" s="124" t="n"/>
      <c r="D1262" s="115" t="n"/>
      <c r="E1262" s="124" t="n"/>
      <c r="F1262" s="124" t="n"/>
      <c r="G1262" s="124" t="n"/>
      <c r="H1262" s="84" t="n"/>
      <c r="I1262" s="7" t="n"/>
      <c r="J1262" s="32" t="inlineStr">
        <is>
          <t>Green Leaves</t>
        </is>
      </c>
      <c r="K1262" s="24" t="n"/>
      <c r="L1262" s="36" t="n">
        <v>32.5</v>
      </c>
      <c r="M1262" s="204" t="n">
        <v>2</v>
      </c>
      <c r="N1262" s="177" t="n">
        <v>20</v>
      </c>
      <c r="O1262" s="13" t="n"/>
      <c r="P1262" s="139" t="inlineStr">
        <is>
          <t>ml</t>
        </is>
      </c>
      <c r="Q1262" s="2" t="n"/>
      <c r="R1262" s="1" t="n"/>
      <c r="S1262" s="229">
        <f>M1262*N1262</f>
        <v/>
      </c>
      <c r="T1262" s="230">
        <f>CONCATENATE(S1262,Q1262,P1262)</f>
        <v/>
      </c>
      <c r="U1262" s="206">
        <f>L1262*M1262</f>
        <v/>
      </c>
      <c r="V1262" s="4" t="n"/>
      <c r="W1262" s="4" t="n"/>
      <c r="X1262" s="4" t="n"/>
    </row>
    <row r="1263" ht="15.75" customHeight="1" thickBot="1">
      <c r="A1263" s="186" t="n">
        <v>607</v>
      </c>
      <c r="B1263" s="214" t="inlineStr">
        <is>
          <t>Food Color - Yellow</t>
        </is>
      </c>
      <c r="C1263" s="124" t="n"/>
      <c r="D1263" s="115" t="n"/>
      <c r="E1263" s="124" t="n"/>
      <c r="F1263" s="124" t="n"/>
      <c r="G1263" s="124" t="n"/>
      <c r="H1263" s="84" t="n"/>
      <c r="I1263" s="7" t="n"/>
      <c r="J1263" s="32" t="inlineStr">
        <is>
          <t>McCormick</t>
        </is>
      </c>
      <c r="K1263" s="24" t="n"/>
      <c r="L1263" s="36" t="n">
        <v>35</v>
      </c>
      <c r="M1263" s="204" t="n">
        <v>1</v>
      </c>
      <c r="N1263" s="177" t="n">
        <v>20</v>
      </c>
      <c r="O1263" s="13" t="n"/>
      <c r="P1263" s="139" t="inlineStr">
        <is>
          <t>ml</t>
        </is>
      </c>
      <c r="Q1263" s="2" t="n"/>
      <c r="R1263" s="1" t="n"/>
      <c r="S1263" s="229">
        <f>M1263*N1263</f>
        <v/>
      </c>
      <c r="T1263" s="230">
        <f>CONCATENATE(S1263,Q1263,P1263)</f>
        <v/>
      </c>
      <c r="U1263" s="206">
        <f>L1263*M1263</f>
        <v/>
      </c>
      <c r="V1263" s="4" t="n"/>
      <c r="W1263" s="4" t="n"/>
      <c r="X1263" s="4" t="n"/>
    </row>
    <row r="1264" ht="15.75" customHeight="1" thickBot="1">
      <c r="A1264" s="186" t="n">
        <v>607</v>
      </c>
      <c r="B1264" s="215" t="inlineStr">
        <is>
          <t>Food Color - Yellow</t>
        </is>
      </c>
      <c r="C1264" s="124" t="n"/>
      <c r="D1264" s="115" t="n"/>
      <c r="E1264" s="124" t="n"/>
      <c r="F1264" s="124" t="n"/>
      <c r="G1264" s="124" t="n"/>
      <c r="H1264" s="84" t="n"/>
      <c r="I1264" s="7" t="n"/>
      <c r="J1264" s="32" t="inlineStr">
        <is>
          <t>McCormick</t>
        </is>
      </c>
      <c r="K1264" s="24" t="n"/>
      <c r="L1264" s="36" t="n">
        <v>38.5</v>
      </c>
      <c r="M1264" s="204" t="n">
        <v>1</v>
      </c>
      <c r="N1264" s="177" t="n">
        <v>20</v>
      </c>
      <c r="O1264" s="13" t="n"/>
      <c r="P1264" s="139" t="inlineStr">
        <is>
          <t>ml</t>
        </is>
      </c>
      <c r="Q1264" s="2" t="n"/>
      <c r="R1264" s="1" t="n"/>
      <c r="S1264" s="229">
        <f>M1264*N1264</f>
        <v/>
      </c>
      <c r="T1264" s="230">
        <f>CONCATENATE(S1264,Q1264,P1264)</f>
        <v/>
      </c>
      <c r="U1264" s="206">
        <f>L1264*M1264</f>
        <v/>
      </c>
      <c r="V1264" s="4" t="n"/>
      <c r="W1264" s="4" t="n"/>
      <c r="X1264" s="4" t="n"/>
    </row>
    <row r="1265" ht="15.75" customHeight="1" thickBot="1">
      <c r="A1265" s="186" t="n">
        <v>607</v>
      </c>
      <c r="B1265" s="215" t="inlineStr">
        <is>
          <t>Food Color - Yellow</t>
        </is>
      </c>
      <c r="C1265" s="124" t="n"/>
      <c r="D1265" s="115" t="n"/>
      <c r="E1265" s="124" t="n"/>
      <c r="F1265" s="124" t="n"/>
      <c r="G1265" s="124" t="n"/>
      <c r="H1265" s="84" t="n"/>
      <c r="I1265" s="7" t="n"/>
      <c r="J1265" s="32" t="inlineStr">
        <is>
          <t>McCormick</t>
        </is>
      </c>
      <c r="K1265" s="24" t="n"/>
      <c r="L1265" s="36" t="n">
        <v>289</v>
      </c>
      <c r="M1265" s="204" t="n">
        <v>2</v>
      </c>
      <c r="N1265" s="177" t="n">
        <v>475</v>
      </c>
      <c r="O1265" s="13" t="n"/>
      <c r="P1265" s="139" t="inlineStr">
        <is>
          <t>ml</t>
        </is>
      </c>
      <c r="Q1265" s="2" t="n"/>
      <c r="R1265" s="1" t="n"/>
      <c r="S1265" s="229">
        <f>M1265*N1265</f>
        <v/>
      </c>
      <c r="T1265" s="230">
        <f>CONCATENATE(S1265,Q1265,P1265)</f>
        <v/>
      </c>
      <c r="U1265" s="206">
        <f>L1265*M1265</f>
        <v/>
      </c>
      <c r="V1265" s="4" t="n"/>
      <c r="W1265" s="4" t="n"/>
      <c r="X1265" s="4" t="n"/>
    </row>
    <row r="1266" ht="15.75" customHeight="1" thickBot="1">
      <c r="A1266" s="186" t="n">
        <v>608</v>
      </c>
      <c r="B1266" s="214" t="inlineStr">
        <is>
          <t>Food Flavoring - Almond</t>
        </is>
      </c>
      <c r="C1266" s="124" t="n"/>
      <c r="D1266" s="115" t="n"/>
      <c r="E1266" s="124" t="n"/>
      <c r="F1266" s="124" t="n"/>
      <c r="G1266" s="124" t="n"/>
      <c r="H1266" s="84" t="n"/>
      <c r="I1266" s="7" t="n"/>
      <c r="J1266" s="32" t="inlineStr">
        <is>
          <t>McCormick</t>
        </is>
      </c>
      <c r="K1266" s="24" t="n"/>
      <c r="L1266" s="36" t="n">
        <v>48</v>
      </c>
      <c r="M1266" s="204" t="n">
        <v>1</v>
      </c>
      <c r="N1266" s="177" t="n">
        <v>20</v>
      </c>
      <c r="O1266" s="13" t="n"/>
      <c r="P1266" s="139" t="inlineStr">
        <is>
          <t>ml</t>
        </is>
      </c>
      <c r="Q1266" s="2" t="n"/>
      <c r="R1266" s="1" t="n"/>
      <c r="S1266" s="229">
        <f>M1266*N1266</f>
        <v/>
      </c>
      <c r="T1266" s="230">
        <f>CONCATENATE(S1266,Q1266,P1266)</f>
        <v/>
      </c>
      <c r="U1266" s="206">
        <f>L1266*M1266</f>
        <v/>
      </c>
      <c r="V1266" s="4" t="n"/>
      <c r="W1266" s="4" t="n"/>
      <c r="X1266" s="4" t="n"/>
    </row>
    <row r="1267" ht="15.75" customHeight="1" thickBot="1">
      <c r="A1267" s="186" t="n">
        <v>608</v>
      </c>
      <c r="B1267" s="214" t="inlineStr">
        <is>
          <t>Food Flavoring - Almond</t>
        </is>
      </c>
      <c r="C1267" s="124" t="n"/>
      <c r="D1267" s="115" t="n"/>
      <c r="E1267" s="124" t="n"/>
      <c r="F1267" s="124" t="n"/>
      <c r="G1267" s="124" t="n"/>
      <c r="H1267" s="84" t="n"/>
      <c r="I1267" s="7" t="n"/>
      <c r="J1267" s="32" t="inlineStr">
        <is>
          <t>McCormick</t>
        </is>
      </c>
      <c r="K1267" s="24" t="n"/>
      <c r="L1267" s="36" t="n">
        <v>55</v>
      </c>
      <c r="M1267" s="204" t="n">
        <v>1</v>
      </c>
      <c r="N1267" s="177" t="n">
        <v>20</v>
      </c>
      <c r="O1267" s="13" t="n"/>
      <c r="P1267" s="139" t="inlineStr">
        <is>
          <t>ml</t>
        </is>
      </c>
      <c r="Q1267" s="2" t="n"/>
      <c r="R1267" s="1" t="n"/>
      <c r="S1267" s="229">
        <f>M1267*N1267</f>
        <v/>
      </c>
      <c r="T1267" s="230">
        <f>CONCATENATE(S1267,Q1267,P1267)</f>
        <v/>
      </c>
      <c r="U1267" s="206">
        <f>L1267*M1267</f>
        <v/>
      </c>
      <c r="V1267" s="4" t="n"/>
      <c r="W1267" s="4" t="n"/>
      <c r="X1267" s="4" t="n"/>
    </row>
    <row r="1268" ht="15.75" customHeight="1" thickBot="1">
      <c r="A1268" s="186" t="n">
        <v>608</v>
      </c>
      <c r="B1268" s="214" t="inlineStr">
        <is>
          <t>Food Flavoring - Almond</t>
        </is>
      </c>
      <c r="C1268" s="124" t="n"/>
      <c r="D1268" s="115" t="n"/>
      <c r="E1268" s="124" t="n"/>
      <c r="F1268" s="124" t="n"/>
      <c r="G1268" s="124" t="n"/>
      <c r="H1268" s="84" t="n"/>
      <c r="I1268" s="7" t="n"/>
      <c r="J1268" s="32" t="inlineStr">
        <is>
          <t>McCormick</t>
        </is>
      </c>
      <c r="K1268" s="24" t="n"/>
      <c r="L1268" s="36" t="n">
        <v>45.75</v>
      </c>
      <c r="M1268" s="204" t="n">
        <v>6</v>
      </c>
      <c r="N1268" s="177" t="n">
        <v>20</v>
      </c>
      <c r="O1268" s="13" t="n"/>
      <c r="P1268" s="139" t="inlineStr">
        <is>
          <t>ml</t>
        </is>
      </c>
      <c r="Q1268" s="2" t="n"/>
      <c r="R1268" s="1" t="n"/>
      <c r="S1268" s="229">
        <f>M1268*N1268</f>
        <v/>
      </c>
      <c r="T1268" s="230">
        <f>CONCATENATE(S1268,Q1268,P1268)</f>
        <v/>
      </c>
      <c r="U1268" s="206">
        <f>L1268*M1268</f>
        <v/>
      </c>
      <c r="V1268" s="4" t="n"/>
      <c r="W1268" s="4" t="n"/>
      <c r="X1268" s="4" t="n"/>
    </row>
    <row r="1269" ht="15.75" customHeight="1" thickBot="1">
      <c r="A1269" s="186" t="n">
        <v>609</v>
      </c>
      <c r="B1269" s="214" t="inlineStr">
        <is>
          <t>Food Flavoring - Buko Pandan</t>
        </is>
      </c>
      <c r="C1269" s="124" t="n"/>
      <c r="D1269" s="115" t="n"/>
      <c r="E1269" s="124" t="n"/>
      <c r="F1269" s="124" t="n"/>
      <c r="G1269" s="124" t="n"/>
      <c r="H1269" s="84" t="n"/>
      <c r="I1269" s="7" t="n"/>
      <c r="J1269" s="32" t="inlineStr">
        <is>
          <t>McCormick</t>
        </is>
      </c>
      <c r="K1269" s="24" t="n"/>
      <c r="L1269" s="36" t="n">
        <v>32</v>
      </c>
      <c r="M1269" s="204" t="n">
        <v>1</v>
      </c>
      <c r="N1269" s="177" t="n">
        <v>20</v>
      </c>
      <c r="O1269" s="13" t="n"/>
      <c r="P1269" s="139" t="inlineStr">
        <is>
          <t>ml</t>
        </is>
      </c>
      <c r="Q1269" s="2" t="n"/>
      <c r="R1269" s="1" t="n"/>
      <c r="S1269" s="229">
        <f>M1269*N1269</f>
        <v/>
      </c>
      <c r="T1269" s="230">
        <f>CONCATENATE(S1269,Q1269,P1269)</f>
        <v/>
      </c>
      <c r="U1269" s="206">
        <f>L1269*M1269</f>
        <v/>
      </c>
      <c r="V1269" s="4" t="n"/>
      <c r="W1269" s="4" t="n"/>
      <c r="X1269" s="4" t="n"/>
    </row>
    <row r="1270" ht="15.75" customHeight="1" thickBot="1">
      <c r="A1270" s="186" t="n">
        <v>609</v>
      </c>
      <c r="B1270" s="214" t="inlineStr">
        <is>
          <t>Food Flavoring - Buko Pandan</t>
        </is>
      </c>
      <c r="C1270" s="124" t="n"/>
      <c r="D1270" s="115" t="n"/>
      <c r="E1270" s="124" t="n"/>
      <c r="F1270" s="124" t="n"/>
      <c r="G1270" s="124" t="n"/>
      <c r="H1270" s="84" t="n"/>
      <c r="I1270" s="7" t="n"/>
      <c r="J1270" s="32" t="inlineStr">
        <is>
          <t>McCormick</t>
        </is>
      </c>
      <c r="K1270" s="24" t="n"/>
      <c r="L1270" s="36" t="n">
        <v>55</v>
      </c>
      <c r="M1270" s="204" t="n">
        <v>1</v>
      </c>
      <c r="N1270" s="177" t="n">
        <v>20</v>
      </c>
      <c r="O1270" s="13" t="n"/>
      <c r="P1270" s="139" t="inlineStr">
        <is>
          <t>ml</t>
        </is>
      </c>
      <c r="Q1270" s="2" t="n"/>
      <c r="R1270" s="1" t="n"/>
      <c r="S1270" s="229">
        <f>M1270*N1270</f>
        <v/>
      </c>
      <c r="T1270" s="230">
        <f>CONCATENATE(S1270,Q1270,P1270)</f>
        <v/>
      </c>
      <c r="U1270" s="206">
        <f>L1270*M1270</f>
        <v/>
      </c>
      <c r="V1270" s="4" t="n"/>
      <c r="W1270" s="4" t="n"/>
      <c r="X1270" s="4" t="n"/>
    </row>
    <row r="1271" ht="15.75" customHeight="1" thickBot="1">
      <c r="A1271" s="186" t="n">
        <v>610</v>
      </c>
      <c r="B1271" s="215" t="inlineStr">
        <is>
          <t>Food Flavoring - Melon</t>
        </is>
      </c>
      <c r="C1271" s="124" t="n"/>
      <c r="D1271" s="115" t="n"/>
      <c r="E1271" s="124" t="n"/>
      <c r="F1271" s="124" t="n"/>
      <c r="G1271" s="124" t="n"/>
      <c r="H1271" s="84" t="n"/>
      <c r="I1271" s="7" t="n"/>
      <c r="J1271" s="32" t="inlineStr">
        <is>
          <t>McCormick</t>
        </is>
      </c>
      <c r="K1271" s="24" t="n"/>
      <c r="L1271" s="36" t="n">
        <v>53</v>
      </c>
      <c r="M1271" s="204" t="n">
        <v>2</v>
      </c>
      <c r="N1271" s="177" t="n">
        <v>60</v>
      </c>
      <c r="O1271" s="13" t="n"/>
      <c r="P1271" s="139" t="inlineStr">
        <is>
          <t>ml</t>
        </is>
      </c>
      <c r="Q1271" s="2" t="n"/>
      <c r="R1271" s="1" t="n"/>
      <c r="S1271" s="229">
        <f>M1271*N1271</f>
        <v/>
      </c>
      <c r="T1271" s="230">
        <f>CONCATENATE(S1271,Q1271,P1271)</f>
        <v/>
      </c>
      <c r="U1271" s="206">
        <f>L1271*M1271</f>
        <v/>
      </c>
      <c r="V1271" s="4" t="n"/>
      <c r="W1271" s="4" t="n"/>
      <c r="X1271" s="4" t="n"/>
    </row>
    <row r="1272" ht="15.75" customHeight="1" thickBot="1">
      <c r="A1272" s="186" t="n">
        <v>611</v>
      </c>
      <c r="B1272" s="215" t="inlineStr">
        <is>
          <t>Food Flavoring - Strawberry</t>
        </is>
      </c>
      <c r="C1272" s="124" t="n"/>
      <c r="D1272" s="115" t="n"/>
      <c r="E1272" s="124" t="n"/>
      <c r="F1272" s="124" t="n"/>
      <c r="G1272" s="124" t="n"/>
      <c r="H1272" s="84" t="n"/>
      <c r="I1272" s="7" t="n"/>
      <c r="J1272" s="32" t="inlineStr">
        <is>
          <t>McCormick</t>
        </is>
      </c>
      <c r="K1272" s="24" t="n"/>
      <c r="L1272" s="36" t="n">
        <v>60</v>
      </c>
      <c r="M1272" s="204" t="n">
        <v>1</v>
      </c>
      <c r="N1272" s="177" t="n">
        <v>20</v>
      </c>
      <c r="O1272" s="13" t="n"/>
      <c r="P1272" s="139" t="inlineStr">
        <is>
          <t>ml</t>
        </is>
      </c>
      <c r="Q1272" s="2" t="n"/>
      <c r="R1272" s="1" t="n"/>
      <c r="S1272" s="229">
        <f>M1272*N1272</f>
        <v/>
      </c>
      <c r="T1272" s="230">
        <f>CONCATENATE(S1272,Q1272,P1272)</f>
        <v/>
      </c>
      <c r="U1272" s="206">
        <f>L1272*M1272</f>
        <v/>
      </c>
      <c r="V1272" s="4" t="n"/>
      <c r="W1272" s="4" t="n"/>
      <c r="X1272" s="4" t="n"/>
    </row>
    <row r="1273" ht="15.75" customHeight="1" thickBot="1">
      <c r="A1273" s="186" t="n">
        <v>612</v>
      </c>
      <c r="B1273" s="214" t="inlineStr">
        <is>
          <t>Food Flavoring - Ube</t>
        </is>
      </c>
      <c r="C1273" s="124" t="n"/>
      <c r="D1273" s="115" t="n"/>
      <c r="E1273" s="124" t="n"/>
      <c r="F1273" s="124" t="n"/>
      <c r="G1273" s="124" t="n"/>
      <c r="H1273" s="84" t="n"/>
      <c r="I1273" s="7" t="n"/>
      <c r="J1273" s="32" t="inlineStr">
        <is>
          <t>Flavorade</t>
        </is>
      </c>
      <c r="K1273" s="24" t="n"/>
      <c r="L1273" s="36" t="n">
        <v>329</v>
      </c>
      <c r="M1273" s="204" t="n">
        <v>1</v>
      </c>
      <c r="N1273" s="177" t="n">
        <v>500</v>
      </c>
      <c r="O1273" s="13" t="n"/>
      <c r="P1273" s="139" t="inlineStr">
        <is>
          <t>grams</t>
        </is>
      </c>
      <c r="Q1273" s="2" t="n"/>
      <c r="R1273" s="1" t="n"/>
      <c r="S1273" s="229">
        <f>M1273*N1273</f>
        <v/>
      </c>
      <c r="T1273" s="230">
        <f>CONCATENATE(S1273,Q1273,P1273)</f>
        <v/>
      </c>
      <c r="U1273" s="206">
        <f>L1273*M1273</f>
        <v/>
      </c>
      <c r="V1273" s="4" t="n"/>
      <c r="W1273" s="4" t="n"/>
      <c r="X1273" s="4" t="n"/>
    </row>
    <row r="1274" ht="15.75" customHeight="1" thickBot="1">
      <c r="A1274" s="186" t="n">
        <v>612</v>
      </c>
      <c r="B1274" s="214" t="inlineStr">
        <is>
          <t>Food Flavoring - Ube</t>
        </is>
      </c>
      <c r="C1274" s="124" t="n"/>
      <c r="D1274" s="115" t="n"/>
      <c r="E1274" s="124" t="n"/>
      <c r="F1274" s="124" t="n"/>
      <c r="G1274" s="124" t="n"/>
      <c r="H1274" s="84" t="n"/>
      <c r="I1274" s="7" t="n"/>
      <c r="J1274" s="32" t="inlineStr">
        <is>
          <t>McCormick</t>
        </is>
      </c>
      <c r="K1274" s="24" t="n"/>
      <c r="L1274" s="36" t="n">
        <v>55</v>
      </c>
      <c r="M1274" s="204" t="n">
        <v>1</v>
      </c>
      <c r="N1274" s="177" t="n">
        <v>20</v>
      </c>
      <c r="O1274" s="13" t="n"/>
      <c r="P1274" s="139" t="inlineStr">
        <is>
          <t>ml</t>
        </is>
      </c>
      <c r="Q1274" s="2" t="n"/>
      <c r="R1274" s="1" t="n"/>
      <c r="S1274" s="229">
        <f>M1274*N1274</f>
        <v/>
      </c>
      <c r="T1274" s="230">
        <f>CONCATENATE(S1274,Q1274,P1274)</f>
        <v/>
      </c>
      <c r="U1274" s="206">
        <f>L1274*M1274</f>
        <v/>
      </c>
      <c r="V1274" s="4" t="n"/>
      <c r="W1274" s="4" t="n"/>
      <c r="X1274" s="4" t="n"/>
    </row>
    <row r="1275" ht="15.75" customHeight="1" thickBot="1">
      <c r="A1275" s="186" t="n">
        <v>612</v>
      </c>
      <c r="B1275" s="214" t="inlineStr">
        <is>
          <t>Food Flavoring - Ube</t>
        </is>
      </c>
      <c r="C1275" s="124" t="n"/>
      <c r="D1275" s="115" t="n"/>
      <c r="E1275" s="124" t="n"/>
      <c r="F1275" s="124" t="n"/>
      <c r="G1275" s="124" t="n"/>
      <c r="H1275" s="84" t="n"/>
      <c r="I1275" s="7" t="n"/>
      <c r="J1275" s="32" t="inlineStr">
        <is>
          <t>McCormick</t>
        </is>
      </c>
      <c r="K1275" s="24" t="n"/>
      <c r="L1275" s="36" t="n">
        <v>45</v>
      </c>
      <c r="M1275" s="204" t="n">
        <v>2</v>
      </c>
      <c r="N1275" s="177" t="n">
        <v>20</v>
      </c>
      <c r="O1275" s="13" t="n"/>
      <c r="P1275" s="139" t="inlineStr">
        <is>
          <t>ml</t>
        </is>
      </c>
      <c r="Q1275" s="2" t="n"/>
      <c r="R1275" s="1" t="n"/>
      <c r="S1275" s="229">
        <f>M1275*N1275</f>
        <v/>
      </c>
      <c r="T1275" s="230">
        <f>CONCATENATE(S1275,Q1275,P1275)</f>
        <v/>
      </c>
      <c r="U1275" s="206">
        <f>L1275*M1275</f>
        <v/>
      </c>
      <c r="V1275" s="4" t="n"/>
      <c r="W1275" s="4" t="n"/>
      <c r="X1275" s="4" t="n"/>
    </row>
    <row r="1276" ht="15.75" customHeight="1" thickBot="1">
      <c r="A1276" s="186" t="n">
        <v>613</v>
      </c>
      <c r="B1276" s="214" t="inlineStr">
        <is>
          <t>Footlong</t>
        </is>
      </c>
      <c r="C1276" s="124" t="n"/>
      <c r="D1276" s="115" t="n"/>
      <c r="E1276" s="124" t="n"/>
      <c r="F1276" s="124" t="n"/>
      <c r="G1276" s="124" t="n"/>
      <c r="H1276" s="84" t="n"/>
      <c r="I1276" s="7" t="n"/>
      <c r="J1276" s="32" t="inlineStr">
        <is>
          <t>Holiday</t>
        </is>
      </c>
      <c r="K1276" s="24" t="n"/>
      <c r="L1276" s="36" t="n">
        <v>175</v>
      </c>
      <c r="M1276" s="204" t="n">
        <v>2</v>
      </c>
      <c r="N1276" s="177" t="n">
        <v>1000</v>
      </c>
      <c r="O1276" s="13" t="n"/>
      <c r="P1276" s="139" t="inlineStr">
        <is>
          <t>grams</t>
        </is>
      </c>
      <c r="Q1276" s="2" t="n"/>
      <c r="R1276" s="1" t="n"/>
      <c r="S1276" s="229">
        <f>M1276*N1276</f>
        <v/>
      </c>
      <c r="T1276" s="230">
        <f>CONCATENATE(S1276,Q1276,P1276)</f>
        <v/>
      </c>
      <c r="U1276" s="206">
        <f>L1276*M1276</f>
        <v/>
      </c>
      <c r="V1276" s="4" t="n"/>
      <c r="W1276" s="4" t="n"/>
      <c r="X1276" s="4" t="n"/>
    </row>
    <row r="1277" ht="15.75" customHeight="1" thickBot="1">
      <c r="A1277" s="186" t="n">
        <v>613</v>
      </c>
      <c r="B1277" s="214" t="inlineStr">
        <is>
          <t>Footlong</t>
        </is>
      </c>
      <c r="C1277" s="124" t="n"/>
      <c r="D1277" s="115" t="n"/>
      <c r="E1277" s="124" t="n"/>
      <c r="F1277" s="124" t="n"/>
      <c r="G1277" s="124" t="n"/>
      <c r="H1277" s="84" t="n"/>
      <c r="I1277" s="7" t="n"/>
      <c r="J1277" s="32" t="inlineStr">
        <is>
          <t>Holiday</t>
        </is>
      </c>
      <c r="K1277" s="24" t="n"/>
      <c r="L1277" s="36" t="n">
        <v>179</v>
      </c>
      <c r="M1277" s="204" t="n">
        <v>3</v>
      </c>
      <c r="N1277" s="177" t="n">
        <v>1000</v>
      </c>
      <c r="O1277" s="13" t="n"/>
      <c r="P1277" s="139" t="inlineStr">
        <is>
          <t>grams</t>
        </is>
      </c>
      <c r="Q1277" s="2" t="n"/>
      <c r="R1277" s="1" t="n"/>
      <c r="S1277" s="229">
        <f>M1277*N1277</f>
        <v/>
      </c>
      <c r="T1277" s="230">
        <f>CONCATENATE(S1277,Q1277,P1277)</f>
        <v/>
      </c>
      <c r="U1277" s="206">
        <f>L1277*M1277</f>
        <v/>
      </c>
      <c r="V1277" s="4" t="n"/>
      <c r="W1277" s="4" t="n"/>
      <c r="X1277" s="4" t="n"/>
    </row>
    <row r="1278" ht="15.75" customHeight="1" thickBot="1">
      <c r="A1278" s="186" t="n">
        <v>614</v>
      </c>
      <c r="B1278" s="214" t="inlineStr">
        <is>
          <t>French Fries</t>
        </is>
      </c>
      <c r="C1278" s="124" t="n"/>
      <c r="D1278" s="115" t="n"/>
      <c r="E1278" s="124" t="n"/>
      <c r="F1278" s="124" t="n"/>
      <c r="G1278" s="124" t="n"/>
      <c r="H1278" s="84" t="n"/>
      <c r="I1278" s="7" t="n"/>
      <c r="J1278" s="32" t="inlineStr">
        <is>
          <t>Frenchies</t>
        </is>
      </c>
      <c r="K1278" s="24" t="n"/>
      <c r="L1278" s="36" t="n">
        <v>193</v>
      </c>
      <c r="M1278" s="204" t="n">
        <v>2</v>
      </c>
      <c r="N1278" s="177" t="n">
        <v>1000</v>
      </c>
      <c r="O1278" s="13" t="n"/>
      <c r="P1278" s="139" t="inlineStr">
        <is>
          <t>grams</t>
        </is>
      </c>
      <c r="Q1278" s="2" t="n"/>
      <c r="R1278" s="1" t="n"/>
      <c r="S1278" s="229">
        <f>M1278*N1278</f>
        <v/>
      </c>
      <c r="T1278" s="230">
        <f>CONCATENATE(S1278,Q1278,P1278)</f>
        <v/>
      </c>
      <c r="U1278" s="206">
        <f>L1278*M1278</f>
        <v/>
      </c>
      <c r="V1278" s="4" t="n"/>
      <c r="W1278" s="4" t="n"/>
      <c r="X1278" s="4" t="n"/>
    </row>
    <row r="1279" ht="15.75" customHeight="1" thickBot="1">
      <c r="A1279" s="186" t="n">
        <v>615</v>
      </c>
      <c r="B1279" s="214" t="inlineStr">
        <is>
          <t>Frozen Peas</t>
        </is>
      </c>
      <c r="C1279" s="124" t="n"/>
      <c r="D1279" s="115" t="n"/>
      <c r="E1279" s="124" t="n"/>
      <c r="F1279" s="124" t="n"/>
      <c r="G1279" s="124" t="n"/>
      <c r="H1279" s="84" t="n"/>
      <c r="I1279" s="7" t="n"/>
      <c r="J1279" s="32" t="n"/>
      <c r="K1279" s="24" t="n"/>
      <c r="L1279" s="36" t="n">
        <v>145</v>
      </c>
      <c r="M1279" s="204" t="n">
        <v>1</v>
      </c>
      <c r="N1279" s="177" t="n">
        <v>1</v>
      </c>
      <c r="O1279" s="13" t="n"/>
      <c r="P1279" s="139" t="inlineStr">
        <is>
          <t>kilos</t>
        </is>
      </c>
      <c r="Q1279" s="2" t="n"/>
      <c r="R1279" s="1" t="n"/>
      <c r="S1279" s="229">
        <f>M1279*N1279</f>
        <v/>
      </c>
      <c r="T1279" s="230">
        <f>CONCATENATE(S1279,Q1279,P1279)</f>
        <v/>
      </c>
      <c r="U1279" s="206">
        <f>L1279*M1279</f>
        <v/>
      </c>
      <c r="V1279" s="4" t="n"/>
      <c r="W1279" s="4" t="n"/>
      <c r="X1279" s="4" t="n"/>
    </row>
    <row r="1280" ht="15.75" customHeight="1" thickBot="1">
      <c r="A1280" s="186" t="n">
        <v>615</v>
      </c>
      <c r="B1280" s="214" t="inlineStr">
        <is>
          <t>Frozen Peas</t>
        </is>
      </c>
      <c r="C1280" s="124" t="n"/>
      <c r="D1280" s="115" t="n"/>
      <c r="E1280" s="124" t="n"/>
      <c r="F1280" s="124" t="n"/>
      <c r="G1280" s="124" t="n"/>
      <c r="H1280" s="84" t="n"/>
      <c r="I1280" s="7" t="n"/>
      <c r="J1280" s="32" t="inlineStr">
        <is>
          <t>Hernan Logmao</t>
        </is>
      </c>
      <c r="K1280" s="24" t="n"/>
      <c r="L1280" s="36" t="n">
        <v>180</v>
      </c>
      <c r="M1280" s="204" t="n">
        <v>1</v>
      </c>
      <c r="N1280" s="177" t="n">
        <v>1000</v>
      </c>
      <c r="O1280" s="13" t="n"/>
      <c r="P1280" s="139" t="inlineStr">
        <is>
          <t>grams</t>
        </is>
      </c>
      <c r="Q1280" s="2" t="n"/>
      <c r="R1280" s="1" t="n"/>
      <c r="S1280" s="229">
        <f>M1280*N1280</f>
        <v/>
      </c>
      <c r="T1280" s="230">
        <f>CONCATENATE(S1280,Q1280,P1280)</f>
        <v/>
      </c>
      <c r="U1280" s="206">
        <f>L1280*M1280</f>
        <v/>
      </c>
      <c r="V1280" s="4" t="n"/>
      <c r="W1280" s="4" t="n"/>
      <c r="X1280" s="4" t="n"/>
    </row>
    <row r="1281" ht="15.75" customHeight="1" thickBot="1">
      <c r="A1281" s="186" t="n">
        <v>162</v>
      </c>
      <c r="B1281" s="214" t="inlineStr">
        <is>
          <t>Fruit Cocktail</t>
        </is>
      </c>
      <c r="C1281" s="124" t="n"/>
      <c r="D1281" s="115" t="n"/>
      <c r="E1281" s="124" t="n"/>
      <c r="F1281" s="124" t="n"/>
      <c r="G1281" s="124" t="n"/>
      <c r="H1281" s="84" t="n"/>
      <c r="I1281" s="7" t="n"/>
      <c r="J1281" s="32" t="inlineStr">
        <is>
          <t>Today's</t>
        </is>
      </c>
      <c r="K1281" s="24" t="n"/>
      <c r="L1281" s="36" t="n">
        <v>166.49</v>
      </c>
      <c r="M1281" s="204" t="n">
        <v>3</v>
      </c>
      <c r="N1281" s="177" t="n">
        <v>3033</v>
      </c>
      <c r="O1281" s="13" t="n"/>
      <c r="P1281" s="139" t="inlineStr">
        <is>
          <t>grams</t>
        </is>
      </c>
      <c r="Q1281" s="2" t="n"/>
      <c r="R1281" s="1" t="n"/>
      <c r="S1281" s="229">
        <f>M1281*N1281</f>
        <v/>
      </c>
      <c r="T1281" s="230">
        <f>CONCATENATE(S1281,Q1281,P1281)</f>
        <v/>
      </c>
      <c r="U1281" s="206">
        <f>L1281*M1281</f>
        <v/>
      </c>
      <c r="V1281" s="4" t="n"/>
      <c r="W1281" s="4" t="n"/>
      <c r="X1281" s="4" t="n"/>
    </row>
    <row r="1282" ht="15.75" customHeight="1" thickBot="1">
      <c r="A1282" s="186" t="n">
        <v>162</v>
      </c>
      <c r="B1282" s="214" t="inlineStr">
        <is>
          <t>Fruit Cocktail</t>
        </is>
      </c>
      <c r="C1282" s="124" t="n"/>
      <c r="D1282" s="115" t="n"/>
      <c r="E1282" s="124" t="n"/>
      <c r="F1282" s="124" t="n"/>
      <c r="G1282" s="124" t="n"/>
      <c r="H1282" s="84" t="n"/>
      <c r="I1282" s="7" t="n"/>
      <c r="J1282" s="32" t="inlineStr">
        <is>
          <t>Today's</t>
        </is>
      </c>
      <c r="K1282" s="24" t="n"/>
      <c r="L1282" s="36" t="n">
        <v>89.5</v>
      </c>
      <c r="M1282" s="204" t="n">
        <v>2</v>
      </c>
      <c r="N1282" s="177" t="n">
        <v>422</v>
      </c>
      <c r="O1282" s="13" t="n"/>
      <c r="P1282" s="139" t="inlineStr">
        <is>
          <t>drained weight grams</t>
        </is>
      </c>
      <c r="Q1282" s="2" t="n"/>
      <c r="R1282" s="1" t="n"/>
      <c r="S1282" s="229">
        <f>M1282*N1282</f>
        <v/>
      </c>
      <c r="T1282" s="230">
        <f>CONCATENATE(S1282,Q1282,P1282)</f>
        <v/>
      </c>
      <c r="U1282" s="206">
        <f>L1282*M1282</f>
        <v/>
      </c>
      <c r="V1282" s="4" t="n"/>
      <c r="W1282" s="4" t="n"/>
      <c r="X1282" s="4" t="n"/>
    </row>
    <row r="1283" ht="15.75" customHeight="1" thickBot="1">
      <c r="A1283" s="186" t="n">
        <v>162</v>
      </c>
      <c r="B1283" s="214" t="inlineStr">
        <is>
          <t>Fruit Cocktail</t>
        </is>
      </c>
      <c r="C1283" s="124" t="n"/>
      <c r="D1283" s="115" t="n"/>
      <c r="E1283" s="124" t="n"/>
      <c r="F1283" s="124" t="n"/>
      <c r="G1283" s="124" t="n"/>
      <c r="H1283" s="84" t="n"/>
      <c r="I1283" s="7" t="n"/>
      <c r="J1283" s="32" t="inlineStr">
        <is>
          <t>Del Monte</t>
        </is>
      </c>
      <c r="K1283" s="24" t="n"/>
      <c r="L1283" s="36" t="n">
        <v>69</v>
      </c>
      <c r="M1283" s="204" t="n">
        <v>5</v>
      </c>
      <c r="N1283" s="177" t="n">
        <v>266</v>
      </c>
      <c r="O1283" s="13" t="n"/>
      <c r="P1283" s="139" t="inlineStr">
        <is>
          <t>grams</t>
        </is>
      </c>
      <c r="Q1283" s="2" t="n"/>
      <c r="R1283" s="1" t="n"/>
      <c r="S1283" s="229">
        <f>M1283*N1283</f>
        <v/>
      </c>
      <c r="T1283" s="230">
        <f>CONCATENATE(S1283,Q1283,P1283)</f>
        <v/>
      </c>
      <c r="U1283" s="206">
        <f>L1283*M1283</f>
        <v/>
      </c>
      <c r="V1283" s="4" t="n"/>
      <c r="W1283" s="4" t="n"/>
      <c r="X1283" s="4" t="n"/>
    </row>
    <row r="1284" ht="15.75" customHeight="1" thickBot="1">
      <c r="A1284" s="186" t="n">
        <v>162</v>
      </c>
      <c r="B1284" s="214" t="inlineStr">
        <is>
          <t>Fruit Cocktail</t>
        </is>
      </c>
      <c r="C1284" s="124" t="n"/>
      <c r="D1284" s="115" t="n"/>
      <c r="E1284" s="124" t="n"/>
      <c r="F1284" s="124" t="n"/>
      <c r="G1284" s="124" t="n"/>
      <c r="H1284" s="84" t="n"/>
      <c r="I1284" s="7" t="n"/>
      <c r="J1284" s="32" t="inlineStr">
        <is>
          <t>Del Monte</t>
        </is>
      </c>
      <c r="K1284" s="24" t="n"/>
      <c r="L1284" s="36" t="n">
        <v>309</v>
      </c>
      <c r="M1284" s="204" t="n">
        <v>6</v>
      </c>
      <c r="N1284" s="177" t="n">
        <v>3033</v>
      </c>
      <c r="O1284" s="13" t="n"/>
      <c r="P1284" s="139" t="inlineStr">
        <is>
          <t>grams</t>
        </is>
      </c>
      <c r="Q1284" s="2" t="n"/>
      <c r="R1284" s="1" t="n"/>
      <c r="S1284" s="229">
        <f>M1284*N1284</f>
        <v/>
      </c>
      <c r="T1284" s="230">
        <f>CONCATENATE(S1284,Q1284,P1284)</f>
        <v/>
      </c>
      <c r="U1284" s="206">
        <f>L1284*M1284</f>
        <v/>
      </c>
      <c r="V1284" s="4" t="n"/>
      <c r="W1284" s="4" t="n"/>
      <c r="X1284" s="4" t="n"/>
    </row>
    <row r="1285" ht="15.75" customHeight="1" thickBot="1">
      <c r="A1285" s="186" t="n">
        <v>616</v>
      </c>
      <c r="B1285" s="214" t="inlineStr">
        <is>
          <t>Gabi</t>
        </is>
      </c>
      <c r="C1285" s="124" t="n"/>
      <c r="D1285" s="115" t="n"/>
      <c r="E1285" s="124" t="n"/>
      <c r="F1285" s="124" t="n"/>
      <c r="G1285" s="124" t="n"/>
      <c r="H1285" s="84" t="n"/>
      <c r="I1285" s="7" t="n"/>
      <c r="J1285" s="32" t="n"/>
      <c r="K1285" s="24" t="n"/>
      <c r="L1285" s="36" t="n">
        <v>35</v>
      </c>
      <c r="M1285" s="204" t="n">
        <v>3</v>
      </c>
      <c r="N1285" s="177" t="n">
        <v>1000</v>
      </c>
      <c r="O1285" s="13" t="n"/>
      <c r="P1285" s="139" t="inlineStr">
        <is>
          <t>grams</t>
        </is>
      </c>
      <c r="Q1285" s="2" t="n"/>
      <c r="R1285" s="1" t="n"/>
      <c r="S1285" s="229">
        <f>M1285*N1285</f>
        <v/>
      </c>
      <c r="T1285" s="230">
        <f>CONCATENATE(S1285,Q1285,P1285)</f>
        <v/>
      </c>
      <c r="U1285" s="206">
        <f>L1285*M1285</f>
        <v/>
      </c>
      <c r="V1285" s="4" t="n"/>
      <c r="W1285" s="4" t="n"/>
      <c r="X1285" s="4" t="n"/>
    </row>
    <row r="1286" ht="15.75" customHeight="1" thickBot="1">
      <c r="A1286" s="186" t="n">
        <v>617</v>
      </c>
      <c r="B1286" s="214" t="inlineStr">
        <is>
          <t>Galunggong</t>
        </is>
      </c>
      <c r="C1286" s="124" t="n"/>
      <c r="D1286" s="115" t="n"/>
      <c r="E1286" s="124" t="n"/>
      <c r="F1286" s="124" t="n"/>
      <c r="G1286" s="124" t="n"/>
      <c r="H1286" s="84" t="n"/>
      <c r="I1286" s="7" t="n"/>
      <c r="J1286" s="32" t="n"/>
      <c r="K1286" s="24" t="n"/>
      <c r="L1286" s="36" t="n">
        <v>320</v>
      </c>
      <c r="M1286" s="204" t="n">
        <v>7</v>
      </c>
      <c r="N1286" s="177" t="n">
        <v>1</v>
      </c>
      <c r="O1286" s="13" t="n"/>
      <c r="P1286" s="139" t="inlineStr">
        <is>
          <t>kilos</t>
        </is>
      </c>
      <c r="Q1286" s="2" t="n"/>
      <c r="R1286" s="1" t="n"/>
      <c r="S1286" s="229">
        <f>M1286*N1286</f>
        <v/>
      </c>
      <c r="T1286" s="230">
        <f>CONCATENATE(S1286,Q1286,P1286)</f>
        <v/>
      </c>
      <c r="U1286" s="206">
        <f>L1286*M1286</f>
        <v/>
      </c>
      <c r="V1286" s="4" t="n"/>
      <c r="W1286" s="4" t="n"/>
      <c r="X1286" s="4" t="n"/>
    </row>
    <row r="1287" ht="15.75" customHeight="1" thickBot="1">
      <c r="A1287" s="186" t="n">
        <v>617</v>
      </c>
      <c r="B1287" s="214" t="inlineStr">
        <is>
          <t>Galunggong</t>
        </is>
      </c>
      <c r="C1287" s="124" t="n"/>
      <c r="D1287" s="115" t="n"/>
      <c r="E1287" s="124" t="n"/>
      <c r="F1287" s="124" t="n"/>
      <c r="G1287" s="124" t="n"/>
      <c r="H1287" s="84" t="n"/>
      <c r="I1287" s="7" t="n"/>
      <c r="J1287" s="32" t="n"/>
      <c r="K1287" s="24" t="n"/>
      <c r="L1287" s="36" t="n">
        <v>320</v>
      </c>
      <c r="M1287" s="204" t="n">
        <v>4</v>
      </c>
      <c r="N1287" s="177" t="n">
        <v>1</v>
      </c>
      <c r="O1287" s="13" t="n"/>
      <c r="P1287" s="139" t="inlineStr">
        <is>
          <t>kilos</t>
        </is>
      </c>
      <c r="Q1287" s="2" t="n"/>
      <c r="R1287" s="1" t="n"/>
      <c r="S1287" s="229">
        <f>M1287*N1287</f>
        <v/>
      </c>
      <c r="T1287" s="230">
        <f>CONCATENATE(S1287,Q1287,P1287)</f>
        <v/>
      </c>
      <c r="U1287" s="206">
        <f>L1287*M1287</f>
        <v/>
      </c>
      <c r="V1287" s="4" t="n"/>
      <c r="W1287" s="4" t="n"/>
      <c r="X1287" s="4" t="n"/>
    </row>
    <row r="1288" ht="15.75" customHeight="1" thickBot="1">
      <c r="A1288" s="186" t="n">
        <v>617</v>
      </c>
      <c r="B1288" s="214" t="inlineStr">
        <is>
          <t>Galunggong</t>
        </is>
      </c>
      <c r="C1288" s="124" t="n"/>
      <c r="D1288" s="115" t="n"/>
      <c r="E1288" s="124" t="n"/>
      <c r="F1288" s="124" t="n"/>
      <c r="G1288" s="124" t="n"/>
      <c r="H1288" s="84" t="n"/>
      <c r="I1288" s="7" t="n"/>
      <c r="J1288" s="32" t="n"/>
      <c r="K1288" s="24" t="n"/>
      <c r="L1288" s="36" t="n">
        <v>250</v>
      </c>
      <c r="M1288" s="204" t="n">
        <v>2</v>
      </c>
      <c r="N1288" s="177" t="n">
        <v>1000</v>
      </c>
      <c r="O1288" s="13" t="n"/>
      <c r="P1288" s="139" t="inlineStr">
        <is>
          <t>grams</t>
        </is>
      </c>
      <c r="Q1288" s="2" t="n"/>
      <c r="R1288" s="1" t="n"/>
      <c r="S1288" s="229">
        <f>M1288*N1288</f>
        <v/>
      </c>
      <c r="T1288" s="230">
        <f>CONCATENATE(S1288,Q1288,P1288)</f>
        <v/>
      </c>
      <c r="U1288" s="206">
        <f>L1288*M1288</f>
        <v/>
      </c>
      <c r="V1288" s="4" t="n"/>
      <c r="W1288" s="4" t="n"/>
      <c r="X1288" s="4" t="n"/>
    </row>
    <row r="1289" ht="15.75" customHeight="1" thickBot="1">
      <c r="A1289" s="186" t="n">
        <v>169</v>
      </c>
      <c r="B1289" s="214" t="inlineStr">
        <is>
          <t>Garbanzos</t>
        </is>
      </c>
      <c r="C1289" s="124" t="n"/>
      <c r="D1289" s="115" t="n"/>
      <c r="E1289" s="124" t="n"/>
      <c r="F1289" s="124" t="n"/>
      <c r="G1289" s="124" t="n"/>
      <c r="H1289" s="84" t="n"/>
      <c r="I1289" s="7" t="n"/>
      <c r="J1289" s="32" t="inlineStr">
        <is>
          <t>Ram</t>
        </is>
      </c>
      <c r="K1289" s="24" t="n"/>
      <c r="L1289" s="36" t="n">
        <v>27.2</v>
      </c>
      <c r="M1289" s="204" t="n">
        <v>3</v>
      </c>
      <c r="N1289" s="177" t="n">
        <v>113</v>
      </c>
      <c r="O1289" s="13" t="n"/>
      <c r="P1289" s="139" t="inlineStr">
        <is>
          <t>grams</t>
        </is>
      </c>
      <c r="Q1289" s="2" t="n"/>
      <c r="R1289" s="1" t="n"/>
      <c r="S1289" s="229">
        <f>M1289*N1289</f>
        <v/>
      </c>
      <c r="T1289" s="230">
        <f>CONCATENATE(S1289,Q1289,P1289)</f>
        <v/>
      </c>
      <c r="U1289" s="206">
        <f>L1289*M1289</f>
        <v/>
      </c>
      <c r="V1289" s="4" t="n"/>
      <c r="W1289" s="4" t="n"/>
      <c r="X1289" s="4" t="n"/>
    </row>
    <row r="1290" ht="15.75" customHeight="1" thickBot="1">
      <c r="A1290" s="186" t="n">
        <v>169</v>
      </c>
      <c r="B1290" s="214" t="inlineStr">
        <is>
          <t>Garbanzos</t>
        </is>
      </c>
      <c r="C1290" s="124" t="n"/>
      <c r="D1290" s="115" t="n"/>
      <c r="E1290" s="124" t="n"/>
      <c r="F1290" s="124" t="n"/>
      <c r="G1290" s="124" t="n"/>
      <c r="H1290" s="84" t="n"/>
      <c r="I1290" s="7" t="n"/>
      <c r="J1290" s="32" t="inlineStr">
        <is>
          <t>Ram</t>
        </is>
      </c>
      <c r="K1290" s="24" t="n"/>
      <c r="L1290" s="36" t="n">
        <v>47.2</v>
      </c>
      <c r="M1290" s="204" t="n">
        <v>6</v>
      </c>
      <c r="N1290" s="177" t="n">
        <v>225</v>
      </c>
      <c r="O1290" s="13" t="n"/>
      <c r="P1290" s="139" t="inlineStr">
        <is>
          <t>drained weight grams</t>
        </is>
      </c>
      <c r="Q1290" s="2" t="n"/>
      <c r="R1290" s="1" t="n"/>
      <c r="S1290" s="229">
        <f>M1290*N1290</f>
        <v/>
      </c>
      <c r="T1290" s="230">
        <f>CONCATENATE(S1290,Q1290,P1290)</f>
        <v/>
      </c>
      <c r="U1290" s="206">
        <f>L1290*M1290</f>
        <v/>
      </c>
      <c r="V1290" s="4" t="n"/>
      <c r="W1290" s="4" t="n"/>
      <c r="X1290" s="4" t="n"/>
    </row>
    <row r="1291" ht="15.75" customHeight="1" thickBot="1">
      <c r="A1291" s="186" t="n">
        <v>169</v>
      </c>
      <c r="B1291" s="214" t="inlineStr">
        <is>
          <t>Garbanzos</t>
        </is>
      </c>
      <c r="C1291" s="124" t="n"/>
      <c r="D1291" s="115" t="n"/>
      <c r="E1291" s="124" t="n"/>
      <c r="F1291" s="124" t="n"/>
      <c r="G1291" s="124" t="n"/>
      <c r="H1291" s="84" t="n"/>
      <c r="I1291" s="7" t="n"/>
      <c r="J1291" s="32" t="inlineStr">
        <is>
          <t>Ram</t>
        </is>
      </c>
      <c r="K1291" s="24" t="n"/>
      <c r="L1291" s="36" t="n">
        <v>27.2</v>
      </c>
      <c r="M1291" s="204" t="n">
        <v>2</v>
      </c>
      <c r="N1291" s="177" t="n">
        <v>113</v>
      </c>
      <c r="O1291" s="13" t="n"/>
      <c r="P1291" s="139" t="inlineStr">
        <is>
          <t>drained weight grams</t>
        </is>
      </c>
      <c r="Q1291" s="2" t="n"/>
      <c r="R1291" s="1" t="n"/>
      <c r="S1291" s="229">
        <f>M1291*N1291</f>
        <v/>
      </c>
      <c r="T1291" s="230">
        <f>CONCATENATE(S1291,Q1291,P1291)</f>
        <v/>
      </c>
      <c r="U1291" s="206">
        <f>L1291*M1291</f>
        <v/>
      </c>
      <c r="V1291" s="4" t="n"/>
      <c r="W1291" s="4" t="n"/>
      <c r="X1291" s="4" t="n"/>
    </row>
    <row r="1292" ht="15.75" customHeight="1" thickBot="1">
      <c r="A1292" s="186" t="n">
        <v>169</v>
      </c>
      <c r="B1292" s="214" t="inlineStr">
        <is>
          <t>Garbanzos</t>
        </is>
      </c>
      <c r="C1292" s="124" t="n"/>
      <c r="D1292" s="115" t="n"/>
      <c r="E1292" s="124" t="n"/>
      <c r="F1292" s="124" t="n"/>
      <c r="G1292" s="124" t="n"/>
      <c r="H1292" s="84" t="n"/>
      <c r="I1292" s="7" t="n"/>
      <c r="J1292" s="32" t="inlineStr">
        <is>
          <t>Sevilla</t>
        </is>
      </c>
      <c r="K1292" s="24" t="n"/>
      <c r="L1292" s="36" t="n">
        <v>48</v>
      </c>
      <c r="M1292" s="204" t="n">
        <v>17</v>
      </c>
      <c r="N1292" s="177" t="n">
        <v>113</v>
      </c>
      <c r="O1292" s="13" t="n"/>
      <c r="P1292" s="139" t="inlineStr">
        <is>
          <t>drained weight grams</t>
        </is>
      </c>
      <c r="Q1292" s="2" t="n"/>
      <c r="R1292" s="1" t="n"/>
      <c r="S1292" s="229">
        <f>M1292*N1292</f>
        <v/>
      </c>
      <c r="T1292" s="230">
        <f>CONCATENATE(S1292,Q1292,P1292)</f>
        <v/>
      </c>
      <c r="U1292" s="206">
        <f>L1292*M1292</f>
        <v/>
      </c>
      <c r="V1292" s="4" t="n"/>
      <c r="W1292" s="4" t="n"/>
      <c r="X1292" s="4" t="n"/>
    </row>
    <row r="1293" ht="15.75" customHeight="1" thickBot="1">
      <c r="A1293" s="186" t="n">
        <v>169</v>
      </c>
      <c r="B1293" s="214" t="inlineStr">
        <is>
          <t>Garbanzos</t>
        </is>
      </c>
      <c r="C1293" s="124" t="n"/>
      <c r="D1293" s="115" t="n"/>
      <c r="E1293" s="124" t="n"/>
      <c r="F1293" s="124" t="n"/>
      <c r="G1293" s="124" t="n"/>
      <c r="H1293" s="84" t="n"/>
      <c r="I1293" s="7" t="n"/>
      <c r="J1293" s="32" t="inlineStr">
        <is>
          <t>Ram</t>
        </is>
      </c>
      <c r="K1293" s="24" t="n"/>
      <c r="L1293" s="36" t="n">
        <v>47.2</v>
      </c>
      <c r="M1293" s="204" t="n">
        <v>2</v>
      </c>
      <c r="N1293" s="177" t="n">
        <v>450</v>
      </c>
      <c r="O1293" s="13" t="n"/>
      <c r="P1293" s="139" t="inlineStr">
        <is>
          <t>grams</t>
        </is>
      </c>
      <c r="Q1293" s="2" t="n"/>
      <c r="R1293" s="1" t="n"/>
      <c r="S1293" s="229">
        <f>M1293*N1293</f>
        <v/>
      </c>
      <c r="T1293" s="230">
        <f>CONCATENATE(S1293,Q1293,P1293)</f>
        <v/>
      </c>
      <c r="U1293" s="206">
        <f>L1293*M1293</f>
        <v/>
      </c>
      <c r="V1293" s="4" t="n"/>
      <c r="W1293" s="4" t="n"/>
      <c r="X1293" s="4" t="n"/>
    </row>
    <row r="1294" ht="15.75" customHeight="1" thickBot="1">
      <c r="A1294" s="186" t="n">
        <v>169</v>
      </c>
      <c r="B1294" s="215" t="inlineStr">
        <is>
          <t>Garbanzos</t>
        </is>
      </c>
      <c r="C1294" s="124" t="n"/>
      <c r="D1294" s="115" t="n"/>
      <c r="E1294" s="124" t="n"/>
      <c r="F1294" s="124" t="n"/>
      <c r="G1294" s="124" t="n"/>
      <c r="H1294" s="84" t="n"/>
      <c r="I1294" s="7" t="n"/>
      <c r="J1294" s="32" t="inlineStr">
        <is>
          <t>Jolly</t>
        </is>
      </c>
      <c r="K1294" s="24" t="n"/>
      <c r="L1294" s="36" t="n">
        <v>28.5</v>
      </c>
      <c r="M1294" s="204" t="n">
        <v>3</v>
      </c>
      <c r="N1294" s="177" t="n">
        <v>225</v>
      </c>
      <c r="O1294" s="13" t="n"/>
      <c r="P1294" s="139" t="inlineStr">
        <is>
          <t>grams</t>
        </is>
      </c>
      <c r="Q1294" s="2" t="n"/>
      <c r="R1294" s="1" t="n"/>
      <c r="S1294" s="229">
        <f>M1294*N1294</f>
        <v/>
      </c>
      <c r="T1294" s="230">
        <f>CONCATENATE(S1294,Q1294,P1294)</f>
        <v/>
      </c>
      <c r="U1294" s="206">
        <f>L1294*M1294</f>
        <v/>
      </c>
      <c r="V1294" s="4" t="n"/>
      <c r="W1294" s="4" t="n"/>
      <c r="X1294" s="4" t="n"/>
    </row>
    <row r="1295" ht="15.75" customHeight="1" thickBot="1">
      <c r="A1295" s="186" t="n">
        <v>169</v>
      </c>
      <c r="B1295" s="215" t="inlineStr">
        <is>
          <t>Garbanzos</t>
        </is>
      </c>
      <c r="C1295" s="124" t="n"/>
      <c r="D1295" s="115" t="n"/>
      <c r="E1295" s="124" t="n"/>
      <c r="F1295" s="124" t="n"/>
      <c r="G1295" s="124" t="n"/>
      <c r="H1295" s="84" t="n"/>
      <c r="I1295" s="7" t="n"/>
      <c r="J1295" s="32" t="inlineStr">
        <is>
          <t>Ram</t>
        </is>
      </c>
      <c r="K1295" s="24" t="n"/>
      <c r="L1295" s="36" t="n">
        <v>47.2</v>
      </c>
      <c r="M1295" s="204" t="n">
        <v>2</v>
      </c>
      <c r="N1295" s="177" t="n">
        <v>450</v>
      </c>
      <c r="O1295" s="13" t="n"/>
      <c r="P1295" s="139" t="inlineStr">
        <is>
          <t>grams</t>
        </is>
      </c>
      <c r="Q1295" s="2" t="n"/>
      <c r="R1295" s="1" t="n"/>
      <c r="S1295" s="229">
        <f>M1295*N1295</f>
        <v/>
      </c>
      <c r="T1295" s="230">
        <f>CONCATENATE(S1295,Q1295,P1295)</f>
        <v/>
      </c>
      <c r="U1295" s="206">
        <f>L1295*M1295</f>
        <v/>
      </c>
      <c r="V1295" s="4" t="n"/>
      <c r="W1295" s="4" t="n"/>
      <c r="X1295" s="4" t="n"/>
    </row>
    <row r="1296" ht="15.75" customHeight="1" thickBot="1">
      <c r="A1296" s="186" t="n">
        <v>170</v>
      </c>
      <c r="B1296" s="214" t="inlineStr">
        <is>
          <t>Garlic</t>
        </is>
      </c>
      <c r="C1296" s="124" t="n"/>
      <c r="D1296" s="115" t="n"/>
      <c r="E1296" s="124" t="n"/>
      <c r="F1296" s="124" t="n"/>
      <c r="G1296" s="124" t="n"/>
      <c r="H1296" s="84" t="n"/>
      <c r="I1296" s="7" t="n"/>
      <c r="J1296" s="32" t="n"/>
      <c r="K1296" s="24" t="n"/>
      <c r="L1296" s="36" t="n">
        <v>140</v>
      </c>
      <c r="M1296" s="204" t="n">
        <v>1</v>
      </c>
      <c r="N1296" s="177" t="n">
        <v>1</v>
      </c>
      <c r="O1296" s="13" t="n"/>
      <c r="P1296" s="139" t="inlineStr">
        <is>
          <t>kilos</t>
        </is>
      </c>
      <c r="Q1296" s="2" t="n"/>
      <c r="R1296" s="1" t="n"/>
      <c r="S1296" s="229">
        <f>M1296*N1296</f>
        <v/>
      </c>
      <c r="T1296" s="230">
        <f>CONCATENATE(S1296,Q1296,P1296)</f>
        <v/>
      </c>
      <c r="U1296" s="206">
        <f>L1296*M1296</f>
        <v/>
      </c>
      <c r="V1296" s="4" t="n"/>
      <c r="W1296" s="4" t="n"/>
      <c r="X1296" s="4" t="n"/>
    </row>
    <row r="1297" ht="15.75" customHeight="1" thickBot="1">
      <c r="A1297" s="186" t="n">
        <v>170</v>
      </c>
      <c r="B1297" s="214" t="inlineStr">
        <is>
          <t>Garlic</t>
        </is>
      </c>
      <c r="C1297" s="124" t="n"/>
      <c r="D1297" s="115" t="n"/>
      <c r="E1297" s="124" t="n"/>
      <c r="F1297" s="124" t="n"/>
      <c r="G1297" s="124" t="n"/>
      <c r="H1297" s="84" t="n"/>
      <c r="I1297" s="7" t="n"/>
      <c r="J1297" s="32" t="n"/>
      <c r="K1297" s="24" t="n"/>
      <c r="L1297" s="36" t="n">
        <v>170</v>
      </c>
      <c r="M1297" s="204" t="n">
        <v>1</v>
      </c>
      <c r="N1297" s="177" t="n">
        <v>1000</v>
      </c>
      <c r="O1297" s="13" t="n"/>
      <c r="P1297" s="139" t="inlineStr">
        <is>
          <t>grams</t>
        </is>
      </c>
      <c r="Q1297" s="2" t="n"/>
      <c r="R1297" s="1" t="n"/>
      <c r="S1297" s="229">
        <f>M1297*N1297</f>
        <v/>
      </c>
      <c r="T1297" s="230">
        <f>CONCATENATE(S1297,Q1297,P1297)</f>
        <v/>
      </c>
      <c r="U1297" s="206">
        <f>L1297*M1297</f>
        <v/>
      </c>
      <c r="V1297" s="4" t="n"/>
      <c r="W1297" s="4" t="n"/>
      <c r="X1297" s="4" t="n"/>
    </row>
    <row r="1298" ht="15.75" customHeight="1" thickBot="1">
      <c r="A1298" s="186" t="n">
        <v>618</v>
      </c>
      <c r="B1298" s="214" t="inlineStr">
        <is>
          <t>Garlic - Granulated Singles</t>
        </is>
      </c>
      <c r="C1298" s="124" t="n"/>
      <c r="D1298" s="115" t="n"/>
      <c r="E1298" s="124" t="n"/>
      <c r="F1298" s="124" t="n"/>
      <c r="G1298" s="124" t="n"/>
      <c r="H1298" s="84" t="n"/>
      <c r="I1298" s="7" t="n"/>
      <c r="J1298" s="32" t="inlineStr">
        <is>
          <t>McCormick</t>
        </is>
      </c>
      <c r="K1298" s="24" t="n"/>
      <c r="L1298" s="36" t="n">
        <v>6</v>
      </c>
      <c r="M1298" s="204" t="n">
        <v>5</v>
      </c>
      <c r="N1298" s="177" t="n">
        <v>1</v>
      </c>
      <c r="O1298" s="13" t="n"/>
      <c r="P1298" s="139" t="inlineStr">
        <is>
          <t>pieces</t>
        </is>
      </c>
      <c r="Q1298" s="2" t="n"/>
      <c r="R1298" s="1" t="n"/>
      <c r="S1298" s="229">
        <f>M1298*N1298</f>
        <v/>
      </c>
      <c r="T1298" s="230">
        <f>CONCATENATE(S1298,Q1298,P1298)</f>
        <v/>
      </c>
      <c r="U1298" s="206">
        <f>L1298*M1298</f>
        <v/>
      </c>
      <c r="V1298" s="4" t="n"/>
      <c r="W1298" s="4" t="n"/>
      <c r="X1298" s="4" t="n"/>
    </row>
    <row r="1299" ht="15.75" customHeight="1" thickBot="1">
      <c r="A1299" s="186" t="n">
        <v>172</v>
      </c>
      <c r="B1299" s="214" t="inlineStr">
        <is>
          <t>Garlic Powder</t>
        </is>
      </c>
      <c r="C1299" s="124" t="n"/>
      <c r="D1299" s="115" t="n"/>
      <c r="E1299" s="124" t="n"/>
      <c r="F1299" s="124" t="n"/>
      <c r="G1299" s="124" t="n"/>
      <c r="H1299" s="84" t="n"/>
      <c r="I1299" s="7" t="n"/>
      <c r="J1299" s="32" t="inlineStr">
        <is>
          <t>McCormick</t>
        </is>
      </c>
      <c r="K1299" s="24" t="n"/>
      <c r="L1299" s="36" t="n">
        <v>780</v>
      </c>
      <c r="M1299" s="204" t="n">
        <v>1</v>
      </c>
      <c r="N1299" s="177" t="n">
        <v>1000</v>
      </c>
      <c r="O1299" s="13" t="n"/>
      <c r="P1299" s="139" t="inlineStr">
        <is>
          <t>kilos</t>
        </is>
      </c>
      <c r="Q1299" s="2" t="n"/>
      <c r="R1299" s="1" t="n"/>
      <c r="S1299" s="229">
        <f>M1299*N1299</f>
        <v/>
      </c>
      <c r="T1299" s="230">
        <f>CONCATENATE(S1299,Q1299,P1299)</f>
        <v/>
      </c>
      <c r="U1299" s="206">
        <f>L1299*M1299</f>
        <v/>
      </c>
      <c r="V1299" s="4" t="n"/>
      <c r="W1299" s="4" t="n"/>
      <c r="X1299" s="4" t="n"/>
    </row>
    <row r="1300" ht="15.75" customHeight="1" thickBot="1">
      <c r="A1300" s="186" t="n">
        <v>619</v>
      </c>
      <c r="B1300" s="215" t="inlineStr">
        <is>
          <t>Gelatine</t>
        </is>
      </c>
      <c r="C1300" s="124" t="n"/>
      <c r="D1300" s="115" t="n"/>
      <c r="E1300" s="124" t="n"/>
      <c r="F1300" s="124" t="n"/>
      <c r="G1300" s="124" t="n"/>
      <c r="H1300" s="84" t="n"/>
      <c r="I1300" s="7" t="n"/>
      <c r="J1300" s="32" t="inlineStr">
        <is>
          <t>Ferna/box/50grams</t>
        </is>
      </c>
      <c r="K1300" s="24" t="n"/>
      <c r="L1300" s="36" t="n">
        <v>15.55</v>
      </c>
      <c r="M1300" s="204" t="n">
        <v>33</v>
      </c>
      <c r="N1300" s="177" t="n">
        <v>50</v>
      </c>
      <c r="O1300" s="13" t="n"/>
      <c r="P1300" s="139" t="inlineStr">
        <is>
          <t>grams</t>
        </is>
      </c>
      <c r="Q1300" s="2" t="n"/>
      <c r="R1300" s="1" t="n"/>
      <c r="S1300" s="229">
        <f>M1300*N1300</f>
        <v/>
      </c>
      <c r="T1300" s="230">
        <f>CONCATENATE(S1300,Q1300,P1300)</f>
        <v/>
      </c>
      <c r="U1300" s="206">
        <f>L1300*M1300</f>
        <v/>
      </c>
      <c r="V1300" s="4" t="n"/>
      <c r="W1300" s="4" t="n"/>
      <c r="X1300" s="4" t="n"/>
    </row>
    <row r="1301" ht="15.75" customHeight="1" thickBot="1">
      <c r="A1301" s="186" t="n">
        <v>174</v>
      </c>
      <c r="B1301" s="215" t="inlineStr">
        <is>
          <t>General Sanitizer</t>
        </is>
      </c>
      <c r="C1301" s="124" t="n"/>
      <c r="D1301" s="115" t="n"/>
      <c r="E1301" s="124" t="n"/>
      <c r="F1301" s="124" t="n"/>
      <c r="G1301" s="124" t="n"/>
      <c r="H1301" s="84" t="n"/>
      <c r="I1301" s="7" t="n"/>
      <c r="J1301" s="32" t="inlineStr">
        <is>
          <t>Quinriv</t>
        </is>
      </c>
      <c r="K1301" s="24" t="n"/>
      <c r="L1301" s="36" t="n">
        <v>372</v>
      </c>
      <c r="M1301" s="204" t="n">
        <v>3</v>
      </c>
      <c r="N1301" s="177" t="n">
        <v>1</v>
      </c>
      <c r="O1301" s="13" t="n"/>
      <c r="P1301" s="139" t="inlineStr">
        <is>
          <t>gal</t>
        </is>
      </c>
      <c r="Q1301" s="2" t="n"/>
      <c r="R1301" s="1" t="n"/>
      <c r="S1301" s="229">
        <f>M1301*N1301</f>
        <v/>
      </c>
      <c r="T1301" s="230">
        <f>CONCATENATE(S1301,Q1301,P1301)</f>
        <v/>
      </c>
      <c r="U1301" s="206">
        <f>L1301*M1301</f>
        <v/>
      </c>
      <c r="V1301" s="4" t="n"/>
      <c r="W1301" s="4" t="n"/>
      <c r="X1301" s="4" t="n"/>
    </row>
    <row r="1302" ht="15.75" customHeight="1" thickBot="1">
      <c r="A1302" s="186" t="n">
        <v>620</v>
      </c>
      <c r="B1302" s="214" t="inlineStr">
        <is>
          <t>Gin</t>
        </is>
      </c>
      <c r="C1302" s="124" t="n"/>
      <c r="D1302" s="115" t="n"/>
      <c r="E1302" s="124" t="n"/>
      <c r="F1302" s="124" t="n"/>
      <c r="G1302" s="124" t="n"/>
      <c r="H1302" s="84" t="n"/>
      <c r="I1302" s="7" t="n"/>
      <c r="J1302" s="32" t="inlineStr">
        <is>
          <t>Ginebra</t>
        </is>
      </c>
      <c r="K1302" s="24" t="n"/>
      <c r="L1302" s="36" t="n">
        <v>135</v>
      </c>
      <c r="M1302" s="204" t="n">
        <v>0</v>
      </c>
      <c r="N1302" s="177" t="n">
        <v>750</v>
      </c>
      <c r="O1302" s="13" t="n"/>
      <c r="P1302" s="139" t="inlineStr">
        <is>
          <t>grams</t>
        </is>
      </c>
      <c r="Q1302" s="2" t="n"/>
      <c r="R1302" s="1" t="n"/>
      <c r="S1302" s="229">
        <f>M1302*N1302</f>
        <v/>
      </c>
      <c r="T1302" s="230">
        <f>CONCATENATE(S1302,Q1302,P1302)</f>
        <v/>
      </c>
      <c r="U1302" s="206">
        <f>L1302*M1302</f>
        <v/>
      </c>
      <c r="V1302" s="4" t="n"/>
      <c r="W1302" s="4" t="n"/>
      <c r="X1302" s="4" t="n"/>
    </row>
    <row r="1303" ht="15.75" customHeight="1" thickBot="1">
      <c r="A1303" s="186" t="n">
        <v>175</v>
      </c>
      <c r="B1303" s="214" t="inlineStr">
        <is>
          <t>Ginger</t>
        </is>
      </c>
      <c r="C1303" s="124" t="n"/>
      <c r="D1303" s="115" t="n"/>
      <c r="E1303" s="124" t="n"/>
      <c r="F1303" s="124" t="n"/>
      <c r="G1303" s="124" t="n"/>
      <c r="H1303" s="84" t="n"/>
      <c r="I1303" s="7" t="n"/>
      <c r="J1303" s="32" t="inlineStr">
        <is>
          <t>Fresh</t>
        </is>
      </c>
      <c r="K1303" s="24" t="n"/>
      <c r="L1303" s="36" t="n">
        <v>45</v>
      </c>
      <c r="M1303" s="204" t="n">
        <v>1</v>
      </c>
      <c r="N1303" s="177" t="n">
        <v>1</v>
      </c>
      <c r="O1303" s="13" t="n"/>
      <c r="P1303" s="139" t="inlineStr">
        <is>
          <t>kilos</t>
        </is>
      </c>
      <c r="Q1303" s="2" t="n"/>
      <c r="R1303" s="1" t="n"/>
      <c r="S1303" s="229">
        <f>M1303*N1303</f>
        <v/>
      </c>
      <c r="T1303" s="230">
        <f>CONCATENATE(S1303,Q1303,P1303)</f>
        <v/>
      </c>
      <c r="U1303" s="206">
        <f>L1303*M1303</f>
        <v/>
      </c>
      <c r="V1303" s="4" t="n"/>
      <c r="W1303" s="4" t="n"/>
      <c r="X1303" s="4" t="n"/>
    </row>
    <row r="1304" ht="15.75" customHeight="1" thickBot="1">
      <c r="A1304" s="186" t="n">
        <v>175</v>
      </c>
      <c r="B1304" s="214" t="inlineStr">
        <is>
          <t>Ginger</t>
        </is>
      </c>
      <c r="C1304" s="124" t="n"/>
      <c r="D1304" s="115" t="n"/>
      <c r="E1304" s="124" t="n"/>
      <c r="F1304" s="124" t="n"/>
      <c r="G1304" s="124" t="n"/>
      <c r="H1304" s="84" t="n"/>
      <c r="I1304" s="7" t="n"/>
      <c r="J1304" s="32" t="inlineStr">
        <is>
          <t>Fresh</t>
        </is>
      </c>
      <c r="K1304" s="24" t="n"/>
      <c r="L1304" s="36" t="n">
        <v>150</v>
      </c>
      <c r="M1304" s="204" t="n">
        <v>0</v>
      </c>
      <c r="N1304" s="177" t="n">
        <v>1000</v>
      </c>
      <c r="O1304" s="13" t="n"/>
      <c r="P1304" s="139" t="inlineStr">
        <is>
          <t>grams</t>
        </is>
      </c>
      <c r="Q1304" s="2" t="n"/>
      <c r="R1304" s="1" t="n"/>
      <c r="S1304" s="229">
        <f>M1304*N1304</f>
        <v/>
      </c>
      <c r="T1304" s="230">
        <f>CONCATENATE(S1304,Q1304,P1304)</f>
        <v/>
      </c>
      <c r="U1304" s="206">
        <f>L1304*M1304</f>
        <v/>
      </c>
      <c r="V1304" s="4" t="n"/>
      <c r="W1304" s="4" t="n"/>
      <c r="X1304" s="4" t="n"/>
    </row>
    <row r="1305" ht="15.75" customHeight="1" thickBot="1">
      <c r="A1305" s="186" t="n">
        <v>175</v>
      </c>
      <c r="B1305" s="214" t="inlineStr">
        <is>
          <t>Ginger</t>
        </is>
      </c>
      <c r="C1305" s="124" t="n"/>
      <c r="D1305" s="115" t="n"/>
      <c r="E1305" s="124" t="n"/>
      <c r="F1305" s="124" t="n"/>
      <c r="G1305" s="124" t="n"/>
      <c r="H1305" s="84" t="n"/>
      <c r="I1305" s="7" t="n"/>
      <c r="J1305" s="32" t="inlineStr">
        <is>
          <t>Fresh</t>
        </is>
      </c>
      <c r="K1305" s="24" t="n"/>
      <c r="L1305" s="36" t="n">
        <v>150</v>
      </c>
      <c r="M1305" s="204" t="n">
        <v>2</v>
      </c>
      <c r="N1305" s="177" t="n">
        <v>1000</v>
      </c>
      <c r="O1305" s="13" t="n"/>
      <c r="P1305" s="139" t="inlineStr">
        <is>
          <t>grams</t>
        </is>
      </c>
      <c r="Q1305" s="2" t="n"/>
      <c r="R1305" s="1" t="n"/>
      <c r="S1305" s="229">
        <f>M1305*N1305</f>
        <v/>
      </c>
      <c r="T1305" s="230">
        <f>CONCATENATE(S1305,Q1305,P1305)</f>
        <v/>
      </c>
      <c r="U1305" s="206">
        <f>L1305*M1305</f>
        <v/>
      </c>
      <c r="V1305" s="4" t="n"/>
      <c r="W1305" s="4" t="n"/>
      <c r="X1305" s="4" t="n"/>
    </row>
    <row r="1306" ht="15.75" customHeight="1" thickBot="1">
      <c r="A1306" s="186" t="n">
        <v>175</v>
      </c>
      <c r="B1306" s="214" t="inlineStr">
        <is>
          <t>Ginger</t>
        </is>
      </c>
      <c r="C1306" s="124" t="n"/>
      <c r="D1306" s="115" t="n"/>
      <c r="E1306" s="124" t="n"/>
      <c r="F1306" s="124" t="n"/>
      <c r="G1306" s="124" t="n"/>
      <c r="H1306" s="84" t="n"/>
      <c r="I1306" s="7" t="n"/>
      <c r="J1306" s="32" t="inlineStr">
        <is>
          <t>Hernan Logmao</t>
        </is>
      </c>
      <c r="K1306" s="24" t="n"/>
      <c r="L1306" s="36" t="n">
        <v>150</v>
      </c>
      <c r="M1306" s="204" t="n">
        <v>0</v>
      </c>
      <c r="N1306" s="177" t="n">
        <v>1000</v>
      </c>
      <c r="O1306" s="13" t="n"/>
      <c r="P1306" s="139" t="inlineStr">
        <is>
          <t>kilos</t>
        </is>
      </c>
      <c r="Q1306" s="2" t="n"/>
      <c r="R1306" s="1" t="n"/>
      <c r="S1306" s="229">
        <f>M1306*N1306</f>
        <v/>
      </c>
      <c r="T1306" s="230">
        <f>CONCATENATE(S1306,Q1306,P1306)</f>
        <v/>
      </c>
      <c r="U1306" s="206">
        <f>L1306*M1306</f>
        <v/>
      </c>
      <c r="V1306" s="4" t="n"/>
      <c r="W1306" s="4" t="n"/>
      <c r="X1306" s="4" t="n"/>
    </row>
    <row r="1307" ht="15.75" customHeight="1" thickBot="1">
      <c r="A1307" s="186" t="n">
        <v>176</v>
      </c>
      <c r="B1307" s="214" t="inlineStr">
        <is>
          <t>Giniling</t>
        </is>
      </c>
      <c r="C1307" s="124" t="n"/>
      <c r="D1307" s="115" t="n"/>
      <c r="E1307" s="124" t="n"/>
      <c r="F1307" s="124" t="n"/>
      <c r="G1307" s="124" t="n"/>
      <c r="H1307" s="84" t="n"/>
      <c r="I1307" s="7" t="n"/>
      <c r="J1307" s="32" t="inlineStr">
        <is>
          <t>Argentina</t>
        </is>
      </c>
      <c r="K1307" s="24" t="n"/>
      <c r="L1307" s="36" t="n">
        <v>28.2</v>
      </c>
      <c r="M1307" s="204" t="n">
        <v>1</v>
      </c>
      <c r="N1307" s="177" t="n">
        <v>150</v>
      </c>
      <c r="O1307" s="13" t="n"/>
      <c r="P1307" s="139" t="inlineStr">
        <is>
          <t>grams</t>
        </is>
      </c>
      <c r="Q1307" s="2" t="n"/>
      <c r="R1307" s="1" t="n"/>
      <c r="S1307" s="229">
        <f>M1307*N1307</f>
        <v/>
      </c>
      <c r="T1307" s="230">
        <f>CONCATENATE(S1307,Q1307,P1307)</f>
        <v/>
      </c>
      <c r="U1307" s="206">
        <f>L1307*M1307</f>
        <v/>
      </c>
      <c r="V1307" s="4" t="n"/>
      <c r="W1307" s="4" t="n"/>
      <c r="X1307" s="4" t="n"/>
    </row>
    <row r="1308" ht="15.75" customHeight="1" thickBot="1">
      <c r="A1308" s="186" t="n">
        <v>176</v>
      </c>
      <c r="B1308" s="214" t="inlineStr">
        <is>
          <t>Giniling</t>
        </is>
      </c>
      <c r="C1308" s="124" t="n"/>
      <c r="D1308" s="115" t="n"/>
      <c r="E1308" s="124" t="n"/>
      <c r="F1308" s="124" t="n"/>
      <c r="G1308" s="124" t="n"/>
      <c r="H1308" s="84" t="n"/>
      <c r="I1308" s="7" t="n"/>
      <c r="J1308" s="32" t="inlineStr">
        <is>
          <t>Argentina/can/250grams</t>
        </is>
      </c>
      <c r="K1308" s="24" t="n"/>
      <c r="L1308" s="36" t="n">
        <v>41.6</v>
      </c>
      <c r="M1308" s="204" t="n">
        <v>10</v>
      </c>
      <c r="N1308" s="177" t="n">
        <v>250</v>
      </c>
      <c r="O1308" s="13" t="n"/>
      <c r="P1308" s="139" t="inlineStr">
        <is>
          <t>grams</t>
        </is>
      </c>
      <c r="Q1308" s="2" t="n"/>
      <c r="R1308" s="1" t="n"/>
      <c r="S1308" s="229">
        <f>M1308*N1308</f>
        <v/>
      </c>
      <c r="T1308" s="230">
        <f>CONCATENATE(S1308,Q1308,P1308)</f>
        <v/>
      </c>
      <c r="U1308" s="206">
        <f>L1308*M1308</f>
        <v/>
      </c>
      <c r="V1308" s="4" t="n"/>
      <c r="W1308" s="4" t="n"/>
      <c r="X1308" s="4" t="n"/>
    </row>
    <row r="1309" ht="15.75" customHeight="1" thickBot="1">
      <c r="A1309" s="186" t="n">
        <v>177</v>
      </c>
      <c r="B1309" s="214" t="inlineStr">
        <is>
          <t>Glutinous Rice Flour</t>
        </is>
      </c>
      <c r="C1309" s="124" t="n"/>
      <c r="D1309" s="115" t="n"/>
      <c r="E1309" s="124" t="n"/>
      <c r="F1309" s="124" t="n"/>
      <c r="G1309" s="124" t="n"/>
      <c r="H1309" s="84" t="n"/>
      <c r="I1309" s="7" t="n"/>
      <c r="J1309" s="32" t="inlineStr">
        <is>
          <t>Arawan</t>
        </is>
      </c>
      <c r="K1309" s="24" t="n"/>
      <c r="L1309" s="36" t="n">
        <v>57</v>
      </c>
      <c r="M1309" s="204" t="n">
        <v>4</v>
      </c>
      <c r="N1309" s="177" t="n">
        <v>500</v>
      </c>
      <c r="O1309" s="13" t="n"/>
      <c r="P1309" s="139" t="inlineStr">
        <is>
          <t>grams</t>
        </is>
      </c>
      <c r="Q1309" s="2" t="n"/>
      <c r="R1309" s="1" t="n"/>
      <c r="S1309" s="229">
        <f>M1309*N1309</f>
        <v/>
      </c>
      <c r="T1309" s="230">
        <f>CONCATENATE(S1309,Q1309,P1309)</f>
        <v/>
      </c>
      <c r="U1309" s="206">
        <f>L1309*M1309</f>
        <v/>
      </c>
      <c r="V1309" s="4" t="n"/>
      <c r="W1309" s="4" t="n"/>
      <c r="X1309" s="4" t="n"/>
    </row>
    <row r="1310" ht="15.75" customHeight="1" thickBot="1">
      <c r="A1310" s="186" t="n">
        <v>177</v>
      </c>
      <c r="B1310" s="214" t="inlineStr">
        <is>
          <t>Glutinous Rice Flour</t>
        </is>
      </c>
      <c r="C1310" s="124" t="n"/>
      <c r="D1310" s="115" t="n"/>
      <c r="E1310" s="124" t="n"/>
      <c r="F1310" s="124" t="n"/>
      <c r="G1310" s="124" t="n"/>
      <c r="H1310" s="84" t="n"/>
      <c r="I1310" s="7" t="n"/>
      <c r="J1310" s="32" t="inlineStr">
        <is>
          <t>Arawan</t>
        </is>
      </c>
      <c r="K1310" s="24" t="n"/>
      <c r="L1310" s="36" t="n">
        <v>62.5</v>
      </c>
      <c r="M1310" s="204" t="n">
        <v>1</v>
      </c>
      <c r="N1310" s="177" t="n">
        <v>500</v>
      </c>
      <c r="O1310" s="13" t="n"/>
      <c r="P1310" s="139" t="inlineStr">
        <is>
          <t>grams</t>
        </is>
      </c>
      <c r="Q1310" s="2" t="n"/>
      <c r="R1310" s="1" t="n"/>
      <c r="S1310" s="229">
        <f>M1310*N1310</f>
        <v/>
      </c>
      <c r="T1310" s="230">
        <f>CONCATENATE(S1310,Q1310,P1310)</f>
        <v/>
      </c>
      <c r="U1310" s="206">
        <f>L1310*M1310</f>
        <v/>
      </c>
      <c r="V1310" s="4" t="n"/>
      <c r="W1310" s="4" t="n"/>
      <c r="X1310" s="4" t="n"/>
    </row>
    <row r="1311" ht="15.75" customHeight="1" thickBot="1">
      <c r="A1311" s="186" t="n">
        <v>177</v>
      </c>
      <c r="B1311" s="214" t="inlineStr">
        <is>
          <t>Glutinous Rice Flour</t>
        </is>
      </c>
      <c r="C1311" s="124" t="n"/>
      <c r="D1311" s="115" t="n"/>
      <c r="E1311" s="124" t="n"/>
      <c r="F1311" s="124" t="n"/>
      <c r="G1311" s="124" t="n"/>
      <c r="H1311" s="84" t="n"/>
      <c r="I1311" s="7" t="n"/>
      <c r="J1311" s="32" t="inlineStr">
        <is>
          <t>Kings</t>
        </is>
      </c>
      <c r="K1311" s="24" t="n"/>
      <c r="L1311" s="36" t="n">
        <v>50</v>
      </c>
      <c r="M1311" s="204" t="n">
        <v>15</v>
      </c>
      <c r="N1311" s="177" t="n">
        <v>500</v>
      </c>
      <c r="O1311" s="13" t="n"/>
      <c r="P1311" s="139" t="inlineStr">
        <is>
          <t>grams</t>
        </is>
      </c>
      <c r="Q1311" s="2" t="n"/>
      <c r="R1311" s="1" t="n"/>
      <c r="S1311" s="229">
        <f>M1311*N1311</f>
        <v/>
      </c>
      <c r="T1311" s="230">
        <f>CONCATENATE(S1311,Q1311,P1311)</f>
        <v/>
      </c>
      <c r="U1311" s="206">
        <f>L1311*M1311</f>
        <v/>
      </c>
      <c r="V1311" s="4" t="n"/>
      <c r="W1311" s="4" t="n"/>
      <c r="X1311" s="4" t="n"/>
    </row>
    <row r="1312" ht="15.75" customHeight="1" thickBot="1">
      <c r="A1312" s="186" t="n">
        <v>177</v>
      </c>
      <c r="B1312" s="214" t="inlineStr">
        <is>
          <t>Glutinous Rice Flour</t>
        </is>
      </c>
      <c r="C1312" s="124" t="n"/>
      <c r="D1312" s="115" t="n"/>
      <c r="E1312" s="124" t="n"/>
      <c r="F1312" s="124" t="n"/>
      <c r="G1312" s="124" t="n"/>
      <c r="H1312" s="84" t="n"/>
      <c r="I1312" s="7" t="n"/>
      <c r="J1312" s="32" t="inlineStr">
        <is>
          <t>Kings</t>
        </is>
      </c>
      <c r="K1312" s="24" t="n"/>
      <c r="L1312" s="36" t="n">
        <v>55</v>
      </c>
      <c r="M1312" s="204" t="n">
        <v>2</v>
      </c>
      <c r="N1312" s="177" t="n">
        <v>500</v>
      </c>
      <c r="O1312" s="13" t="n"/>
      <c r="P1312" s="139" t="inlineStr">
        <is>
          <t>grams</t>
        </is>
      </c>
      <c r="Q1312" s="2" t="n"/>
      <c r="R1312" s="1" t="n"/>
      <c r="S1312" s="229">
        <f>M1312*N1312</f>
        <v/>
      </c>
      <c r="T1312" s="230">
        <f>CONCATENATE(S1312,Q1312,P1312)</f>
        <v/>
      </c>
      <c r="U1312" s="206">
        <f>L1312*M1312</f>
        <v/>
      </c>
      <c r="V1312" s="4" t="n"/>
      <c r="W1312" s="4" t="n"/>
      <c r="X1312" s="4" t="n"/>
    </row>
    <row r="1313" ht="15.75" customHeight="1" thickBot="1">
      <c r="A1313" s="186" t="n">
        <v>177</v>
      </c>
      <c r="B1313" s="215" t="inlineStr">
        <is>
          <t>Glutinous Rice Flour</t>
        </is>
      </c>
      <c r="C1313" s="124" t="n"/>
      <c r="D1313" s="115" t="n"/>
      <c r="E1313" s="124" t="n"/>
      <c r="F1313" s="124" t="n"/>
      <c r="G1313" s="124" t="n"/>
      <c r="H1313" s="84" t="n"/>
      <c r="I1313" s="7" t="n"/>
      <c r="J1313" s="32" t="inlineStr">
        <is>
          <t>Master Chef</t>
        </is>
      </c>
      <c r="K1313" s="24" t="n"/>
      <c r="L1313" s="36" t="n">
        <v>47.5</v>
      </c>
      <c r="M1313" s="204" t="n">
        <v>5</v>
      </c>
      <c r="N1313" s="177" t="n">
        <v>500</v>
      </c>
      <c r="O1313" s="13" t="n"/>
      <c r="P1313" s="139" t="inlineStr">
        <is>
          <t>grams</t>
        </is>
      </c>
      <c r="Q1313" s="2" t="n"/>
      <c r="R1313" s="1" t="n"/>
      <c r="S1313" s="229">
        <f>M1313*N1313</f>
        <v/>
      </c>
      <c r="T1313" s="230">
        <f>CONCATENATE(S1313,Q1313,P1313)</f>
        <v/>
      </c>
      <c r="U1313" s="206">
        <f>L1313*M1313</f>
        <v/>
      </c>
      <c r="V1313" s="4" t="n"/>
      <c r="W1313" s="4" t="n"/>
      <c r="X1313" s="4" t="n"/>
    </row>
    <row r="1314" ht="15.75" customHeight="1" thickBot="1">
      <c r="A1314" s="186" t="n">
        <v>177</v>
      </c>
      <c r="B1314" s="215" t="inlineStr">
        <is>
          <t>Glutinous Rice Flour</t>
        </is>
      </c>
      <c r="C1314" s="124" t="n"/>
      <c r="D1314" s="115" t="n"/>
      <c r="E1314" s="124" t="n"/>
      <c r="F1314" s="124" t="n"/>
      <c r="G1314" s="124" t="n"/>
      <c r="H1314" s="84" t="n"/>
      <c r="I1314" s="7" t="n"/>
      <c r="J1314" s="32" t="inlineStr">
        <is>
          <t>Polar Bear</t>
        </is>
      </c>
      <c r="K1314" s="24" t="n"/>
      <c r="L1314" s="36" t="n">
        <v>32.5</v>
      </c>
      <c r="M1314" s="204" t="n">
        <v>2</v>
      </c>
      <c r="N1314" s="177" t="n">
        <v>500</v>
      </c>
      <c r="O1314" s="13" t="n"/>
      <c r="P1314" s="139" t="inlineStr">
        <is>
          <t>grams</t>
        </is>
      </c>
      <c r="Q1314" s="2" t="n"/>
      <c r="R1314" s="1" t="n"/>
      <c r="S1314" s="229">
        <f>M1314*N1314</f>
        <v/>
      </c>
      <c r="T1314" s="230">
        <f>CONCATENATE(S1314,Q1314,P1314)</f>
        <v/>
      </c>
      <c r="U1314" s="206">
        <f>L1314*M1314</f>
        <v/>
      </c>
      <c r="V1314" s="4" t="n"/>
      <c r="W1314" s="4" t="n"/>
      <c r="X1314" s="4" t="n"/>
    </row>
    <row r="1315" ht="15.75" customHeight="1" thickBot="1">
      <c r="A1315" s="186" t="n">
        <v>181</v>
      </c>
      <c r="B1315" s="214" t="inlineStr">
        <is>
          <t>Graham Crackers</t>
        </is>
      </c>
      <c r="C1315" s="124" t="n"/>
      <c r="D1315" s="115" t="n"/>
      <c r="E1315" s="124" t="n"/>
      <c r="F1315" s="124" t="n"/>
      <c r="G1315" s="124" t="n"/>
      <c r="H1315" s="84" t="n"/>
      <c r="I1315" s="7" t="n"/>
      <c r="J1315" s="32" t="inlineStr">
        <is>
          <t>M.Y. San</t>
        </is>
      </c>
      <c r="K1315" s="24" t="n"/>
      <c r="L1315" s="36" t="n">
        <v>41.9</v>
      </c>
      <c r="M1315" s="204" t="n">
        <v>3</v>
      </c>
      <c r="N1315" s="177" t="n">
        <v>210</v>
      </c>
      <c r="O1315" s="13" t="n"/>
      <c r="P1315" s="139" t="inlineStr">
        <is>
          <t>grams</t>
        </is>
      </c>
      <c r="Q1315" s="2" t="n"/>
      <c r="R1315" s="1" t="n"/>
      <c r="S1315" s="229">
        <f>M1315*N1315</f>
        <v/>
      </c>
      <c r="T1315" s="230">
        <f>CONCATENATE(S1315,Q1315,P1315)</f>
        <v/>
      </c>
      <c r="U1315" s="206">
        <f>L1315*M1315</f>
        <v/>
      </c>
      <c r="V1315" s="4" t="n"/>
      <c r="W1315" s="4" t="n"/>
      <c r="X1315" s="4" t="n"/>
    </row>
    <row r="1316" ht="15.75" customHeight="1" thickBot="1">
      <c r="A1316" s="186" t="n">
        <v>181</v>
      </c>
      <c r="B1316" s="214" t="inlineStr">
        <is>
          <t>Graham Crackers</t>
        </is>
      </c>
      <c r="C1316" s="124" t="n"/>
      <c r="D1316" s="115" t="n"/>
      <c r="E1316" s="124" t="n"/>
      <c r="F1316" s="124" t="n"/>
      <c r="G1316" s="124" t="n"/>
      <c r="H1316" s="84" t="n"/>
      <c r="I1316" s="7" t="n"/>
      <c r="J1316" s="32" t="inlineStr">
        <is>
          <t>M.Y. San</t>
        </is>
      </c>
      <c r="K1316" s="24" t="n"/>
      <c r="L1316" s="36" t="n">
        <v>46</v>
      </c>
      <c r="M1316" s="204" t="n">
        <v>1</v>
      </c>
      <c r="N1316" s="177" t="n">
        <v>500</v>
      </c>
      <c r="O1316" s="13" t="n"/>
      <c r="P1316" s="139" t="inlineStr">
        <is>
          <t>grams</t>
        </is>
      </c>
      <c r="Q1316" s="2" t="n"/>
      <c r="R1316" s="1" t="n"/>
      <c r="S1316" s="229">
        <f>M1316*N1316</f>
        <v/>
      </c>
      <c r="T1316" s="230">
        <f>CONCATENATE(S1316,Q1316,P1316)</f>
        <v/>
      </c>
      <c r="U1316" s="206">
        <f>L1316*M1316</f>
        <v/>
      </c>
      <c r="V1316" s="4" t="n"/>
      <c r="W1316" s="4" t="n"/>
      <c r="X1316" s="4" t="n"/>
    </row>
    <row r="1317" ht="15.75" customHeight="1" thickBot="1">
      <c r="A1317" s="186" t="n">
        <v>181</v>
      </c>
      <c r="B1317" s="215" t="inlineStr">
        <is>
          <t>Graham Crackers</t>
        </is>
      </c>
      <c r="C1317" s="124" t="n"/>
      <c r="D1317" s="115" t="n"/>
      <c r="E1317" s="124" t="n"/>
      <c r="F1317" s="124" t="n"/>
      <c r="G1317" s="124" t="n"/>
      <c r="H1317" s="84" t="n"/>
      <c r="I1317" s="7" t="n"/>
      <c r="J1317" s="32" t="inlineStr">
        <is>
          <t>M.Y. San</t>
        </is>
      </c>
      <c r="K1317" s="24" t="n"/>
      <c r="L1317" s="36" t="n">
        <v>41.3</v>
      </c>
      <c r="M1317" s="204" t="n">
        <v>3</v>
      </c>
      <c r="N1317" s="177" t="n">
        <v>210</v>
      </c>
      <c r="O1317" s="13" t="n"/>
      <c r="P1317" s="139" t="inlineStr">
        <is>
          <t>grams</t>
        </is>
      </c>
      <c r="Q1317" s="2" t="n"/>
      <c r="R1317" s="1" t="n"/>
      <c r="S1317" s="229">
        <f>M1317*N1317</f>
        <v/>
      </c>
      <c r="T1317" s="230">
        <f>CONCATENATE(S1317,Q1317,P1317)</f>
        <v/>
      </c>
      <c r="U1317" s="206">
        <f>L1317*M1317</f>
        <v/>
      </c>
      <c r="V1317" s="4" t="n"/>
      <c r="W1317" s="4" t="n"/>
      <c r="X1317" s="4" t="n"/>
    </row>
    <row r="1318" ht="15.75" customHeight="1" thickBot="1">
      <c r="A1318" s="186" t="n">
        <v>181</v>
      </c>
      <c r="B1318" s="214" t="inlineStr">
        <is>
          <t>Graham Crackers</t>
        </is>
      </c>
      <c r="C1318" s="124" t="n"/>
      <c r="D1318" s="115" t="n"/>
      <c r="E1318" s="124" t="n"/>
      <c r="F1318" s="124" t="n"/>
      <c r="G1318" s="124" t="n"/>
      <c r="H1318" s="84" t="n"/>
      <c r="I1318" s="7" t="n"/>
      <c r="J1318" s="32" t="inlineStr">
        <is>
          <t>M.Y. San</t>
        </is>
      </c>
      <c r="K1318" s="24" t="n"/>
      <c r="L1318" s="36" t="n">
        <v>41.9</v>
      </c>
      <c r="M1318" s="204" t="n">
        <v>2</v>
      </c>
      <c r="N1318" s="177" t="n">
        <v>210</v>
      </c>
      <c r="O1318" s="13" t="n"/>
      <c r="P1318" s="139" t="inlineStr">
        <is>
          <t>grams</t>
        </is>
      </c>
      <c r="Q1318" s="2" t="n"/>
      <c r="R1318" s="1" t="n"/>
      <c r="S1318" s="229">
        <f>M1318*N1318</f>
        <v/>
      </c>
      <c r="T1318" s="230">
        <f>CONCATENATE(S1318,Q1318,P1318)</f>
        <v/>
      </c>
      <c r="U1318" s="206">
        <f>L1318*M1318</f>
        <v/>
      </c>
      <c r="V1318" s="4" t="n"/>
      <c r="W1318" s="4" t="n"/>
      <c r="X1318" s="4" t="n"/>
    </row>
    <row r="1319" ht="15.75" customHeight="1" thickBot="1">
      <c r="A1319" s="186" t="n">
        <v>621</v>
      </c>
      <c r="B1319" s="214" t="inlineStr">
        <is>
          <t>Grapes Green</t>
        </is>
      </c>
      <c r="C1319" s="124" t="n"/>
      <c r="D1319" s="115" t="n"/>
      <c r="E1319" s="124" t="n"/>
      <c r="F1319" s="124" t="n"/>
      <c r="G1319" s="124" t="n"/>
      <c r="H1319" s="84" t="n"/>
      <c r="I1319" s="7" t="n"/>
      <c r="J1319" s="32" t="n"/>
      <c r="K1319" s="24" t="n"/>
      <c r="L1319" s="36" t="n">
        <v>270</v>
      </c>
      <c r="M1319" s="204" t="n">
        <v>0</v>
      </c>
      <c r="N1319" s="177" t="n">
        <v>1</v>
      </c>
      <c r="O1319" s="13" t="n"/>
      <c r="P1319" s="139" t="inlineStr">
        <is>
          <t>kilos</t>
        </is>
      </c>
      <c r="Q1319" s="2" t="n"/>
      <c r="R1319" s="1" t="n"/>
      <c r="S1319" s="229">
        <f>M1319*N1319</f>
        <v/>
      </c>
      <c r="T1319" s="230">
        <f>CONCATENATE(S1319,Q1319,P1319)</f>
        <v/>
      </c>
      <c r="U1319" s="206">
        <f>L1319*M1319</f>
        <v/>
      </c>
      <c r="V1319" s="4" t="n"/>
      <c r="W1319" s="4" t="n"/>
      <c r="X1319" s="4" t="n"/>
    </row>
    <row r="1320" ht="15.75" customHeight="1" thickBot="1">
      <c r="A1320" s="186" t="n">
        <v>622</v>
      </c>
      <c r="B1320" s="214" t="inlineStr">
        <is>
          <t>Grapes Seedless</t>
        </is>
      </c>
      <c r="C1320" s="124" t="n"/>
      <c r="D1320" s="115" t="n"/>
      <c r="E1320" s="124" t="n"/>
      <c r="F1320" s="124" t="n"/>
      <c r="G1320" s="124" t="n"/>
      <c r="H1320" s="84" t="n"/>
      <c r="I1320" s="7" t="n"/>
      <c r="J1320" s="32" t="n"/>
      <c r="K1320" s="24" t="n"/>
      <c r="L1320" s="36" t="n">
        <v>180</v>
      </c>
      <c r="M1320" s="204" t="n">
        <v>0</v>
      </c>
      <c r="N1320" s="177" t="n">
        <v>1000</v>
      </c>
      <c r="O1320" s="13" t="n"/>
      <c r="P1320" s="139" t="inlineStr">
        <is>
          <t>grams</t>
        </is>
      </c>
      <c r="Q1320" s="2" t="n"/>
      <c r="R1320" s="1" t="n"/>
      <c r="S1320" s="229">
        <f>M1320*N1320</f>
        <v/>
      </c>
      <c r="T1320" s="230">
        <f>CONCATENATE(S1320,Q1320,P1320)</f>
        <v/>
      </c>
      <c r="U1320" s="206">
        <f>L1320*M1320</f>
        <v/>
      </c>
      <c r="V1320" s="4" t="n"/>
      <c r="W1320" s="4" t="n"/>
      <c r="X1320" s="4" t="n"/>
    </row>
    <row r="1321" ht="15.75" customHeight="1" thickBot="1">
      <c r="A1321" s="186" t="n">
        <v>183</v>
      </c>
      <c r="B1321" s="214" t="inlineStr">
        <is>
          <t>Grass Jelly</t>
        </is>
      </c>
      <c r="C1321" s="124" t="n"/>
      <c r="D1321" s="115" t="n"/>
      <c r="E1321" s="124" t="n"/>
      <c r="F1321" s="124" t="n"/>
      <c r="G1321" s="124" t="n"/>
      <c r="H1321" s="84" t="n"/>
      <c r="I1321" s="7" t="n"/>
      <c r="J1321" s="32" t="inlineStr">
        <is>
          <t>Jolly</t>
        </is>
      </c>
      <c r="K1321" s="24" t="n"/>
      <c r="L1321" s="36" t="n">
        <v>48</v>
      </c>
      <c r="M1321" s="204" t="n">
        <v>1</v>
      </c>
      <c r="N1321" s="177" t="n">
        <v>540</v>
      </c>
      <c r="O1321" s="13" t="n"/>
      <c r="P1321" s="139" t="inlineStr">
        <is>
          <t>grams</t>
        </is>
      </c>
      <c r="Q1321" s="2" t="n"/>
      <c r="R1321" s="1" t="n"/>
      <c r="S1321" s="229">
        <f>M1321*N1321</f>
        <v/>
      </c>
      <c r="T1321" s="230">
        <f>CONCATENATE(S1321,Q1321,P1321)</f>
        <v/>
      </c>
      <c r="U1321" s="206">
        <f>L1321*M1321</f>
        <v/>
      </c>
      <c r="V1321" s="4" t="n"/>
      <c r="W1321" s="4" t="n"/>
      <c r="X1321" s="4" t="n"/>
    </row>
    <row r="1322" ht="15.75" customHeight="1" thickBot="1">
      <c r="A1322" s="186" t="n">
        <v>623</v>
      </c>
      <c r="B1322" s="214" t="inlineStr">
        <is>
          <t>Greaseproof french fries paperbag</t>
        </is>
      </c>
      <c r="C1322" s="124" t="n"/>
      <c r="D1322" s="115" t="n"/>
      <c r="E1322" s="124" t="n"/>
      <c r="F1322" s="124" t="n"/>
      <c r="G1322" s="124" t="n"/>
      <c r="H1322" s="84" t="n"/>
      <c r="I1322" s="7" t="n"/>
      <c r="J1322" s="32" t="n"/>
      <c r="K1322" s="24" t="n"/>
      <c r="L1322" s="36" t="n">
        <v>1</v>
      </c>
      <c r="M1322" s="204" t="n">
        <v>9</v>
      </c>
      <c r="N1322" s="177" t="n">
        <v>1</v>
      </c>
      <c r="O1322" s="13" t="n"/>
      <c r="P1322" s="139" t="inlineStr">
        <is>
          <t>pieces</t>
        </is>
      </c>
      <c r="Q1322" s="2" t="n"/>
      <c r="R1322" s="1" t="n"/>
      <c r="S1322" s="229">
        <f>M1322*N1322</f>
        <v/>
      </c>
      <c r="T1322" s="230">
        <f>CONCATENATE(S1322,Q1322,P1322)</f>
        <v/>
      </c>
      <c r="U1322" s="206">
        <f>L1322*M1322</f>
        <v/>
      </c>
      <c r="V1322" s="4" t="n"/>
      <c r="W1322" s="4" t="n"/>
      <c r="X1322" s="4" t="n"/>
    </row>
    <row r="1323" ht="15.75" customHeight="1" thickBot="1">
      <c r="A1323" s="186" t="n">
        <v>624</v>
      </c>
      <c r="B1323" s="215" t="inlineStr">
        <is>
          <t>Green Olives</t>
        </is>
      </c>
      <c r="C1323" s="124" t="n"/>
      <c r="D1323" s="115" t="n"/>
      <c r="E1323" s="124" t="n"/>
      <c r="F1323" s="124" t="n"/>
      <c r="G1323" s="124" t="n"/>
      <c r="H1323" s="84" t="n"/>
      <c r="I1323" s="7" t="n"/>
      <c r="J1323" s="32" t="inlineStr">
        <is>
          <t>Dona Elena</t>
        </is>
      </c>
      <c r="K1323" s="24" t="n"/>
      <c r="L1323" s="36" t="n">
        <v>159.8</v>
      </c>
      <c r="M1323" s="204" t="n">
        <v>4</v>
      </c>
      <c r="N1323" s="177" t="n">
        <v>160</v>
      </c>
      <c r="O1323" s="13" t="n"/>
      <c r="P1323" s="139" t="inlineStr">
        <is>
          <t>drained weight grams</t>
        </is>
      </c>
      <c r="Q1323" s="2" t="n"/>
      <c r="R1323" s="1" t="n"/>
      <c r="S1323" s="229">
        <f>M1323*N1323</f>
        <v/>
      </c>
      <c r="T1323" s="230">
        <f>CONCATENATE(S1323,Q1323,P1323)</f>
        <v/>
      </c>
      <c r="U1323" s="206">
        <f>L1323*M1323</f>
        <v/>
      </c>
      <c r="V1323" s="4" t="n"/>
      <c r="W1323" s="4" t="n"/>
      <c r="X1323" s="4" t="n"/>
    </row>
    <row r="1324" ht="15.75" customHeight="1" thickBot="1">
      <c r="A1324" s="186" t="n">
        <v>624</v>
      </c>
      <c r="B1324" s="215" t="inlineStr">
        <is>
          <t>Green Olives</t>
        </is>
      </c>
      <c r="C1324" s="124" t="n"/>
      <c r="D1324" s="115" t="n"/>
      <c r="E1324" s="124" t="n"/>
      <c r="F1324" s="124" t="n"/>
      <c r="G1324" s="124" t="n"/>
      <c r="H1324" s="84" t="n"/>
      <c r="I1324" s="7" t="n"/>
      <c r="J1324" s="32" t="inlineStr">
        <is>
          <t>Capri</t>
        </is>
      </c>
      <c r="K1324" s="24" t="n"/>
      <c r="L1324" s="36" t="n">
        <v>198</v>
      </c>
      <c r="M1324" s="204" t="n">
        <v>2</v>
      </c>
      <c r="N1324" s="177" t="n">
        <v>200</v>
      </c>
      <c r="O1324" s="13" t="n"/>
      <c r="P1324" s="139" t="inlineStr">
        <is>
          <t>grams</t>
        </is>
      </c>
      <c r="Q1324" s="2" t="n"/>
      <c r="R1324" s="1" t="n"/>
      <c r="S1324" s="229">
        <f>M1324*N1324</f>
        <v/>
      </c>
      <c r="T1324" s="230">
        <f>CONCATENATE(S1324,Q1324,P1324)</f>
        <v/>
      </c>
      <c r="U1324" s="206">
        <f>L1324*M1324</f>
        <v/>
      </c>
      <c r="V1324" s="4" t="n"/>
      <c r="W1324" s="4" t="n"/>
      <c r="X1324" s="4" t="n"/>
    </row>
    <row r="1325" ht="15.75" customHeight="1" thickBot="1">
      <c r="A1325" s="186" t="n">
        <v>625</v>
      </c>
      <c r="B1325" s="214" t="inlineStr">
        <is>
          <t>Green Peas</t>
        </is>
      </c>
      <c r="C1325" s="124" t="n"/>
      <c r="D1325" s="115" t="n"/>
      <c r="E1325" s="124" t="n"/>
      <c r="F1325" s="124" t="n"/>
      <c r="G1325" s="124" t="n"/>
      <c r="H1325" s="84" t="n"/>
      <c r="I1325" s="7" t="n"/>
      <c r="J1325" s="32" t="inlineStr">
        <is>
          <t>UFC</t>
        </is>
      </c>
      <c r="K1325" s="24" t="n"/>
      <c r="L1325" s="36" t="n">
        <v>29</v>
      </c>
      <c r="M1325" s="204" t="n">
        <v>2</v>
      </c>
      <c r="N1325" s="177" t="n">
        <v>400</v>
      </c>
      <c r="O1325" s="13" t="n"/>
      <c r="P1325" s="139" t="inlineStr">
        <is>
          <t>grams</t>
        </is>
      </c>
      <c r="Q1325" s="2" t="n"/>
      <c r="R1325" s="1" t="n"/>
      <c r="S1325" s="229">
        <f>M1325*N1325</f>
        <v/>
      </c>
      <c r="T1325" s="230">
        <f>CONCATENATE(S1325,Q1325,P1325)</f>
        <v/>
      </c>
      <c r="U1325" s="206">
        <f>L1325*M1325</f>
        <v/>
      </c>
      <c r="V1325" s="4" t="n"/>
      <c r="W1325" s="4" t="n"/>
      <c r="X1325" s="4" t="n"/>
    </row>
    <row r="1326" ht="15.75" customHeight="1" thickBot="1">
      <c r="A1326" s="186" t="n">
        <v>625</v>
      </c>
      <c r="B1326" s="214" t="inlineStr">
        <is>
          <t>Green Peas</t>
        </is>
      </c>
      <c r="C1326" s="124" t="n"/>
      <c r="D1326" s="115" t="n"/>
      <c r="E1326" s="124" t="n"/>
      <c r="F1326" s="124" t="n"/>
      <c r="G1326" s="124" t="n"/>
      <c r="H1326" s="84" t="n"/>
      <c r="I1326" s="7" t="n"/>
      <c r="J1326" s="32" t="inlineStr">
        <is>
          <t>Ram</t>
        </is>
      </c>
      <c r="K1326" s="24" t="n"/>
      <c r="L1326" s="36" t="n">
        <v>23.9</v>
      </c>
      <c r="M1326" s="204" t="n">
        <v>10</v>
      </c>
      <c r="N1326" s="177" t="n">
        <v>113</v>
      </c>
      <c r="O1326" s="13" t="n"/>
      <c r="P1326" s="139" t="inlineStr">
        <is>
          <t>drained weight grams</t>
        </is>
      </c>
      <c r="Q1326" s="2" t="n"/>
      <c r="R1326" s="1" t="n"/>
      <c r="S1326" s="229">
        <f>M1326*N1326</f>
        <v/>
      </c>
      <c r="T1326" s="230">
        <f>CONCATENATE(S1326,Q1326,P1326)</f>
        <v/>
      </c>
      <c r="U1326" s="206">
        <f>L1326*M1326</f>
        <v/>
      </c>
      <c r="V1326" s="4" t="n"/>
      <c r="W1326" s="4" t="n"/>
      <c r="X1326" s="4" t="n"/>
    </row>
    <row r="1327" ht="15.75" customHeight="1" thickBot="1">
      <c r="A1327" s="186" t="n">
        <v>626</v>
      </c>
      <c r="B1327" s="215" t="inlineStr">
        <is>
          <t>Ground Cumin</t>
        </is>
      </c>
      <c r="C1327" s="124" t="n"/>
      <c r="D1327" s="115" t="n"/>
      <c r="E1327" s="124" t="n"/>
      <c r="F1327" s="124" t="n"/>
      <c r="G1327" s="124" t="n"/>
      <c r="H1327" s="84" t="n"/>
      <c r="I1327" s="7" t="n"/>
      <c r="J1327" s="32" t="inlineStr">
        <is>
          <t>Badia</t>
        </is>
      </c>
      <c r="K1327" s="24" t="n"/>
      <c r="L1327" s="36" t="n">
        <v>199.95</v>
      </c>
      <c r="M1327" s="204" t="n">
        <v>1</v>
      </c>
      <c r="N1327" s="177" t="n">
        <v>199</v>
      </c>
      <c r="O1327" s="13" t="n"/>
      <c r="P1327" s="139" t="inlineStr">
        <is>
          <t>grams</t>
        </is>
      </c>
      <c r="Q1327" s="2" t="n"/>
      <c r="R1327" s="1" t="n"/>
      <c r="S1327" s="229">
        <f>M1327*N1327</f>
        <v/>
      </c>
      <c r="T1327" s="230">
        <f>CONCATENATE(S1327,Q1327,P1327)</f>
        <v/>
      </c>
      <c r="U1327" s="206">
        <f>L1327*M1327</f>
        <v/>
      </c>
      <c r="V1327" s="4" t="n"/>
      <c r="W1327" s="4" t="n"/>
      <c r="X1327" s="4" t="n"/>
    </row>
    <row r="1328" ht="15.75" customHeight="1" thickBot="1">
      <c r="A1328" s="186" t="n">
        <v>626</v>
      </c>
      <c r="B1328" s="214" t="inlineStr">
        <is>
          <t>Ground Cumin</t>
        </is>
      </c>
      <c r="C1328" s="124" t="n"/>
      <c r="D1328" s="115" t="n"/>
      <c r="E1328" s="124" t="n"/>
      <c r="F1328" s="124" t="n"/>
      <c r="G1328" s="124" t="n"/>
      <c r="H1328" s="84" t="n"/>
      <c r="I1328" s="7" t="n"/>
      <c r="J1328" s="32" t="inlineStr">
        <is>
          <t>McCormick</t>
        </is>
      </c>
      <c r="K1328" s="24" t="n"/>
      <c r="L1328" s="36" t="n">
        <v>74.5</v>
      </c>
      <c r="M1328" s="204" t="n">
        <v>1</v>
      </c>
      <c r="N1328" s="177" t="n">
        <v>30</v>
      </c>
      <c r="O1328" s="13" t="n"/>
      <c r="P1328" s="139" t="inlineStr">
        <is>
          <t>grams</t>
        </is>
      </c>
      <c r="Q1328" s="2" t="n"/>
      <c r="R1328" s="1" t="n"/>
      <c r="S1328" s="229">
        <f>M1328*N1328</f>
        <v/>
      </c>
      <c r="T1328" s="230">
        <f>CONCATENATE(S1328,Q1328,P1328)</f>
        <v/>
      </c>
      <c r="U1328" s="206">
        <f>L1328*M1328</f>
        <v/>
      </c>
      <c r="V1328" s="4" t="n"/>
      <c r="W1328" s="4" t="n"/>
      <c r="X1328" s="4" t="n"/>
    </row>
    <row r="1329" ht="15.75" customHeight="1" thickBot="1">
      <c r="A1329" s="186" t="n">
        <v>626</v>
      </c>
      <c r="B1329" s="215" t="inlineStr">
        <is>
          <t>Ground Cumin</t>
        </is>
      </c>
      <c r="C1329" s="124" t="n"/>
      <c r="D1329" s="115" t="n"/>
      <c r="E1329" s="124" t="n"/>
      <c r="F1329" s="124" t="n"/>
      <c r="G1329" s="124" t="n"/>
      <c r="H1329" s="84" t="n"/>
      <c r="I1329" s="7" t="n"/>
      <c r="J1329" s="32" t="inlineStr">
        <is>
          <t>McCormick</t>
        </is>
      </c>
      <c r="K1329" s="24" t="n"/>
      <c r="L1329" s="36" t="n">
        <v>68</v>
      </c>
      <c r="M1329" s="204" t="n">
        <v>0</v>
      </c>
      <c r="N1329" s="177" t="n">
        <v>30</v>
      </c>
      <c r="O1329" s="13" t="n"/>
      <c r="P1329" s="139" t="inlineStr">
        <is>
          <t>grams</t>
        </is>
      </c>
      <c r="Q1329" s="2" t="n"/>
      <c r="R1329" s="1" t="n"/>
      <c r="S1329" s="229">
        <f>M1329*N1329</f>
        <v/>
      </c>
      <c r="T1329" s="230">
        <f>CONCATENATE(S1329,Q1329,P1329)</f>
        <v/>
      </c>
      <c r="U1329" s="206">
        <f>L1329*M1329</f>
        <v/>
      </c>
      <c r="V1329" s="4" t="n"/>
      <c r="W1329" s="4" t="n"/>
      <c r="X1329" s="4" t="n"/>
    </row>
    <row r="1330" ht="15.75" customHeight="1" thickBot="1">
      <c r="A1330" s="186" t="n">
        <v>626</v>
      </c>
      <c r="B1330" s="215" t="inlineStr">
        <is>
          <t>Ground Cumin</t>
        </is>
      </c>
      <c r="C1330" s="124" t="n"/>
      <c r="D1330" s="115" t="n"/>
      <c r="E1330" s="124" t="n"/>
      <c r="F1330" s="124" t="n"/>
      <c r="G1330" s="124" t="n"/>
      <c r="H1330" s="84" t="n"/>
      <c r="I1330" s="7" t="n"/>
      <c r="J1330" s="32" t="inlineStr">
        <is>
          <t>McCormick</t>
        </is>
      </c>
      <c r="K1330" s="24" t="n"/>
      <c r="L1330" s="36" t="n">
        <v>98</v>
      </c>
      <c r="M1330" s="204" t="n">
        <v>1</v>
      </c>
      <c r="N1330" s="177" t="n">
        <v>30</v>
      </c>
      <c r="O1330" s="13" t="n"/>
      <c r="P1330" s="139" t="inlineStr">
        <is>
          <t>grams</t>
        </is>
      </c>
      <c r="Q1330" s="2" t="n"/>
      <c r="R1330" s="1" t="n"/>
      <c r="S1330" s="229">
        <f>M1330*N1330</f>
        <v/>
      </c>
      <c r="T1330" s="230">
        <f>CONCATENATE(S1330,Q1330,P1330)</f>
        <v/>
      </c>
      <c r="U1330" s="206">
        <f>L1330*M1330</f>
        <v/>
      </c>
      <c r="V1330" s="4" t="n"/>
      <c r="W1330" s="4" t="n"/>
      <c r="X1330" s="4" t="n"/>
    </row>
    <row r="1331" ht="15.75" customHeight="1" thickBot="1">
      <c r="A1331" s="186" t="n">
        <v>626</v>
      </c>
      <c r="B1331" s="215" t="inlineStr">
        <is>
          <t>Ground Cumin</t>
        </is>
      </c>
      <c r="C1331" s="124" t="n"/>
      <c r="D1331" s="115" t="n"/>
      <c r="E1331" s="124" t="n"/>
      <c r="F1331" s="124" t="n"/>
      <c r="G1331" s="124" t="n"/>
      <c r="H1331" s="84" t="n"/>
      <c r="I1331" s="7" t="n"/>
      <c r="J1331" s="32" t="inlineStr">
        <is>
          <t>McCormick</t>
        </is>
      </c>
      <c r="K1331" s="24" t="n"/>
      <c r="L1331" s="36" t="n">
        <v>74.5</v>
      </c>
      <c r="M1331" s="204" t="n">
        <v>2</v>
      </c>
      <c r="N1331" s="177" t="n">
        <v>30</v>
      </c>
      <c r="O1331" s="13" t="n"/>
      <c r="P1331" s="139" t="inlineStr">
        <is>
          <t>grams</t>
        </is>
      </c>
      <c r="Q1331" s="2" t="n"/>
      <c r="R1331" s="1" t="n"/>
      <c r="S1331" s="229">
        <f>M1331*N1331</f>
        <v/>
      </c>
      <c r="T1331" s="230">
        <f>CONCATENATE(S1331,Q1331,P1331)</f>
        <v/>
      </c>
      <c r="U1331" s="206">
        <f>L1331*M1331</f>
        <v/>
      </c>
      <c r="V1331" s="4" t="n"/>
      <c r="W1331" s="4" t="n"/>
      <c r="X1331" s="4" t="n"/>
    </row>
    <row r="1332" ht="15.75" customHeight="1" thickBot="1">
      <c r="A1332" s="186" t="n">
        <v>627</v>
      </c>
      <c r="B1332" s="214" t="inlineStr">
        <is>
          <t>Gulaman - Black</t>
        </is>
      </c>
      <c r="C1332" s="124" t="n"/>
      <c r="D1332" s="115" t="n"/>
      <c r="E1332" s="124" t="n"/>
      <c r="F1332" s="124" t="n"/>
      <c r="G1332" s="124" t="n"/>
      <c r="H1332" s="84" t="n"/>
      <c r="I1332" s="7" t="n"/>
      <c r="J1332" s="32" t="inlineStr">
        <is>
          <t>Mr. Gulaman</t>
        </is>
      </c>
      <c r="K1332" s="24" t="n"/>
      <c r="L1332" s="36" t="n">
        <v>9.17</v>
      </c>
      <c r="M1332" s="204" t="n">
        <v>18</v>
      </c>
      <c r="N1332" s="177" t="n">
        <v>25</v>
      </c>
      <c r="O1332" s="13" t="n"/>
      <c r="P1332" s="139" t="inlineStr">
        <is>
          <t>grams</t>
        </is>
      </c>
      <c r="Q1332" s="2" t="n"/>
      <c r="R1332" s="1" t="n"/>
      <c r="S1332" s="229">
        <f>M1332*N1332</f>
        <v/>
      </c>
      <c r="T1332" s="230">
        <f>CONCATENATE(S1332,Q1332,P1332)</f>
        <v/>
      </c>
      <c r="U1332" s="206">
        <f>L1332*M1332</f>
        <v/>
      </c>
      <c r="V1332" s="4" t="n"/>
      <c r="W1332" s="4" t="n"/>
      <c r="X1332" s="4" t="n"/>
    </row>
    <row r="1333" ht="15.75" customHeight="1" thickBot="1">
      <c r="A1333" s="186" t="n">
        <v>627</v>
      </c>
      <c r="B1333" s="214" t="inlineStr">
        <is>
          <t>Gulaman - Black</t>
        </is>
      </c>
      <c r="C1333" s="124" t="n"/>
      <c r="D1333" s="115" t="n"/>
      <c r="E1333" s="124" t="n"/>
      <c r="F1333" s="124" t="n"/>
      <c r="G1333" s="124" t="n"/>
      <c r="H1333" s="84" t="n"/>
      <c r="I1333" s="7" t="n"/>
      <c r="J1333" s="32" t="inlineStr">
        <is>
          <t>Master Gulaman</t>
        </is>
      </c>
      <c r="K1333" s="24" t="n"/>
      <c r="L1333" s="36" t="n">
        <v>12.76</v>
      </c>
      <c r="M1333" s="204" t="n">
        <v>6</v>
      </c>
      <c r="N1333" s="177" t="n">
        <v>25</v>
      </c>
      <c r="O1333" s="13" t="n"/>
      <c r="P1333" s="139" t="inlineStr">
        <is>
          <t>grams</t>
        </is>
      </c>
      <c r="Q1333" s="2" t="n"/>
      <c r="R1333" s="1" t="n"/>
      <c r="S1333" s="229">
        <f>M1333*N1333</f>
        <v/>
      </c>
      <c r="T1333" s="230">
        <f>CONCATENATE(S1333,Q1333,P1333)</f>
        <v/>
      </c>
      <c r="U1333" s="206">
        <f>L1333*M1333</f>
        <v/>
      </c>
      <c r="V1333" s="4" t="n"/>
      <c r="W1333" s="4" t="n"/>
      <c r="X1333" s="4" t="n"/>
    </row>
    <row r="1334" ht="15.75" customHeight="1" thickBot="1">
      <c r="A1334" s="186" t="n">
        <v>627</v>
      </c>
      <c r="B1334" s="214" t="inlineStr">
        <is>
          <t>Gulaman - Black</t>
        </is>
      </c>
      <c r="C1334" s="124" t="n"/>
      <c r="D1334" s="115" t="n"/>
      <c r="E1334" s="124" t="n"/>
      <c r="F1334" s="124" t="n"/>
      <c r="G1334" s="124" t="n"/>
      <c r="H1334" s="84" t="n"/>
      <c r="I1334" s="7" t="n"/>
      <c r="J1334" s="32" t="inlineStr">
        <is>
          <t>Mr. Gulaman</t>
        </is>
      </c>
      <c r="K1334" s="24" t="n"/>
      <c r="L1334" s="36" t="n">
        <v>13</v>
      </c>
      <c r="M1334" s="204" t="n">
        <v>2</v>
      </c>
      <c r="N1334" s="177" t="n">
        <v>25</v>
      </c>
      <c r="O1334" s="13" t="n"/>
      <c r="P1334" s="139" t="inlineStr">
        <is>
          <t>grams</t>
        </is>
      </c>
      <c r="Q1334" s="2" t="n"/>
      <c r="R1334" s="1" t="n"/>
      <c r="S1334" s="229">
        <f>M1334*N1334</f>
        <v/>
      </c>
      <c r="T1334" s="230">
        <f>CONCATENATE(S1334,Q1334,P1334)</f>
        <v/>
      </c>
      <c r="U1334" s="206">
        <f>L1334*M1334</f>
        <v/>
      </c>
      <c r="V1334" s="4" t="n"/>
      <c r="W1334" s="4" t="n"/>
      <c r="X1334" s="4" t="n"/>
    </row>
    <row r="1335" ht="15.75" customHeight="1" thickBot="1">
      <c r="A1335" s="186" t="n">
        <v>187</v>
      </c>
      <c r="B1335" s="214" t="inlineStr">
        <is>
          <t>Gulaman - Buko Pandan</t>
        </is>
      </c>
      <c r="C1335" s="124" t="n"/>
      <c r="D1335" s="115" t="n"/>
      <c r="E1335" s="124" t="n"/>
      <c r="F1335" s="124" t="n"/>
      <c r="G1335" s="124" t="n"/>
      <c r="H1335" s="84" t="n"/>
      <c r="I1335" s="7" t="n"/>
      <c r="J1335" s="32" t="inlineStr">
        <is>
          <t>Master Gulaman</t>
        </is>
      </c>
      <c r="K1335" s="24" t="n"/>
      <c r="L1335" s="36" t="n">
        <v>11.58</v>
      </c>
      <c r="M1335" s="204" t="n">
        <v>10</v>
      </c>
      <c r="N1335" s="177" t="n">
        <v>25</v>
      </c>
      <c r="O1335" s="13" t="n"/>
      <c r="P1335" s="139" t="inlineStr">
        <is>
          <t>grams</t>
        </is>
      </c>
      <c r="Q1335" s="2" t="n"/>
      <c r="R1335" s="1" t="n"/>
      <c r="S1335" s="229">
        <f>M1335*N1335</f>
        <v/>
      </c>
      <c r="T1335" s="230">
        <f>CONCATENATE(S1335,Q1335,P1335)</f>
        <v/>
      </c>
      <c r="U1335" s="206">
        <f>L1335*M1335</f>
        <v/>
      </c>
      <c r="V1335" s="4" t="n"/>
      <c r="W1335" s="4" t="n"/>
      <c r="X1335" s="4" t="n"/>
    </row>
    <row r="1336" ht="15.75" customHeight="1" thickBot="1">
      <c r="A1336" s="186" t="n">
        <v>187</v>
      </c>
      <c r="B1336" s="214" t="inlineStr">
        <is>
          <t>Gulaman - Buko Pandan</t>
        </is>
      </c>
      <c r="C1336" s="124" t="n"/>
      <c r="D1336" s="115" t="n"/>
      <c r="E1336" s="124" t="n"/>
      <c r="F1336" s="124" t="n"/>
      <c r="G1336" s="124" t="n"/>
      <c r="H1336" s="84" t="n"/>
      <c r="I1336" s="7" t="n"/>
      <c r="J1336" s="32" t="inlineStr">
        <is>
          <t>Master Gulaman</t>
        </is>
      </c>
      <c r="K1336" s="24" t="n"/>
      <c r="L1336" s="36" t="n">
        <v>11.58</v>
      </c>
      <c r="M1336" s="204" t="n">
        <v>10</v>
      </c>
      <c r="N1336" s="177" t="n">
        <v>25</v>
      </c>
      <c r="O1336" s="13" t="n"/>
      <c r="P1336" s="139" t="inlineStr">
        <is>
          <t>grams</t>
        </is>
      </c>
      <c r="Q1336" s="2" t="n"/>
      <c r="R1336" s="1" t="n"/>
      <c r="S1336" s="229">
        <f>M1336*N1336</f>
        <v/>
      </c>
      <c r="T1336" s="230">
        <f>CONCATENATE(S1336,Q1336,P1336)</f>
        <v/>
      </c>
      <c r="U1336" s="206">
        <f>L1336*M1336</f>
        <v/>
      </c>
      <c r="V1336" s="4" t="n"/>
      <c r="W1336" s="4" t="n"/>
      <c r="X1336" s="4" t="n"/>
    </row>
    <row r="1337" ht="15.75" customHeight="1" thickBot="1">
      <c r="A1337" s="186" t="n">
        <v>187</v>
      </c>
      <c r="B1337" s="214" t="inlineStr">
        <is>
          <t>Gulaman - Buko Pandan</t>
        </is>
      </c>
      <c r="C1337" s="124" t="n"/>
      <c r="D1337" s="115" t="n"/>
      <c r="E1337" s="124" t="n"/>
      <c r="F1337" s="124" t="n"/>
      <c r="G1337" s="124" t="n"/>
      <c r="H1337" s="84" t="n"/>
      <c r="I1337" s="7" t="n"/>
      <c r="J1337" s="32" t="inlineStr">
        <is>
          <t>Mr. Gulaman</t>
        </is>
      </c>
      <c r="K1337" s="24" t="n"/>
      <c r="L1337" s="36" t="n">
        <v>12.64</v>
      </c>
      <c r="M1337" s="204" t="n">
        <v>3</v>
      </c>
      <c r="N1337" s="177" t="n">
        <v>25</v>
      </c>
      <c r="O1337" s="13" t="n"/>
      <c r="P1337" s="139" t="inlineStr">
        <is>
          <t>grams</t>
        </is>
      </c>
      <c r="Q1337" s="2" t="n"/>
      <c r="R1337" s="1" t="n"/>
      <c r="S1337" s="229">
        <f>M1337*N1337</f>
        <v/>
      </c>
      <c r="T1337" s="230">
        <f>CONCATENATE(S1337,Q1337,P1337)</f>
        <v/>
      </c>
      <c r="U1337" s="206">
        <f>L1337*M1337</f>
        <v/>
      </c>
      <c r="V1337" s="4" t="n"/>
      <c r="W1337" s="4" t="n"/>
      <c r="X1337" s="4" t="n"/>
    </row>
    <row r="1338" ht="15.75" customHeight="1" thickBot="1">
      <c r="A1338" s="186" t="n">
        <v>189</v>
      </c>
      <c r="B1338" s="214" t="inlineStr">
        <is>
          <t>Gulaman - Green</t>
        </is>
      </c>
      <c r="C1338" s="124" t="n"/>
      <c r="D1338" s="115" t="n"/>
      <c r="E1338" s="124" t="n"/>
      <c r="F1338" s="124" t="n"/>
      <c r="G1338" s="124" t="n"/>
      <c r="H1338" s="84" t="n"/>
      <c r="I1338" s="7" t="n"/>
      <c r="J1338" s="32" t="inlineStr">
        <is>
          <t>Mr. Gulaman</t>
        </is>
      </c>
      <c r="K1338" s="24" t="n"/>
      <c r="L1338" s="36" t="n">
        <v>14.3</v>
      </c>
      <c r="M1338" s="204" t="n">
        <v>2</v>
      </c>
      <c r="N1338" s="177" t="n">
        <v>25</v>
      </c>
      <c r="O1338" s="13" t="n"/>
      <c r="P1338" s="139" t="inlineStr">
        <is>
          <t>grams</t>
        </is>
      </c>
      <c r="Q1338" s="2" t="n"/>
      <c r="R1338" s="1" t="n"/>
      <c r="S1338" s="229">
        <f>M1338*N1338</f>
        <v/>
      </c>
      <c r="T1338" s="230">
        <f>CONCATENATE(S1338,Q1338,P1338)</f>
        <v/>
      </c>
      <c r="U1338" s="206">
        <f>L1338*M1338</f>
        <v/>
      </c>
      <c r="V1338" s="4" t="n"/>
      <c r="W1338" s="4" t="n"/>
      <c r="X1338" s="4" t="n"/>
    </row>
    <row r="1339" ht="15.75" customHeight="1" thickBot="1">
      <c r="A1339" s="186" t="n">
        <v>189</v>
      </c>
      <c r="B1339" s="214" t="inlineStr">
        <is>
          <t>Gulaman - Green</t>
        </is>
      </c>
      <c r="C1339" s="124" t="n"/>
      <c r="D1339" s="115" t="n"/>
      <c r="E1339" s="124" t="n"/>
      <c r="F1339" s="124" t="n"/>
      <c r="G1339" s="124" t="n"/>
      <c r="H1339" s="84" t="n"/>
      <c r="I1339" s="7" t="n"/>
      <c r="J1339" s="32" t="inlineStr">
        <is>
          <t>Mr. Gulaman</t>
        </is>
      </c>
      <c r="K1339" s="24" t="n"/>
      <c r="L1339" s="36" t="n">
        <v>20</v>
      </c>
      <c r="M1339" s="204" t="n">
        <v>4</v>
      </c>
      <c r="N1339" s="177" t="n">
        <v>25</v>
      </c>
      <c r="O1339" s="13" t="n"/>
      <c r="P1339" s="139" t="inlineStr">
        <is>
          <t>grams</t>
        </is>
      </c>
      <c r="Q1339" s="2" t="n"/>
      <c r="R1339" s="1" t="n"/>
      <c r="S1339" s="229">
        <f>M1339*N1339</f>
        <v/>
      </c>
      <c r="T1339" s="230">
        <f>CONCATENATE(S1339,Q1339,P1339)</f>
        <v/>
      </c>
      <c r="U1339" s="206">
        <f>L1339*M1339</f>
        <v/>
      </c>
      <c r="V1339" s="4" t="n"/>
      <c r="W1339" s="4" t="n"/>
      <c r="X1339" s="4" t="n"/>
    </row>
    <row r="1340" ht="15.75" customHeight="1" thickBot="1">
      <c r="A1340" s="186" t="n">
        <v>189</v>
      </c>
      <c r="B1340" s="214" t="inlineStr">
        <is>
          <t>Gulaman - Green</t>
        </is>
      </c>
      <c r="C1340" s="124" t="n"/>
      <c r="D1340" s="115" t="n"/>
      <c r="E1340" s="124" t="n"/>
      <c r="F1340" s="124" t="n"/>
      <c r="G1340" s="124" t="n"/>
      <c r="H1340" s="84" t="n"/>
      <c r="I1340" s="7" t="n"/>
      <c r="J1340" s="32" t="inlineStr">
        <is>
          <t>Mr. Gulaman</t>
        </is>
      </c>
      <c r="K1340" s="24" t="n"/>
      <c r="L1340" s="36" t="n">
        <v>16</v>
      </c>
      <c r="M1340" s="204" t="n">
        <v>4</v>
      </c>
      <c r="N1340" s="177" t="n">
        <v>25</v>
      </c>
      <c r="O1340" s="13" t="n"/>
      <c r="P1340" s="139" t="inlineStr">
        <is>
          <t>grams</t>
        </is>
      </c>
      <c r="Q1340" s="2" t="n"/>
      <c r="R1340" s="1" t="n"/>
      <c r="S1340" s="229">
        <f>M1340*N1340</f>
        <v/>
      </c>
      <c r="T1340" s="230">
        <f>CONCATENATE(S1340,Q1340,P1340)</f>
        <v/>
      </c>
      <c r="U1340" s="206">
        <f>L1340*M1340</f>
        <v/>
      </c>
      <c r="V1340" s="4" t="n"/>
      <c r="W1340" s="4" t="n"/>
      <c r="X1340" s="4" t="n"/>
    </row>
    <row r="1341" ht="15.75" customHeight="1" thickBot="1">
      <c r="A1341" s="186" t="n">
        <v>189</v>
      </c>
      <c r="B1341" s="214" t="inlineStr">
        <is>
          <t>Gulaman - Green</t>
        </is>
      </c>
      <c r="C1341" s="124" t="n"/>
      <c r="D1341" s="115" t="n"/>
      <c r="E1341" s="124" t="n"/>
      <c r="F1341" s="124" t="n"/>
      <c r="G1341" s="124" t="n"/>
      <c r="H1341" s="84" t="n"/>
      <c r="I1341" s="7" t="n"/>
      <c r="J1341" s="32" t="inlineStr">
        <is>
          <t>Mr. Gulaman</t>
        </is>
      </c>
      <c r="K1341" s="24" t="n"/>
      <c r="L1341" s="36" t="n">
        <v>13</v>
      </c>
      <c r="M1341" s="204" t="n">
        <v>17</v>
      </c>
      <c r="N1341" s="177" t="n">
        <v>25</v>
      </c>
      <c r="O1341" s="13" t="n"/>
      <c r="P1341" s="139" t="inlineStr">
        <is>
          <t>grams</t>
        </is>
      </c>
      <c r="Q1341" s="2" t="n"/>
      <c r="R1341" s="1" t="n"/>
      <c r="S1341" s="229">
        <f>M1341*N1341</f>
        <v/>
      </c>
      <c r="T1341" s="230">
        <f>CONCATENATE(S1341,Q1341,P1341)</f>
        <v/>
      </c>
      <c r="U1341" s="206">
        <f>L1341*M1341</f>
        <v/>
      </c>
      <c r="V1341" s="4" t="n"/>
      <c r="W1341" s="4" t="n"/>
      <c r="X1341" s="4" t="n"/>
    </row>
    <row r="1342" ht="15.75" customHeight="1" thickBot="1">
      <c r="A1342" s="186" t="n">
        <v>628</v>
      </c>
      <c r="B1342" s="214" t="inlineStr">
        <is>
          <t>Gulaman - Orange</t>
        </is>
      </c>
      <c r="C1342" s="124" t="n"/>
      <c r="D1342" s="115" t="n"/>
      <c r="E1342" s="124" t="n"/>
      <c r="F1342" s="124" t="n"/>
      <c r="G1342" s="124" t="n"/>
      <c r="H1342" s="84" t="n"/>
      <c r="I1342" s="7" t="n"/>
      <c r="J1342" s="32" t="inlineStr">
        <is>
          <t>Mr. Gulaman</t>
        </is>
      </c>
      <c r="K1342" s="24" t="n"/>
      <c r="L1342" s="36" t="n">
        <v>14.3</v>
      </c>
      <c r="M1342" s="204" t="n">
        <v>2</v>
      </c>
      <c r="N1342" s="177" t="n">
        <v>25</v>
      </c>
      <c r="O1342" s="13" t="n"/>
      <c r="P1342" s="139" t="inlineStr">
        <is>
          <t>grams</t>
        </is>
      </c>
      <c r="Q1342" s="2" t="n"/>
      <c r="R1342" s="1" t="n"/>
      <c r="S1342" s="229">
        <f>M1342*N1342</f>
        <v/>
      </c>
      <c r="T1342" s="230">
        <f>CONCATENATE(S1342,Q1342,P1342)</f>
        <v/>
      </c>
      <c r="U1342" s="206">
        <f>L1342*M1342</f>
        <v/>
      </c>
      <c r="V1342" s="4" t="n"/>
      <c r="W1342" s="4" t="n"/>
      <c r="X1342" s="4" t="n"/>
    </row>
    <row r="1343" ht="15.75" customHeight="1" thickBot="1">
      <c r="A1343" s="186" t="n">
        <v>191</v>
      </c>
      <c r="B1343" s="214" t="inlineStr">
        <is>
          <t>Gulaman - Red</t>
        </is>
      </c>
      <c r="C1343" s="124" t="n"/>
      <c r="D1343" s="115" t="n"/>
      <c r="E1343" s="124" t="n"/>
      <c r="F1343" s="124" t="n"/>
      <c r="G1343" s="124" t="n"/>
      <c r="H1343" s="84" t="n"/>
      <c r="I1343" s="7" t="n"/>
      <c r="J1343" s="32" t="inlineStr">
        <is>
          <t>Master Gulaman</t>
        </is>
      </c>
      <c r="K1343" s="24" t="n"/>
      <c r="L1343" s="36" t="n">
        <v>13.27</v>
      </c>
      <c r="M1343" s="204" t="n">
        <v>1</v>
      </c>
      <c r="N1343" s="177" t="n">
        <v>25</v>
      </c>
      <c r="O1343" s="13" t="n"/>
      <c r="P1343" s="139" t="inlineStr">
        <is>
          <t>grams</t>
        </is>
      </c>
      <c r="Q1343" s="2" t="n"/>
      <c r="R1343" s="1" t="n"/>
      <c r="S1343" s="229">
        <f>M1343*N1343</f>
        <v/>
      </c>
      <c r="T1343" s="230">
        <f>CONCATENATE(S1343,Q1343,P1343)</f>
        <v/>
      </c>
      <c r="U1343" s="206">
        <f>L1343*M1343</f>
        <v/>
      </c>
      <c r="V1343" s="4" t="n"/>
      <c r="W1343" s="4" t="n"/>
      <c r="X1343" s="4" t="n"/>
    </row>
    <row r="1344" ht="15.75" customHeight="1" thickBot="1">
      <c r="A1344" s="186" t="n">
        <v>191</v>
      </c>
      <c r="B1344" s="214" t="inlineStr">
        <is>
          <t>Gulaman - Red</t>
        </is>
      </c>
      <c r="C1344" s="124" t="n"/>
      <c r="D1344" s="115" t="n"/>
      <c r="E1344" s="124" t="n"/>
      <c r="F1344" s="124" t="n"/>
      <c r="G1344" s="124" t="n"/>
      <c r="H1344" s="84" t="n"/>
      <c r="I1344" s="7" t="n"/>
      <c r="J1344" s="32" t="inlineStr">
        <is>
          <t>Master Chef</t>
        </is>
      </c>
      <c r="K1344" s="24" t="n"/>
      <c r="L1344" s="36" t="n">
        <v>117.9</v>
      </c>
      <c r="M1344" s="204" t="n">
        <v>3</v>
      </c>
      <c r="N1344" s="177" t="n">
        <v>250</v>
      </c>
      <c r="O1344" s="13" t="n"/>
      <c r="P1344" s="139" t="inlineStr">
        <is>
          <t>grams</t>
        </is>
      </c>
      <c r="Q1344" s="2" t="n"/>
      <c r="R1344" s="1" t="n"/>
      <c r="S1344" s="229">
        <f>M1344*N1344</f>
        <v/>
      </c>
      <c r="T1344" s="230">
        <f>CONCATENATE(S1344,Q1344,P1344)</f>
        <v/>
      </c>
      <c r="U1344" s="206">
        <f>L1344*M1344</f>
        <v/>
      </c>
      <c r="V1344" s="4" t="n"/>
      <c r="W1344" s="4" t="n"/>
      <c r="X1344" s="4" t="n"/>
    </row>
    <row r="1345" ht="15.75" customHeight="1" thickBot="1">
      <c r="A1345" s="186" t="n">
        <v>191</v>
      </c>
      <c r="B1345" s="214" t="inlineStr">
        <is>
          <t>Gulaman - Red</t>
        </is>
      </c>
      <c r="C1345" s="124" t="n"/>
      <c r="D1345" s="115" t="n"/>
      <c r="E1345" s="124" t="n"/>
      <c r="F1345" s="124" t="n"/>
      <c r="G1345" s="124" t="n"/>
      <c r="H1345" s="84" t="n"/>
      <c r="I1345" s="7" t="n"/>
      <c r="J1345" s="32" t="inlineStr">
        <is>
          <t>Master Chef</t>
        </is>
      </c>
      <c r="K1345" s="24" t="n"/>
      <c r="L1345" s="36" t="n">
        <v>20</v>
      </c>
      <c r="M1345" s="204" t="n">
        <v>1</v>
      </c>
      <c r="N1345" s="177" t="n">
        <v>25</v>
      </c>
      <c r="O1345" s="13" t="n"/>
      <c r="P1345" s="139" t="inlineStr">
        <is>
          <t>grams</t>
        </is>
      </c>
      <c r="Q1345" s="2" t="n"/>
      <c r="R1345" s="1" t="n"/>
      <c r="S1345" s="229">
        <f>M1345*N1345</f>
        <v/>
      </c>
      <c r="T1345" s="230">
        <f>CONCATENATE(S1345,Q1345,P1345)</f>
        <v/>
      </c>
      <c r="U1345" s="206">
        <f>L1345*M1345</f>
        <v/>
      </c>
      <c r="V1345" s="4" t="n"/>
      <c r="W1345" s="4" t="n"/>
      <c r="X1345" s="4" t="n"/>
    </row>
    <row r="1346" ht="15.75" customHeight="1" thickBot="1">
      <c r="A1346" s="186" t="n">
        <v>191</v>
      </c>
      <c r="B1346" s="214" t="inlineStr">
        <is>
          <t>Gulaman - Red</t>
        </is>
      </c>
      <c r="C1346" s="124" t="n"/>
      <c r="D1346" s="115" t="n"/>
      <c r="E1346" s="124" t="n"/>
      <c r="F1346" s="124" t="n"/>
      <c r="G1346" s="124" t="n"/>
      <c r="H1346" s="84" t="n"/>
      <c r="I1346" s="7" t="n"/>
      <c r="J1346" s="32" t="inlineStr">
        <is>
          <t>Mr. Gulaman</t>
        </is>
      </c>
      <c r="K1346" s="24" t="n"/>
      <c r="L1346" s="36" t="n">
        <v>12.64</v>
      </c>
      <c r="M1346" s="204" t="n">
        <v>7</v>
      </c>
      <c r="N1346" s="177" t="n">
        <v>25</v>
      </c>
      <c r="O1346" s="13" t="n"/>
      <c r="P1346" s="139" t="inlineStr">
        <is>
          <t>grams</t>
        </is>
      </c>
      <c r="Q1346" s="2" t="n"/>
      <c r="R1346" s="1" t="n"/>
      <c r="S1346" s="229">
        <f>M1346*N1346</f>
        <v/>
      </c>
      <c r="T1346" s="230">
        <f>CONCATENATE(S1346,Q1346,P1346)</f>
        <v/>
      </c>
      <c r="U1346" s="206">
        <f>L1346*M1346</f>
        <v/>
      </c>
      <c r="V1346" s="4" t="n"/>
      <c r="W1346" s="4" t="n"/>
      <c r="X1346" s="4" t="n"/>
    </row>
    <row r="1347" ht="15.75" customHeight="1" thickBot="1">
      <c r="A1347" s="186" t="n">
        <v>191</v>
      </c>
      <c r="B1347" s="214" t="inlineStr">
        <is>
          <t>Gulaman - Red</t>
        </is>
      </c>
      <c r="C1347" s="124" t="n"/>
      <c r="D1347" s="115" t="n"/>
      <c r="E1347" s="124" t="n"/>
      <c r="F1347" s="124" t="n"/>
      <c r="G1347" s="124" t="n"/>
      <c r="H1347" s="84" t="n"/>
      <c r="I1347" s="7" t="n"/>
      <c r="J1347" s="32" t="inlineStr">
        <is>
          <t>Master. Gulaman</t>
        </is>
      </c>
      <c r="K1347" s="24" t="n"/>
      <c r="L1347" s="36" t="n">
        <v>12.64</v>
      </c>
      <c r="M1347" s="204" t="n">
        <v>13</v>
      </c>
      <c r="N1347" s="177" t="n">
        <v>25</v>
      </c>
      <c r="O1347" s="13" t="n"/>
      <c r="P1347" s="139" t="inlineStr">
        <is>
          <t>grams</t>
        </is>
      </c>
      <c r="Q1347" s="2" t="n"/>
      <c r="R1347" s="1" t="n"/>
      <c r="S1347" s="229">
        <f>M1347*N1347</f>
        <v/>
      </c>
      <c r="T1347" s="230">
        <f>CONCATENATE(S1347,Q1347,P1347)</f>
        <v/>
      </c>
      <c r="U1347" s="206">
        <f>L1347*M1347</f>
        <v/>
      </c>
      <c r="V1347" s="4" t="n"/>
      <c r="W1347" s="4" t="n"/>
      <c r="X1347" s="4" t="n"/>
    </row>
    <row r="1348" ht="15.75" customHeight="1" thickBot="1">
      <c r="A1348" s="186" t="n">
        <v>191</v>
      </c>
      <c r="B1348" s="214" t="inlineStr">
        <is>
          <t>Gulaman - Red</t>
        </is>
      </c>
      <c r="C1348" s="124" t="n"/>
      <c r="D1348" s="115" t="n"/>
      <c r="E1348" s="124" t="n"/>
      <c r="F1348" s="124" t="n"/>
      <c r="G1348" s="124" t="n"/>
      <c r="H1348" s="84" t="n"/>
      <c r="I1348" s="7" t="n"/>
      <c r="J1348" s="32" t="inlineStr">
        <is>
          <t>Mr. Gulaman</t>
        </is>
      </c>
      <c r="K1348" s="24" t="n"/>
      <c r="L1348" s="36" t="n">
        <v>16</v>
      </c>
      <c r="M1348" s="204" t="n">
        <v>1</v>
      </c>
      <c r="N1348" s="177" t="n">
        <v>25</v>
      </c>
      <c r="O1348" s="13" t="n"/>
      <c r="P1348" s="139" t="inlineStr">
        <is>
          <t>grams</t>
        </is>
      </c>
      <c r="Q1348" s="2" t="n"/>
      <c r="R1348" s="1" t="n"/>
      <c r="S1348" s="229">
        <f>M1348*N1348</f>
        <v/>
      </c>
      <c r="T1348" s="230">
        <f>CONCATENATE(S1348,Q1348,P1348)</f>
        <v/>
      </c>
      <c r="U1348" s="206">
        <f>L1348*M1348</f>
        <v/>
      </c>
      <c r="V1348" s="4" t="n"/>
      <c r="W1348" s="4" t="n"/>
      <c r="X1348" s="4" t="n"/>
    </row>
    <row r="1349" ht="15.75" customHeight="1" thickBot="1">
      <c r="A1349" s="186" t="n">
        <v>191</v>
      </c>
      <c r="B1349" s="214" t="inlineStr">
        <is>
          <t>Gulaman - Red</t>
        </is>
      </c>
      <c r="C1349" s="124" t="n"/>
      <c r="D1349" s="115" t="n"/>
      <c r="E1349" s="124" t="n"/>
      <c r="F1349" s="124" t="n"/>
      <c r="G1349" s="124" t="n"/>
      <c r="H1349" s="84" t="n"/>
      <c r="I1349" s="7" t="n"/>
      <c r="J1349" s="32" t="inlineStr">
        <is>
          <t>Mr. Gulaman</t>
        </is>
      </c>
      <c r="K1349" s="24" t="n"/>
      <c r="L1349" s="36" t="n">
        <v>13</v>
      </c>
      <c r="M1349" s="204" t="n">
        <v>3</v>
      </c>
      <c r="N1349" s="177" t="n">
        <v>25</v>
      </c>
      <c r="O1349" s="13" t="n"/>
      <c r="P1349" s="139" t="inlineStr">
        <is>
          <t>grams</t>
        </is>
      </c>
      <c r="Q1349" s="2" t="n"/>
      <c r="R1349" s="1" t="n"/>
      <c r="S1349" s="229">
        <f>M1349*N1349</f>
        <v/>
      </c>
      <c r="T1349" s="230">
        <f>CONCATENATE(S1349,Q1349,P1349)</f>
        <v/>
      </c>
      <c r="U1349" s="206">
        <f>L1349*M1349</f>
        <v/>
      </c>
      <c r="V1349" s="4" t="n"/>
      <c r="W1349" s="4" t="n"/>
      <c r="X1349" s="4" t="n"/>
    </row>
    <row r="1350" ht="15.75" customHeight="1" thickBot="1">
      <c r="A1350" s="186" t="n">
        <v>192</v>
      </c>
      <c r="B1350" s="214" t="inlineStr">
        <is>
          <t>Gulaman - White</t>
        </is>
      </c>
      <c r="C1350" s="124" t="n"/>
      <c r="D1350" s="115" t="n"/>
      <c r="E1350" s="124" t="n"/>
      <c r="F1350" s="124" t="n"/>
      <c r="G1350" s="124" t="n"/>
      <c r="H1350" s="84" t="n"/>
      <c r="I1350" s="7" t="n"/>
      <c r="J1350" s="32" t="inlineStr">
        <is>
          <t>Master Gulaman</t>
        </is>
      </c>
      <c r="K1350" s="24" t="n"/>
      <c r="L1350" s="36" t="n">
        <v>11.58</v>
      </c>
      <c r="M1350" s="204" t="n">
        <v>14</v>
      </c>
      <c r="N1350" s="177" t="n">
        <v>25</v>
      </c>
      <c r="O1350" s="13" t="n"/>
      <c r="P1350" s="139" t="inlineStr">
        <is>
          <t>grams</t>
        </is>
      </c>
      <c r="Q1350" s="2" t="n"/>
      <c r="R1350" s="1" t="n"/>
      <c r="S1350" s="229">
        <f>M1350*N1350</f>
        <v/>
      </c>
      <c r="T1350" s="230">
        <f>CONCATENATE(S1350,Q1350,P1350)</f>
        <v/>
      </c>
      <c r="U1350" s="206">
        <f>L1350*M1350</f>
        <v/>
      </c>
      <c r="V1350" s="4" t="n"/>
      <c r="W1350" s="4" t="n"/>
      <c r="X1350" s="4" t="n"/>
    </row>
    <row r="1351" ht="15.75" customHeight="1" thickBot="1">
      <c r="A1351" s="186" t="n">
        <v>192</v>
      </c>
      <c r="B1351" s="214" t="inlineStr">
        <is>
          <t>Gulaman - White</t>
        </is>
      </c>
      <c r="C1351" s="124" t="n"/>
      <c r="D1351" s="115" t="n"/>
      <c r="E1351" s="124" t="n"/>
      <c r="F1351" s="124" t="n"/>
      <c r="G1351" s="124" t="n"/>
      <c r="H1351" s="84" t="n"/>
      <c r="I1351" s="7" t="n"/>
      <c r="J1351" s="32" t="inlineStr">
        <is>
          <t>Master Chef</t>
        </is>
      </c>
      <c r="K1351" s="24" t="n"/>
      <c r="L1351" s="36" t="n">
        <v>115.8</v>
      </c>
      <c r="M1351" s="204" t="n">
        <v>6</v>
      </c>
      <c r="N1351" s="177" t="n">
        <v>250</v>
      </c>
      <c r="O1351" s="13" t="n"/>
      <c r="P1351" s="139" t="inlineStr">
        <is>
          <t>grams</t>
        </is>
      </c>
      <c r="Q1351" s="2" t="n"/>
      <c r="R1351" s="1" t="n"/>
      <c r="S1351" s="229">
        <f>M1351*N1351</f>
        <v/>
      </c>
      <c r="T1351" s="230">
        <f>CONCATENATE(S1351,Q1351,P1351)</f>
        <v/>
      </c>
      <c r="U1351" s="206">
        <f>L1351*M1351</f>
        <v/>
      </c>
      <c r="V1351" s="4" t="n"/>
      <c r="W1351" s="4" t="n"/>
      <c r="X1351" s="4" t="n"/>
    </row>
    <row r="1352" ht="15.75" customHeight="1" thickBot="1">
      <c r="A1352" s="186" t="n">
        <v>192</v>
      </c>
      <c r="B1352" s="214" t="inlineStr">
        <is>
          <t>Gulaman - White</t>
        </is>
      </c>
      <c r="C1352" s="124" t="n"/>
      <c r="D1352" s="115" t="n"/>
      <c r="E1352" s="124" t="n"/>
      <c r="F1352" s="124" t="n"/>
      <c r="G1352" s="124" t="n"/>
      <c r="H1352" s="84" t="n"/>
      <c r="I1352" s="7" t="n"/>
      <c r="J1352" s="32" t="inlineStr">
        <is>
          <t>Mr Gulaman</t>
        </is>
      </c>
      <c r="K1352" s="24" t="n"/>
      <c r="L1352" s="36" t="n">
        <v>20</v>
      </c>
      <c r="M1352" s="204" t="n">
        <v>3</v>
      </c>
      <c r="N1352" s="177" t="n">
        <v>25</v>
      </c>
      <c r="O1352" s="13" t="n"/>
      <c r="P1352" s="139" t="inlineStr">
        <is>
          <t>grams</t>
        </is>
      </c>
      <c r="Q1352" s="2" t="n"/>
      <c r="R1352" s="1" t="n"/>
      <c r="S1352" s="229">
        <f>M1352*N1352</f>
        <v/>
      </c>
      <c r="T1352" s="230">
        <f>CONCATENATE(S1352,Q1352,P1352)</f>
        <v/>
      </c>
      <c r="U1352" s="206">
        <f>L1352*M1352</f>
        <v/>
      </c>
      <c r="V1352" s="4" t="n"/>
      <c r="W1352" s="4" t="n"/>
      <c r="X1352" s="4" t="n"/>
    </row>
    <row r="1353" ht="15.75" customHeight="1" thickBot="1">
      <c r="A1353" s="186" t="n">
        <v>192</v>
      </c>
      <c r="B1353" s="214" t="inlineStr">
        <is>
          <t>Gulaman - White</t>
        </is>
      </c>
      <c r="C1353" s="124" t="n"/>
      <c r="D1353" s="115" t="n"/>
      <c r="E1353" s="124" t="n"/>
      <c r="F1353" s="124" t="n"/>
      <c r="G1353" s="124" t="n"/>
      <c r="H1353" s="84" t="n"/>
      <c r="I1353" s="7" t="n"/>
      <c r="J1353" s="32" t="inlineStr">
        <is>
          <t>Mr Gulaman</t>
        </is>
      </c>
      <c r="K1353" s="24" t="n"/>
      <c r="L1353" s="36" t="n">
        <v>19</v>
      </c>
      <c r="M1353" s="204" t="n">
        <v>40</v>
      </c>
      <c r="N1353" s="177" t="n">
        <v>25</v>
      </c>
      <c r="O1353" s="13" t="n"/>
      <c r="P1353" s="139" t="inlineStr">
        <is>
          <t>grams</t>
        </is>
      </c>
      <c r="Q1353" s="2" t="n"/>
      <c r="R1353" s="1" t="n"/>
      <c r="S1353" s="229">
        <f>M1353*N1353</f>
        <v/>
      </c>
      <c r="T1353" s="230">
        <f>CONCATENATE(S1353,Q1353,P1353)</f>
        <v/>
      </c>
      <c r="U1353" s="206">
        <f>L1353*M1353</f>
        <v/>
      </c>
      <c r="V1353" s="4" t="n"/>
      <c r="W1353" s="4" t="n"/>
      <c r="X1353" s="4" t="n"/>
    </row>
    <row r="1354" ht="15.75" customHeight="1" thickBot="1">
      <c r="A1354" s="186" t="n">
        <v>192</v>
      </c>
      <c r="B1354" s="215" t="inlineStr">
        <is>
          <t>Gulaman - White</t>
        </is>
      </c>
      <c r="C1354" s="124" t="n"/>
      <c r="D1354" s="115" t="n"/>
      <c r="E1354" s="124" t="n"/>
      <c r="F1354" s="124" t="n"/>
      <c r="G1354" s="124" t="n"/>
      <c r="H1354" s="84" t="n"/>
      <c r="I1354" s="7" t="n"/>
      <c r="J1354" s="32" t="inlineStr">
        <is>
          <t>Mr Gulaman</t>
        </is>
      </c>
      <c r="K1354" s="24" t="n"/>
      <c r="L1354" s="36" t="n">
        <v>16.5</v>
      </c>
      <c r="M1354" s="204" t="n">
        <v>5</v>
      </c>
      <c r="N1354" s="177" t="n">
        <v>25</v>
      </c>
      <c r="O1354" s="13" t="n"/>
      <c r="P1354" s="139" t="inlineStr">
        <is>
          <t>grams</t>
        </is>
      </c>
      <c r="Q1354" s="2" t="n"/>
      <c r="R1354" s="1" t="n"/>
      <c r="S1354" s="229">
        <f>M1354*N1354</f>
        <v/>
      </c>
      <c r="T1354" s="230">
        <f>CONCATENATE(S1354,Q1354,P1354)</f>
        <v/>
      </c>
      <c r="U1354" s="206">
        <f>L1354*M1354</f>
        <v/>
      </c>
      <c r="V1354" s="4" t="n"/>
      <c r="W1354" s="4" t="n"/>
      <c r="X1354" s="4" t="n"/>
    </row>
    <row r="1355" ht="15.75" customHeight="1" thickBot="1">
      <c r="A1355" s="186" t="n">
        <v>192</v>
      </c>
      <c r="B1355" s="214" t="inlineStr">
        <is>
          <t>Gulaman - White</t>
        </is>
      </c>
      <c r="C1355" s="124" t="n"/>
      <c r="D1355" s="115" t="n"/>
      <c r="E1355" s="124" t="n"/>
      <c r="F1355" s="124" t="n"/>
      <c r="G1355" s="124" t="n"/>
      <c r="H1355" s="84" t="n"/>
      <c r="I1355" s="7" t="n"/>
      <c r="J1355" s="32" t="inlineStr">
        <is>
          <t>Mr. Gulaman</t>
        </is>
      </c>
      <c r="K1355" s="24" t="n"/>
      <c r="L1355" s="36" t="n">
        <v>16</v>
      </c>
      <c r="M1355" s="204" t="n">
        <v>6</v>
      </c>
      <c r="N1355" s="177" t="n">
        <v>25</v>
      </c>
      <c r="O1355" s="13" t="n"/>
      <c r="P1355" s="139" t="inlineStr">
        <is>
          <t>grams</t>
        </is>
      </c>
      <c r="Q1355" s="2" t="n"/>
      <c r="R1355" s="1" t="n"/>
      <c r="S1355" s="229">
        <f>M1355*N1355</f>
        <v/>
      </c>
      <c r="T1355" s="230">
        <f>CONCATENATE(S1355,Q1355,P1355)</f>
        <v/>
      </c>
      <c r="U1355" s="206">
        <f>L1355*M1355</f>
        <v/>
      </c>
      <c r="V1355" s="4" t="n"/>
      <c r="W1355" s="4" t="n"/>
      <c r="X1355" s="4" t="n"/>
    </row>
    <row r="1356" ht="15.75" customHeight="1" thickBot="1">
      <c r="A1356" s="186" t="n">
        <v>193</v>
      </c>
      <c r="B1356" s="214" t="inlineStr">
        <is>
          <t>Gulaman - Yellow</t>
        </is>
      </c>
      <c r="C1356" s="124" t="n"/>
      <c r="D1356" s="115" t="n"/>
      <c r="E1356" s="124" t="n"/>
      <c r="F1356" s="124" t="n"/>
      <c r="G1356" s="124" t="n"/>
      <c r="H1356" s="84" t="n"/>
      <c r="I1356" s="7" t="n"/>
      <c r="J1356" s="32" t="inlineStr">
        <is>
          <t>Master Gulaman</t>
        </is>
      </c>
      <c r="K1356" s="24" t="n"/>
      <c r="L1356" s="36" t="n">
        <v>13.43</v>
      </c>
      <c r="M1356" s="204" t="n">
        <v>160</v>
      </c>
      <c r="N1356" s="177" t="n">
        <v>25</v>
      </c>
      <c r="O1356" s="13" t="n"/>
      <c r="P1356" s="139" t="inlineStr">
        <is>
          <t>grams</t>
        </is>
      </c>
      <c r="Q1356" s="2" t="n"/>
      <c r="R1356" s="1" t="n"/>
      <c r="S1356" s="229">
        <f>M1356*N1356</f>
        <v/>
      </c>
      <c r="T1356" s="230">
        <f>CONCATENATE(S1356,Q1356,P1356)</f>
        <v/>
      </c>
      <c r="U1356" s="206">
        <f>L1356*M1356</f>
        <v/>
      </c>
      <c r="V1356" s="4" t="n"/>
      <c r="W1356" s="4" t="n"/>
      <c r="X1356" s="4" t="n"/>
    </row>
    <row r="1357" ht="15.75" customHeight="1" thickBot="1">
      <c r="A1357" s="186" t="n">
        <v>193</v>
      </c>
      <c r="B1357" s="214" t="inlineStr">
        <is>
          <t>Gulaman - Yellow</t>
        </is>
      </c>
      <c r="C1357" s="124" t="n"/>
      <c r="D1357" s="115" t="n"/>
      <c r="E1357" s="124" t="n"/>
      <c r="F1357" s="124" t="n"/>
      <c r="G1357" s="124" t="n"/>
      <c r="H1357" s="84" t="n"/>
      <c r="I1357" s="7" t="n"/>
      <c r="J1357" s="32" t="inlineStr">
        <is>
          <t>Mr Gulaman/box/(10sachetx25grams)</t>
        </is>
      </c>
      <c r="K1357" s="24" t="n"/>
      <c r="L1357" s="36" t="n">
        <v>115.8</v>
      </c>
      <c r="M1357" s="204" t="n">
        <v>8</v>
      </c>
      <c r="N1357" s="177" t="n">
        <v>25</v>
      </c>
      <c r="O1357" s="13" t="n"/>
      <c r="P1357" s="139" t="inlineStr">
        <is>
          <t>grams</t>
        </is>
      </c>
      <c r="Q1357" s="2" t="n"/>
      <c r="R1357" s="1" t="n"/>
      <c r="S1357" s="229">
        <f>M1357*N1357</f>
        <v/>
      </c>
      <c r="T1357" s="230">
        <f>CONCATENATE(S1357,Q1357,P1357)</f>
        <v/>
      </c>
      <c r="U1357" s="206">
        <f>L1357*M1357</f>
        <v/>
      </c>
      <c r="V1357" s="4" t="n"/>
      <c r="W1357" s="4" t="n"/>
      <c r="X1357" s="4" t="n"/>
    </row>
    <row r="1358" ht="15.75" customHeight="1" thickBot="1">
      <c r="A1358" s="186" t="n">
        <v>193</v>
      </c>
      <c r="B1358" s="214" t="inlineStr">
        <is>
          <t>Gulaman - Yellow</t>
        </is>
      </c>
      <c r="C1358" s="124" t="n"/>
      <c r="D1358" s="115" t="n"/>
      <c r="E1358" s="124" t="n"/>
      <c r="F1358" s="124" t="n"/>
      <c r="G1358" s="124" t="n"/>
      <c r="H1358" s="84" t="n"/>
      <c r="I1358" s="7" t="n"/>
      <c r="J1358" s="32" t="inlineStr">
        <is>
          <t>Mr. Gulaman</t>
        </is>
      </c>
      <c r="K1358" s="24" t="n"/>
      <c r="L1358" s="36" t="n">
        <v>13</v>
      </c>
      <c r="M1358" s="204" t="n">
        <v>7</v>
      </c>
      <c r="N1358" s="177" t="n">
        <v>25</v>
      </c>
      <c r="O1358" s="13" t="n"/>
      <c r="P1358" s="139" t="inlineStr">
        <is>
          <t>grams</t>
        </is>
      </c>
      <c r="Q1358" s="2" t="n"/>
      <c r="R1358" s="1" t="n"/>
      <c r="S1358" s="229">
        <f>M1358*N1358</f>
        <v/>
      </c>
      <c r="T1358" s="230">
        <f>CONCATENATE(S1358,Q1358,P1358)</f>
        <v/>
      </c>
      <c r="U1358" s="206">
        <f>L1358*M1358</f>
        <v/>
      </c>
      <c r="V1358" s="4" t="n"/>
      <c r="W1358" s="4" t="n"/>
      <c r="X1358" s="4" t="n"/>
    </row>
    <row r="1359" ht="15.75" customHeight="1" thickBot="1">
      <c r="A1359" s="186" t="n">
        <v>629</v>
      </c>
      <c r="B1359" s="215" t="inlineStr">
        <is>
          <t>Gummy Worm</t>
        </is>
      </c>
      <c r="C1359" s="124" t="n"/>
      <c r="D1359" s="115" t="n"/>
      <c r="E1359" s="124" t="n"/>
      <c r="F1359" s="124" t="n"/>
      <c r="G1359" s="124" t="n"/>
      <c r="H1359" s="84" t="n"/>
      <c r="I1359" s="7" t="n"/>
      <c r="J1359" s="32" t="inlineStr">
        <is>
          <t>Mialendra Online Shop</t>
        </is>
      </c>
      <c r="K1359" s="24" t="n"/>
      <c r="L1359" s="36" t="n">
        <v>75</v>
      </c>
      <c r="M1359" s="204" t="n">
        <v>12</v>
      </c>
      <c r="N1359" s="177" t="n">
        <v>1</v>
      </c>
      <c r="O1359" s="13" t="n"/>
      <c r="P1359" s="139" t="inlineStr">
        <is>
          <t>jar</t>
        </is>
      </c>
      <c r="Q1359" s="2" t="n"/>
      <c r="R1359" s="1" t="n"/>
      <c r="S1359" s="229">
        <f>M1359*N1359</f>
        <v/>
      </c>
      <c r="T1359" s="230">
        <f>CONCATENATE(S1359,Q1359,P1359)</f>
        <v/>
      </c>
      <c r="U1359" s="206">
        <f>L1359*M1359</f>
        <v/>
      </c>
      <c r="V1359" s="4" t="n"/>
      <c r="W1359" s="4" t="n"/>
      <c r="X1359" s="4" t="n"/>
    </row>
    <row r="1360" ht="15.75" customHeight="1" thickBot="1">
      <c r="A1360" s="186" t="n">
        <v>630</v>
      </c>
      <c r="B1360" s="214" t="inlineStr">
        <is>
          <t>Ham</t>
        </is>
      </c>
      <c r="C1360" s="124" t="n"/>
      <c r="D1360" s="115" t="n"/>
      <c r="E1360" s="124" t="n"/>
      <c r="F1360" s="124" t="n"/>
      <c r="G1360" s="124" t="n"/>
      <c r="H1360" s="84" t="n"/>
      <c r="I1360" s="7" t="n"/>
      <c r="J1360" s="32" t="inlineStr">
        <is>
          <t>Vida</t>
        </is>
      </c>
      <c r="K1360" s="24" t="n"/>
      <c r="L1360" s="36" t="n">
        <v>57</v>
      </c>
      <c r="M1360" s="204" t="n">
        <v>5</v>
      </c>
      <c r="N1360" s="177" t="n">
        <v>150</v>
      </c>
      <c r="O1360" s="13" t="n"/>
      <c r="P1360" s="139" t="inlineStr">
        <is>
          <t>grams</t>
        </is>
      </c>
      <c r="Q1360" s="2" t="n"/>
      <c r="R1360" s="1" t="n"/>
      <c r="S1360" s="229">
        <f>M1360*N1360</f>
        <v/>
      </c>
      <c r="T1360" s="230">
        <f>CONCATENATE(S1360,Q1360,P1360)</f>
        <v/>
      </c>
      <c r="U1360" s="206">
        <f>L1360*M1360</f>
        <v/>
      </c>
      <c r="V1360" s="4" t="n"/>
      <c r="W1360" s="4" t="n"/>
      <c r="X1360" s="4" t="n"/>
    </row>
    <row r="1361" ht="15.75" customHeight="1" thickBot="1">
      <c r="A1361" s="186" t="n">
        <v>630</v>
      </c>
      <c r="B1361" s="214" t="inlineStr">
        <is>
          <t>Ham</t>
        </is>
      </c>
      <c r="C1361" s="124" t="n"/>
      <c r="D1361" s="115" t="n"/>
      <c r="E1361" s="124" t="n"/>
      <c r="F1361" s="124" t="n"/>
      <c r="G1361" s="124" t="n"/>
      <c r="H1361" s="84" t="n"/>
      <c r="I1361" s="7" t="n"/>
      <c r="J1361" s="32" t="inlineStr">
        <is>
          <t>Mekeni</t>
        </is>
      </c>
      <c r="K1361" s="24" t="n"/>
      <c r="L1361" s="36" t="n">
        <v>61.7</v>
      </c>
      <c r="M1361" s="204" t="n">
        <v>11</v>
      </c>
      <c r="N1361" s="177" t="n">
        <v>250</v>
      </c>
      <c r="O1361" s="13" t="n"/>
      <c r="P1361" s="139" t="inlineStr">
        <is>
          <t>grams</t>
        </is>
      </c>
      <c r="Q1361" s="2" t="n"/>
      <c r="R1361" s="1" t="n"/>
      <c r="S1361" s="229">
        <f>M1361*N1361</f>
        <v/>
      </c>
      <c r="T1361" s="230">
        <f>CONCATENATE(S1361,Q1361,P1361)</f>
        <v/>
      </c>
      <c r="U1361" s="206">
        <f>L1361*M1361</f>
        <v/>
      </c>
      <c r="V1361" s="4" t="n"/>
      <c r="W1361" s="4" t="n"/>
      <c r="X1361" s="4" t="n"/>
    </row>
    <row r="1362" ht="15.75" customHeight="1" thickBot="1">
      <c r="A1362" s="186" t="n">
        <v>195</v>
      </c>
      <c r="B1362" s="215" t="inlineStr">
        <is>
          <t>Hand Gloves</t>
        </is>
      </c>
      <c r="C1362" s="124" t="n"/>
      <c r="D1362" s="115" t="n"/>
      <c r="E1362" s="124" t="n"/>
      <c r="F1362" s="124" t="n"/>
      <c r="G1362" s="124" t="n"/>
      <c r="H1362" s="84" t="n"/>
      <c r="I1362" s="7" t="n"/>
      <c r="J1362" s="32" t="inlineStr">
        <is>
          <t>Suy Sing - My Everyday</t>
        </is>
      </c>
      <c r="K1362" s="24" t="n"/>
      <c r="L1362" s="36" t="n">
        <v>65</v>
      </c>
      <c r="M1362" s="204" t="n">
        <v>14</v>
      </c>
      <c r="N1362" s="177" t="n">
        <v>100</v>
      </c>
      <c r="O1362" s="13" t="n"/>
      <c r="P1362" s="139" t="inlineStr">
        <is>
          <t>pieces</t>
        </is>
      </c>
      <c r="Q1362" s="2" t="n"/>
      <c r="R1362" s="1" t="n"/>
      <c r="S1362" s="229">
        <f>M1362*N1362</f>
        <v/>
      </c>
      <c r="T1362" s="230">
        <f>CONCATENATE(S1362,Q1362,P1362)</f>
        <v/>
      </c>
      <c r="U1362" s="206">
        <f>L1362*M1362</f>
        <v/>
      </c>
      <c r="V1362" s="4" t="n"/>
      <c r="W1362" s="4" t="n"/>
      <c r="X1362" s="4" t="n"/>
    </row>
    <row r="1363" ht="15.75" customHeight="1" thickBot="1">
      <c r="A1363" s="186" t="n">
        <v>195</v>
      </c>
      <c r="B1363" s="214" t="inlineStr">
        <is>
          <t>Hand Gloves</t>
        </is>
      </c>
      <c r="C1363" s="124" t="n"/>
      <c r="D1363" s="115" t="n"/>
      <c r="E1363" s="124" t="n"/>
      <c r="F1363" s="124" t="n"/>
      <c r="G1363" s="124" t="n"/>
      <c r="H1363" s="84" t="n"/>
      <c r="I1363" s="7" t="n"/>
      <c r="J1363" s="32" t="inlineStr">
        <is>
          <t>Suy Sing - My Everyday</t>
        </is>
      </c>
      <c r="K1363" s="24" t="n"/>
      <c r="L1363" s="36" t="n">
        <v>49</v>
      </c>
      <c r="M1363" s="204" t="n">
        <v>3</v>
      </c>
      <c r="N1363" s="177" t="n">
        <v>1</v>
      </c>
      <c r="O1363" s="13" t="n"/>
      <c r="P1363" s="139" t="inlineStr">
        <is>
          <t>packs</t>
        </is>
      </c>
      <c r="Q1363" s="2" t="n"/>
      <c r="R1363" s="1" t="n"/>
      <c r="S1363" s="229">
        <f>M1363*N1363</f>
        <v/>
      </c>
      <c r="T1363" s="230">
        <f>CONCATENATE(S1363,Q1363,P1363)</f>
        <v/>
      </c>
      <c r="U1363" s="206">
        <f>L1363*M1363</f>
        <v/>
      </c>
      <c r="V1363" s="4" t="n"/>
      <c r="W1363" s="4" t="n"/>
      <c r="X1363" s="4" t="n"/>
    </row>
    <row r="1364" ht="15.75" customHeight="1" thickBot="1">
      <c r="A1364" s="186" t="n">
        <v>195</v>
      </c>
      <c r="B1364" s="214" t="inlineStr">
        <is>
          <t>Hand Gloves</t>
        </is>
      </c>
      <c r="C1364" s="124" t="n"/>
      <c r="D1364" s="115" t="n"/>
      <c r="E1364" s="124" t="n"/>
      <c r="F1364" s="124" t="n"/>
      <c r="G1364" s="124" t="n"/>
      <c r="H1364" s="84" t="n"/>
      <c r="I1364" s="7" t="n"/>
      <c r="J1364" s="32" t="inlineStr">
        <is>
          <t>Glow</t>
        </is>
      </c>
      <c r="K1364" s="24" t="n"/>
      <c r="L1364" s="36" t="n">
        <v>45</v>
      </c>
      <c r="M1364" s="204" t="n">
        <v>2</v>
      </c>
      <c r="N1364" s="177" t="n">
        <v>1</v>
      </c>
      <c r="O1364" s="13" t="n"/>
      <c r="P1364" s="139" t="inlineStr">
        <is>
          <t>packs</t>
        </is>
      </c>
      <c r="Q1364" s="2" t="n"/>
      <c r="R1364" s="1" t="n"/>
      <c r="S1364" s="229">
        <f>M1364*N1364</f>
        <v/>
      </c>
      <c r="T1364" s="230">
        <f>CONCATENATE(S1364,Q1364,P1364)</f>
        <v/>
      </c>
      <c r="U1364" s="206">
        <f>L1364*M1364</f>
        <v/>
      </c>
      <c r="V1364" s="4" t="n"/>
      <c r="W1364" s="4" t="n"/>
      <c r="X1364" s="4" t="n"/>
    </row>
    <row r="1365" ht="15.75" customHeight="1" thickBot="1">
      <c r="A1365" s="186" t="n">
        <v>195</v>
      </c>
      <c r="B1365" s="214" t="inlineStr">
        <is>
          <t>Hand Gloves</t>
        </is>
      </c>
      <c r="C1365" s="124" t="n"/>
      <c r="D1365" s="115" t="n"/>
      <c r="E1365" s="124" t="n"/>
      <c r="F1365" s="124" t="n"/>
      <c r="G1365" s="124" t="n"/>
      <c r="H1365" s="84" t="n"/>
      <c r="I1365" s="7" t="n"/>
      <c r="J1365" s="32" t="inlineStr">
        <is>
          <t>Suy Sing - My Everyday</t>
        </is>
      </c>
      <c r="K1365" s="24" t="n"/>
      <c r="L1365" s="36" t="n">
        <v>45</v>
      </c>
      <c r="M1365" s="204" t="n">
        <v>20</v>
      </c>
      <c r="N1365" s="177" t="n">
        <v>1</v>
      </c>
      <c r="O1365" s="13" t="n"/>
      <c r="P1365" s="139" t="inlineStr">
        <is>
          <t>packs</t>
        </is>
      </c>
      <c r="Q1365" s="2" t="n"/>
      <c r="R1365" s="1" t="n"/>
      <c r="S1365" s="229">
        <f>M1365*N1365</f>
        <v/>
      </c>
      <c r="T1365" s="230">
        <f>CONCATENATE(S1365,Q1365,P1365)</f>
        <v/>
      </c>
      <c r="U1365" s="206">
        <f>L1365*M1365</f>
        <v/>
      </c>
      <c r="V1365" s="4" t="n"/>
      <c r="W1365" s="4" t="n"/>
      <c r="X1365" s="4" t="n"/>
    </row>
    <row r="1366" ht="15.75" customHeight="1" thickBot="1">
      <c r="A1366" s="186" t="n">
        <v>631</v>
      </c>
      <c r="B1366" s="214" t="inlineStr">
        <is>
          <t>Hand Goves</t>
        </is>
      </c>
      <c r="C1366" s="124" t="n"/>
      <c r="D1366" s="115" t="n"/>
      <c r="E1366" s="124" t="n"/>
      <c r="F1366" s="124" t="n"/>
      <c r="G1366" s="124" t="n"/>
      <c r="H1366" s="84" t="n"/>
      <c r="I1366" s="7" t="n"/>
      <c r="J1366" s="32" t="inlineStr">
        <is>
          <t>Scotch Brite</t>
        </is>
      </c>
      <c r="K1366" s="24" t="n"/>
      <c r="L1366" s="36" t="n">
        <v>172</v>
      </c>
      <c r="M1366" s="204" t="n">
        <v>2</v>
      </c>
      <c r="N1366" s="177" t="n">
        <v>1</v>
      </c>
      <c r="O1366" s="13" t="n"/>
      <c r="P1366" s="139" t="inlineStr">
        <is>
          <t>pieces</t>
        </is>
      </c>
      <c r="Q1366" s="2" t="n"/>
      <c r="R1366" s="1" t="n"/>
      <c r="S1366" s="229">
        <f>M1366*N1366</f>
        <v/>
      </c>
      <c r="T1366" s="230">
        <f>CONCATENATE(S1366,Q1366,P1366)</f>
        <v/>
      </c>
      <c r="U1366" s="206">
        <f>L1366*M1366</f>
        <v/>
      </c>
      <c r="V1366" s="4" t="n"/>
      <c r="W1366" s="4" t="n"/>
      <c r="X1366" s="4" t="n"/>
    </row>
    <row r="1367" ht="15.75" customHeight="1" thickBot="1">
      <c r="A1367" s="186" t="n">
        <v>632</v>
      </c>
      <c r="B1367" s="214" t="inlineStr">
        <is>
          <t>Hasa</t>
        </is>
      </c>
      <c r="C1367" s="124" t="n"/>
      <c r="D1367" s="115" t="n"/>
      <c r="E1367" s="124" t="n"/>
      <c r="F1367" s="124" t="n"/>
      <c r="G1367" s="124" t="n"/>
      <c r="H1367" s="84" t="n"/>
      <c r="I1367" s="7" t="n"/>
      <c r="J1367" s="32" t="n"/>
      <c r="K1367" s="24" t="n"/>
      <c r="L1367" s="36" t="n">
        <v>200</v>
      </c>
      <c r="M1367" s="204" t="n">
        <v>5</v>
      </c>
      <c r="N1367" s="177" t="n">
        <v>1000</v>
      </c>
      <c r="O1367" s="13" t="n"/>
      <c r="P1367" s="139" t="inlineStr">
        <is>
          <t>grams</t>
        </is>
      </c>
      <c r="Q1367" s="2" t="n"/>
      <c r="R1367" s="1" t="n"/>
      <c r="S1367" s="229">
        <f>M1367*N1367</f>
        <v/>
      </c>
      <c r="T1367" s="230">
        <f>CONCATENATE(S1367,Q1367,P1367)</f>
        <v/>
      </c>
      <c r="U1367" s="206">
        <f>L1367*M1367</f>
        <v/>
      </c>
      <c r="V1367" s="4" t="n"/>
      <c r="W1367" s="4" t="n"/>
      <c r="X1367" s="4" t="n"/>
    </row>
    <row r="1368" ht="15.75" customHeight="1" thickBot="1">
      <c r="A1368" s="186" t="n">
        <v>633</v>
      </c>
      <c r="B1368" s="214" t="inlineStr">
        <is>
          <t>Hipon</t>
        </is>
      </c>
      <c r="C1368" s="124" t="n"/>
      <c r="D1368" s="115" t="n"/>
      <c r="E1368" s="124" t="n"/>
      <c r="F1368" s="124" t="n"/>
      <c r="G1368" s="124" t="n"/>
      <c r="H1368" s="84" t="n"/>
      <c r="I1368" s="7" t="n"/>
      <c r="J1368" s="32" t="n"/>
      <c r="K1368" s="24" t="n"/>
      <c r="L1368" s="36" t="n">
        <v>530</v>
      </c>
      <c r="M1368" s="204" t="n">
        <v>1</v>
      </c>
      <c r="N1368" s="177" t="n">
        <v>1000</v>
      </c>
      <c r="O1368" s="13" t="n"/>
      <c r="P1368" s="139" t="inlineStr">
        <is>
          <t>grams</t>
        </is>
      </c>
      <c r="Q1368" s="2" t="n"/>
      <c r="R1368" s="1" t="n"/>
      <c r="S1368" s="229">
        <f>M1368*N1368</f>
        <v/>
      </c>
      <c r="T1368" s="230">
        <f>CONCATENATE(S1368,Q1368,P1368)</f>
        <v/>
      </c>
      <c r="U1368" s="206">
        <f>L1368*M1368</f>
        <v/>
      </c>
      <c r="V1368" s="4" t="n"/>
      <c r="W1368" s="4" t="n"/>
      <c r="X1368" s="4" t="n"/>
    </row>
    <row r="1369" ht="15.75" customHeight="1" thickBot="1">
      <c r="A1369" s="186" t="n">
        <v>634</v>
      </c>
      <c r="B1369" s="215" t="inlineStr">
        <is>
          <t>Hofan Rice Noodles</t>
        </is>
      </c>
      <c r="C1369" s="124" t="n"/>
      <c r="D1369" s="115" t="n"/>
      <c r="E1369" s="124" t="n"/>
      <c r="F1369" s="124" t="n"/>
      <c r="G1369" s="124" t="n"/>
      <c r="H1369" s="84" t="n"/>
      <c r="I1369" s="7" t="n"/>
      <c r="J1369" s="32" t="inlineStr">
        <is>
          <t>Fat &amp; Thin</t>
        </is>
      </c>
      <c r="K1369" s="24" t="n"/>
      <c r="L1369" s="36" t="n">
        <v>116.5</v>
      </c>
      <c r="M1369" s="204" t="n">
        <v>1</v>
      </c>
      <c r="N1369" s="177" t="n">
        <v>400</v>
      </c>
      <c r="O1369" s="13" t="n"/>
      <c r="P1369" s="139" t="inlineStr">
        <is>
          <t>grams</t>
        </is>
      </c>
      <c r="Q1369" s="2" t="n"/>
      <c r="R1369" s="1" t="n"/>
      <c r="S1369" s="229">
        <f>M1369*N1369</f>
        <v/>
      </c>
      <c r="T1369" s="230">
        <f>CONCATENATE(S1369,Q1369,P1369)</f>
        <v/>
      </c>
      <c r="U1369" s="206">
        <f>L1369*M1369</f>
        <v/>
      </c>
      <c r="V1369" s="4" t="n"/>
      <c r="W1369" s="4" t="n"/>
      <c r="X1369" s="4" t="n"/>
    </row>
    <row r="1370" ht="15.75" customHeight="1" thickBot="1">
      <c r="A1370" s="186" t="n">
        <v>635</v>
      </c>
      <c r="B1370" s="214" t="inlineStr">
        <is>
          <t>Hoisin Sauce</t>
        </is>
      </c>
      <c r="C1370" s="124" t="n"/>
      <c r="D1370" s="115" t="n"/>
      <c r="E1370" s="124" t="n"/>
      <c r="F1370" s="124" t="n"/>
      <c r="G1370" s="124" t="n"/>
      <c r="H1370" s="84" t="n"/>
      <c r="I1370" s="7" t="n"/>
      <c r="J1370" s="32" t="inlineStr">
        <is>
          <t>Lee Kum Kee</t>
        </is>
      </c>
      <c r="K1370" s="24" t="n"/>
      <c r="L1370" s="36" t="n">
        <v>153</v>
      </c>
      <c r="M1370" s="204" t="n">
        <v>1</v>
      </c>
      <c r="N1370" s="177" t="n">
        <v>240</v>
      </c>
      <c r="O1370" s="13" t="n"/>
      <c r="P1370" s="139" t="inlineStr">
        <is>
          <t>grams</t>
        </is>
      </c>
      <c r="Q1370" s="2" t="n"/>
      <c r="R1370" s="1" t="n"/>
      <c r="S1370" s="229">
        <f>M1370*N1370</f>
        <v/>
      </c>
      <c r="T1370" s="230">
        <f>CONCATENATE(S1370,Q1370,P1370)</f>
        <v/>
      </c>
      <c r="U1370" s="206">
        <f>L1370*M1370</f>
        <v/>
      </c>
      <c r="V1370" s="4" t="n"/>
      <c r="W1370" s="4" t="n"/>
      <c r="X1370" s="4" t="n"/>
    </row>
    <row r="1371" ht="15.75" customHeight="1" thickBot="1">
      <c r="A1371" s="186" t="n">
        <v>635</v>
      </c>
      <c r="B1371" s="214" t="inlineStr">
        <is>
          <t>Hoisin Sauce</t>
        </is>
      </c>
      <c r="C1371" s="124" t="n"/>
      <c r="D1371" s="115" t="n"/>
      <c r="E1371" s="124" t="n"/>
      <c r="F1371" s="124" t="n"/>
      <c r="G1371" s="124" t="n"/>
      <c r="H1371" s="84" t="n"/>
      <c r="I1371" s="7" t="n"/>
      <c r="J1371" s="32" t="inlineStr">
        <is>
          <t>Lee Kum Kee</t>
        </is>
      </c>
      <c r="K1371" s="24" t="n"/>
      <c r="L1371" s="36" t="n">
        <v>235</v>
      </c>
      <c r="M1371" s="204" t="n">
        <v>1</v>
      </c>
      <c r="N1371" s="177" t="n">
        <v>397</v>
      </c>
      <c r="O1371" s="13" t="n"/>
      <c r="P1371" s="139" t="inlineStr">
        <is>
          <t>grams</t>
        </is>
      </c>
      <c r="Q1371" s="2" t="n"/>
      <c r="R1371" s="1" t="n"/>
      <c r="S1371" s="229">
        <f>M1371*N1371</f>
        <v/>
      </c>
      <c r="T1371" s="230">
        <f>CONCATENATE(S1371,Q1371,P1371)</f>
        <v/>
      </c>
      <c r="U1371" s="206">
        <f>L1371*M1371</f>
        <v/>
      </c>
      <c r="V1371" s="4" t="n"/>
      <c r="W1371" s="4" t="n"/>
      <c r="X1371" s="4" t="n"/>
    </row>
    <row r="1372" ht="15.75" customHeight="1" thickBot="1">
      <c r="A1372" s="186" t="n">
        <v>635</v>
      </c>
      <c r="B1372" s="215" t="inlineStr">
        <is>
          <t>Hoisin Sauce</t>
        </is>
      </c>
      <c r="C1372" s="124" t="n"/>
      <c r="D1372" s="115" t="n"/>
      <c r="E1372" s="124" t="n"/>
      <c r="F1372" s="124" t="n"/>
      <c r="G1372" s="124" t="n"/>
      <c r="H1372" s="84" t="n"/>
      <c r="I1372" s="7" t="n"/>
      <c r="J1372" s="32" t="inlineStr">
        <is>
          <t>Lee Kum Kee</t>
        </is>
      </c>
      <c r="K1372" s="24" t="n"/>
      <c r="L1372" s="36" t="n">
        <v>201.5</v>
      </c>
      <c r="M1372" s="204" t="n">
        <v>2</v>
      </c>
      <c r="N1372" s="177" t="n">
        <v>397</v>
      </c>
      <c r="O1372" s="13" t="n"/>
      <c r="P1372" s="139" t="inlineStr">
        <is>
          <t>grams</t>
        </is>
      </c>
      <c r="Q1372" s="2" t="n"/>
      <c r="R1372" s="1" t="n"/>
      <c r="S1372" s="229">
        <f>M1372*N1372</f>
        <v/>
      </c>
      <c r="T1372" s="230">
        <f>CONCATENATE(S1372,Q1372,P1372)</f>
        <v/>
      </c>
      <c r="U1372" s="206">
        <f>L1372*M1372</f>
        <v/>
      </c>
      <c r="V1372" s="4" t="n"/>
      <c r="W1372" s="4" t="n"/>
      <c r="X1372" s="4" t="n"/>
    </row>
    <row r="1373" ht="15.75" customHeight="1" thickBot="1">
      <c r="A1373" s="186" t="n">
        <v>635</v>
      </c>
      <c r="B1373" s="215" t="inlineStr">
        <is>
          <t>Hoisin Sauce</t>
        </is>
      </c>
      <c r="C1373" s="124" t="n"/>
      <c r="D1373" s="115" t="n"/>
      <c r="E1373" s="124" t="n"/>
      <c r="F1373" s="124" t="n"/>
      <c r="G1373" s="124" t="n"/>
      <c r="H1373" s="84" t="n"/>
      <c r="I1373" s="7" t="n"/>
      <c r="J1373" s="32" t="inlineStr">
        <is>
          <t>Lee Kum Kee</t>
        </is>
      </c>
      <c r="K1373" s="24" t="n"/>
      <c r="L1373" s="36" t="n">
        <v>168</v>
      </c>
      <c r="M1373" s="204" t="n">
        <v>1</v>
      </c>
      <c r="N1373" s="177" t="n">
        <v>240</v>
      </c>
      <c r="O1373" s="13" t="n"/>
      <c r="P1373" s="139" t="inlineStr">
        <is>
          <t>grams</t>
        </is>
      </c>
      <c r="Q1373" s="2" t="n"/>
      <c r="R1373" s="1" t="n"/>
      <c r="S1373" s="229">
        <f>M1373*N1373</f>
        <v/>
      </c>
      <c r="T1373" s="230">
        <f>CONCATENATE(S1373,Q1373,P1373)</f>
        <v/>
      </c>
      <c r="U1373" s="206">
        <f>L1373*M1373</f>
        <v/>
      </c>
      <c r="V1373" s="4" t="n"/>
      <c r="W1373" s="4" t="n"/>
      <c r="X1373" s="4" t="n"/>
    </row>
    <row r="1374" ht="15.75" customHeight="1" thickBot="1">
      <c r="A1374" s="186" t="n">
        <v>636</v>
      </c>
      <c r="B1374" s="214" t="inlineStr">
        <is>
          <t>Honey</t>
        </is>
      </c>
      <c r="C1374" s="124" t="n"/>
      <c r="D1374" s="115" t="n"/>
      <c r="E1374" s="124" t="n"/>
      <c r="F1374" s="124" t="n"/>
      <c r="G1374" s="124" t="n"/>
      <c r="H1374" s="84" t="n"/>
      <c r="I1374" s="7" t="n"/>
      <c r="J1374" s="32" t="inlineStr">
        <is>
          <t>Honeylicious</t>
        </is>
      </c>
      <c r="K1374" s="24" t="n"/>
      <c r="L1374" s="36" t="n">
        <v>330</v>
      </c>
      <c r="M1374" s="204" t="n">
        <v>1</v>
      </c>
      <c r="N1374" s="177" t="n">
        <v>750</v>
      </c>
      <c r="O1374" s="13" t="n"/>
      <c r="P1374" s="139" t="inlineStr">
        <is>
          <t>kilos</t>
        </is>
      </c>
      <c r="Q1374" s="2" t="n"/>
      <c r="R1374" s="1" t="n"/>
      <c r="S1374" s="229">
        <f>M1374*N1374</f>
        <v/>
      </c>
      <c r="T1374" s="230">
        <f>CONCATENATE(S1374,Q1374,P1374)</f>
        <v/>
      </c>
      <c r="U1374" s="206">
        <f>L1374*M1374</f>
        <v/>
      </c>
      <c r="V1374" s="4" t="n"/>
      <c r="W1374" s="4" t="n"/>
      <c r="X1374" s="4" t="n"/>
    </row>
    <row r="1375" ht="15.75" customHeight="1" thickBot="1">
      <c r="A1375" s="186" t="n">
        <v>637</v>
      </c>
      <c r="B1375" s="214" t="inlineStr">
        <is>
          <t>Hopia - Monggo</t>
        </is>
      </c>
      <c r="C1375" s="124" t="n"/>
      <c r="D1375" s="115" t="n"/>
      <c r="E1375" s="124" t="n"/>
      <c r="F1375" s="124" t="n"/>
      <c r="G1375" s="124" t="n"/>
      <c r="H1375" s="84" t="n"/>
      <c r="I1375" s="7" t="n"/>
      <c r="J1375" s="32" t="inlineStr">
        <is>
          <t>Tipas</t>
        </is>
      </c>
      <c r="K1375" s="24" t="n"/>
      <c r="L1375" s="36" t="n">
        <v>5.5</v>
      </c>
      <c r="M1375" s="204" t="n">
        <v>7</v>
      </c>
      <c r="N1375" s="177" t="n">
        <v>40</v>
      </c>
      <c r="O1375" s="13" t="n"/>
      <c r="P1375" s="139" t="inlineStr">
        <is>
          <t>grams</t>
        </is>
      </c>
      <c r="Q1375" s="2" t="n"/>
      <c r="R1375" s="1" t="n"/>
      <c r="S1375" s="229">
        <f>M1375*N1375</f>
        <v/>
      </c>
      <c r="T1375" s="230">
        <f>CONCATENATE(S1375,Q1375,P1375)</f>
        <v/>
      </c>
      <c r="U1375" s="206">
        <f>L1375*M1375</f>
        <v/>
      </c>
      <c r="V1375" s="4" t="n"/>
      <c r="W1375" s="4" t="n"/>
      <c r="X1375" s="4" t="n"/>
    </row>
    <row r="1376" ht="15.75" customHeight="1" thickBot="1">
      <c r="A1376" s="186" t="n">
        <v>638</v>
      </c>
      <c r="B1376" s="214" t="inlineStr">
        <is>
          <t>Hopia - Pandan</t>
        </is>
      </c>
      <c r="C1376" s="124" t="n"/>
      <c r="D1376" s="115" t="n"/>
      <c r="E1376" s="124" t="n"/>
      <c r="F1376" s="124" t="n"/>
      <c r="G1376" s="124" t="n"/>
      <c r="H1376" s="84" t="n"/>
      <c r="I1376" s="7" t="n"/>
      <c r="J1376" s="32" t="inlineStr">
        <is>
          <t>Tipas</t>
        </is>
      </c>
      <c r="K1376" s="24" t="n"/>
      <c r="L1376" s="36" t="n">
        <v>6</v>
      </c>
      <c r="M1376" s="204" t="n">
        <v>6</v>
      </c>
      <c r="N1376" s="177" t="n">
        <v>40</v>
      </c>
      <c r="O1376" s="13" t="n"/>
      <c r="P1376" s="139" t="inlineStr">
        <is>
          <t>grams</t>
        </is>
      </c>
      <c r="Q1376" s="2" t="n"/>
      <c r="R1376" s="1" t="n"/>
      <c r="S1376" s="229">
        <f>M1376*N1376</f>
        <v/>
      </c>
      <c r="T1376" s="230">
        <f>CONCATENATE(S1376,Q1376,P1376)</f>
        <v/>
      </c>
      <c r="U1376" s="206">
        <f>L1376*M1376</f>
        <v/>
      </c>
      <c r="V1376" s="4" t="n"/>
      <c r="W1376" s="4" t="n"/>
      <c r="X1376" s="4" t="n"/>
    </row>
    <row r="1377" ht="15.75" customHeight="1" thickBot="1">
      <c r="A1377" s="186" t="n">
        <v>639</v>
      </c>
      <c r="B1377" s="214" t="inlineStr">
        <is>
          <t>Hot Pepper Sauce</t>
        </is>
      </c>
      <c r="C1377" s="124" t="n"/>
      <c r="D1377" s="115" t="n"/>
      <c r="E1377" s="124" t="n"/>
      <c r="F1377" s="124" t="n"/>
      <c r="G1377" s="124" t="n"/>
      <c r="H1377" s="84" t="n"/>
      <c r="I1377" s="7" t="n"/>
      <c r="J1377" s="32" t="inlineStr">
        <is>
          <t>Tabasco</t>
        </is>
      </c>
      <c r="K1377" s="24" t="n"/>
      <c r="L1377" s="36" t="n">
        <v>89</v>
      </c>
      <c r="M1377" s="204" t="n">
        <v>1</v>
      </c>
      <c r="N1377" s="177" t="n">
        <v>60</v>
      </c>
      <c r="O1377" s="13" t="n"/>
      <c r="P1377" s="139" t="inlineStr">
        <is>
          <t>ml</t>
        </is>
      </c>
      <c r="Q1377" s="2" t="n"/>
      <c r="R1377" s="1" t="n"/>
      <c r="S1377" s="229">
        <f>M1377*N1377</f>
        <v/>
      </c>
      <c r="T1377" s="230">
        <f>CONCATENATE(S1377,Q1377,P1377)</f>
        <v/>
      </c>
      <c r="U1377" s="206">
        <f>L1377*M1377</f>
        <v/>
      </c>
      <c r="V1377" s="4" t="n"/>
      <c r="W1377" s="4" t="n"/>
      <c r="X1377" s="4" t="n"/>
    </row>
    <row r="1378" ht="15.75" customHeight="1" thickBot="1">
      <c r="A1378" s="186" t="n">
        <v>639</v>
      </c>
      <c r="B1378" s="215" t="inlineStr">
        <is>
          <t>Hot Pepper Sauce</t>
        </is>
      </c>
      <c r="C1378" s="124" t="n"/>
      <c r="D1378" s="115" t="n"/>
      <c r="E1378" s="124" t="n"/>
      <c r="F1378" s="124" t="n"/>
      <c r="G1378" s="124" t="n"/>
      <c r="H1378" s="84" t="n"/>
      <c r="I1378" s="7" t="n"/>
      <c r="J1378" s="32" t="inlineStr">
        <is>
          <t>Tabasco</t>
        </is>
      </c>
      <c r="K1378" s="24" t="n"/>
      <c r="L1378" s="36" t="n">
        <v>140</v>
      </c>
      <c r="M1378" s="204" t="n">
        <v>1</v>
      </c>
      <c r="N1378" s="177" t="n">
        <v>60</v>
      </c>
      <c r="O1378" s="13" t="n"/>
      <c r="P1378" s="139" t="inlineStr">
        <is>
          <t>ml</t>
        </is>
      </c>
      <c r="Q1378" s="2" t="n"/>
      <c r="R1378" s="1" t="n"/>
      <c r="S1378" s="229">
        <f>M1378*N1378</f>
        <v/>
      </c>
      <c r="T1378" s="230">
        <f>CONCATENATE(S1378,Q1378,P1378)</f>
        <v/>
      </c>
      <c r="U1378" s="206">
        <f>L1378*M1378</f>
        <v/>
      </c>
      <c r="V1378" s="4" t="n"/>
      <c r="W1378" s="4" t="n"/>
      <c r="X1378" s="4" t="n"/>
    </row>
    <row r="1379" ht="15.75" customHeight="1" thickBot="1">
      <c r="A1379" s="186" t="n">
        <v>640</v>
      </c>
      <c r="B1379" s="214" t="inlineStr">
        <is>
          <t>Hot Sauce</t>
        </is>
      </c>
      <c r="C1379" s="124" t="n"/>
      <c r="D1379" s="115" t="n"/>
      <c r="E1379" s="124" t="n"/>
      <c r="F1379" s="124" t="n"/>
      <c r="G1379" s="124" t="n"/>
      <c r="H1379" s="84" t="n"/>
      <c r="I1379" s="7" t="n"/>
      <c r="J1379" s="32" t="inlineStr">
        <is>
          <t>Mother's Best</t>
        </is>
      </c>
      <c r="K1379" s="24" t="n"/>
      <c r="L1379" s="36" t="n">
        <v>22</v>
      </c>
      <c r="M1379" s="204" t="n">
        <v>3</v>
      </c>
      <c r="N1379" s="177" t="n">
        <v>50</v>
      </c>
      <c r="O1379" s="13" t="n"/>
      <c r="P1379" s="139" t="inlineStr">
        <is>
          <t>grams</t>
        </is>
      </c>
      <c r="Q1379" s="2" t="n"/>
      <c r="R1379" s="1" t="n"/>
      <c r="S1379" s="229">
        <f>M1379*N1379</f>
        <v/>
      </c>
      <c r="T1379" s="230">
        <f>CONCATENATE(S1379,Q1379,P1379)</f>
        <v/>
      </c>
      <c r="U1379" s="206">
        <f>L1379*M1379</f>
        <v/>
      </c>
      <c r="V1379" s="4" t="n"/>
      <c r="W1379" s="4" t="n"/>
      <c r="X1379" s="4" t="n"/>
    </row>
    <row r="1380" ht="15.75" customHeight="1" thickBot="1">
      <c r="A1380" s="186" t="n">
        <v>207</v>
      </c>
      <c r="B1380" s="214" t="inlineStr">
        <is>
          <t>Hotcake Mix</t>
        </is>
      </c>
      <c r="C1380" s="124" t="n"/>
      <c r="D1380" s="115" t="n"/>
      <c r="E1380" s="124" t="n"/>
      <c r="F1380" s="124" t="n"/>
      <c r="G1380" s="124" t="n"/>
      <c r="H1380" s="84" t="n"/>
      <c r="I1380" s="7" t="n"/>
      <c r="J1380" s="32" t="inlineStr">
        <is>
          <t>Maya</t>
        </is>
      </c>
      <c r="K1380" s="24" t="n"/>
      <c r="L1380" s="36" t="n">
        <v>45</v>
      </c>
      <c r="M1380" s="204" t="n">
        <v>20</v>
      </c>
      <c r="N1380" s="177" t="n">
        <v>400</v>
      </c>
      <c r="O1380" s="13" t="n"/>
      <c r="P1380" s="139" t="inlineStr">
        <is>
          <t>grams</t>
        </is>
      </c>
      <c r="Q1380" s="2" t="n"/>
      <c r="R1380" s="1" t="n"/>
      <c r="S1380" s="229">
        <f>M1380*N1380</f>
        <v/>
      </c>
      <c r="T1380" s="230">
        <f>CONCATENATE(S1380,Q1380,P1380)</f>
        <v/>
      </c>
      <c r="U1380" s="206">
        <f>L1380*M1380</f>
        <v/>
      </c>
      <c r="V1380" s="4" t="n"/>
      <c r="W1380" s="4" t="n"/>
      <c r="X1380" s="4" t="n"/>
    </row>
    <row r="1381" ht="15.75" customHeight="1" thickBot="1">
      <c r="A1381" s="186" t="n">
        <v>207</v>
      </c>
      <c r="B1381" s="214" t="inlineStr">
        <is>
          <t>Hotcake Mix</t>
        </is>
      </c>
      <c r="C1381" s="124" t="n"/>
      <c r="D1381" s="115" t="n"/>
      <c r="E1381" s="124" t="n"/>
      <c r="F1381" s="124" t="n"/>
      <c r="G1381" s="124" t="n"/>
      <c r="H1381" s="84" t="n"/>
      <c r="I1381" s="7" t="n"/>
      <c r="J1381" s="32" t="inlineStr">
        <is>
          <t>Maya</t>
        </is>
      </c>
      <c r="K1381" s="24" t="n"/>
      <c r="L1381" s="36" t="n">
        <v>66.5</v>
      </c>
      <c r="M1381" s="204" t="n">
        <v>3</v>
      </c>
      <c r="N1381" s="177" t="n">
        <v>500</v>
      </c>
      <c r="O1381" s="13" t="n"/>
      <c r="P1381" s="139" t="inlineStr">
        <is>
          <t>grams</t>
        </is>
      </c>
      <c r="Q1381" s="2" t="n"/>
      <c r="R1381" s="1" t="n"/>
      <c r="S1381" s="229">
        <f>M1381*N1381</f>
        <v/>
      </c>
      <c r="T1381" s="230">
        <f>CONCATENATE(S1381,Q1381,P1381)</f>
        <v/>
      </c>
      <c r="U1381" s="206">
        <f>L1381*M1381</f>
        <v/>
      </c>
      <c r="V1381" s="4" t="n"/>
      <c r="W1381" s="4" t="n"/>
      <c r="X1381" s="4" t="n"/>
    </row>
    <row r="1382" ht="15.75" customHeight="1" thickBot="1">
      <c r="A1382" s="186" t="n">
        <v>207</v>
      </c>
      <c r="B1382" s="214" t="inlineStr">
        <is>
          <t>Hotcake Mix</t>
        </is>
      </c>
      <c r="C1382" s="124" t="n"/>
      <c r="D1382" s="115" t="n"/>
      <c r="E1382" s="124" t="n"/>
      <c r="F1382" s="124" t="n"/>
      <c r="G1382" s="124" t="n"/>
      <c r="H1382" s="84" t="n"/>
      <c r="I1382" s="7" t="n"/>
      <c r="J1382" s="32" t="inlineStr">
        <is>
          <t>Maya</t>
        </is>
      </c>
      <c r="K1382" s="24" t="n"/>
      <c r="L1382" s="36" t="n">
        <v>57.4</v>
      </c>
      <c r="M1382" s="204" t="n">
        <v>3</v>
      </c>
      <c r="N1382" s="177" t="n">
        <v>500</v>
      </c>
      <c r="O1382" s="13" t="n"/>
      <c r="P1382" s="139" t="inlineStr">
        <is>
          <t>grams</t>
        </is>
      </c>
      <c r="Q1382" s="2" t="n"/>
      <c r="R1382" s="1" t="n"/>
      <c r="S1382" s="229">
        <f>M1382*N1382</f>
        <v/>
      </c>
      <c r="T1382" s="230">
        <f>CONCATENATE(S1382,Q1382,P1382)</f>
        <v/>
      </c>
      <c r="U1382" s="206">
        <f>L1382*M1382</f>
        <v/>
      </c>
      <c r="V1382" s="4" t="n"/>
      <c r="W1382" s="4" t="n"/>
      <c r="X1382" s="4" t="n"/>
    </row>
    <row r="1383" ht="15.75" customHeight="1" thickBot="1">
      <c r="A1383" s="186" t="n">
        <v>207</v>
      </c>
      <c r="B1383" s="214" t="inlineStr">
        <is>
          <t>Hotcake Mix</t>
        </is>
      </c>
      <c r="C1383" s="124" t="n"/>
      <c r="D1383" s="115" t="n"/>
      <c r="E1383" s="124" t="n"/>
      <c r="F1383" s="124" t="n"/>
      <c r="G1383" s="124" t="n"/>
      <c r="H1383" s="84" t="n"/>
      <c r="I1383" s="7" t="n"/>
      <c r="J1383" s="32" t="inlineStr">
        <is>
          <t>Maya</t>
        </is>
      </c>
      <c r="K1383" s="24" t="n"/>
      <c r="L1383" s="36" t="n">
        <v>57.4</v>
      </c>
      <c r="M1383" s="204" t="n">
        <v>7</v>
      </c>
      <c r="N1383" s="177" t="n">
        <v>500</v>
      </c>
      <c r="O1383" s="13" t="n"/>
      <c r="P1383" s="139" t="inlineStr">
        <is>
          <t>grams</t>
        </is>
      </c>
      <c r="Q1383" s="2" t="n"/>
      <c r="R1383" s="1" t="n"/>
      <c r="S1383" s="229">
        <f>M1383*N1383</f>
        <v/>
      </c>
      <c r="T1383" s="230">
        <f>CONCATENATE(S1383,Q1383,P1383)</f>
        <v/>
      </c>
      <c r="U1383" s="206">
        <f>L1383*M1383</f>
        <v/>
      </c>
      <c r="V1383" s="4" t="n"/>
      <c r="W1383" s="4" t="n"/>
      <c r="X1383" s="4" t="n"/>
    </row>
    <row r="1384" ht="15.75" customHeight="1" thickBot="1">
      <c r="A1384" s="186" t="n">
        <v>207</v>
      </c>
      <c r="B1384" s="214" t="inlineStr">
        <is>
          <t>Hotcake Mix</t>
        </is>
      </c>
      <c r="C1384" s="124" t="n"/>
      <c r="D1384" s="115" t="n"/>
      <c r="E1384" s="124" t="n"/>
      <c r="F1384" s="124" t="n"/>
      <c r="G1384" s="124" t="n"/>
      <c r="H1384" s="84" t="n"/>
      <c r="I1384" s="7" t="n"/>
      <c r="J1384" s="32" t="inlineStr">
        <is>
          <t>Maya</t>
        </is>
      </c>
      <c r="K1384" s="24" t="n"/>
      <c r="L1384" s="36" t="n">
        <v>59.5</v>
      </c>
      <c r="M1384" s="204" t="n">
        <v>5</v>
      </c>
      <c r="N1384" s="177" t="n">
        <v>500</v>
      </c>
      <c r="O1384" s="13" t="n"/>
      <c r="P1384" s="139" t="inlineStr">
        <is>
          <t>grams</t>
        </is>
      </c>
      <c r="Q1384" s="2" t="n"/>
      <c r="R1384" s="1" t="n"/>
      <c r="S1384" s="229">
        <f>M1384*N1384</f>
        <v/>
      </c>
      <c r="T1384" s="230">
        <f>CONCATENATE(S1384,Q1384,P1384)</f>
        <v/>
      </c>
      <c r="U1384" s="206">
        <f>L1384*M1384</f>
        <v/>
      </c>
      <c r="V1384" s="4" t="n"/>
      <c r="W1384" s="4" t="n"/>
      <c r="X1384" s="4" t="n"/>
    </row>
    <row r="1385" ht="15.75" customHeight="1" thickBot="1">
      <c r="A1385" s="186" t="n">
        <v>207</v>
      </c>
      <c r="B1385" s="214" t="inlineStr">
        <is>
          <t>Hotcake Mix</t>
        </is>
      </c>
      <c r="C1385" s="124" t="n"/>
      <c r="D1385" s="115" t="n"/>
      <c r="E1385" s="124" t="n"/>
      <c r="F1385" s="124" t="n"/>
      <c r="G1385" s="124" t="n"/>
      <c r="H1385" s="84" t="n"/>
      <c r="I1385" s="7" t="n"/>
      <c r="J1385" s="32" t="inlineStr">
        <is>
          <t>Maya</t>
        </is>
      </c>
      <c r="K1385" s="24" t="n"/>
      <c r="L1385" s="36" t="n">
        <v>57.4</v>
      </c>
      <c r="M1385" s="204" t="n">
        <v>8</v>
      </c>
      <c r="N1385" s="177" t="n">
        <v>500</v>
      </c>
      <c r="O1385" s="13" t="n"/>
      <c r="P1385" s="139" t="inlineStr">
        <is>
          <t>grams</t>
        </is>
      </c>
      <c r="Q1385" s="2" t="n"/>
      <c r="R1385" s="1" t="n"/>
      <c r="S1385" s="229">
        <f>M1385*N1385</f>
        <v/>
      </c>
      <c r="T1385" s="230">
        <f>CONCATENATE(S1385,Q1385,P1385)</f>
        <v/>
      </c>
      <c r="U1385" s="206">
        <f>L1385*M1385</f>
        <v/>
      </c>
      <c r="V1385" s="4" t="n"/>
      <c r="W1385" s="4" t="n"/>
      <c r="X1385" s="4" t="n"/>
    </row>
    <row r="1386" ht="15.75" customHeight="1" thickBot="1">
      <c r="A1386" s="186" t="n">
        <v>207</v>
      </c>
      <c r="B1386" s="214" t="inlineStr">
        <is>
          <t>Hotcake Mix</t>
        </is>
      </c>
      <c r="C1386" s="124" t="n"/>
      <c r="D1386" s="115" t="n"/>
      <c r="E1386" s="124" t="n"/>
      <c r="F1386" s="124" t="n"/>
      <c r="G1386" s="124" t="n"/>
      <c r="H1386" s="84" t="n"/>
      <c r="I1386" s="7" t="n"/>
      <c r="J1386" s="32" t="inlineStr">
        <is>
          <t>Maya</t>
        </is>
      </c>
      <c r="K1386" s="24" t="n"/>
      <c r="L1386" s="36" t="n">
        <v>77</v>
      </c>
      <c r="M1386" s="204" t="n">
        <v>5</v>
      </c>
      <c r="N1386" s="177" t="n">
        <v>500</v>
      </c>
      <c r="O1386" s="13" t="n"/>
      <c r="P1386" s="139" t="inlineStr">
        <is>
          <t>grams</t>
        </is>
      </c>
      <c r="Q1386" s="2" t="n"/>
      <c r="R1386" s="1" t="n"/>
      <c r="S1386" s="229">
        <f>M1386*N1386</f>
        <v/>
      </c>
      <c r="T1386" s="230">
        <f>CONCATENATE(S1386,Q1386,P1386)</f>
        <v/>
      </c>
      <c r="U1386" s="206">
        <f>L1386*M1386</f>
        <v/>
      </c>
      <c r="V1386" s="4" t="n"/>
      <c r="W1386" s="4" t="n"/>
      <c r="X1386" s="4" t="n"/>
    </row>
    <row r="1387" ht="15.75" customHeight="1" thickBot="1">
      <c r="A1387" s="186" t="n">
        <v>207</v>
      </c>
      <c r="B1387" s="214" t="inlineStr">
        <is>
          <t>Hotcake Mix</t>
        </is>
      </c>
      <c r="C1387" s="124" t="n"/>
      <c r="D1387" s="115" t="n"/>
      <c r="E1387" s="124" t="n"/>
      <c r="F1387" s="124" t="n"/>
      <c r="G1387" s="124" t="n"/>
      <c r="H1387" s="84" t="n"/>
      <c r="I1387" s="7" t="n"/>
      <c r="J1387" s="32" t="inlineStr">
        <is>
          <t>Maya</t>
        </is>
      </c>
      <c r="K1387" s="24" t="n"/>
      <c r="L1387" s="36" t="n">
        <v>57.4</v>
      </c>
      <c r="M1387" s="204" t="n">
        <v>5</v>
      </c>
      <c r="N1387" s="177" t="n">
        <v>500</v>
      </c>
      <c r="O1387" s="13" t="n"/>
      <c r="P1387" s="139" t="inlineStr">
        <is>
          <t>grams</t>
        </is>
      </c>
      <c r="Q1387" s="2" t="n"/>
      <c r="R1387" s="1" t="n"/>
      <c r="S1387" s="229">
        <f>M1387*N1387</f>
        <v/>
      </c>
      <c r="T1387" s="230">
        <f>CONCATENATE(S1387,Q1387,P1387)</f>
        <v/>
      </c>
      <c r="U1387" s="206">
        <f>L1387*M1387</f>
        <v/>
      </c>
      <c r="V1387" s="4" t="n"/>
      <c r="W1387" s="4" t="n"/>
      <c r="X1387" s="4" t="n"/>
    </row>
    <row r="1388" ht="15.75" customHeight="1" thickBot="1">
      <c r="A1388" s="186" t="n">
        <v>207</v>
      </c>
      <c r="B1388" s="215" t="inlineStr">
        <is>
          <t>Hotcake Mix</t>
        </is>
      </c>
      <c r="C1388" s="124" t="n"/>
      <c r="D1388" s="115" t="n"/>
      <c r="E1388" s="124" t="n"/>
      <c r="F1388" s="124" t="n"/>
      <c r="G1388" s="124" t="n"/>
      <c r="H1388" s="84" t="n"/>
      <c r="I1388" s="7" t="n"/>
      <c r="J1388" s="32" t="inlineStr">
        <is>
          <t>Maya</t>
        </is>
      </c>
      <c r="K1388" s="24" t="n"/>
      <c r="L1388" s="36" t="n">
        <v>87</v>
      </c>
      <c r="M1388" s="204" t="n">
        <v>1</v>
      </c>
      <c r="N1388" s="177" t="n">
        <v>500</v>
      </c>
      <c r="O1388" s="13" t="n"/>
      <c r="P1388" s="139" t="inlineStr">
        <is>
          <t>grams</t>
        </is>
      </c>
      <c r="Q1388" s="2" t="n"/>
      <c r="R1388" s="1" t="n"/>
      <c r="S1388" s="229">
        <f>M1388*N1388</f>
        <v/>
      </c>
      <c r="T1388" s="230">
        <f>CONCATENATE(S1388,Q1388,P1388)</f>
        <v/>
      </c>
      <c r="U1388" s="206">
        <f>L1388*M1388</f>
        <v/>
      </c>
      <c r="V1388" s="4" t="n"/>
      <c r="W1388" s="4" t="n"/>
      <c r="X1388" s="4" t="n"/>
    </row>
    <row r="1389" ht="15.75" customHeight="1" thickBot="1">
      <c r="A1389" s="186" t="n">
        <v>207</v>
      </c>
      <c r="B1389" s="214" t="inlineStr">
        <is>
          <t>Hotcake Mix</t>
        </is>
      </c>
      <c r="C1389" s="124" t="n"/>
      <c r="D1389" s="115" t="n"/>
      <c r="E1389" s="124" t="n"/>
      <c r="F1389" s="124" t="n"/>
      <c r="G1389" s="124" t="n"/>
      <c r="H1389" s="84" t="n"/>
      <c r="I1389" s="7" t="n"/>
      <c r="J1389" s="32" t="inlineStr">
        <is>
          <t>Maya</t>
        </is>
      </c>
      <c r="K1389" s="24" t="n"/>
      <c r="L1389" s="36" t="n">
        <v>57.4</v>
      </c>
      <c r="M1389" s="204" t="n">
        <v>4</v>
      </c>
      <c r="N1389" s="177" t="n">
        <v>500</v>
      </c>
      <c r="O1389" s="13" t="n"/>
      <c r="P1389" s="139" t="inlineStr">
        <is>
          <t>grams</t>
        </is>
      </c>
      <c r="Q1389" s="2" t="n"/>
      <c r="R1389" s="1" t="n"/>
      <c r="S1389" s="229">
        <f>M1389*N1389</f>
        <v/>
      </c>
      <c r="T1389" s="230">
        <f>CONCATENATE(S1389,Q1389,P1389)</f>
        <v/>
      </c>
      <c r="U1389" s="206">
        <f>L1389*M1389</f>
        <v/>
      </c>
      <c r="V1389" s="4" t="n"/>
      <c r="W1389" s="4" t="n"/>
      <c r="X1389" s="4" t="n"/>
    </row>
    <row r="1390" ht="15.75" customHeight="1" thickBot="1">
      <c r="A1390" s="186" t="n">
        <v>641</v>
      </c>
      <c r="B1390" s="214" t="inlineStr">
        <is>
          <t>Hotdog</t>
        </is>
      </c>
      <c r="C1390" s="124" t="n"/>
      <c r="D1390" s="115" t="n"/>
      <c r="E1390" s="124" t="n"/>
      <c r="F1390" s="124" t="n"/>
      <c r="G1390" s="124" t="n"/>
      <c r="H1390" s="84" t="n"/>
      <c r="I1390" s="7" t="n"/>
      <c r="J1390" s="32" t="inlineStr">
        <is>
          <t>Purefoods</t>
        </is>
      </c>
      <c r="K1390" s="24" t="n"/>
      <c r="L1390" s="36" t="n">
        <v>195</v>
      </c>
      <c r="M1390" s="204" t="n">
        <v>6</v>
      </c>
      <c r="N1390" s="177" t="n">
        <v>1000</v>
      </c>
      <c r="O1390" s="13" t="n"/>
      <c r="P1390" s="139" t="inlineStr">
        <is>
          <t>kilos</t>
        </is>
      </c>
      <c r="Q1390" s="2" t="n"/>
      <c r="R1390" s="1" t="n"/>
      <c r="S1390" s="229">
        <f>M1390*N1390</f>
        <v/>
      </c>
      <c r="T1390" s="230">
        <f>CONCATENATE(S1390,Q1390,P1390)</f>
        <v/>
      </c>
      <c r="U1390" s="206">
        <f>L1390*M1390</f>
        <v/>
      </c>
      <c r="V1390" s="4" t="n"/>
      <c r="W1390" s="4" t="n"/>
      <c r="X1390" s="4" t="n"/>
    </row>
    <row r="1391" ht="15.75" customHeight="1" thickBot="1">
      <c r="A1391" s="186" t="n">
        <v>642</v>
      </c>
      <c r="B1391" s="214" t="inlineStr">
        <is>
          <t>Hotdog - Cheese</t>
        </is>
      </c>
      <c r="C1391" s="124" t="n"/>
      <c r="D1391" s="115" t="n"/>
      <c r="E1391" s="124" t="n"/>
      <c r="F1391" s="124" t="n"/>
      <c r="G1391" s="124" t="n"/>
      <c r="H1391" s="84" t="n"/>
      <c r="I1391" s="7" t="n"/>
      <c r="J1391" s="32" t="inlineStr">
        <is>
          <t>Virginia</t>
        </is>
      </c>
      <c r="K1391" s="24" t="n"/>
      <c r="L1391" s="36" t="n">
        <v>218</v>
      </c>
      <c r="M1391" s="204" t="n">
        <v>2</v>
      </c>
      <c r="N1391" s="177" t="n">
        <v>1000</v>
      </c>
      <c r="O1391" s="13" t="n"/>
      <c r="P1391" s="139" t="inlineStr">
        <is>
          <t>grams</t>
        </is>
      </c>
      <c r="Q1391" s="2" t="n"/>
      <c r="R1391" s="1" t="n"/>
      <c r="S1391" s="229">
        <f>M1391*N1391</f>
        <v/>
      </c>
      <c r="T1391" s="230">
        <f>CONCATENATE(S1391,Q1391,P1391)</f>
        <v/>
      </c>
      <c r="U1391" s="206">
        <f>L1391*M1391</f>
        <v/>
      </c>
      <c r="V1391" s="4" t="n"/>
      <c r="W1391" s="4" t="n"/>
      <c r="X1391" s="4" t="n"/>
    </row>
    <row r="1392" ht="15.75" customHeight="1" thickBot="1">
      <c r="A1392" s="186" t="n">
        <v>642</v>
      </c>
      <c r="B1392" s="214" t="inlineStr">
        <is>
          <t>Hotdog - Cheese</t>
        </is>
      </c>
      <c r="C1392" s="124" t="n"/>
      <c r="D1392" s="115" t="n"/>
      <c r="E1392" s="124" t="n"/>
      <c r="F1392" s="124" t="n"/>
      <c r="G1392" s="124" t="n"/>
      <c r="H1392" s="84" t="n"/>
      <c r="I1392" s="7" t="n"/>
      <c r="J1392" s="32" t="inlineStr">
        <is>
          <t>New Yorkers</t>
        </is>
      </c>
      <c r="K1392" s="24" t="n"/>
      <c r="L1392" s="36" t="n">
        <v>289</v>
      </c>
      <c r="M1392" s="204" t="n">
        <v>1</v>
      </c>
      <c r="N1392" s="177" t="n">
        <v>1000</v>
      </c>
      <c r="O1392" s="13" t="n"/>
      <c r="P1392" s="139" t="inlineStr">
        <is>
          <t>grams</t>
        </is>
      </c>
      <c r="Q1392" s="2" t="n"/>
      <c r="R1392" s="1" t="n"/>
      <c r="S1392" s="229">
        <f>M1392*N1392</f>
        <v/>
      </c>
      <c r="T1392" s="230">
        <f>CONCATENATE(S1392,Q1392,P1392)</f>
        <v/>
      </c>
      <c r="U1392" s="206">
        <f>L1392*M1392</f>
        <v/>
      </c>
      <c r="V1392" s="4" t="n"/>
      <c r="W1392" s="4" t="n"/>
      <c r="X1392" s="4" t="n"/>
    </row>
    <row r="1393" ht="15.75" customHeight="1" thickBot="1">
      <c r="A1393" s="186" t="n">
        <v>643</v>
      </c>
      <c r="B1393" s="214" t="inlineStr">
        <is>
          <t>Hotdog - Giant</t>
        </is>
      </c>
      <c r="C1393" s="124" t="n"/>
      <c r="D1393" s="115" t="n"/>
      <c r="E1393" s="124" t="n"/>
      <c r="F1393" s="124" t="n"/>
      <c r="G1393" s="124" t="n"/>
      <c r="H1393" s="84" t="n"/>
      <c r="I1393" s="7" t="n"/>
      <c r="J1393" s="32" t="inlineStr">
        <is>
          <t>Purefoods</t>
        </is>
      </c>
      <c r="K1393" s="24" t="n"/>
      <c r="L1393" s="36" t="n">
        <v>215</v>
      </c>
      <c r="M1393" s="204" t="n">
        <v>2</v>
      </c>
      <c r="N1393" s="177" t="n">
        <v>1000</v>
      </c>
      <c r="O1393" s="13" t="n"/>
      <c r="P1393" s="139" t="inlineStr">
        <is>
          <t>grams</t>
        </is>
      </c>
      <c r="Q1393" s="2" t="n"/>
      <c r="R1393" s="1" t="n"/>
      <c r="S1393" s="229">
        <f>M1393*N1393</f>
        <v/>
      </c>
      <c r="T1393" s="230">
        <f>CONCATENATE(S1393,Q1393,P1393)</f>
        <v/>
      </c>
      <c r="U1393" s="206">
        <f>L1393*M1393</f>
        <v/>
      </c>
      <c r="V1393" s="4" t="n"/>
      <c r="W1393" s="4" t="n"/>
      <c r="X1393" s="4" t="n"/>
    </row>
    <row r="1394" ht="15.75" customHeight="1" thickBot="1">
      <c r="A1394" s="186" t="n">
        <v>644</v>
      </c>
      <c r="B1394" s="214" t="inlineStr">
        <is>
          <t>Hotdog - Jumbo</t>
        </is>
      </c>
      <c r="C1394" s="124" t="n"/>
      <c r="D1394" s="115" t="n"/>
      <c r="E1394" s="124" t="n"/>
      <c r="F1394" s="124" t="n"/>
      <c r="G1394" s="124" t="n"/>
      <c r="H1394" s="84" t="n"/>
      <c r="I1394" s="7" t="n"/>
      <c r="J1394" s="32" t="inlineStr">
        <is>
          <t>Purefoods</t>
        </is>
      </c>
      <c r="K1394" s="24" t="n"/>
      <c r="L1394" s="36" t="n">
        <v>189.5</v>
      </c>
      <c r="M1394" s="204" t="n">
        <v>5</v>
      </c>
      <c r="N1394" s="177" t="n">
        <v>1000</v>
      </c>
      <c r="O1394" s="13" t="n"/>
      <c r="P1394" s="139" t="inlineStr">
        <is>
          <t>grams</t>
        </is>
      </c>
      <c r="Q1394" s="2" t="n"/>
      <c r="R1394" s="1" t="n"/>
      <c r="S1394" s="229">
        <f>M1394*N1394</f>
        <v/>
      </c>
      <c r="T1394" s="230">
        <f>CONCATENATE(S1394,Q1394,P1394)</f>
        <v/>
      </c>
      <c r="U1394" s="206">
        <f>L1394*M1394</f>
        <v/>
      </c>
      <c r="V1394" s="4" t="n"/>
      <c r="W1394" s="4" t="n"/>
      <c r="X1394" s="4" t="n"/>
    </row>
    <row r="1395" ht="15.75" customHeight="1" thickBot="1">
      <c r="A1395" s="186" t="n">
        <v>644</v>
      </c>
      <c r="B1395" s="214" t="inlineStr">
        <is>
          <t>Hotdog - Jumbo</t>
        </is>
      </c>
      <c r="C1395" s="124" t="n"/>
      <c r="D1395" s="115" t="n"/>
      <c r="E1395" s="124" t="n"/>
      <c r="F1395" s="124" t="n"/>
      <c r="G1395" s="124" t="n"/>
      <c r="H1395" s="84" t="n"/>
      <c r="I1395" s="7" t="n"/>
      <c r="J1395" s="32" t="inlineStr">
        <is>
          <t>Virginia</t>
        </is>
      </c>
      <c r="K1395" s="24" t="n"/>
      <c r="L1395" s="36" t="n">
        <v>208</v>
      </c>
      <c r="M1395" s="204" t="n">
        <v>2</v>
      </c>
      <c r="N1395" s="177" t="n">
        <v>1000</v>
      </c>
      <c r="O1395" s="13" t="n"/>
      <c r="P1395" s="139" t="inlineStr">
        <is>
          <t>grams</t>
        </is>
      </c>
      <c r="Q1395" s="2" t="n"/>
      <c r="R1395" s="1" t="n"/>
      <c r="S1395" s="229">
        <f>M1395*N1395</f>
        <v/>
      </c>
      <c r="T1395" s="230">
        <f>CONCATENATE(S1395,Q1395,P1395)</f>
        <v/>
      </c>
      <c r="U1395" s="206">
        <f>L1395*M1395</f>
        <v/>
      </c>
      <c r="V1395" s="4" t="n"/>
      <c r="W1395" s="4" t="n"/>
      <c r="X1395" s="4" t="n"/>
    </row>
    <row r="1396" ht="15.75" customHeight="1" thickBot="1">
      <c r="A1396" s="186" t="n">
        <v>644</v>
      </c>
      <c r="B1396" s="214" t="inlineStr">
        <is>
          <t>Hotdog - Jumbo</t>
        </is>
      </c>
      <c r="C1396" s="124" t="n"/>
      <c r="D1396" s="115" t="n"/>
      <c r="E1396" s="124" t="n"/>
      <c r="F1396" s="124" t="n"/>
      <c r="G1396" s="124" t="n"/>
      <c r="H1396" s="84" t="n"/>
      <c r="I1396" s="7" t="n"/>
      <c r="J1396" s="32" t="inlineStr">
        <is>
          <t>Purefoods</t>
        </is>
      </c>
      <c r="K1396" s="24" t="n"/>
      <c r="L1396" s="36" t="n">
        <v>189</v>
      </c>
      <c r="M1396" s="204" t="n">
        <v>9</v>
      </c>
      <c r="N1396" s="177" t="n">
        <v>1000</v>
      </c>
      <c r="O1396" s="13" t="n"/>
      <c r="P1396" s="139" t="inlineStr">
        <is>
          <t>grams</t>
        </is>
      </c>
      <c r="Q1396" s="2" t="n"/>
      <c r="R1396" s="1" t="n"/>
      <c r="S1396" s="229">
        <f>M1396*N1396</f>
        <v/>
      </c>
      <c r="T1396" s="230">
        <f>CONCATENATE(S1396,Q1396,P1396)</f>
        <v/>
      </c>
      <c r="U1396" s="206">
        <f>L1396*M1396</f>
        <v/>
      </c>
      <c r="V1396" s="4" t="n"/>
      <c r="W1396" s="4" t="n"/>
      <c r="X1396" s="4" t="n"/>
    </row>
    <row r="1397" ht="15.75" customHeight="1" thickBot="1">
      <c r="A1397" s="186" t="n">
        <v>644</v>
      </c>
      <c r="B1397" s="214" t="inlineStr">
        <is>
          <t>Hotdog - Jumbo</t>
        </is>
      </c>
      <c r="C1397" s="124" t="n"/>
      <c r="D1397" s="115" t="n"/>
      <c r="E1397" s="124" t="n"/>
      <c r="F1397" s="124" t="n"/>
      <c r="G1397" s="124" t="n"/>
      <c r="H1397" s="84" t="n"/>
      <c r="I1397" s="7" t="n"/>
      <c r="J1397" s="32" t="inlineStr">
        <is>
          <t>Purefoods</t>
        </is>
      </c>
      <c r="K1397" s="24" t="n"/>
      <c r="L1397" s="36" t="n">
        <v>205</v>
      </c>
      <c r="M1397" s="204" t="n">
        <v>1</v>
      </c>
      <c r="N1397" s="177" t="n">
        <v>1000</v>
      </c>
      <c r="O1397" s="13" t="n"/>
      <c r="P1397" s="139" t="inlineStr">
        <is>
          <t>grams</t>
        </is>
      </c>
      <c r="Q1397" s="2" t="n"/>
      <c r="R1397" s="1" t="n"/>
      <c r="S1397" s="229">
        <f>M1397*N1397</f>
        <v/>
      </c>
      <c r="T1397" s="230">
        <f>CONCATENATE(S1397,Q1397,P1397)</f>
        <v/>
      </c>
      <c r="U1397" s="206">
        <f>L1397*M1397</f>
        <v/>
      </c>
      <c r="V1397" s="4" t="n"/>
      <c r="W1397" s="4" t="n"/>
      <c r="X1397" s="4" t="n"/>
    </row>
    <row r="1398" ht="15.75" customHeight="1" thickBot="1">
      <c r="A1398" s="186" t="n">
        <v>644</v>
      </c>
      <c r="B1398" s="214" t="inlineStr">
        <is>
          <t>Hotdog - Jumbo</t>
        </is>
      </c>
      <c r="C1398" s="124" t="n"/>
      <c r="D1398" s="115" t="n"/>
      <c r="E1398" s="124" t="n"/>
      <c r="F1398" s="124" t="n"/>
      <c r="G1398" s="124" t="n"/>
      <c r="H1398" s="84" t="n"/>
      <c r="I1398" s="7" t="n"/>
      <c r="J1398" s="32" t="inlineStr">
        <is>
          <t>Purefoods</t>
        </is>
      </c>
      <c r="K1398" s="24" t="n"/>
      <c r="L1398" s="36" t="n">
        <v>175</v>
      </c>
      <c r="M1398" s="204" t="n">
        <v>1</v>
      </c>
      <c r="N1398" s="177" t="n">
        <v>1000</v>
      </c>
      <c r="O1398" s="13" t="n"/>
      <c r="P1398" s="139" t="inlineStr">
        <is>
          <t>grams</t>
        </is>
      </c>
      <c r="Q1398" s="2" t="n"/>
      <c r="R1398" s="1" t="n"/>
      <c r="S1398" s="229">
        <f>M1398*N1398</f>
        <v/>
      </c>
      <c r="T1398" s="230">
        <f>CONCATENATE(S1398,Q1398,P1398)</f>
        <v/>
      </c>
      <c r="U1398" s="206">
        <f>L1398*M1398</f>
        <v/>
      </c>
      <c r="V1398" s="4" t="n"/>
      <c r="W1398" s="4" t="n"/>
      <c r="X1398" s="4" t="n"/>
    </row>
    <row r="1399" ht="15.75" customHeight="1" thickBot="1">
      <c r="A1399" s="186" t="n">
        <v>645</v>
      </c>
      <c r="B1399" s="214" t="inlineStr">
        <is>
          <t>Hotdog - King Size</t>
        </is>
      </c>
      <c r="C1399" s="124" t="n"/>
      <c r="D1399" s="115" t="n"/>
      <c r="E1399" s="124" t="n"/>
      <c r="F1399" s="124" t="n"/>
      <c r="G1399" s="124" t="n"/>
      <c r="H1399" s="84" t="n"/>
      <c r="I1399" s="7" t="n"/>
      <c r="J1399" s="32" t="inlineStr">
        <is>
          <t>Purefoods</t>
        </is>
      </c>
      <c r="K1399" s="24" t="n"/>
      <c r="L1399" s="36" t="n">
        <v>195</v>
      </c>
      <c r="M1399" s="204" t="n">
        <v>5</v>
      </c>
      <c r="N1399" s="177" t="n">
        <v>1000</v>
      </c>
      <c r="O1399" s="13" t="n"/>
      <c r="P1399" s="139" t="inlineStr">
        <is>
          <t>grams</t>
        </is>
      </c>
      <c r="Q1399" s="2" t="n"/>
      <c r="R1399" s="1" t="n"/>
      <c r="S1399" s="229">
        <f>M1399*N1399</f>
        <v/>
      </c>
      <c r="T1399" s="230">
        <f>CONCATENATE(S1399,Q1399,P1399)</f>
        <v/>
      </c>
      <c r="U1399" s="206">
        <f>L1399*M1399</f>
        <v/>
      </c>
      <c r="V1399" s="4" t="n"/>
      <c r="W1399" s="4" t="n"/>
      <c r="X1399" s="4" t="n"/>
    </row>
    <row r="1400" ht="15.75" customHeight="1" thickBot="1">
      <c r="A1400" s="186" t="n">
        <v>645</v>
      </c>
      <c r="B1400" s="214" t="inlineStr">
        <is>
          <t>Hotdog - King Size</t>
        </is>
      </c>
      <c r="C1400" s="124" t="n"/>
      <c r="D1400" s="115" t="n"/>
      <c r="E1400" s="124" t="n"/>
      <c r="F1400" s="124" t="n"/>
      <c r="G1400" s="124" t="n"/>
      <c r="H1400" s="84" t="n"/>
      <c r="I1400" s="7" t="n"/>
      <c r="J1400" s="32" t="inlineStr">
        <is>
          <t>Purefoods</t>
        </is>
      </c>
      <c r="K1400" s="24" t="n"/>
      <c r="L1400" s="36" t="n">
        <v>215</v>
      </c>
      <c r="M1400" s="204" t="n">
        <v>3</v>
      </c>
      <c r="N1400" s="177" t="n">
        <v>1000</v>
      </c>
      <c r="O1400" s="13" t="n"/>
      <c r="P1400" s="139" t="inlineStr">
        <is>
          <t>grams</t>
        </is>
      </c>
      <c r="Q1400" s="2" t="n"/>
      <c r="R1400" s="1" t="n"/>
      <c r="S1400" s="229">
        <f>M1400*N1400</f>
        <v/>
      </c>
      <c r="T1400" s="230">
        <f>CONCATENATE(S1400,Q1400,P1400)</f>
        <v/>
      </c>
      <c r="U1400" s="206">
        <f>L1400*M1400</f>
        <v/>
      </c>
      <c r="V1400" s="4" t="n"/>
      <c r="W1400" s="4" t="n"/>
      <c r="X1400" s="4" t="n"/>
    </row>
    <row r="1401" ht="15.75" customHeight="1" thickBot="1">
      <c r="A1401" s="186" t="n">
        <v>646</v>
      </c>
      <c r="B1401" s="214" t="inlineStr">
        <is>
          <t>Hotdog - Regular</t>
        </is>
      </c>
      <c r="C1401" s="124" t="n"/>
      <c r="D1401" s="115" t="n"/>
      <c r="E1401" s="124" t="n"/>
      <c r="F1401" s="124" t="n"/>
      <c r="G1401" s="124" t="n"/>
      <c r="H1401" s="84" t="n"/>
      <c r="I1401" s="7" t="n"/>
      <c r="J1401" s="32" t="inlineStr">
        <is>
          <t>Star</t>
        </is>
      </c>
      <c r="K1401" s="24" t="n"/>
      <c r="L1401" s="36" t="n">
        <v>192</v>
      </c>
      <c r="M1401" s="204" t="n">
        <v>1</v>
      </c>
      <c r="N1401" s="177" t="n">
        <v>1</v>
      </c>
      <c r="O1401" s="13" t="n"/>
      <c r="P1401" s="139" t="inlineStr">
        <is>
          <t>kilos</t>
        </is>
      </c>
      <c r="Q1401" s="2" t="n"/>
      <c r="R1401" s="1" t="n"/>
      <c r="S1401" s="229">
        <f>M1401*N1401</f>
        <v/>
      </c>
      <c r="T1401" s="230">
        <f>CONCATENATE(S1401,Q1401,P1401)</f>
        <v/>
      </c>
      <c r="U1401" s="206">
        <f>L1401*M1401</f>
        <v/>
      </c>
      <c r="V1401" s="4" t="n"/>
      <c r="W1401" s="4" t="n"/>
      <c r="X1401" s="4" t="n"/>
    </row>
    <row r="1402" ht="15.75" customHeight="1" thickBot="1">
      <c r="A1402" s="186" t="n">
        <v>647</v>
      </c>
      <c r="B1402" s="214" t="inlineStr">
        <is>
          <t>Hungarian Sausage</t>
        </is>
      </c>
      <c r="C1402" s="124" t="n"/>
      <c r="D1402" s="115" t="n"/>
      <c r="E1402" s="124" t="n"/>
      <c r="F1402" s="124" t="n"/>
      <c r="G1402" s="124" t="n"/>
      <c r="H1402" s="84" t="n"/>
      <c r="I1402" s="7" t="n"/>
      <c r="J1402" s="32" t="inlineStr">
        <is>
          <t>Bossing</t>
        </is>
      </c>
      <c r="K1402" s="24" t="n"/>
      <c r="L1402" s="36" t="n">
        <v>165</v>
      </c>
      <c r="M1402" s="204" t="n">
        <v>1</v>
      </c>
      <c r="N1402" s="177" t="n">
        <v>500</v>
      </c>
      <c r="O1402" s="13" t="n"/>
      <c r="P1402" s="139" t="inlineStr">
        <is>
          <t>grams</t>
        </is>
      </c>
      <c r="Q1402" s="2" t="n"/>
      <c r="R1402" s="1" t="n"/>
      <c r="S1402" s="229">
        <f>M1402*N1402</f>
        <v/>
      </c>
      <c r="T1402" s="230">
        <f>CONCATENATE(S1402,Q1402,P1402)</f>
        <v/>
      </c>
      <c r="U1402" s="206">
        <f>L1402*M1402</f>
        <v/>
      </c>
      <c r="V1402" s="4" t="n"/>
      <c r="W1402" s="4" t="n"/>
      <c r="X1402" s="4" t="n"/>
    </row>
    <row r="1403" ht="15.75" customHeight="1" thickBot="1">
      <c r="A1403" s="186" t="n">
        <v>648</v>
      </c>
      <c r="B1403" s="214" t="inlineStr">
        <is>
          <t>Ice Bag</t>
        </is>
      </c>
      <c r="C1403" s="124" t="n"/>
      <c r="D1403" s="115" t="n"/>
      <c r="E1403" s="124" t="n"/>
      <c r="F1403" s="124" t="n"/>
      <c r="G1403" s="124" t="n"/>
      <c r="H1403" s="84" t="n"/>
      <c r="I1403" s="7" t="n"/>
      <c r="J1403" s="32" t="inlineStr">
        <is>
          <t>Shure - 4 x 12</t>
        </is>
      </c>
      <c r="K1403" s="24" t="n"/>
      <c r="L1403" s="36" t="n">
        <v>22</v>
      </c>
      <c r="M1403" s="204" t="n">
        <v>2</v>
      </c>
      <c r="N1403" s="177" t="n">
        <v>1</v>
      </c>
      <c r="O1403" s="13" t="n"/>
      <c r="P1403" s="139" t="inlineStr">
        <is>
          <t>packs</t>
        </is>
      </c>
      <c r="Q1403" s="2" t="n"/>
      <c r="R1403" s="1" t="n"/>
      <c r="S1403" s="229">
        <f>M1403*N1403</f>
        <v/>
      </c>
      <c r="T1403" s="230">
        <f>CONCATENATE(S1403,Q1403,P1403)</f>
        <v/>
      </c>
      <c r="U1403" s="206">
        <f>L1403*M1403</f>
        <v/>
      </c>
      <c r="V1403" s="4" t="n"/>
      <c r="W1403" s="4" t="n"/>
      <c r="X1403" s="4" t="n"/>
    </row>
    <row r="1404" ht="15.75" customHeight="1" thickBot="1">
      <c r="A1404" s="186" t="n">
        <v>648</v>
      </c>
      <c r="B1404" s="214" t="inlineStr">
        <is>
          <t>Ice Bag</t>
        </is>
      </c>
      <c r="C1404" s="124" t="n"/>
      <c r="D1404" s="115" t="n"/>
      <c r="E1404" s="124" t="n"/>
      <c r="F1404" s="124" t="n"/>
      <c r="G1404" s="124" t="n"/>
      <c r="H1404" s="84" t="n"/>
      <c r="I1404" s="7" t="n"/>
      <c r="J1404" s="32" t="inlineStr">
        <is>
          <t>My Everyday - 4 x 12</t>
        </is>
      </c>
      <c r="K1404" s="24" t="n"/>
      <c r="L1404" s="36" t="n">
        <v>25</v>
      </c>
      <c r="M1404" s="204" t="n">
        <v>7</v>
      </c>
      <c r="N1404" s="177" t="n">
        <v>1</v>
      </c>
      <c r="O1404" s="13" t="n"/>
      <c r="P1404" s="139" t="inlineStr">
        <is>
          <t>packs</t>
        </is>
      </c>
      <c r="Q1404" s="2" t="n"/>
      <c r="R1404" s="1" t="n"/>
      <c r="S1404" s="229">
        <f>M1404*N1404</f>
        <v/>
      </c>
      <c r="T1404" s="230">
        <f>CONCATENATE(S1404,Q1404,P1404)</f>
        <v/>
      </c>
      <c r="U1404" s="206">
        <f>L1404*M1404</f>
        <v/>
      </c>
      <c r="V1404" s="4" t="n"/>
      <c r="W1404" s="4" t="n"/>
      <c r="X1404" s="4" t="n"/>
    </row>
    <row r="1405" ht="15.75" customHeight="1" thickBot="1">
      <c r="A1405" s="186" t="n">
        <v>648</v>
      </c>
      <c r="B1405" s="215" t="inlineStr">
        <is>
          <t>Ice bag</t>
        </is>
      </c>
      <c r="C1405" s="124" t="n"/>
      <c r="D1405" s="115" t="n"/>
      <c r="E1405" s="124" t="n"/>
      <c r="F1405" s="124" t="n"/>
      <c r="G1405" s="124" t="n"/>
      <c r="H1405" s="84" t="n"/>
      <c r="I1405" s="7" t="n"/>
      <c r="J1405" s="32" t="inlineStr">
        <is>
          <t>Shure</t>
        </is>
      </c>
      <c r="K1405" s="24" t="n"/>
      <c r="L1405" s="36" t="n">
        <v>25</v>
      </c>
      <c r="M1405" s="204" t="n">
        <v>6</v>
      </c>
      <c r="N1405" s="177" t="n">
        <v>100</v>
      </c>
      <c r="O1405" s="13" t="n"/>
      <c r="P1405" s="139" t="inlineStr">
        <is>
          <t>pieces</t>
        </is>
      </c>
      <c r="Q1405" s="2" t="n"/>
      <c r="R1405" s="1" t="n"/>
      <c r="S1405" s="229">
        <f>M1405*N1405</f>
        <v/>
      </c>
      <c r="T1405" s="230">
        <f>CONCATENATE(S1405,Q1405,P1405)</f>
        <v/>
      </c>
      <c r="U1405" s="206">
        <f>L1405*M1405</f>
        <v/>
      </c>
      <c r="V1405" s="4" t="n"/>
      <c r="W1405" s="4" t="n"/>
      <c r="X1405" s="4" t="n"/>
    </row>
    <row r="1406" ht="15.75" customHeight="1" thickBot="1">
      <c r="A1406" s="186" t="n">
        <v>649</v>
      </c>
      <c r="B1406" s="215" t="inlineStr">
        <is>
          <t>Iced Tea - Lemon</t>
        </is>
      </c>
      <c r="C1406" s="124" t="n"/>
      <c r="D1406" s="115" t="n"/>
      <c r="E1406" s="124" t="n"/>
      <c r="F1406" s="124" t="n"/>
      <c r="G1406" s="124" t="n"/>
      <c r="H1406" s="84" t="n"/>
      <c r="I1406" s="7" t="n"/>
      <c r="J1406" s="32" t="inlineStr">
        <is>
          <t>Tang/sachet/19grams</t>
        </is>
      </c>
      <c r="K1406" s="24" t="n"/>
      <c r="L1406" s="36" t="n">
        <v>21.5</v>
      </c>
      <c r="M1406" s="204" t="n">
        <v>1</v>
      </c>
      <c r="N1406" s="177" t="n">
        <v>19</v>
      </c>
      <c r="O1406" s="13" t="n"/>
      <c r="P1406" s="139" t="inlineStr">
        <is>
          <t>grams</t>
        </is>
      </c>
      <c r="Q1406" s="2" t="n"/>
      <c r="R1406" s="1" t="n"/>
      <c r="S1406" s="229">
        <f>M1406*N1406</f>
        <v/>
      </c>
      <c r="T1406" s="230">
        <f>CONCATENATE(S1406,Q1406,P1406)</f>
        <v/>
      </c>
      <c r="U1406" s="206">
        <f>L1406*M1406</f>
        <v/>
      </c>
      <c r="V1406" s="4" t="n"/>
      <c r="W1406" s="4" t="n"/>
      <c r="X1406" s="4" t="n"/>
    </row>
    <row r="1407" ht="15.75" customHeight="1" thickBot="1">
      <c r="A1407" s="186" t="n">
        <v>650</v>
      </c>
      <c r="B1407" s="214" t="inlineStr">
        <is>
          <t>Instant Noodles</t>
        </is>
      </c>
      <c r="C1407" s="124" t="n"/>
      <c r="D1407" s="115" t="n"/>
      <c r="E1407" s="124" t="n"/>
      <c r="F1407" s="124" t="n"/>
      <c r="G1407" s="124" t="n"/>
      <c r="H1407" s="84" t="n"/>
      <c r="I1407" s="7" t="n"/>
      <c r="J1407" s="32" t="inlineStr">
        <is>
          <t>Lucky Me! - Go cup Batchoy 40g</t>
        </is>
      </c>
      <c r="K1407" s="24" t="n"/>
      <c r="L1407" s="36" t="n">
        <v>21.65</v>
      </c>
      <c r="M1407" s="204" t="n">
        <v>8</v>
      </c>
      <c r="N1407" s="177" t="n">
        <v>40</v>
      </c>
      <c r="O1407" s="13" t="n"/>
      <c r="P1407" s="139" t="inlineStr">
        <is>
          <t>grams</t>
        </is>
      </c>
      <c r="Q1407" s="2" t="n"/>
      <c r="R1407" s="1" t="n"/>
      <c r="S1407" s="229">
        <f>M1407*N1407</f>
        <v/>
      </c>
      <c r="T1407" s="230">
        <f>CONCATENATE(S1407,Q1407,P1407)</f>
        <v/>
      </c>
      <c r="U1407" s="206">
        <f>L1407*M1407</f>
        <v/>
      </c>
      <c r="V1407" s="4" t="n"/>
      <c r="W1407" s="4" t="n"/>
      <c r="X1407" s="4" t="n"/>
    </row>
    <row r="1408" ht="15.75" customHeight="1" thickBot="1">
      <c r="A1408" s="186" t="n">
        <v>650</v>
      </c>
      <c r="B1408" s="214" t="inlineStr">
        <is>
          <t>Instant Noodles</t>
        </is>
      </c>
      <c r="C1408" s="124" t="n"/>
      <c r="D1408" s="115" t="n"/>
      <c r="E1408" s="124" t="n"/>
      <c r="F1408" s="124" t="n"/>
      <c r="G1408" s="124" t="n"/>
      <c r="H1408" s="84" t="n"/>
      <c r="I1408" s="7" t="n"/>
      <c r="J1408" s="32" t="inlineStr">
        <is>
          <t>Lucky Me! - Go cup Beef 40g</t>
        </is>
      </c>
      <c r="K1408" s="24" t="n"/>
      <c r="L1408" s="36" t="n">
        <v>21.65</v>
      </c>
      <c r="M1408" s="204" t="n">
        <v>10</v>
      </c>
      <c r="N1408" s="177" t="n">
        <v>40</v>
      </c>
      <c r="O1408" s="13" t="n"/>
      <c r="P1408" s="139" t="inlineStr">
        <is>
          <t>grams</t>
        </is>
      </c>
      <c r="Q1408" s="2" t="n"/>
      <c r="R1408" s="1" t="n"/>
      <c r="S1408" s="229">
        <f>M1408*N1408</f>
        <v/>
      </c>
      <c r="T1408" s="230">
        <f>CONCATENATE(S1408,Q1408,P1408)</f>
        <v/>
      </c>
      <c r="U1408" s="206">
        <f>L1408*M1408</f>
        <v/>
      </c>
      <c r="V1408" s="4" t="n"/>
      <c r="W1408" s="4" t="n"/>
      <c r="X1408" s="4" t="n"/>
    </row>
    <row r="1409" ht="15.75" customHeight="1" thickBot="1">
      <c r="A1409" s="186" t="n">
        <v>650</v>
      </c>
      <c r="B1409" s="214" t="inlineStr">
        <is>
          <t>Instant Noodles</t>
        </is>
      </c>
      <c r="C1409" s="124" t="n"/>
      <c r="D1409" s="115" t="n"/>
      <c r="E1409" s="124" t="n"/>
      <c r="F1409" s="124" t="n"/>
      <c r="G1409" s="124" t="n"/>
      <c r="H1409" s="84" t="n"/>
      <c r="I1409" s="7" t="n"/>
      <c r="J1409" s="32" t="inlineStr">
        <is>
          <t>Lucky Me! - Go cup Bulalo 40g</t>
        </is>
      </c>
      <c r="K1409" s="24" t="n"/>
      <c r="L1409" s="36" t="n">
        <v>21.65</v>
      </c>
      <c r="M1409" s="204" t="n">
        <v>17</v>
      </c>
      <c r="N1409" s="177" t="n">
        <v>40</v>
      </c>
      <c r="O1409" s="13" t="n"/>
      <c r="P1409" s="139" t="inlineStr">
        <is>
          <t>grams</t>
        </is>
      </c>
      <c r="Q1409" s="2" t="n"/>
      <c r="R1409" s="1" t="n"/>
      <c r="S1409" s="229">
        <f>M1409*N1409</f>
        <v/>
      </c>
      <c r="T1409" s="230">
        <f>CONCATENATE(S1409,Q1409,P1409)</f>
        <v/>
      </c>
      <c r="U1409" s="206">
        <f>L1409*M1409</f>
        <v/>
      </c>
      <c r="V1409" s="4" t="n"/>
      <c r="W1409" s="4" t="n"/>
      <c r="X1409" s="4" t="n"/>
    </row>
    <row r="1410" ht="15.75" customHeight="1" thickBot="1">
      <c r="A1410" s="186" t="n">
        <v>650</v>
      </c>
      <c r="B1410" s="214" t="inlineStr">
        <is>
          <t>Instant Noodles</t>
        </is>
      </c>
      <c r="C1410" s="124" t="n"/>
      <c r="D1410" s="115" t="n"/>
      <c r="E1410" s="124" t="n"/>
      <c r="F1410" s="124" t="n"/>
      <c r="G1410" s="124" t="n"/>
      <c r="H1410" s="84" t="n"/>
      <c r="I1410" s="7" t="n"/>
      <c r="J1410" s="32" t="inlineStr">
        <is>
          <t>Lucky Me! - Go cup Jjampong 40g</t>
        </is>
      </c>
      <c r="K1410" s="24" t="n"/>
      <c r="L1410" s="36" t="n">
        <v>25.55</v>
      </c>
      <c r="M1410" s="204" t="n">
        <v>10</v>
      </c>
      <c r="N1410" s="177" t="n">
        <v>40</v>
      </c>
      <c r="O1410" s="13" t="n"/>
      <c r="P1410" s="139" t="inlineStr">
        <is>
          <t>grams</t>
        </is>
      </c>
      <c r="Q1410" s="2" t="n"/>
      <c r="R1410" s="1" t="n"/>
      <c r="S1410" s="229">
        <f>M1410*N1410</f>
        <v/>
      </c>
      <c r="T1410" s="230">
        <f>CONCATENATE(S1410,Q1410,P1410)</f>
        <v/>
      </c>
      <c r="U1410" s="206">
        <f>L1410*M1410</f>
        <v/>
      </c>
      <c r="V1410" s="4" t="n"/>
      <c r="W1410" s="4" t="n"/>
      <c r="X1410" s="4" t="n"/>
    </row>
    <row r="1411" ht="15.75" customHeight="1" thickBot="1">
      <c r="A1411" s="186" t="n">
        <v>650</v>
      </c>
      <c r="B1411" s="214" t="inlineStr">
        <is>
          <t>Instant Noodles</t>
        </is>
      </c>
      <c r="C1411" s="124" t="n"/>
      <c r="D1411" s="115" t="n"/>
      <c r="E1411" s="124" t="n"/>
      <c r="F1411" s="124" t="n"/>
      <c r="G1411" s="124" t="n"/>
      <c r="H1411" s="84" t="n"/>
      <c r="I1411" s="7" t="n"/>
      <c r="J1411" s="32" t="inlineStr">
        <is>
          <t>Lucky Me! - Go cup Seafood 40g</t>
        </is>
      </c>
      <c r="K1411" s="24" t="n"/>
      <c r="L1411" s="36" t="n">
        <v>21.65</v>
      </c>
      <c r="M1411" s="204" t="n">
        <v>5</v>
      </c>
      <c r="N1411" s="177" t="n">
        <v>40</v>
      </c>
      <c r="O1411" s="13" t="n"/>
      <c r="P1411" s="139" t="inlineStr">
        <is>
          <t>grams</t>
        </is>
      </c>
      <c r="Q1411" s="2" t="n"/>
      <c r="R1411" s="1" t="n"/>
      <c r="S1411" s="229">
        <f>M1411*N1411</f>
        <v/>
      </c>
      <c r="T1411" s="230">
        <f>CONCATENATE(S1411,Q1411,P1411)</f>
        <v/>
      </c>
      <c r="U1411" s="206">
        <f>L1411*M1411</f>
        <v/>
      </c>
      <c r="V1411" s="4" t="n"/>
      <c r="W1411" s="4" t="n"/>
      <c r="X1411" s="4" t="n"/>
    </row>
    <row r="1412" ht="15.75" customHeight="1" thickBot="1">
      <c r="A1412" s="186" t="n">
        <v>650</v>
      </c>
      <c r="B1412" s="214" t="inlineStr">
        <is>
          <t>Instant Noodles</t>
        </is>
      </c>
      <c r="C1412" s="124" t="n"/>
      <c r="D1412" s="115" t="n"/>
      <c r="E1412" s="124" t="n"/>
      <c r="F1412" s="124" t="n"/>
      <c r="G1412" s="124" t="n"/>
      <c r="H1412" s="84" t="n"/>
      <c r="I1412" s="7" t="n"/>
      <c r="J1412" s="32" t="inlineStr">
        <is>
          <t>Lucky Me! - Go cup Sotanghon 40g</t>
        </is>
      </c>
      <c r="K1412" s="24" t="n"/>
      <c r="L1412" s="36" t="n">
        <v>25.55</v>
      </c>
      <c r="M1412" s="204" t="n">
        <v>7</v>
      </c>
      <c r="N1412" s="177" t="n">
        <v>40</v>
      </c>
      <c r="O1412" s="13" t="n"/>
      <c r="P1412" s="139" t="inlineStr">
        <is>
          <t>grams</t>
        </is>
      </c>
      <c r="Q1412" s="2" t="n"/>
      <c r="R1412" s="1" t="n"/>
      <c r="S1412" s="229">
        <f>M1412*N1412</f>
        <v/>
      </c>
      <c r="T1412" s="230">
        <f>CONCATENATE(S1412,Q1412,P1412)</f>
        <v/>
      </c>
      <c r="U1412" s="206">
        <f>L1412*M1412</f>
        <v/>
      </c>
      <c r="V1412" s="4" t="n"/>
      <c r="W1412" s="4" t="n"/>
      <c r="X1412" s="4" t="n"/>
    </row>
    <row r="1413" ht="15.75" customHeight="1" thickBot="1">
      <c r="A1413" s="186" t="n">
        <v>650</v>
      </c>
      <c r="B1413" s="214" t="inlineStr">
        <is>
          <t>Instant Noodles</t>
        </is>
      </c>
      <c r="C1413" s="124" t="n"/>
      <c r="D1413" s="115" t="n"/>
      <c r="E1413" s="124" t="n"/>
      <c r="F1413" s="124" t="n"/>
      <c r="G1413" s="124" t="n"/>
      <c r="H1413" s="84" t="n"/>
      <c r="I1413" s="7" t="n"/>
      <c r="J1413" s="32" t="inlineStr">
        <is>
          <t>Lucky Me! - Go cup Spicy Batchoy 40g</t>
        </is>
      </c>
      <c r="K1413" s="24" t="n"/>
      <c r="L1413" s="36" t="n">
        <v>21.65</v>
      </c>
      <c r="M1413" s="204" t="n">
        <v>10</v>
      </c>
      <c r="N1413" s="177" t="n">
        <v>40</v>
      </c>
      <c r="O1413" s="13" t="n"/>
      <c r="P1413" s="139" t="inlineStr">
        <is>
          <t>grams</t>
        </is>
      </c>
      <c r="Q1413" s="2" t="n"/>
      <c r="R1413" s="1" t="n"/>
      <c r="S1413" s="229">
        <f>M1413*N1413</f>
        <v/>
      </c>
      <c r="T1413" s="230">
        <f>CONCATENATE(S1413,Q1413,P1413)</f>
        <v/>
      </c>
      <c r="U1413" s="206">
        <f>L1413*M1413</f>
        <v/>
      </c>
      <c r="V1413" s="4" t="n"/>
      <c r="W1413" s="4" t="n"/>
      <c r="X1413" s="4" t="n"/>
    </row>
    <row r="1414" ht="15.75" customHeight="1" thickBot="1">
      <c r="A1414" s="186" t="n">
        <v>650</v>
      </c>
      <c r="B1414" s="214" t="inlineStr">
        <is>
          <t>Instant Noodles</t>
        </is>
      </c>
      <c r="C1414" s="124" t="n"/>
      <c r="D1414" s="115" t="n"/>
      <c r="E1414" s="124" t="n"/>
      <c r="F1414" s="124" t="n"/>
      <c r="G1414" s="124" t="n"/>
      <c r="H1414" s="84" t="n"/>
      <c r="I1414" s="7" t="n"/>
      <c r="J1414" s="32" t="inlineStr">
        <is>
          <t>Lucky Me! - Chicken Sotanghon</t>
        </is>
      </c>
      <c r="K1414" s="24" t="n"/>
      <c r="L1414" s="36" t="n">
        <v>21.22</v>
      </c>
      <c r="M1414" s="204" t="n">
        <v>63</v>
      </c>
      <c r="N1414" s="177" t="n">
        <v>48</v>
      </c>
      <c r="O1414" s="13" t="n"/>
      <c r="P1414" s="139" t="inlineStr">
        <is>
          <t>grams</t>
        </is>
      </c>
      <c r="Q1414" s="2" t="n"/>
      <c r="R1414" s="1" t="n"/>
      <c r="S1414" s="229">
        <f>M1414*N1414</f>
        <v/>
      </c>
      <c r="T1414" s="230">
        <f>CONCATENATE(S1414,Q1414,P1414)</f>
        <v/>
      </c>
      <c r="U1414" s="206">
        <f>L1414*M1414</f>
        <v/>
      </c>
      <c r="V1414" s="4" t="n"/>
      <c r="W1414" s="4" t="n"/>
      <c r="X1414" s="4" t="n"/>
    </row>
    <row r="1415" ht="15.75" customHeight="1" thickBot="1">
      <c r="A1415" s="186" t="n">
        <v>650</v>
      </c>
      <c r="B1415" s="214" t="inlineStr">
        <is>
          <t>Instant Noodles</t>
        </is>
      </c>
      <c r="C1415" s="124" t="n"/>
      <c r="D1415" s="115" t="n"/>
      <c r="E1415" s="124" t="n"/>
      <c r="F1415" s="124" t="n"/>
      <c r="G1415" s="124" t="n"/>
      <c r="H1415" s="84" t="n"/>
      <c r="I1415" s="7" t="n"/>
      <c r="J1415" s="32" t="inlineStr">
        <is>
          <t>Nissin - Cup Noodles Batchoy</t>
        </is>
      </c>
      <c r="K1415" s="24" t="n"/>
      <c r="L1415" s="36" t="n">
        <v>32.6</v>
      </c>
      <c r="M1415" s="204" t="n">
        <v>10</v>
      </c>
      <c r="N1415" s="177" t="n">
        <v>60</v>
      </c>
      <c r="O1415" s="13" t="n"/>
      <c r="P1415" s="139" t="inlineStr">
        <is>
          <t>grams</t>
        </is>
      </c>
      <c r="Q1415" s="2" t="n"/>
      <c r="R1415" s="1" t="n"/>
      <c r="S1415" s="229">
        <f>M1415*N1415</f>
        <v/>
      </c>
      <c r="T1415" s="230">
        <f>CONCATENATE(S1415,Q1415,P1415)</f>
        <v/>
      </c>
      <c r="U1415" s="206">
        <f>L1415*M1415</f>
        <v/>
      </c>
      <c r="V1415" s="4" t="n"/>
      <c r="W1415" s="4" t="n"/>
      <c r="X1415" s="4" t="n"/>
    </row>
    <row r="1416" ht="15.75" customHeight="1" thickBot="1">
      <c r="A1416" s="186" t="n">
        <v>650</v>
      </c>
      <c r="B1416" s="214" t="inlineStr">
        <is>
          <t>Instant Noodles</t>
        </is>
      </c>
      <c r="C1416" s="124" t="n"/>
      <c r="D1416" s="115" t="n"/>
      <c r="E1416" s="124" t="n"/>
      <c r="F1416" s="124" t="n"/>
      <c r="G1416" s="124" t="n"/>
      <c r="H1416" s="84" t="n"/>
      <c r="I1416" s="7" t="n"/>
      <c r="J1416" s="32" t="inlineStr">
        <is>
          <t>Nissin - Cup Noodles Creamy Seafood</t>
        </is>
      </c>
      <c r="K1416" s="24" t="n"/>
      <c r="L1416" s="36" t="n">
        <v>21.5</v>
      </c>
      <c r="M1416" s="204" t="n">
        <v>7</v>
      </c>
      <c r="N1416" s="177" t="n">
        <v>60</v>
      </c>
      <c r="O1416" s="13" t="n"/>
      <c r="P1416" s="139" t="inlineStr">
        <is>
          <t>grams</t>
        </is>
      </c>
      <c r="Q1416" s="2" t="n"/>
      <c r="R1416" s="1" t="n"/>
      <c r="S1416" s="229">
        <f>M1416*N1416</f>
        <v/>
      </c>
      <c r="T1416" s="230">
        <f>CONCATENATE(S1416,Q1416,P1416)</f>
        <v/>
      </c>
      <c r="U1416" s="206">
        <f>L1416*M1416</f>
        <v/>
      </c>
      <c r="V1416" s="4" t="n"/>
      <c r="W1416" s="4" t="n"/>
      <c r="X1416" s="4" t="n"/>
    </row>
    <row r="1417" ht="15.75" customHeight="1" thickBot="1">
      <c r="A1417" s="186" t="n">
        <v>650</v>
      </c>
      <c r="B1417" s="214" t="inlineStr">
        <is>
          <t>Instant Noodles</t>
        </is>
      </c>
      <c r="C1417" s="124" t="n"/>
      <c r="D1417" s="115" t="n"/>
      <c r="E1417" s="124" t="n"/>
      <c r="F1417" s="124" t="n"/>
      <c r="G1417" s="124" t="n"/>
      <c r="H1417" s="84" t="n"/>
      <c r="I1417" s="7" t="n"/>
      <c r="J1417" s="32" t="inlineStr">
        <is>
          <t>Lucky Me! - Go Cup Seafood</t>
        </is>
      </c>
      <c r="K1417" s="24" t="n"/>
      <c r="L1417" s="36" t="n">
        <v>21.03</v>
      </c>
      <c r="M1417" s="204" t="n">
        <v>32</v>
      </c>
      <c r="N1417" s="177" t="n">
        <v>40</v>
      </c>
      <c r="O1417" s="13" t="n"/>
      <c r="P1417" s="139" t="inlineStr">
        <is>
          <t>grams</t>
        </is>
      </c>
      <c r="Q1417" s="2" t="n"/>
      <c r="R1417" s="1" t="n"/>
      <c r="S1417" s="229">
        <f>M1417*N1417</f>
        <v/>
      </c>
      <c r="T1417" s="230">
        <f>CONCATENATE(S1417,Q1417,P1417)</f>
        <v/>
      </c>
      <c r="U1417" s="206">
        <f>L1417*M1417</f>
        <v/>
      </c>
      <c r="V1417" s="4" t="n"/>
      <c r="W1417" s="4" t="n"/>
      <c r="X1417" s="4" t="n"/>
    </row>
    <row r="1418" ht="15.75" customHeight="1" thickBot="1">
      <c r="A1418" s="186" t="n">
        <v>650</v>
      </c>
      <c r="B1418" s="215" t="inlineStr">
        <is>
          <t>Instant Noodles</t>
        </is>
      </c>
      <c r="C1418" s="124" t="n"/>
      <c r="D1418" s="115" t="n"/>
      <c r="E1418" s="124" t="n"/>
      <c r="F1418" s="124" t="n"/>
      <c r="G1418" s="124" t="n"/>
      <c r="H1418" s="84" t="n"/>
      <c r="I1418" s="7" t="n"/>
      <c r="J1418" s="32" t="inlineStr">
        <is>
          <t>Lucky Me! - Go Cup Spicy Bulalo</t>
        </is>
      </c>
      <c r="K1418" s="24" t="n"/>
      <c r="L1418" s="36" t="n">
        <v>21.22</v>
      </c>
      <c r="M1418" s="204" t="n">
        <v>37</v>
      </c>
      <c r="N1418" s="177" t="n">
        <v>40</v>
      </c>
      <c r="O1418" s="13" t="n"/>
      <c r="P1418" s="139" t="inlineStr">
        <is>
          <t>grams</t>
        </is>
      </c>
      <c r="Q1418" s="2" t="n"/>
      <c r="R1418" s="1" t="n"/>
      <c r="S1418" s="229">
        <f>M1418*N1418</f>
        <v/>
      </c>
      <c r="T1418" s="230">
        <f>CONCATENATE(S1418,Q1418,P1418)</f>
        <v/>
      </c>
      <c r="U1418" s="206">
        <f>L1418*M1418</f>
        <v/>
      </c>
      <c r="V1418" s="4" t="n"/>
      <c r="W1418" s="4" t="n"/>
      <c r="X1418" s="4" t="n"/>
    </row>
    <row r="1419" ht="15.75" customHeight="1" thickBot="1">
      <c r="A1419" s="186" t="n">
        <v>650</v>
      </c>
      <c r="B1419" s="214" t="inlineStr">
        <is>
          <t>Instant Noodles</t>
        </is>
      </c>
      <c r="C1419" s="124" t="n"/>
      <c r="D1419" s="115" t="n"/>
      <c r="E1419" s="124" t="n"/>
      <c r="F1419" s="124" t="n"/>
      <c r="G1419" s="124" t="n"/>
      <c r="H1419" s="84" t="n"/>
      <c r="I1419" s="7" t="n"/>
      <c r="J1419" s="32" t="inlineStr">
        <is>
          <t>Lucky Me! - Jjamppong</t>
        </is>
      </c>
      <c r="K1419" s="24" t="n"/>
      <c r="L1419" s="36" t="n">
        <v>25.3</v>
      </c>
      <c r="M1419" s="204" t="n">
        <v>36</v>
      </c>
      <c r="N1419" s="177" t="n">
        <v>40</v>
      </c>
      <c r="O1419" s="13" t="n"/>
      <c r="P1419" s="139" t="inlineStr">
        <is>
          <t>grams</t>
        </is>
      </c>
      <c r="Q1419" s="2" t="n"/>
      <c r="R1419" s="1" t="n"/>
      <c r="S1419" s="229">
        <f>M1419*N1419</f>
        <v/>
      </c>
      <c r="T1419" s="230">
        <f>CONCATENATE(S1419,Q1419,P1419)</f>
        <v/>
      </c>
      <c r="U1419" s="206">
        <f>L1419*M1419</f>
        <v/>
      </c>
      <c r="V1419" s="4" t="n"/>
      <c r="W1419" s="4" t="n"/>
      <c r="X1419" s="4" t="n"/>
    </row>
    <row r="1420" ht="15.75" customHeight="1" thickBot="1">
      <c r="A1420" s="186" t="n">
        <v>651</v>
      </c>
      <c r="B1420" s="215" t="inlineStr">
        <is>
          <t>Instant Oast</t>
        </is>
      </c>
      <c r="C1420" s="124" t="n"/>
      <c r="D1420" s="115" t="n"/>
      <c r="E1420" s="124" t="n"/>
      <c r="F1420" s="124" t="n"/>
      <c r="G1420" s="124" t="n"/>
      <c r="H1420" s="84" t="n"/>
      <c r="I1420" s="7" t="n"/>
      <c r="J1420" s="32" t="inlineStr">
        <is>
          <t>quaker/pack/500grams</t>
        </is>
      </c>
      <c r="K1420" s="24" t="n"/>
      <c r="L1420" s="36" t="n">
        <v>88.09999999999999</v>
      </c>
      <c r="M1420" s="204" t="n">
        <v>1</v>
      </c>
      <c r="N1420" s="177" t="n">
        <v>500</v>
      </c>
      <c r="O1420" s="13" t="n"/>
      <c r="P1420" s="139" t="inlineStr">
        <is>
          <t>grams</t>
        </is>
      </c>
      <c r="Q1420" s="2" t="n"/>
      <c r="R1420" s="1" t="n"/>
      <c r="S1420" s="229">
        <f>M1420*N1420</f>
        <v/>
      </c>
      <c r="T1420" s="230">
        <f>CONCATENATE(S1420,Q1420,P1420)</f>
        <v/>
      </c>
      <c r="U1420" s="206">
        <f>L1420*M1420</f>
        <v/>
      </c>
      <c r="V1420" s="4" t="n"/>
      <c r="W1420" s="4" t="n"/>
      <c r="X1420" s="4" t="n"/>
    </row>
    <row r="1421" ht="15.75" customHeight="1" thickBot="1">
      <c r="A1421" s="186" t="n">
        <v>652</v>
      </c>
      <c r="B1421" s="214" t="inlineStr">
        <is>
          <t>Instant Oatmeal</t>
        </is>
      </c>
      <c r="C1421" s="124" t="n"/>
      <c r="D1421" s="115" t="n"/>
      <c r="E1421" s="124" t="n"/>
      <c r="F1421" s="124" t="n"/>
      <c r="G1421" s="124" t="n"/>
      <c r="H1421" s="84" t="n"/>
      <c r="I1421" s="7" t="n"/>
      <c r="J1421" s="32" t="inlineStr">
        <is>
          <t>Quaker</t>
        </is>
      </c>
      <c r="K1421" s="24" t="n"/>
      <c r="L1421" s="36" t="n">
        <v>10.83</v>
      </c>
      <c r="M1421" s="204" t="n">
        <v>10</v>
      </c>
      <c r="N1421" s="177" t="n">
        <v>33</v>
      </c>
      <c r="O1421" s="13" t="n"/>
      <c r="P1421" s="139" t="inlineStr">
        <is>
          <t>grams</t>
        </is>
      </c>
      <c r="Q1421" s="2" t="n"/>
      <c r="R1421" s="1" t="n"/>
      <c r="S1421" s="229">
        <f>M1421*N1421</f>
        <v/>
      </c>
      <c r="T1421" s="230">
        <f>CONCATENATE(S1421,Q1421,P1421)</f>
        <v/>
      </c>
      <c r="U1421" s="206">
        <f>L1421*M1421</f>
        <v/>
      </c>
      <c r="V1421" s="4" t="n"/>
      <c r="W1421" s="4" t="n"/>
      <c r="X1421" s="4" t="n"/>
    </row>
    <row r="1422" ht="15.75" customHeight="1" thickBot="1">
      <c r="A1422" s="186" t="n">
        <v>652</v>
      </c>
      <c r="B1422" s="214" t="inlineStr">
        <is>
          <t>Instant Oatmeal</t>
        </is>
      </c>
      <c r="C1422" s="124" t="n"/>
      <c r="D1422" s="115" t="n"/>
      <c r="E1422" s="124" t="n"/>
      <c r="F1422" s="124" t="n"/>
      <c r="G1422" s="124" t="n"/>
      <c r="H1422" s="84" t="n"/>
      <c r="I1422" s="7" t="n"/>
      <c r="J1422" s="32" t="inlineStr">
        <is>
          <t>Quaker - 6x33grams</t>
        </is>
      </c>
      <c r="K1422" s="24" t="n"/>
      <c r="L1422" s="36" t="n">
        <v>65</v>
      </c>
      <c r="M1422" s="204" t="n">
        <v>2</v>
      </c>
      <c r="N1422" s="177" t="n">
        <v>6</v>
      </c>
      <c r="O1422" s="13" t="n"/>
      <c r="P1422" s="139" t="inlineStr">
        <is>
          <t>pieces</t>
        </is>
      </c>
      <c r="Q1422" s="2" t="n"/>
      <c r="R1422" s="1" t="n"/>
      <c r="S1422" s="229">
        <f>M1422*N1422</f>
        <v/>
      </c>
      <c r="T1422" s="230">
        <f>CONCATENATE(S1422,Q1422,P1422)</f>
        <v/>
      </c>
      <c r="U1422" s="206">
        <f>L1422*M1422</f>
        <v/>
      </c>
      <c r="V1422" s="4" t="n"/>
      <c r="W1422" s="4" t="n"/>
      <c r="X1422" s="4" t="n"/>
    </row>
    <row r="1423" ht="15.75" customHeight="1" thickBot="1">
      <c r="A1423" s="186" t="n">
        <v>652</v>
      </c>
      <c r="B1423" s="214" t="inlineStr">
        <is>
          <t>Instant Oatmeal</t>
        </is>
      </c>
      <c r="C1423" s="124" t="n"/>
      <c r="D1423" s="115" t="n"/>
      <c r="E1423" s="124" t="n"/>
      <c r="F1423" s="124" t="n"/>
      <c r="G1423" s="124" t="n"/>
      <c r="H1423" s="84" t="n"/>
      <c r="I1423" s="7" t="n"/>
      <c r="J1423" s="32" t="inlineStr">
        <is>
          <t>Quaker - 6x33grams</t>
        </is>
      </c>
      <c r="K1423" s="24" t="n"/>
      <c r="L1423" s="36" t="n">
        <v>65</v>
      </c>
      <c r="M1423" s="204" t="n">
        <v>1</v>
      </c>
      <c r="N1423" s="177" t="n">
        <v>6</v>
      </c>
      <c r="O1423" s="13" t="n"/>
      <c r="P1423" s="139" t="inlineStr">
        <is>
          <t>pieces</t>
        </is>
      </c>
      <c r="Q1423" s="2" t="n"/>
      <c r="R1423" s="1" t="n"/>
      <c r="S1423" s="229">
        <f>M1423*N1423</f>
        <v/>
      </c>
      <c r="T1423" s="230">
        <f>CONCATENATE(S1423,Q1423,P1423)</f>
        <v/>
      </c>
      <c r="U1423" s="206">
        <f>L1423*M1423</f>
        <v/>
      </c>
      <c r="V1423" s="4" t="n"/>
      <c r="W1423" s="4" t="n"/>
      <c r="X1423" s="4" t="n"/>
    </row>
    <row r="1424" ht="15.75" customHeight="1" thickBot="1">
      <c r="A1424" s="186" t="n">
        <v>652</v>
      </c>
      <c r="B1424" s="214" t="inlineStr">
        <is>
          <t>Instant Oatmeal</t>
        </is>
      </c>
      <c r="C1424" s="124" t="n"/>
      <c r="D1424" s="115" t="n"/>
      <c r="E1424" s="124" t="n"/>
      <c r="F1424" s="124" t="n"/>
      <c r="G1424" s="124" t="n"/>
      <c r="H1424" s="84" t="n"/>
      <c r="I1424" s="7" t="n"/>
      <c r="J1424" s="32" t="inlineStr">
        <is>
          <t>Quaker - 6x33grams</t>
        </is>
      </c>
      <c r="K1424" s="24" t="n"/>
      <c r="L1424" s="36" t="n">
        <v>64.5</v>
      </c>
      <c r="M1424" s="204" t="n">
        <v>1</v>
      </c>
      <c r="N1424" s="177" t="n">
        <v>6</v>
      </c>
      <c r="O1424" s="13" t="n"/>
      <c r="P1424" s="139" t="inlineStr">
        <is>
          <t>pieces</t>
        </is>
      </c>
      <c r="Q1424" s="2" t="n"/>
      <c r="R1424" s="1" t="n"/>
      <c r="S1424" s="229">
        <f>M1424*N1424</f>
        <v/>
      </c>
      <c r="T1424" s="230">
        <f>CONCATENATE(S1424,Q1424,P1424)</f>
        <v/>
      </c>
      <c r="U1424" s="206">
        <f>L1424*M1424</f>
        <v/>
      </c>
      <c r="V1424" s="4" t="n"/>
      <c r="W1424" s="4" t="n"/>
      <c r="X1424" s="4" t="n"/>
    </row>
    <row r="1425" ht="15.75" customHeight="1" thickBot="1">
      <c r="A1425" s="186" t="n">
        <v>653</v>
      </c>
      <c r="B1425" s="214" t="inlineStr">
        <is>
          <t>Instant Oatmeal - Chocolate</t>
        </is>
      </c>
      <c r="C1425" s="124" t="n"/>
      <c r="D1425" s="115" t="n"/>
      <c r="E1425" s="124" t="n"/>
      <c r="F1425" s="124" t="n"/>
      <c r="G1425" s="124" t="n"/>
      <c r="H1425" s="84" t="n"/>
      <c r="I1425" s="7" t="n"/>
      <c r="J1425" s="32" t="inlineStr">
        <is>
          <t>Quaker</t>
        </is>
      </c>
      <c r="K1425" s="24" t="n"/>
      <c r="L1425" s="36" t="n">
        <v>10.83</v>
      </c>
      <c r="M1425" s="204" t="n">
        <v>11</v>
      </c>
      <c r="N1425" s="177" t="n">
        <v>33</v>
      </c>
      <c r="O1425" s="13" t="n"/>
      <c r="P1425" s="139" t="inlineStr">
        <is>
          <t>grams</t>
        </is>
      </c>
      <c r="Q1425" s="2" t="n"/>
      <c r="R1425" s="1" t="n"/>
      <c r="S1425" s="229">
        <f>M1425*N1425</f>
        <v/>
      </c>
      <c r="T1425" s="230">
        <f>CONCATENATE(S1425,Q1425,P1425)</f>
        <v/>
      </c>
      <c r="U1425" s="206">
        <f>L1425*M1425</f>
        <v/>
      </c>
      <c r="V1425" s="4" t="n"/>
      <c r="W1425" s="4" t="n"/>
      <c r="X1425" s="4" t="n"/>
    </row>
    <row r="1426" ht="15.75" customHeight="1" thickBot="1">
      <c r="A1426" s="186" t="n">
        <v>654</v>
      </c>
      <c r="B1426" s="214" t="inlineStr">
        <is>
          <t>Italian Seasoning</t>
        </is>
      </c>
      <c r="C1426" s="124" t="n"/>
      <c r="D1426" s="115" t="n"/>
      <c r="E1426" s="124" t="n"/>
      <c r="F1426" s="124" t="n"/>
      <c r="G1426" s="124" t="n"/>
      <c r="H1426" s="84" t="n"/>
      <c r="I1426" s="7" t="n"/>
      <c r="J1426" s="32" t="inlineStr">
        <is>
          <t>Mc Cormick</t>
        </is>
      </c>
      <c r="K1426" s="24" t="n"/>
      <c r="L1426" s="36" t="n">
        <v>71</v>
      </c>
      <c r="M1426" s="204" t="n">
        <v>1</v>
      </c>
      <c r="N1426" s="177" t="n">
        <v>13</v>
      </c>
      <c r="O1426" s="13" t="n"/>
      <c r="P1426" s="139" t="inlineStr">
        <is>
          <t>grams</t>
        </is>
      </c>
      <c r="Q1426" s="2" t="n"/>
      <c r="R1426" s="1" t="n"/>
      <c r="S1426" s="229">
        <f>M1426*N1426</f>
        <v/>
      </c>
      <c r="T1426" s="230">
        <f>CONCATENATE(S1426,Q1426,P1426)</f>
        <v/>
      </c>
      <c r="U1426" s="206">
        <f>L1426*M1426</f>
        <v/>
      </c>
      <c r="V1426" s="4" t="n"/>
      <c r="W1426" s="4" t="n"/>
      <c r="X1426" s="4" t="n"/>
    </row>
    <row r="1427" ht="15.75" customHeight="1" thickBot="1">
      <c r="A1427" s="186" t="n">
        <v>654</v>
      </c>
      <c r="B1427" s="215" t="inlineStr">
        <is>
          <t>Italian Seasoning</t>
        </is>
      </c>
      <c r="C1427" s="124" t="n"/>
      <c r="D1427" s="115" t="n"/>
      <c r="E1427" s="124" t="n"/>
      <c r="F1427" s="124" t="n"/>
      <c r="G1427" s="124" t="n"/>
      <c r="H1427" s="84" t="n"/>
      <c r="I1427" s="7" t="n"/>
      <c r="J1427" s="32" t="inlineStr">
        <is>
          <t>McCormick</t>
        </is>
      </c>
      <c r="K1427" s="24" t="n"/>
      <c r="L1427" s="36" t="n">
        <v>59.25</v>
      </c>
      <c r="M1427" s="204" t="n">
        <v>1</v>
      </c>
      <c r="N1427" s="177" t="n">
        <v>13</v>
      </c>
      <c r="O1427" s="13" t="n"/>
      <c r="P1427" s="139" t="inlineStr">
        <is>
          <t>grams</t>
        </is>
      </c>
      <c r="Q1427" s="2" t="n"/>
      <c r="R1427" s="1" t="n"/>
      <c r="S1427" s="229">
        <f>M1427*N1427</f>
        <v/>
      </c>
      <c r="T1427" s="230">
        <f>CONCATENATE(S1427,Q1427,P1427)</f>
        <v/>
      </c>
      <c r="U1427" s="206">
        <f>L1427*M1427</f>
        <v/>
      </c>
      <c r="V1427" s="4" t="n"/>
      <c r="W1427" s="4" t="n"/>
      <c r="X1427" s="4" t="n"/>
    </row>
    <row r="1428" ht="15.75" customHeight="1" thickBot="1">
      <c r="A1428" s="186" t="n">
        <v>654</v>
      </c>
      <c r="B1428" s="215" t="inlineStr">
        <is>
          <t>Italian Seasoning</t>
        </is>
      </c>
      <c r="C1428" s="124" t="n"/>
      <c r="D1428" s="115" t="n"/>
      <c r="E1428" s="124" t="n"/>
      <c r="F1428" s="124" t="n"/>
      <c r="G1428" s="124" t="n"/>
      <c r="H1428" s="84" t="n"/>
      <c r="I1428" s="7" t="n"/>
      <c r="J1428" s="32" t="inlineStr">
        <is>
          <t>McCormick</t>
        </is>
      </c>
      <c r="K1428" s="24" t="n"/>
      <c r="L1428" s="36" t="n">
        <v>59.25</v>
      </c>
      <c r="M1428" s="204" t="n">
        <v>1</v>
      </c>
      <c r="N1428" s="177" t="n">
        <v>13</v>
      </c>
      <c r="O1428" s="13" t="n"/>
      <c r="P1428" s="139" t="inlineStr">
        <is>
          <t>grams</t>
        </is>
      </c>
      <c r="Q1428" s="2" t="n"/>
      <c r="R1428" s="1" t="n"/>
      <c r="S1428" s="229">
        <f>M1428*N1428</f>
        <v/>
      </c>
      <c r="T1428" s="230">
        <f>CONCATENATE(S1428,Q1428,P1428)</f>
        <v/>
      </c>
      <c r="U1428" s="206">
        <f>L1428*M1428</f>
        <v/>
      </c>
      <c r="V1428" s="4" t="n"/>
      <c r="W1428" s="4" t="n"/>
      <c r="X1428" s="4" t="n"/>
    </row>
    <row r="1429" ht="15.75" customHeight="1" thickBot="1">
      <c r="A1429" s="186" t="n">
        <v>654</v>
      </c>
      <c r="B1429" s="215" t="inlineStr">
        <is>
          <t>Italian Seasoning</t>
        </is>
      </c>
      <c r="C1429" s="124" t="n"/>
      <c r="D1429" s="115" t="n"/>
      <c r="E1429" s="124" t="n"/>
      <c r="F1429" s="124" t="n"/>
      <c r="G1429" s="124" t="n"/>
      <c r="H1429" s="84" t="n"/>
      <c r="I1429" s="7" t="n"/>
      <c r="J1429" s="32" t="inlineStr">
        <is>
          <t>McCormick</t>
        </is>
      </c>
      <c r="K1429" s="24" t="n"/>
      <c r="L1429" s="36" t="n">
        <v>59.25</v>
      </c>
      <c r="M1429" s="204" t="n">
        <v>2</v>
      </c>
      <c r="N1429" s="177" t="n">
        <v>13</v>
      </c>
      <c r="O1429" s="13" t="n"/>
      <c r="P1429" s="139" t="inlineStr">
        <is>
          <t>grams</t>
        </is>
      </c>
      <c r="Q1429" s="2" t="n"/>
      <c r="R1429" s="1" t="n"/>
      <c r="S1429" s="229">
        <f>M1429*N1429</f>
        <v/>
      </c>
      <c r="T1429" s="230">
        <f>CONCATENATE(S1429,Q1429,P1429)</f>
        <v/>
      </c>
      <c r="U1429" s="206">
        <f>L1429*M1429</f>
        <v/>
      </c>
      <c r="V1429" s="4" t="n"/>
      <c r="W1429" s="4" t="n"/>
      <c r="X1429" s="4" t="n"/>
    </row>
    <row r="1430" ht="15.75" customHeight="1" thickBot="1">
      <c r="A1430" s="186" t="n">
        <v>654</v>
      </c>
      <c r="B1430" s="215" t="inlineStr">
        <is>
          <t>Italian Seasoning</t>
        </is>
      </c>
      <c r="C1430" s="124" t="n"/>
      <c r="D1430" s="115" t="n"/>
      <c r="E1430" s="124" t="n"/>
      <c r="F1430" s="124" t="n"/>
      <c r="G1430" s="124" t="n"/>
      <c r="H1430" s="84" t="n"/>
      <c r="I1430" s="7" t="n"/>
      <c r="J1430" s="32" t="inlineStr">
        <is>
          <t>McCormick</t>
        </is>
      </c>
      <c r="K1430" s="24" t="n"/>
      <c r="L1430" s="36" t="n">
        <v>59.25</v>
      </c>
      <c r="M1430" s="204" t="n">
        <v>2</v>
      </c>
      <c r="N1430" s="177" t="n">
        <v>13</v>
      </c>
      <c r="O1430" s="13" t="n"/>
      <c r="P1430" s="139" t="inlineStr">
        <is>
          <t>grams</t>
        </is>
      </c>
      <c r="Q1430" s="2" t="n"/>
      <c r="R1430" s="1" t="n"/>
      <c r="S1430" s="229">
        <f>M1430*N1430</f>
        <v/>
      </c>
      <c r="T1430" s="230">
        <f>CONCATENATE(S1430,Q1430,P1430)</f>
        <v/>
      </c>
      <c r="U1430" s="206">
        <f>L1430*M1430</f>
        <v/>
      </c>
      <c r="V1430" s="4" t="n"/>
      <c r="W1430" s="4" t="n"/>
      <c r="X1430" s="4" t="n"/>
    </row>
    <row r="1431" ht="15.75" customHeight="1" thickBot="1">
      <c r="A1431" s="186" t="n">
        <v>211</v>
      </c>
      <c r="B1431" s="214" t="inlineStr">
        <is>
          <t>Italian Spaghetti Sauce</t>
        </is>
      </c>
      <c r="C1431" s="124" t="n"/>
      <c r="D1431" s="115" t="n"/>
      <c r="E1431" s="124" t="n"/>
      <c r="F1431" s="124" t="n"/>
      <c r="G1431" s="124" t="n"/>
      <c r="H1431" s="84" t="n"/>
      <c r="I1431" s="7" t="n"/>
      <c r="J1431" s="32" t="inlineStr">
        <is>
          <t>Del Monte</t>
        </is>
      </c>
      <c r="K1431" s="24" t="n"/>
      <c r="L1431" s="36" t="n">
        <v>98</v>
      </c>
      <c r="M1431" s="204" t="n">
        <v>5</v>
      </c>
      <c r="N1431" s="177" t="n">
        <v>900</v>
      </c>
      <c r="O1431" s="13" t="n"/>
      <c r="P1431" s="139" t="inlineStr">
        <is>
          <t>grams</t>
        </is>
      </c>
      <c r="Q1431" s="2" t="n"/>
      <c r="R1431" s="1" t="n"/>
      <c r="S1431" s="229">
        <f>M1431*N1431</f>
        <v/>
      </c>
      <c r="T1431" s="230">
        <f>CONCATENATE(S1431,Q1431,P1431)</f>
        <v/>
      </c>
      <c r="U1431" s="206">
        <f>L1431*M1431</f>
        <v/>
      </c>
      <c r="V1431" s="4" t="n"/>
      <c r="W1431" s="4" t="n"/>
      <c r="X1431" s="4" t="n"/>
    </row>
    <row r="1432" ht="15.75" customHeight="1" thickBot="1">
      <c r="A1432" s="186" t="n">
        <v>212</v>
      </c>
      <c r="B1432" s="214" t="inlineStr">
        <is>
          <t>Jamonila</t>
        </is>
      </c>
      <c r="C1432" s="124" t="n"/>
      <c r="D1432" s="115" t="n"/>
      <c r="E1432" s="124" t="n"/>
      <c r="F1432" s="124" t="n"/>
      <c r="G1432" s="124" t="n"/>
      <c r="H1432" s="84" t="n"/>
      <c r="I1432" s="7" t="n"/>
      <c r="J1432" s="32" t="inlineStr">
        <is>
          <t>Tulip/can/24pcsx340 grams</t>
        </is>
      </c>
      <c r="K1432" s="24" t="n"/>
      <c r="L1432" s="36" t="n">
        <v>170.6</v>
      </c>
      <c r="M1432" s="204" t="n">
        <v>2</v>
      </c>
      <c r="N1432" s="177" t="n">
        <v>340</v>
      </c>
      <c r="O1432" s="13" t="n"/>
      <c r="P1432" s="139" t="inlineStr">
        <is>
          <t>grams</t>
        </is>
      </c>
      <c r="Q1432" s="2" t="n"/>
      <c r="R1432" s="1" t="n"/>
      <c r="S1432" s="229">
        <f>M1432*N1432</f>
        <v/>
      </c>
      <c r="T1432" s="230">
        <f>CONCATENATE(S1432,Q1432,P1432)</f>
        <v/>
      </c>
      <c r="U1432" s="206">
        <f>L1432*M1432</f>
        <v/>
      </c>
      <c r="V1432" s="4" t="n"/>
      <c r="W1432" s="4" t="n"/>
      <c r="X1432" s="4" t="n"/>
    </row>
    <row r="1433" ht="15.75" customHeight="1" thickBot="1">
      <c r="A1433" s="186" t="n">
        <v>212</v>
      </c>
      <c r="B1433" s="214" t="inlineStr">
        <is>
          <t>Jamonila</t>
        </is>
      </c>
      <c r="C1433" s="124" t="n"/>
      <c r="D1433" s="115" t="n"/>
      <c r="E1433" s="124" t="n"/>
      <c r="F1433" s="124" t="n"/>
      <c r="G1433" s="124" t="n"/>
      <c r="H1433" s="84" t="n"/>
      <c r="I1433" s="7" t="n"/>
      <c r="J1433" s="32" t="inlineStr">
        <is>
          <t>Tulip/can/24pcsx340 grams</t>
        </is>
      </c>
      <c r="K1433" s="24" t="n"/>
      <c r="L1433" s="36" t="n">
        <v>170.6</v>
      </c>
      <c r="M1433" s="204" t="n">
        <v>2</v>
      </c>
      <c r="N1433" s="177" t="n">
        <v>340</v>
      </c>
      <c r="O1433" s="13" t="n"/>
      <c r="P1433" s="139" t="inlineStr">
        <is>
          <t>grams</t>
        </is>
      </c>
      <c r="Q1433" s="2" t="n"/>
      <c r="R1433" s="1" t="n"/>
      <c r="S1433" s="229">
        <f>M1433*N1433</f>
        <v/>
      </c>
      <c r="T1433" s="230">
        <f>CONCATENATE(S1433,Q1433,P1433)</f>
        <v/>
      </c>
      <c r="U1433" s="206">
        <f>L1433*M1433</f>
        <v/>
      </c>
      <c r="V1433" s="4" t="n"/>
      <c r="W1433" s="4" t="n"/>
      <c r="X1433" s="4" t="n"/>
    </row>
    <row r="1434" ht="15.75" customHeight="1" thickBot="1">
      <c r="A1434" s="186" t="n">
        <v>213</v>
      </c>
      <c r="B1434" s="214" t="inlineStr">
        <is>
          <t>Japanese Cake</t>
        </is>
      </c>
      <c r="C1434" s="124" t="n"/>
      <c r="D1434" s="115" t="n"/>
      <c r="E1434" s="124" t="n"/>
      <c r="F1434" s="124" t="n"/>
      <c r="G1434" s="124" t="n"/>
      <c r="H1434" s="84" t="n"/>
      <c r="I1434" s="7" t="n"/>
      <c r="J1434" s="32" t="inlineStr">
        <is>
          <t>Regent/pack (10pcsx34grams)</t>
        </is>
      </c>
      <c r="K1434" s="24" t="n"/>
      <c r="L1434" s="36" t="n">
        <v>6.5</v>
      </c>
      <c r="M1434" s="204" t="n">
        <v>80</v>
      </c>
      <c r="N1434" s="177" t="n">
        <v>10</v>
      </c>
      <c r="O1434" s="13" t="n"/>
      <c r="P1434" s="139" t="inlineStr">
        <is>
          <t>pieces</t>
        </is>
      </c>
      <c r="Q1434" s="2" t="n"/>
      <c r="R1434" s="1" t="n"/>
      <c r="S1434" s="229">
        <f>M1434*N1434</f>
        <v/>
      </c>
      <c r="T1434" s="230">
        <f>CONCATENATE(S1434,Q1434,P1434)</f>
        <v/>
      </c>
      <c r="U1434" s="206">
        <f>L1434*M1434</f>
        <v/>
      </c>
      <c r="V1434" s="4" t="n"/>
      <c r="W1434" s="4" t="n"/>
      <c r="X1434" s="4" t="n"/>
    </row>
    <row r="1435" ht="15.75" customHeight="1" thickBot="1">
      <c r="A1435" s="186" t="n">
        <v>655</v>
      </c>
      <c r="B1435" s="215" t="inlineStr">
        <is>
          <t>JAPCHAE NOODLES</t>
        </is>
      </c>
      <c r="C1435" s="124" t="n"/>
      <c r="D1435" s="115" t="n"/>
      <c r="E1435" s="124" t="n"/>
      <c r="F1435" s="124" t="n"/>
      <c r="G1435" s="124" t="n"/>
      <c r="H1435" s="84" t="n"/>
      <c r="I1435" s="7" t="n"/>
      <c r="J1435" s="32" t="inlineStr">
        <is>
          <t>PACK/1000</t>
        </is>
      </c>
      <c r="K1435" s="24" t="n"/>
      <c r="L1435" s="36" t="n">
        <v>285</v>
      </c>
      <c r="M1435" s="204" t="n">
        <v>2</v>
      </c>
      <c r="N1435" s="177" t="n">
        <v>1000</v>
      </c>
      <c r="O1435" s="13" t="n"/>
      <c r="P1435" s="139" t="inlineStr">
        <is>
          <t>packs</t>
        </is>
      </c>
      <c r="Q1435" s="2" t="n"/>
      <c r="R1435" s="1" t="n"/>
      <c r="S1435" s="229">
        <f>M1435*N1435</f>
        <v/>
      </c>
      <c r="T1435" s="230">
        <f>CONCATENATE(S1435,Q1435,P1435)</f>
        <v/>
      </c>
      <c r="U1435" s="206">
        <f>L1435*M1435</f>
        <v/>
      </c>
      <c r="V1435" s="4" t="n"/>
      <c r="W1435" s="4" t="n"/>
      <c r="X1435" s="4" t="n"/>
    </row>
    <row r="1436" ht="15.75" customHeight="1" thickBot="1">
      <c r="A1436" s="186" t="n">
        <v>220</v>
      </c>
      <c r="B1436" s="214" t="inlineStr">
        <is>
          <t>Jasmine Rice</t>
        </is>
      </c>
      <c r="C1436" s="124" t="n"/>
      <c r="D1436" s="115" t="n"/>
      <c r="E1436" s="124" t="n"/>
      <c r="F1436" s="124" t="n"/>
      <c r="G1436" s="124" t="n"/>
      <c r="H1436" s="84" t="n"/>
      <c r="I1436" s="7" t="n"/>
      <c r="J1436" s="32" t="inlineStr">
        <is>
          <t>Golden Grains/pack/5kilos</t>
        </is>
      </c>
      <c r="K1436" s="24" t="n"/>
      <c r="L1436" s="36" t="n">
        <v>80</v>
      </c>
      <c r="M1436" s="204" t="n">
        <v>3</v>
      </c>
      <c r="N1436" s="177" t="n">
        <v>5</v>
      </c>
      <c r="O1436" s="13" t="n"/>
      <c r="P1436" s="139" t="inlineStr">
        <is>
          <t>kilos</t>
        </is>
      </c>
      <c r="Q1436" s="2" t="n"/>
      <c r="R1436" s="1" t="n"/>
      <c r="S1436" s="229">
        <f>M1436*N1436</f>
        <v/>
      </c>
      <c r="T1436" s="230">
        <f>CONCATENATE(S1436,Q1436,P1436)</f>
        <v/>
      </c>
      <c r="U1436" s="206">
        <f>L1436*M1436</f>
        <v/>
      </c>
      <c r="V1436" s="4" t="n"/>
      <c r="W1436" s="4" t="n"/>
      <c r="X1436" s="4" t="n"/>
    </row>
    <row r="1437" ht="15.75" customHeight="1" thickBot="1">
      <c r="A1437" s="186" t="n">
        <v>656</v>
      </c>
      <c r="B1437" s="214" t="inlineStr">
        <is>
          <t>Kalabasa</t>
        </is>
      </c>
      <c r="C1437" s="124" t="n"/>
      <c r="D1437" s="115" t="n"/>
      <c r="E1437" s="124" t="n"/>
      <c r="F1437" s="124" t="n"/>
      <c r="G1437" s="124" t="n"/>
      <c r="H1437" s="84" t="n"/>
      <c r="I1437" s="7" t="n"/>
      <c r="J1437" s="32" t="n"/>
      <c r="K1437" s="24" t="n"/>
      <c r="L1437" s="36" t="n">
        <v>55</v>
      </c>
      <c r="M1437" s="204" t="n">
        <v>7</v>
      </c>
      <c r="N1437" s="177" t="n">
        <v>1</v>
      </c>
      <c r="O1437" s="13" t="n"/>
      <c r="P1437" s="139" t="inlineStr">
        <is>
          <t>kilos</t>
        </is>
      </c>
      <c r="Q1437" s="2" t="n"/>
      <c r="R1437" s="1" t="n"/>
      <c r="S1437" s="229">
        <f>M1437*N1437</f>
        <v/>
      </c>
      <c r="T1437" s="230">
        <f>CONCATENATE(S1437,Q1437,P1437)</f>
        <v/>
      </c>
      <c r="U1437" s="206">
        <f>L1437*M1437</f>
        <v/>
      </c>
      <c r="V1437" s="4" t="n"/>
      <c r="W1437" s="4" t="n"/>
      <c r="X1437" s="4" t="n"/>
    </row>
    <row r="1438" ht="15.75" customHeight="1" thickBot="1">
      <c r="A1438" s="186" t="n">
        <v>656</v>
      </c>
      <c r="B1438" s="214" t="inlineStr">
        <is>
          <t>Kalabasa</t>
        </is>
      </c>
      <c r="C1438" s="124" t="n"/>
      <c r="D1438" s="115" t="n"/>
      <c r="E1438" s="124" t="n"/>
      <c r="F1438" s="124" t="n"/>
      <c r="G1438" s="124" t="n"/>
      <c r="H1438" s="84" t="n"/>
      <c r="I1438" s="7" t="n"/>
      <c r="J1438" s="32" t="n"/>
      <c r="K1438" s="24" t="n"/>
      <c r="L1438" s="36" t="n">
        <v>20</v>
      </c>
      <c r="M1438" s="204" t="n">
        <v>29</v>
      </c>
      <c r="N1438" s="177" t="n">
        <v>1000</v>
      </c>
      <c r="O1438" s="13" t="n"/>
      <c r="P1438" s="139" t="inlineStr">
        <is>
          <t>grams</t>
        </is>
      </c>
      <c r="Q1438" s="2" t="n"/>
      <c r="R1438" s="1" t="n"/>
      <c r="S1438" s="229">
        <f>M1438*N1438</f>
        <v/>
      </c>
      <c r="T1438" s="230">
        <f>CONCATENATE(S1438,Q1438,P1438)</f>
        <v/>
      </c>
      <c r="U1438" s="206">
        <f>L1438*M1438</f>
        <v/>
      </c>
      <c r="V1438" s="4" t="n"/>
      <c r="W1438" s="4" t="n"/>
      <c r="X1438" s="4" t="n"/>
    </row>
    <row r="1439" ht="15.75" customHeight="1" thickBot="1">
      <c r="A1439" s="186" t="n">
        <v>657</v>
      </c>
      <c r="B1439" s="214" t="inlineStr">
        <is>
          <t>Kamatis</t>
        </is>
      </c>
      <c r="C1439" s="124" t="n"/>
      <c r="D1439" s="115" t="n"/>
      <c r="E1439" s="124" t="n"/>
      <c r="F1439" s="124" t="n"/>
      <c r="G1439" s="124" t="n"/>
      <c r="H1439" s="84" t="n"/>
      <c r="I1439" s="7" t="n"/>
      <c r="J1439" s="32" t="n"/>
      <c r="K1439" s="24" t="n"/>
      <c r="L1439" s="36" t="n">
        <v>55</v>
      </c>
      <c r="M1439" s="204" t="n">
        <v>1</v>
      </c>
      <c r="N1439" s="177" t="n">
        <v>1000</v>
      </c>
      <c r="O1439" s="13" t="n"/>
      <c r="P1439" s="139" t="inlineStr">
        <is>
          <t>grams</t>
        </is>
      </c>
      <c r="Q1439" s="2" t="n"/>
      <c r="R1439" s="1" t="n"/>
      <c r="S1439" s="229">
        <f>M1439*N1439</f>
        <v/>
      </c>
      <c r="T1439" s="230">
        <f>CONCATENATE(S1439,Q1439,P1439)</f>
        <v/>
      </c>
      <c r="U1439" s="206">
        <f>L1439*M1439</f>
        <v/>
      </c>
      <c r="V1439" s="4" t="n"/>
      <c r="W1439" s="4" t="n"/>
      <c r="X1439" s="4" t="n"/>
    </row>
    <row r="1440" ht="15.75" customHeight="1" thickBot="1">
      <c r="A1440" s="186" t="n">
        <v>657</v>
      </c>
      <c r="B1440" s="214" t="inlineStr">
        <is>
          <t>Kamatis</t>
        </is>
      </c>
      <c r="C1440" s="124" t="n"/>
      <c r="D1440" s="115" t="n"/>
      <c r="E1440" s="124" t="n"/>
      <c r="F1440" s="124" t="n"/>
      <c r="G1440" s="124" t="n"/>
      <c r="H1440" s="84" t="n"/>
      <c r="I1440" s="7" t="n"/>
      <c r="J1440" s="32" t="inlineStr">
        <is>
          <t>Hernan Logmao</t>
        </is>
      </c>
      <c r="K1440" s="24" t="n"/>
      <c r="L1440" s="36" t="n">
        <v>175</v>
      </c>
      <c r="M1440" s="204" t="n">
        <v>1</v>
      </c>
      <c r="N1440" s="177" t="n">
        <v>1000</v>
      </c>
      <c r="O1440" s="13" t="n"/>
      <c r="P1440" s="139" t="inlineStr">
        <is>
          <t>grams</t>
        </is>
      </c>
      <c r="Q1440" s="2" t="n"/>
      <c r="R1440" s="1" t="n"/>
      <c r="S1440" s="229">
        <f>M1440*N1440</f>
        <v/>
      </c>
      <c r="T1440" s="230">
        <f>CONCATENATE(S1440,Q1440,P1440)</f>
        <v/>
      </c>
      <c r="U1440" s="206">
        <f>L1440*M1440</f>
        <v/>
      </c>
      <c r="V1440" s="4" t="n"/>
      <c r="W1440" s="4" t="n"/>
      <c r="X1440" s="4" t="n"/>
    </row>
    <row r="1441" ht="15.75" customHeight="1" thickBot="1">
      <c r="A1441" s="186" t="n">
        <v>658</v>
      </c>
      <c r="B1441" s="214" t="inlineStr">
        <is>
          <t>Kamote</t>
        </is>
      </c>
      <c r="C1441" s="124" t="n"/>
      <c r="D1441" s="115" t="n"/>
      <c r="E1441" s="124" t="n"/>
      <c r="F1441" s="124" t="n"/>
      <c r="G1441" s="124" t="n"/>
      <c r="H1441" s="84" t="n"/>
      <c r="I1441" s="7" t="n"/>
      <c r="J1441" s="32" t="n"/>
      <c r="K1441" s="24" t="n"/>
      <c r="L1441" s="36" t="n">
        <v>35</v>
      </c>
      <c r="M1441" s="204" t="n">
        <v>1</v>
      </c>
      <c r="N1441" s="177" t="n">
        <v>1000</v>
      </c>
      <c r="O1441" s="13" t="n"/>
      <c r="P1441" s="139" t="inlineStr">
        <is>
          <t>grams</t>
        </is>
      </c>
      <c r="Q1441" s="2" t="n"/>
      <c r="R1441" s="1" t="n"/>
      <c r="S1441" s="229">
        <f>M1441*N1441</f>
        <v/>
      </c>
      <c r="T1441" s="230">
        <f>CONCATENATE(S1441,Q1441,P1441)</f>
        <v/>
      </c>
      <c r="U1441" s="206">
        <f>L1441*M1441</f>
        <v/>
      </c>
      <c r="V1441" s="4" t="n"/>
      <c r="W1441" s="4" t="n"/>
      <c r="X1441" s="4" t="n"/>
    </row>
    <row r="1442" ht="15.75" customHeight="1" thickBot="1">
      <c r="A1442" s="186" t="n">
        <v>659</v>
      </c>
      <c r="B1442" s="214" t="inlineStr">
        <is>
          <t>Kangkong</t>
        </is>
      </c>
      <c r="C1442" s="124" t="n"/>
      <c r="D1442" s="115" t="n"/>
      <c r="E1442" s="124" t="n"/>
      <c r="F1442" s="124" t="n"/>
      <c r="G1442" s="124" t="n"/>
      <c r="H1442" s="84" t="n"/>
      <c r="I1442" s="7" t="n"/>
      <c r="J1442" s="32" t="n"/>
      <c r="K1442" s="24" t="n"/>
      <c r="L1442" s="36" t="n">
        <v>10</v>
      </c>
      <c r="M1442" s="204" t="n">
        <v>1</v>
      </c>
      <c r="N1442" s="177" t="n">
        <v>1</v>
      </c>
      <c r="O1442" s="13" t="n"/>
      <c r="P1442" s="139" t="inlineStr">
        <is>
          <t>bundle</t>
        </is>
      </c>
      <c r="Q1442" s="2" t="n"/>
      <c r="R1442" s="1" t="n"/>
      <c r="S1442" s="229">
        <f>M1442*N1442</f>
        <v/>
      </c>
      <c r="T1442" s="230">
        <f>CONCATENATE(S1442,Q1442,P1442)</f>
        <v/>
      </c>
      <c r="U1442" s="206">
        <f>L1442*M1442</f>
        <v/>
      </c>
      <c r="V1442" s="4" t="n"/>
      <c r="W1442" s="4" t="n"/>
      <c r="X1442" s="4" t="n"/>
    </row>
    <row r="1443" ht="15.75" customHeight="1" thickBot="1">
      <c r="A1443" s="186" t="n">
        <v>659</v>
      </c>
      <c r="B1443" s="214" t="inlineStr">
        <is>
          <t>Kangkong</t>
        </is>
      </c>
      <c r="C1443" s="124" t="n"/>
      <c r="D1443" s="115" t="n"/>
      <c r="E1443" s="124" t="n"/>
      <c r="F1443" s="124" t="n"/>
      <c r="G1443" s="124" t="n"/>
      <c r="H1443" s="84" t="n"/>
      <c r="I1443" s="7" t="n"/>
      <c r="J1443" s="32" t="inlineStr">
        <is>
          <t>Fresh</t>
        </is>
      </c>
      <c r="K1443" s="24" t="n"/>
      <c r="L1443" s="36" t="n">
        <v>75</v>
      </c>
      <c r="M1443" s="204" t="n">
        <v>2</v>
      </c>
      <c r="N1443" s="177" t="n">
        <v>1000</v>
      </c>
      <c r="O1443" s="13" t="n"/>
      <c r="P1443" s="139" t="inlineStr">
        <is>
          <t>grams</t>
        </is>
      </c>
      <c r="Q1443" s="2" t="n"/>
      <c r="R1443" s="1" t="n"/>
      <c r="S1443" s="229">
        <f>M1443*N1443</f>
        <v/>
      </c>
      <c r="T1443" s="230">
        <f>CONCATENATE(S1443,Q1443,P1443)</f>
        <v/>
      </c>
      <c r="U1443" s="206">
        <f>L1443*M1443</f>
        <v/>
      </c>
      <c r="V1443" s="4" t="n"/>
      <c r="W1443" s="4" t="n"/>
      <c r="X1443" s="4" t="n"/>
    </row>
    <row r="1444" ht="15.75" customHeight="1" thickBot="1">
      <c r="A1444" s="186" t="n">
        <v>659</v>
      </c>
      <c r="B1444" s="214" t="inlineStr">
        <is>
          <t>Kangkong</t>
        </is>
      </c>
      <c r="C1444" s="124" t="n"/>
      <c r="D1444" s="115" t="n"/>
      <c r="E1444" s="124" t="n"/>
      <c r="F1444" s="124" t="n"/>
      <c r="G1444" s="124" t="n"/>
      <c r="H1444" s="84" t="n"/>
      <c r="I1444" s="7" t="n"/>
      <c r="J1444" s="32" t="inlineStr">
        <is>
          <t>Fresh</t>
        </is>
      </c>
      <c r="K1444" s="24" t="n"/>
      <c r="L1444" s="36" t="n">
        <v>95</v>
      </c>
      <c r="M1444" s="204" t="n">
        <v>2</v>
      </c>
      <c r="N1444" s="177" t="n">
        <v>1</v>
      </c>
      <c r="O1444" s="13" t="n"/>
      <c r="P1444" s="139" t="inlineStr">
        <is>
          <t>bundle</t>
        </is>
      </c>
      <c r="Q1444" s="2" t="n"/>
      <c r="R1444" s="1" t="n"/>
      <c r="S1444" s="229">
        <f>M1444*N1444</f>
        <v/>
      </c>
      <c r="T1444" s="230">
        <f>CONCATENATE(S1444,Q1444,P1444)</f>
        <v/>
      </c>
      <c r="U1444" s="206">
        <f>L1444*M1444</f>
        <v/>
      </c>
      <c r="V1444" s="4" t="n"/>
      <c r="W1444" s="4" t="n"/>
      <c r="X1444" s="4" t="n"/>
    </row>
    <row r="1445" ht="15.75" customHeight="1" thickBot="1">
      <c r="A1445" s="186" t="n">
        <v>660</v>
      </c>
      <c r="B1445" s="214" t="inlineStr">
        <is>
          <t>Kaong Red</t>
        </is>
      </c>
      <c r="C1445" s="124" t="n"/>
      <c r="D1445" s="115" t="n"/>
      <c r="E1445" s="124" t="n"/>
      <c r="F1445" s="124" t="n"/>
      <c r="G1445" s="124" t="n"/>
      <c r="H1445" s="84" t="n"/>
      <c r="I1445" s="7" t="n"/>
      <c r="J1445" s="32" t="inlineStr">
        <is>
          <t>Florence</t>
        </is>
      </c>
      <c r="K1445" s="24" t="n"/>
      <c r="L1445" s="36" t="n">
        <v>84.09999999999999</v>
      </c>
      <c r="M1445" s="204" t="n">
        <v>2</v>
      </c>
      <c r="N1445" s="177" t="n">
        <v>340</v>
      </c>
      <c r="O1445" s="13" t="n"/>
      <c r="P1445" s="139" t="inlineStr">
        <is>
          <t>grams</t>
        </is>
      </c>
      <c r="Q1445" s="2" t="n"/>
      <c r="R1445" s="1" t="n"/>
      <c r="S1445" s="229">
        <f>M1445*N1445</f>
        <v/>
      </c>
      <c r="T1445" s="230">
        <f>CONCATENATE(S1445,Q1445,P1445)</f>
        <v/>
      </c>
      <c r="U1445" s="206">
        <f>L1445*M1445</f>
        <v/>
      </c>
      <c r="V1445" s="4" t="n"/>
      <c r="W1445" s="4" t="n"/>
      <c r="X1445" s="4" t="n"/>
    </row>
    <row r="1446" ht="15.75" customHeight="1" thickBot="1">
      <c r="A1446" s="186" t="n">
        <v>661</v>
      </c>
      <c r="B1446" s="214" t="inlineStr">
        <is>
          <t>Kapeng Barako - Ground</t>
        </is>
      </c>
      <c r="C1446" s="124" t="n"/>
      <c r="D1446" s="115" t="n"/>
      <c r="E1446" s="124" t="n"/>
      <c r="F1446" s="124" t="n"/>
      <c r="G1446" s="124" t="n"/>
      <c r="H1446" s="84" t="n"/>
      <c r="I1446" s="7" t="n"/>
      <c r="J1446" s="32" t="inlineStr">
        <is>
          <t>Amparos</t>
        </is>
      </c>
      <c r="K1446" s="24" t="n"/>
      <c r="L1446" s="36" t="n">
        <v>340</v>
      </c>
      <c r="M1446" s="204" t="n">
        <v>2</v>
      </c>
      <c r="N1446" s="177" t="n">
        <v>500</v>
      </c>
      <c r="O1446" s="13" t="n"/>
      <c r="P1446" s="139" t="inlineStr">
        <is>
          <t>grams</t>
        </is>
      </c>
      <c r="Q1446" s="2" t="n"/>
      <c r="R1446" s="1" t="n"/>
      <c r="S1446" s="229">
        <f>M1446*N1446</f>
        <v/>
      </c>
      <c r="T1446" s="230">
        <f>CONCATENATE(S1446,Q1446,P1446)</f>
        <v/>
      </c>
      <c r="U1446" s="206">
        <f>L1446*M1446</f>
        <v/>
      </c>
      <c r="V1446" s="4" t="n"/>
      <c r="W1446" s="4" t="n"/>
      <c r="X1446" s="4" t="n"/>
    </row>
    <row r="1447" ht="15.75" customHeight="1" thickBot="1">
      <c r="A1447" s="186" t="n">
        <v>223</v>
      </c>
      <c r="B1447" s="214" t="inlineStr">
        <is>
          <t>Kernel Corn Whole</t>
        </is>
      </c>
      <c r="C1447" s="124" t="n"/>
      <c r="D1447" s="115" t="n"/>
      <c r="E1447" s="124" t="n"/>
      <c r="F1447" s="124" t="n"/>
      <c r="G1447" s="124" t="n"/>
      <c r="H1447" s="84" t="n"/>
      <c r="I1447" s="7" t="n"/>
      <c r="J1447" s="32" t="inlineStr">
        <is>
          <t>Jolly</t>
        </is>
      </c>
      <c r="K1447" s="24" t="n"/>
      <c r="L1447" s="36" t="n">
        <v>42.3</v>
      </c>
      <c r="M1447" s="204" t="n">
        <v>12</v>
      </c>
      <c r="N1447" s="177" t="n">
        <v>250</v>
      </c>
      <c r="O1447" s="13" t="n"/>
      <c r="P1447" s="139" t="inlineStr">
        <is>
          <t>grams</t>
        </is>
      </c>
      <c r="Q1447" s="2" t="n"/>
      <c r="R1447" s="1" t="n"/>
      <c r="S1447" s="229">
        <f>M1447*N1447</f>
        <v/>
      </c>
      <c r="T1447" s="230">
        <f>CONCATENATE(S1447,Q1447,P1447)</f>
        <v/>
      </c>
      <c r="U1447" s="206">
        <f>L1447*M1447</f>
        <v/>
      </c>
      <c r="V1447" s="4" t="n"/>
      <c r="W1447" s="4" t="n"/>
      <c r="X1447" s="4" t="n"/>
    </row>
    <row r="1448" ht="15.75" customHeight="1" thickBot="1">
      <c r="A1448" s="186" t="n">
        <v>223</v>
      </c>
      <c r="B1448" s="214" t="inlineStr">
        <is>
          <t>Kernel Corn Whole</t>
        </is>
      </c>
      <c r="C1448" s="124" t="n"/>
      <c r="D1448" s="115" t="n"/>
      <c r="E1448" s="124" t="n"/>
      <c r="F1448" s="124" t="n"/>
      <c r="G1448" s="124" t="n"/>
      <c r="H1448" s="84" t="n"/>
      <c r="I1448" s="7" t="n"/>
      <c r="J1448" s="32" t="inlineStr">
        <is>
          <t>Jolly/can/425grams/250gramsdrained weight</t>
        </is>
      </c>
      <c r="K1448" s="24" t="n"/>
      <c r="L1448" s="36" t="n">
        <v>40.2</v>
      </c>
      <c r="M1448" s="204" t="n">
        <v>5</v>
      </c>
      <c r="N1448" s="177" t="n">
        <v>250</v>
      </c>
      <c r="O1448" s="13" t="n"/>
      <c r="P1448" s="139" t="inlineStr">
        <is>
          <t>drained weight grams</t>
        </is>
      </c>
      <c r="Q1448" s="2" t="n"/>
      <c r="R1448" s="1" t="n"/>
      <c r="S1448" s="229">
        <f>M1448*N1448</f>
        <v/>
      </c>
      <c r="T1448" s="230">
        <f>CONCATENATE(S1448,Q1448,P1448)</f>
        <v/>
      </c>
      <c r="U1448" s="206">
        <f>L1448*M1448</f>
        <v/>
      </c>
      <c r="V1448" s="4" t="n"/>
      <c r="W1448" s="4" t="n"/>
      <c r="X1448" s="4" t="n"/>
    </row>
    <row r="1449" ht="15.75" customHeight="1" thickBot="1">
      <c r="A1449" s="186" t="n">
        <v>223</v>
      </c>
      <c r="B1449" s="214" t="inlineStr">
        <is>
          <t>Kernel Corn Whole</t>
        </is>
      </c>
      <c r="C1449" s="124" t="n"/>
      <c r="D1449" s="115" t="n"/>
      <c r="E1449" s="124" t="n"/>
      <c r="F1449" s="124" t="n"/>
      <c r="G1449" s="124" t="n"/>
      <c r="H1449" s="84" t="n"/>
      <c r="I1449" s="7" t="n"/>
      <c r="J1449" s="32" t="inlineStr">
        <is>
          <t>Jolly/can/425grams/250gramsdrained weight</t>
        </is>
      </c>
      <c r="K1449" s="24" t="n"/>
      <c r="L1449" s="36" t="n">
        <v>40.2</v>
      </c>
      <c r="M1449" s="204" t="n">
        <v>5</v>
      </c>
      <c r="N1449" s="177" t="n">
        <v>250</v>
      </c>
      <c r="O1449" s="13" t="n"/>
      <c r="P1449" s="139" t="inlineStr">
        <is>
          <t>drained weight grams</t>
        </is>
      </c>
      <c r="Q1449" s="2" t="n"/>
      <c r="R1449" s="1" t="n"/>
      <c r="S1449" s="229">
        <f>M1449*N1449</f>
        <v/>
      </c>
      <c r="T1449" s="230">
        <f>CONCATENATE(S1449,Q1449,P1449)</f>
        <v/>
      </c>
      <c r="U1449" s="206">
        <f>L1449*M1449</f>
        <v/>
      </c>
      <c r="V1449" s="4" t="n"/>
      <c r="W1449" s="4" t="n"/>
      <c r="X1449" s="4" t="n"/>
    </row>
    <row r="1450" ht="15.75" customHeight="1" thickBot="1">
      <c r="A1450" s="186" t="n">
        <v>223</v>
      </c>
      <c r="B1450" s="214" t="inlineStr">
        <is>
          <t>Kernel Corn Whole</t>
        </is>
      </c>
      <c r="C1450" s="124" t="n"/>
      <c r="D1450" s="115" t="n"/>
      <c r="E1450" s="124" t="n"/>
      <c r="F1450" s="124" t="n"/>
      <c r="G1450" s="124" t="n"/>
      <c r="H1450" s="84" t="n"/>
      <c r="I1450" s="7" t="n"/>
      <c r="J1450" s="32" t="inlineStr">
        <is>
          <t>DEL MONTE</t>
        </is>
      </c>
      <c r="K1450" s="24" t="n"/>
      <c r="L1450" s="36" t="n">
        <v>56.2</v>
      </c>
      <c r="M1450" s="204" t="n">
        <v>26</v>
      </c>
      <c r="N1450" s="177" t="n">
        <v>260</v>
      </c>
      <c r="O1450" s="13" t="n"/>
      <c r="P1450" s="139" t="inlineStr">
        <is>
          <t>grams</t>
        </is>
      </c>
      <c r="Q1450" s="2" t="n"/>
      <c r="R1450" s="1" t="n"/>
      <c r="S1450" s="229">
        <f>M1450*N1450</f>
        <v/>
      </c>
      <c r="T1450" s="230">
        <f>CONCATENATE(S1450,Q1450,P1450)</f>
        <v/>
      </c>
      <c r="U1450" s="206">
        <f>L1450*M1450</f>
        <v/>
      </c>
      <c r="V1450" s="4" t="n"/>
      <c r="W1450" s="4" t="n"/>
      <c r="X1450" s="4" t="n"/>
    </row>
    <row r="1451" ht="15.75" customHeight="1" thickBot="1">
      <c r="A1451" s="186" t="n">
        <v>223</v>
      </c>
      <c r="B1451" s="214" t="inlineStr">
        <is>
          <t>Kernel Corn Whole</t>
        </is>
      </c>
      <c r="C1451" s="124" t="n"/>
      <c r="D1451" s="115" t="n"/>
      <c r="E1451" s="124" t="n"/>
      <c r="F1451" s="124" t="n"/>
      <c r="G1451" s="124" t="n"/>
      <c r="H1451" s="84" t="n"/>
      <c r="I1451" s="7" t="n"/>
      <c r="J1451" s="32" t="inlineStr">
        <is>
          <t>HAPPY FIESTA</t>
        </is>
      </c>
      <c r="K1451" s="24" t="n"/>
      <c r="L1451" s="36" t="n">
        <v>50</v>
      </c>
      <c r="M1451" s="204" t="n">
        <v>3</v>
      </c>
      <c r="N1451" s="177" t="n">
        <v>223</v>
      </c>
      <c r="O1451" s="13" t="n"/>
      <c r="P1451" s="139" t="inlineStr">
        <is>
          <t>grams</t>
        </is>
      </c>
      <c r="Q1451" s="2" t="n"/>
      <c r="R1451" s="1" t="n"/>
      <c r="S1451" s="229">
        <f>M1451*N1451</f>
        <v/>
      </c>
      <c r="T1451" s="230">
        <f>CONCATENATE(S1451,Q1451,P1451)</f>
        <v/>
      </c>
      <c r="U1451" s="206">
        <f>L1451*M1451</f>
        <v/>
      </c>
      <c r="V1451" s="4" t="n"/>
      <c r="W1451" s="4" t="n"/>
      <c r="X1451" s="4" t="n"/>
    </row>
    <row r="1452" ht="15.75" customHeight="1" thickBot="1">
      <c r="A1452" s="186" t="n">
        <v>223</v>
      </c>
      <c r="B1452" s="215" t="inlineStr">
        <is>
          <t>Kernel Corn Whole</t>
        </is>
      </c>
      <c r="C1452" s="124" t="n"/>
      <c r="D1452" s="115" t="n"/>
      <c r="E1452" s="124" t="n"/>
      <c r="F1452" s="124" t="n"/>
      <c r="G1452" s="124" t="n"/>
      <c r="H1452" s="84" t="n"/>
      <c r="I1452" s="7" t="n"/>
      <c r="J1452" s="32" t="inlineStr">
        <is>
          <t>Jolly/can/425grams/250gramsdrained weight</t>
        </is>
      </c>
      <c r="K1452" s="24" t="n"/>
      <c r="L1452" s="36" t="n">
        <v>42.5</v>
      </c>
      <c r="M1452" s="204" t="n">
        <v>1</v>
      </c>
      <c r="N1452" s="177" t="n">
        <v>425</v>
      </c>
      <c r="O1452" s="13" t="n"/>
      <c r="P1452" s="139" t="inlineStr">
        <is>
          <t>grams</t>
        </is>
      </c>
      <c r="Q1452" s="2" t="n"/>
      <c r="R1452" s="1" t="n"/>
      <c r="S1452" s="229">
        <f>M1452*N1452</f>
        <v/>
      </c>
      <c r="T1452" s="230">
        <f>CONCATENATE(S1452,Q1452,P1452)</f>
        <v/>
      </c>
      <c r="U1452" s="206">
        <f>L1452*M1452</f>
        <v/>
      </c>
      <c r="V1452" s="4" t="n"/>
      <c r="W1452" s="4" t="n"/>
      <c r="X1452" s="4" t="n"/>
    </row>
    <row r="1453" ht="15.75" customHeight="1" thickBot="1">
      <c r="A1453" s="186" t="n">
        <v>662</v>
      </c>
      <c r="B1453" s="214" t="inlineStr">
        <is>
          <t>Ketchup</t>
        </is>
      </c>
      <c r="C1453" s="124" t="n"/>
      <c r="D1453" s="115" t="n"/>
      <c r="E1453" s="124" t="n"/>
      <c r="F1453" s="124" t="n"/>
      <c r="G1453" s="124" t="n"/>
      <c r="H1453" s="84" t="n"/>
      <c r="I1453" s="7" t="n"/>
      <c r="J1453" s="32" t="inlineStr">
        <is>
          <t>MAFRAN</t>
        </is>
      </c>
      <c r="K1453" s="24" t="n"/>
      <c r="L1453" s="36" t="n">
        <v>106.75</v>
      </c>
      <c r="M1453" s="204" t="n">
        <v>10</v>
      </c>
      <c r="N1453" s="177" t="n">
        <v>1</v>
      </c>
      <c r="O1453" s="13" t="n"/>
      <c r="P1453" s="139" t="inlineStr">
        <is>
          <t>gal</t>
        </is>
      </c>
      <c r="Q1453" s="2" t="n"/>
      <c r="R1453" s="1" t="n"/>
      <c r="S1453" s="229">
        <f>M1453*N1453</f>
        <v/>
      </c>
      <c r="T1453" s="230">
        <f>CONCATENATE(S1453,Q1453,P1453)</f>
        <v/>
      </c>
      <c r="U1453" s="206">
        <f>L1453*M1453</f>
        <v/>
      </c>
      <c r="V1453" s="4" t="n"/>
      <c r="W1453" s="4" t="n"/>
      <c r="X1453" s="4" t="n"/>
    </row>
    <row r="1454" ht="15.75" customHeight="1" thickBot="1">
      <c r="A1454" s="186" t="n">
        <v>662</v>
      </c>
      <c r="B1454" s="214" t="inlineStr">
        <is>
          <t>Ketchup</t>
        </is>
      </c>
      <c r="C1454" s="124" t="n"/>
      <c r="D1454" s="115" t="n"/>
      <c r="E1454" s="124" t="n"/>
      <c r="F1454" s="124" t="n"/>
      <c r="G1454" s="124" t="n"/>
      <c r="H1454" s="84" t="n"/>
      <c r="I1454" s="7" t="n"/>
      <c r="J1454" s="32" t="inlineStr">
        <is>
          <t>Ticman</t>
        </is>
      </c>
      <c r="K1454" s="24" t="n"/>
      <c r="L1454" s="36" t="n">
        <v>76</v>
      </c>
      <c r="M1454" s="204" t="n">
        <v>6</v>
      </c>
      <c r="N1454" s="177" t="n">
        <v>1</v>
      </c>
      <c r="O1454" s="13" t="n"/>
      <c r="P1454" s="139" t="inlineStr">
        <is>
          <t>gal</t>
        </is>
      </c>
      <c r="Q1454" s="2" t="n"/>
      <c r="R1454" s="1" t="n"/>
      <c r="S1454" s="229">
        <f>M1454*N1454</f>
        <v/>
      </c>
      <c r="T1454" s="230">
        <f>CONCATENATE(S1454,Q1454,P1454)</f>
        <v/>
      </c>
      <c r="U1454" s="206">
        <f>L1454*M1454</f>
        <v/>
      </c>
      <c r="V1454" s="4" t="n"/>
      <c r="W1454" s="4" t="n"/>
      <c r="X1454" s="4" t="n"/>
    </row>
    <row r="1455" ht="15.75" customHeight="1" thickBot="1">
      <c r="A1455" s="186" t="n">
        <v>224</v>
      </c>
      <c r="B1455" s="214" t="inlineStr">
        <is>
          <t>Kikiam</t>
        </is>
      </c>
      <c r="C1455" s="124" t="n"/>
      <c r="D1455" s="115" t="n"/>
      <c r="E1455" s="124" t="n"/>
      <c r="F1455" s="124" t="n"/>
      <c r="G1455" s="124" t="n"/>
      <c r="H1455" s="84" t="n"/>
      <c r="I1455" s="7" t="n"/>
      <c r="J1455" s="32" t="inlineStr">
        <is>
          <t>Shanghai/pack/1000grams</t>
        </is>
      </c>
      <c r="K1455" s="24" t="n"/>
      <c r="L1455" s="36" t="n">
        <v>120</v>
      </c>
      <c r="M1455" s="204" t="n">
        <v>3</v>
      </c>
      <c r="N1455" s="177" t="n">
        <v>1000</v>
      </c>
      <c r="O1455" s="13" t="n"/>
      <c r="P1455" s="139" t="inlineStr">
        <is>
          <t>grams</t>
        </is>
      </c>
      <c r="Q1455" s="2" t="n"/>
      <c r="R1455" s="1" t="n"/>
      <c r="S1455" s="229">
        <f>M1455*N1455</f>
        <v/>
      </c>
      <c r="T1455" s="230">
        <f>CONCATENATE(S1455,Q1455,P1455)</f>
        <v/>
      </c>
      <c r="U1455" s="206">
        <f>L1455*M1455</f>
        <v/>
      </c>
      <c r="V1455" s="4" t="n"/>
      <c r="W1455" s="4" t="n"/>
      <c r="X1455" s="4" t="n"/>
    </row>
    <row r="1456" ht="15.75" customHeight="1" thickBot="1">
      <c r="A1456" s="186" t="n">
        <v>224</v>
      </c>
      <c r="B1456" s="214" t="inlineStr">
        <is>
          <t>Kikiam</t>
        </is>
      </c>
      <c r="C1456" s="124" t="n"/>
      <c r="D1456" s="115" t="n"/>
      <c r="E1456" s="124" t="n"/>
      <c r="F1456" s="124" t="n"/>
      <c r="G1456" s="124" t="n"/>
      <c r="H1456" s="84" t="n"/>
      <c r="I1456" s="7" t="n"/>
      <c r="J1456" s="32" t="inlineStr">
        <is>
          <t>ORION</t>
        </is>
      </c>
      <c r="K1456" s="24" t="n"/>
      <c r="L1456" s="36" t="n">
        <v>120</v>
      </c>
      <c r="M1456" s="204" t="n">
        <v>3</v>
      </c>
      <c r="N1456" s="177" t="n">
        <v>1000</v>
      </c>
      <c r="O1456" s="13" t="n"/>
      <c r="P1456" s="139" t="inlineStr">
        <is>
          <t>grams</t>
        </is>
      </c>
      <c r="Q1456" s="2" t="n"/>
      <c r="R1456" s="1" t="n"/>
      <c r="S1456" s="229">
        <f>M1456*N1456</f>
        <v/>
      </c>
      <c r="T1456" s="230">
        <f>CONCATENATE(S1456,Q1456,P1456)</f>
        <v/>
      </c>
      <c r="U1456" s="206">
        <f>L1456*M1456</f>
        <v/>
      </c>
      <c r="V1456" s="4" t="n"/>
      <c r="W1456" s="4" t="n"/>
      <c r="X1456" s="4" t="n"/>
    </row>
    <row r="1457" ht="15.75" customHeight="1" thickBot="1">
      <c r="A1457" s="186" t="n">
        <v>224</v>
      </c>
      <c r="B1457" s="214" t="inlineStr">
        <is>
          <t>Kikiam</t>
        </is>
      </c>
      <c r="C1457" s="124" t="n"/>
      <c r="D1457" s="115" t="n"/>
      <c r="E1457" s="124" t="n"/>
      <c r="F1457" s="124" t="n"/>
      <c r="G1457" s="124" t="n"/>
      <c r="H1457" s="84" t="n"/>
      <c r="I1457" s="7" t="n"/>
      <c r="J1457" s="32" t="inlineStr">
        <is>
          <t>Daisuke</t>
        </is>
      </c>
      <c r="K1457" s="24" t="n"/>
      <c r="L1457" s="36" t="n">
        <v>55</v>
      </c>
      <c r="M1457" s="204" t="n">
        <v>2</v>
      </c>
      <c r="N1457" s="177" t="n">
        <v>2000</v>
      </c>
      <c r="O1457" s="13" t="n"/>
      <c r="P1457" s="139" t="inlineStr">
        <is>
          <t>grams</t>
        </is>
      </c>
      <c r="Q1457" s="2" t="n"/>
      <c r="R1457" s="1" t="n"/>
      <c r="S1457" s="229">
        <f>M1457*N1457</f>
        <v/>
      </c>
      <c r="T1457" s="230">
        <f>CONCATENATE(S1457,Q1457,P1457)</f>
        <v/>
      </c>
      <c r="U1457" s="206">
        <f>L1457*M1457</f>
        <v/>
      </c>
      <c r="V1457" s="4" t="n"/>
      <c r="W1457" s="4" t="n"/>
      <c r="X1457" s="4" t="n"/>
    </row>
    <row r="1458" ht="15.75" customHeight="1" thickBot="1">
      <c r="A1458" s="186" t="n">
        <v>224</v>
      </c>
      <c r="B1458" s="214" t="inlineStr">
        <is>
          <t>Kikiam</t>
        </is>
      </c>
      <c r="C1458" s="124" t="n"/>
      <c r="D1458" s="115" t="n"/>
      <c r="E1458" s="124" t="n"/>
      <c r="F1458" s="124" t="n"/>
      <c r="G1458" s="124" t="n"/>
      <c r="H1458" s="84" t="n"/>
      <c r="I1458" s="7" t="n"/>
      <c r="J1458" s="32" t="inlineStr">
        <is>
          <t>Holiday</t>
        </is>
      </c>
      <c r="K1458" s="24" t="n"/>
      <c r="L1458" s="36" t="n">
        <v>56.35</v>
      </c>
      <c r="M1458" s="204" t="n">
        <v>9</v>
      </c>
      <c r="N1458" s="177" t="n">
        <v>220</v>
      </c>
      <c r="O1458" s="13" t="n"/>
      <c r="P1458" s="139" t="inlineStr">
        <is>
          <t>grams</t>
        </is>
      </c>
      <c r="Q1458" s="2" t="n"/>
      <c r="R1458" s="1" t="n"/>
      <c r="S1458" s="229">
        <f>M1458*N1458</f>
        <v/>
      </c>
      <c r="T1458" s="230">
        <f>CONCATENATE(S1458,Q1458,P1458)</f>
        <v/>
      </c>
      <c r="U1458" s="206">
        <f>L1458*M1458</f>
        <v/>
      </c>
      <c r="V1458" s="4" t="n"/>
      <c r="W1458" s="4" t="n"/>
      <c r="X1458" s="4" t="n"/>
    </row>
    <row r="1459" ht="15.75" customHeight="1" thickBot="1">
      <c r="A1459" s="186" t="n">
        <v>663</v>
      </c>
      <c r="B1459" s="214" t="inlineStr">
        <is>
          <t>Kutob</t>
        </is>
      </c>
      <c r="C1459" s="124" t="n"/>
      <c r="D1459" s="115" t="n"/>
      <c r="E1459" s="124" t="n"/>
      <c r="F1459" s="124" t="n"/>
      <c r="G1459" s="124" t="n"/>
      <c r="H1459" s="84" t="n"/>
      <c r="I1459" s="7" t="n"/>
      <c r="J1459" s="32" t="n"/>
      <c r="K1459" s="24" t="n"/>
      <c r="L1459" s="36" t="n">
        <v>200</v>
      </c>
      <c r="M1459" s="204" t="n">
        <v>5</v>
      </c>
      <c r="N1459" s="177" t="n">
        <v>1000</v>
      </c>
      <c r="O1459" s="13" t="n"/>
      <c r="P1459" s="139" t="inlineStr">
        <is>
          <t>grams</t>
        </is>
      </c>
      <c r="Q1459" s="2" t="n"/>
      <c r="R1459" s="1" t="n"/>
      <c r="S1459" s="229">
        <f>M1459*N1459</f>
        <v/>
      </c>
      <c r="T1459" s="230">
        <f>CONCATENATE(S1459,Q1459,P1459)</f>
        <v/>
      </c>
      <c r="U1459" s="206">
        <f>L1459*M1459</f>
        <v/>
      </c>
      <c r="V1459" s="4" t="n"/>
      <c r="W1459" s="4" t="n"/>
      <c r="X1459" s="4" t="n"/>
    </row>
    <row r="1460" ht="15.75" customHeight="1" thickBot="1">
      <c r="A1460" s="186" t="n">
        <v>664</v>
      </c>
      <c r="B1460" s="214" t="inlineStr">
        <is>
          <t>Labanos</t>
        </is>
      </c>
      <c r="C1460" s="124" t="n"/>
      <c r="D1460" s="115" t="n"/>
      <c r="E1460" s="124" t="n"/>
      <c r="F1460" s="124" t="n"/>
      <c r="G1460" s="124" t="n"/>
      <c r="H1460" s="84" t="n"/>
      <c r="I1460" s="7" t="n"/>
      <c r="J1460" s="32" t="n"/>
      <c r="K1460" s="24" t="n"/>
      <c r="L1460" s="36" t="n">
        <v>70</v>
      </c>
      <c r="M1460" s="204" t="n">
        <v>1</v>
      </c>
      <c r="N1460" s="177" t="n">
        <v>1000</v>
      </c>
      <c r="O1460" s="13" t="n"/>
      <c r="P1460" s="139" t="inlineStr">
        <is>
          <t>grams</t>
        </is>
      </c>
      <c r="Q1460" s="2" t="n"/>
      <c r="R1460" s="1" t="n"/>
      <c r="S1460" s="229">
        <f>M1460*N1460</f>
        <v/>
      </c>
      <c r="T1460" s="230">
        <f>CONCATENATE(S1460,Q1460,P1460)</f>
        <v/>
      </c>
      <c r="U1460" s="206">
        <f>L1460*M1460</f>
        <v/>
      </c>
      <c r="V1460" s="4" t="n"/>
      <c r="W1460" s="4" t="n"/>
      <c r="X1460" s="4" t="n"/>
    </row>
    <row r="1461" ht="15.75" customHeight="1" thickBot="1">
      <c r="A1461" s="186" t="n">
        <v>664</v>
      </c>
      <c r="B1461" s="214" t="inlineStr">
        <is>
          <t>Labanos</t>
        </is>
      </c>
      <c r="C1461" s="124" t="n"/>
      <c r="D1461" s="115" t="n"/>
      <c r="E1461" s="124" t="n"/>
      <c r="F1461" s="124" t="n"/>
      <c r="G1461" s="124" t="n"/>
      <c r="H1461" s="84" t="n"/>
      <c r="I1461" s="7" t="n"/>
      <c r="J1461" s="32" t="inlineStr">
        <is>
          <t>Fresh</t>
        </is>
      </c>
      <c r="K1461" s="24" t="n"/>
      <c r="L1461" s="36" t="n">
        <v>46</v>
      </c>
      <c r="M1461" s="204" t="n">
        <v>2</v>
      </c>
      <c r="N1461" s="177" t="n">
        <v>1000</v>
      </c>
      <c r="O1461" s="13" t="n"/>
      <c r="P1461" s="139" t="inlineStr">
        <is>
          <t>grams</t>
        </is>
      </c>
      <c r="Q1461" s="2" t="n"/>
      <c r="R1461" s="1" t="n"/>
      <c r="S1461" s="229">
        <f>M1461*N1461</f>
        <v/>
      </c>
      <c r="T1461" s="230">
        <f>CONCATENATE(S1461,Q1461,P1461)</f>
        <v/>
      </c>
      <c r="U1461" s="206">
        <f>L1461*M1461</f>
        <v/>
      </c>
      <c r="V1461" s="4" t="n"/>
      <c r="W1461" s="4" t="n"/>
      <c r="X1461" s="4" t="n"/>
    </row>
    <row r="1462" ht="15.75" customHeight="1" thickBot="1">
      <c r="A1462" s="186" t="n">
        <v>665</v>
      </c>
      <c r="B1462" s="215" t="inlineStr">
        <is>
          <t>Lakatan</t>
        </is>
      </c>
      <c r="C1462" s="124" t="n"/>
      <c r="D1462" s="115" t="n"/>
      <c r="E1462" s="124" t="n"/>
      <c r="F1462" s="124" t="n"/>
      <c r="G1462" s="124" t="n"/>
      <c r="H1462" s="84" t="n"/>
      <c r="I1462" s="7" t="n"/>
      <c r="J1462" s="32" t="n"/>
      <c r="K1462" s="24" t="n"/>
      <c r="L1462" s="36" t="n">
        <v>95</v>
      </c>
      <c r="M1462" s="204" t="n">
        <v>2</v>
      </c>
      <c r="N1462" s="177" t="n">
        <v>1</v>
      </c>
      <c r="O1462" s="13" t="n"/>
      <c r="P1462" s="139" t="inlineStr">
        <is>
          <t>kilos</t>
        </is>
      </c>
      <c r="Q1462" s="2" t="n"/>
      <c r="R1462" s="1" t="n"/>
      <c r="S1462" s="229">
        <f>M1462*N1462</f>
        <v/>
      </c>
      <c r="T1462" s="230">
        <f>CONCATENATE(S1462,Q1462,P1462)</f>
        <v/>
      </c>
      <c r="U1462" s="206">
        <f>L1462*M1462</f>
        <v/>
      </c>
      <c r="V1462" s="4" t="n"/>
      <c r="W1462" s="4" t="n"/>
      <c r="X1462" s="4" t="n"/>
    </row>
    <row r="1463" ht="15.75" customHeight="1" thickBot="1">
      <c r="A1463" s="186" t="n">
        <v>665</v>
      </c>
      <c r="B1463" s="214" t="inlineStr">
        <is>
          <t>Lakatan</t>
        </is>
      </c>
      <c r="C1463" s="124" t="n"/>
      <c r="D1463" s="115" t="n"/>
      <c r="E1463" s="124" t="n"/>
      <c r="F1463" s="124" t="n"/>
      <c r="G1463" s="124" t="n"/>
      <c r="H1463" s="84" t="n"/>
      <c r="I1463" s="7" t="n"/>
      <c r="J1463" s="32" t="n"/>
      <c r="K1463" s="24" t="n"/>
      <c r="L1463" s="36" t="n">
        <v>110</v>
      </c>
      <c r="M1463" s="204" t="n">
        <v>2</v>
      </c>
      <c r="N1463" s="177" t="n">
        <v>1000</v>
      </c>
      <c r="O1463" s="13" t="n"/>
      <c r="P1463" s="139" t="inlineStr">
        <is>
          <t>grams</t>
        </is>
      </c>
      <c r="Q1463" s="2" t="n"/>
      <c r="R1463" s="1" t="n"/>
      <c r="S1463" s="229">
        <f>M1463*N1463</f>
        <v/>
      </c>
      <c r="T1463" s="230">
        <f>CONCATENATE(S1463,Q1463,P1463)</f>
        <v/>
      </c>
      <c r="U1463" s="206">
        <f>L1463*M1463</f>
        <v/>
      </c>
      <c r="V1463" s="4" t="n"/>
      <c r="W1463" s="4" t="n"/>
      <c r="X1463" s="4" t="n"/>
    </row>
    <row r="1464" ht="15.75" customHeight="1" thickBot="1">
      <c r="A1464" s="186" t="n">
        <v>665</v>
      </c>
      <c r="B1464" s="214" t="inlineStr">
        <is>
          <t>Lakatan</t>
        </is>
      </c>
      <c r="C1464" s="124" t="n"/>
      <c r="D1464" s="115" t="n"/>
      <c r="E1464" s="124" t="n"/>
      <c r="F1464" s="124" t="n"/>
      <c r="G1464" s="124" t="n"/>
      <c r="H1464" s="84" t="n"/>
      <c r="I1464" s="7" t="n"/>
      <c r="J1464" s="32" t="n"/>
      <c r="K1464" s="24" t="n"/>
      <c r="L1464" s="36" t="n">
        <v>50</v>
      </c>
      <c r="M1464" s="204" t="n">
        <v>10</v>
      </c>
      <c r="N1464" s="177" t="n">
        <v>1000</v>
      </c>
      <c r="O1464" s="13" t="n"/>
      <c r="P1464" s="139" t="inlineStr">
        <is>
          <t>grams</t>
        </is>
      </c>
      <c r="Q1464" s="2" t="n"/>
      <c r="R1464" s="1" t="n"/>
      <c r="S1464" s="229">
        <f>M1464*N1464</f>
        <v/>
      </c>
      <c r="T1464" s="230">
        <f>CONCATENATE(S1464,Q1464,P1464)</f>
        <v/>
      </c>
      <c r="U1464" s="206">
        <f>L1464*M1464</f>
        <v/>
      </c>
      <c r="V1464" s="4" t="n"/>
      <c r="W1464" s="4" t="n"/>
      <c r="X1464" s="4" t="n"/>
    </row>
    <row r="1465" ht="15.75" customHeight="1" thickBot="1">
      <c r="A1465" s="186" t="n">
        <v>666</v>
      </c>
      <c r="B1465" s="214" t="inlineStr">
        <is>
          <t>Langka</t>
        </is>
      </c>
      <c r="C1465" s="124" t="n"/>
      <c r="D1465" s="115" t="n"/>
      <c r="E1465" s="124" t="n"/>
      <c r="F1465" s="124" t="n"/>
      <c r="G1465" s="124" t="n"/>
      <c r="H1465" s="84" t="n"/>
      <c r="I1465" s="7" t="n"/>
      <c r="J1465" s="32" t="inlineStr">
        <is>
          <t>Tita Elys/bottle/340grams</t>
        </is>
      </c>
      <c r="K1465" s="24" t="n"/>
      <c r="L1465" s="36" t="n">
        <v>130</v>
      </c>
      <c r="M1465" s="204" t="n">
        <v>1</v>
      </c>
      <c r="N1465" s="177" t="n">
        <v>340</v>
      </c>
      <c r="O1465" s="13" t="n"/>
      <c r="P1465" s="139" t="inlineStr">
        <is>
          <t>grams</t>
        </is>
      </c>
      <c r="Q1465" s="2" t="n"/>
      <c r="R1465" s="1" t="n"/>
      <c r="S1465" s="229">
        <f>M1465*N1465</f>
        <v/>
      </c>
      <c r="T1465" s="230">
        <f>CONCATENATE(S1465,Q1465,P1465)</f>
        <v/>
      </c>
      <c r="U1465" s="206">
        <f>L1465*M1465</f>
        <v/>
      </c>
      <c r="V1465" s="4" t="n"/>
      <c r="W1465" s="4" t="n"/>
      <c r="X1465" s="4" t="n"/>
    </row>
    <row r="1466" ht="15.75" customHeight="1" thickBot="1">
      <c r="A1466" s="186" t="n">
        <v>230</v>
      </c>
      <c r="B1466" s="215" t="inlineStr">
        <is>
          <t>Lard</t>
        </is>
      </c>
      <c r="C1466" s="124" t="n"/>
      <c r="D1466" s="115" t="n"/>
      <c r="E1466" s="124" t="n"/>
      <c r="F1466" s="124" t="n"/>
      <c r="G1466" s="124" t="n"/>
      <c r="H1466" s="84" t="n"/>
      <c r="I1466" s="7" t="n"/>
      <c r="J1466" s="32" t="inlineStr">
        <is>
          <t>Approved/6800grams</t>
        </is>
      </c>
      <c r="K1466" s="24" t="n"/>
      <c r="L1466" s="36" t="n">
        <v>860</v>
      </c>
      <c r="M1466" s="204" t="n">
        <v>1</v>
      </c>
      <c r="N1466" s="177" t="n">
        <v>6800</v>
      </c>
      <c r="O1466" s="13" t="n"/>
      <c r="P1466" s="139" t="inlineStr">
        <is>
          <t>grams</t>
        </is>
      </c>
      <c r="Q1466" s="2" t="n"/>
      <c r="R1466" s="1" t="n"/>
      <c r="S1466" s="229">
        <f>M1466*N1466</f>
        <v/>
      </c>
      <c r="T1466" s="230">
        <f>CONCATENATE(S1466,Q1466,P1466)</f>
        <v/>
      </c>
      <c r="U1466" s="206">
        <f>L1466*M1466</f>
        <v/>
      </c>
      <c r="V1466" s="4" t="n"/>
      <c r="W1466" s="4" t="n"/>
      <c r="X1466" s="4" t="n"/>
    </row>
    <row r="1467" ht="15.75" customHeight="1" thickBot="1">
      <c r="A1467" s="186" t="n">
        <v>667</v>
      </c>
      <c r="B1467" s="214" t="inlineStr">
        <is>
          <t>Lasagna</t>
        </is>
      </c>
      <c r="C1467" s="124" t="n"/>
      <c r="D1467" s="115" t="n"/>
      <c r="E1467" s="124" t="n"/>
      <c r="F1467" s="124" t="n"/>
      <c r="G1467" s="124" t="n"/>
      <c r="H1467" s="84" t="n"/>
      <c r="I1467" s="7" t="n"/>
      <c r="J1467" s="32" t="inlineStr">
        <is>
          <t>Ideal</t>
        </is>
      </c>
      <c r="K1467" s="24" t="n"/>
      <c r="L1467" s="36" t="n">
        <v>129</v>
      </c>
      <c r="M1467" s="204" t="n">
        <v>2</v>
      </c>
      <c r="N1467" s="177" t="n">
        <v>454</v>
      </c>
      <c r="O1467" s="13" t="n"/>
      <c r="P1467" s="139" t="inlineStr">
        <is>
          <t>grams</t>
        </is>
      </c>
      <c r="Q1467" s="2" t="n"/>
      <c r="R1467" s="1" t="n"/>
      <c r="S1467" s="229">
        <f>M1467*N1467</f>
        <v/>
      </c>
      <c r="T1467" s="230">
        <f>CONCATENATE(S1467,Q1467,P1467)</f>
        <v/>
      </c>
      <c r="U1467" s="206">
        <f>L1467*M1467</f>
        <v/>
      </c>
      <c r="V1467" s="4" t="n"/>
      <c r="W1467" s="4" t="n"/>
      <c r="X1467" s="4" t="n"/>
    </row>
    <row r="1468" ht="15.75" customHeight="1" thickBot="1">
      <c r="A1468" s="186" t="n">
        <v>667</v>
      </c>
      <c r="B1468" s="214" t="inlineStr">
        <is>
          <t>Lasagna</t>
        </is>
      </c>
      <c r="C1468" s="124" t="n"/>
      <c r="D1468" s="115" t="n"/>
      <c r="E1468" s="124" t="n"/>
      <c r="F1468" s="124" t="n"/>
      <c r="G1468" s="124" t="n"/>
      <c r="H1468" s="84" t="n"/>
      <c r="I1468" s="7" t="n"/>
      <c r="J1468" s="32" t="inlineStr">
        <is>
          <t>Dona Elena</t>
        </is>
      </c>
      <c r="K1468" s="24" t="n"/>
      <c r="L1468" s="36" t="n">
        <v>143.5</v>
      </c>
      <c r="M1468" s="204" t="n">
        <v>2</v>
      </c>
      <c r="N1468" s="177" t="n">
        <v>500</v>
      </c>
      <c r="O1468" s="13" t="n"/>
      <c r="P1468" s="139" t="inlineStr">
        <is>
          <t>grams</t>
        </is>
      </c>
      <c r="Q1468" s="2" t="n"/>
      <c r="R1468" s="1" t="n"/>
      <c r="S1468" s="229">
        <f>M1468*N1468</f>
        <v/>
      </c>
      <c r="T1468" s="230">
        <f>CONCATENATE(S1468,Q1468,P1468)</f>
        <v/>
      </c>
      <c r="U1468" s="206">
        <f>L1468*M1468</f>
        <v/>
      </c>
      <c r="V1468" s="4" t="n"/>
      <c r="W1468" s="4" t="n"/>
      <c r="X1468" s="4" t="n"/>
    </row>
    <row r="1469" ht="15.75" customHeight="1" thickBot="1">
      <c r="A1469" s="186" t="n">
        <v>667</v>
      </c>
      <c r="B1469" s="214" t="inlineStr">
        <is>
          <t>Lasagna</t>
        </is>
      </c>
      <c r="C1469" s="124" t="n"/>
      <c r="D1469" s="115" t="n"/>
      <c r="E1469" s="124" t="n"/>
      <c r="F1469" s="124" t="n"/>
      <c r="G1469" s="124" t="n"/>
      <c r="H1469" s="84" t="n"/>
      <c r="I1469" s="7" t="n"/>
      <c r="J1469" s="32" t="inlineStr">
        <is>
          <t>Ideal</t>
        </is>
      </c>
      <c r="K1469" s="24" t="n"/>
      <c r="L1469" s="36" t="n">
        <v>137</v>
      </c>
      <c r="M1469" s="204" t="n">
        <v>1</v>
      </c>
      <c r="N1469" s="177" t="n">
        <v>454</v>
      </c>
      <c r="O1469" s="13" t="n"/>
      <c r="P1469" s="139" t="inlineStr">
        <is>
          <t>grams</t>
        </is>
      </c>
      <c r="Q1469" s="2" t="n"/>
      <c r="R1469" s="1" t="n"/>
      <c r="S1469" s="229">
        <f>M1469*N1469</f>
        <v/>
      </c>
      <c r="T1469" s="230">
        <f>CONCATENATE(S1469,Q1469,P1469)</f>
        <v/>
      </c>
      <c r="U1469" s="206">
        <f>L1469*M1469</f>
        <v/>
      </c>
      <c r="V1469" s="4" t="n"/>
      <c r="W1469" s="4" t="n"/>
      <c r="X1469" s="4" t="n"/>
    </row>
    <row r="1470" ht="15.75" customHeight="1" thickBot="1">
      <c r="A1470" s="186" t="n">
        <v>667</v>
      </c>
      <c r="B1470" s="214" t="inlineStr">
        <is>
          <t>Lasagna</t>
        </is>
      </c>
      <c r="C1470" s="124" t="n"/>
      <c r="D1470" s="115" t="n"/>
      <c r="E1470" s="124" t="n"/>
      <c r="F1470" s="124" t="n"/>
      <c r="G1470" s="124" t="n"/>
      <c r="H1470" s="84" t="n"/>
      <c r="I1470" s="7" t="n"/>
      <c r="J1470" s="32" t="inlineStr">
        <is>
          <t>Dona Elena</t>
        </is>
      </c>
      <c r="K1470" s="24" t="n"/>
      <c r="L1470" s="36" t="n">
        <v>117.5</v>
      </c>
      <c r="M1470" s="204" t="n">
        <v>1</v>
      </c>
      <c r="N1470" s="177" t="n">
        <v>500</v>
      </c>
      <c r="O1470" s="13" t="n"/>
      <c r="P1470" s="139" t="inlineStr">
        <is>
          <t>grams</t>
        </is>
      </c>
      <c r="Q1470" s="2" t="n"/>
      <c r="R1470" s="1" t="n"/>
      <c r="S1470" s="229">
        <f>M1470*N1470</f>
        <v/>
      </c>
      <c r="T1470" s="230">
        <f>CONCATENATE(S1470,Q1470,P1470)</f>
        <v/>
      </c>
      <c r="U1470" s="206">
        <f>L1470*M1470</f>
        <v/>
      </c>
      <c r="V1470" s="4" t="n"/>
      <c r="W1470" s="4" t="n"/>
      <c r="X1470" s="4" t="n"/>
    </row>
    <row r="1471" ht="15.75" customHeight="1" thickBot="1">
      <c r="A1471" s="186" t="n">
        <v>232</v>
      </c>
      <c r="B1471" s="214" t="inlineStr">
        <is>
          <t>Laurel Leaves</t>
        </is>
      </c>
      <c r="C1471" s="124" t="n"/>
      <c r="D1471" s="115" t="n"/>
      <c r="E1471" s="124" t="n"/>
      <c r="F1471" s="124" t="n"/>
      <c r="G1471" s="124" t="n"/>
      <c r="H1471" s="84" t="n"/>
      <c r="I1471" s="7" t="n"/>
      <c r="J1471" s="32" t="inlineStr">
        <is>
          <t>Lipa Spices</t>
        </is>
      </c>
      <c r="K1471" s="24" t="n"/>
      <c r="L1471" s="36" t="n">
        <v>400</v>
      </c>
      <c r="M1471" s="204" t="n">
        <v>0</v>
      </c>
      <c r="N1471" s="177" t="n">
        <v>1</v>
      </c>
      <c r="O1471" s="13" t="n"/>
      <c r="P1471" s="139" t="inlineStr">
        <is>
          <t>kilos</t>
        </is>
      </c>
      <c r="Q1471" s="2" t="n"/>
      <c r="R1471" s="1" t="n"/>
      <c r="S1471" s="229">
        <f>M1471*N1471</f>
        <v/>
      </c>
      <c r="T1471" s="230">
        <f>CONCATENATE(S1471,Q1471,P1471)</f>
        <v/>
      </c>
      <c r="U1471" s="206">
        <f>L1471*M1471</f>
        <v/>
      </c>
      <c r="V1471" s="4" t="n"/>
      <c r="W1471" s="4" t="n"/>
      <c r="X1471" s="4" t="n"/>
    </row>
    <row r="1472" ht="15.75" customHeight="1" thickBot="1">
      <c r="A1472" s="186" t="n">
        <v>232</v>
      </c>
      <c r="B1472" s="214" t="inlineStr">
        <is>
          <t>Laurel Leaves</t>
        </is>
      </c>
      <c r="C1472" s="124" t="n"/>
      <c r="D1472" s="115" t="n"/>
      <c r="E1472" s="124" t="n"/>
      <c r="F1472" s="124" t="n"/>
      <c r="G1472" s="124" t="n"/>
      <c r="H1472" s="84" t="n"/>
      <c r="I1472" s="7" t="n"/>
      <c r="J1472" s="32" t="inlineStr">
        <is>
          <t>Amparo's</t>
        </is>
      </c>
      <c r="K1472" s="24" t="n"/>
      <c r="L1472" s="36" t="n">
        <v>125</v>
      </c>
      <c r="M1472" s="204" t="n">
        <v>1</v>
      </c>
      <c r="N1472" s="177" t="n">
        <v>250</v>
      </c>
      <c r="O1472" s="13" t="n"/>
      <c r="P1472" s="139" t="inlineStr">
        <is>
          <t>grams</t>
        </is>
      </c>
      <c r="Q1472" s="2" t="n"/>
      <c r="R1472" s="1" t="n"/>
      <c r="S1472" s="229">
        <f>M1472*N1472</f>
        <v/>
      </c>
      <c r="T1472" s="230">
        <f>CONCATENATE(S1472,Q1472,P1472)</f>
        <v/>
      </c>
      <c r="U1472" s="206">
        <f>L1472*M1472</f>
        <v/>
      </c>
      <c r="V1472" s="4" t="n"/>
      <c r="W1472" s="4" t="n"/>
      <c r="X1472" s="4" t="n"/>
    </row>
    <row r="1473" ht="15.75" customHeight="1" thickBot="1">
      <c r="A1473" s="186" t="n">
        <v>232</v>
      </c>
      <c r="B1473" s="214" t="inlineStr">
        <is>
          <t>Laurel Leaves</t>
        </is>
      </c>
      <c r="C1473" s="124" t="n"/>
      <c r="D1473" s="115" t="n"/>
      <c r="E1473" s="124" t="n"/>
      <c r="F1473" s="124" t="n"/>
      <c r="G1473" s="124" t="n"/>
      <c r="H1473" s="84" t="n"/>
      <c r="I1473" s="7" t="n"/>
      <c r="J1473" s="32" t="inlineStr">
        <is>
          <t>Lipa Spices/pack/1000grams</t>
        </is>
      </c>
      <c r="K1473" s="24" t="n"/>
      <c r="L1473" s="36" t="n">
        <v>98</v>
      </c>
      <c r="M1473" s="204" t="n">
        <v>1</v>
      </c>
      <c r="N1473" s="177" t="n">
        <v>1000</v>
      </c>
      <c r="O1473" s="13" t="n"/>
      <c r="P1473" s="139" t="inlineStr">
        <is>
          <t>grams</t>
        </is>
      </c>
      <c r="Q1473" s="2" t="n"/>
      <c r="R1473" s="1" t="n"/>
      <c r="S1473" s="229">
        <f>M1473*N1473</f>
        <v/>
      </c>
      <c r="T1473" s="230">
        <f>CONCATENATE(S1473,Q1473,P1473)</f>
        <v/>
      </c>
      <c r="U1473" s="206">
        <f>L1473*M1473</f>
        <v/>
      </c>
      <c r="V1473" s="4" t="n"/>
      <c r="W1473" s="4" t="n"/>
      <c r="X1473" s="4" t="n"/>
    </row>
    <row r="1474" ht="15.75" customHeight="1" thickBot="1">
      <c r="A1474" s="186" t="n">
        <v>233</v>
      </c>
      <c r="B1474" s="214" t="inlineStr">
        <is>
          <t>Lechon Sauce</t>
        </is>
      </c>
      <c r="C1474" s="124" t="n"/>
      <c r="D1474" s="115" t="n"/>
      <c r="E1474" s="124" t="n"/>
      <c r="F1474" s="124" t="n"/>
      <c r="G1474" s="124" t="n"/>
      <c r="H1474" s="84" t="n"/>
      <c r="I1474" s="7" t="n"/>
      <c r="J1474" s="32" t="inlineStr">
        <is>
          <t>Mang Tomas/bottle/550grams</t>
        </is>
      </c>
      <c r="K1474" s="24" t="n"/>
      <c r="L1474" s="36" t="n">
        <v>48.7</v>
      </c>
      <c r="M1474" s="204" t="n">
        <v>1</v>
      </c>
      <c r="N1474" s="177" t="n">
        <v>550</v>
      </c>
      <c r="O1474" s="13" t="n"/>
      <c r="P1474" s="139" t="inlineStr">
        <is>
          <t>grams</t>
        </is>
      </c>
      <c r="Q1474" s="2" t="n"/>
      <c r="R1474" s="1" t="n"/>
      <c r="S1474" s="229">
        <f>M1474*N1474</f>
        <v/>
      </c>
      <c r="T1474" s="230">
        <f>CONCATENATE(S1474,Q1474,P1474)</f>
        <v/>
      </c>
      <c r="U1474" s="206">
        <f>L1474*M1474</f>
        <v/>
      </c>
      <c r="V1474" s="4" t="n"/>
      <c r="W1474" s="4" t="n"/>
      <c r="X1474" s="4" t="n"/>
    </row>
    <row r="1475" ht="15.75" customHeight="1" thickBot="1">
      <c r="A1475" s="186" t="n">
        <v>233</v>
      </c>
      <c r="B1475" s="214" t="inlineStr">
        <is>
          <t>Lechon Sauce</t>
        </is>
      </c>
      <c r="C1475" s="124" t="n"/>
      <c r="D1475" s="115" t="n"/>
      <c r="E1475" s="124" t="n"/>
      <c r="F1475" s="124" t="n"/>
      <c r="G1475" s="124" t="n"/>
      <c r="H1475" s="84" t="n"/>
      <c r="I1475" s="7" t="n"/>
      <c r="J1475" s="32" t="inlineStr">
        <is>
          <t>Mang Tomas/bottle/325grams</t>
        </is>
      </c>
      <c r="K1475" s="24" t="n"/>
      <c r="L1475" s="36" t="n">
        <v>35.1</v>
      </c>
      <c r="M1475" s="204" t="n">
        <v>1</v>
      </c>
      <c r="N1475" s="177" t="n">
        <v>325</v>
      </c>
      <c r="O1475" s="13" t="n"/>
      <c r="P1475" s="139" t="inlineStr">
        <is>
          <t>grams</t>
        </is>
      </c>
      <c r="Q1475" s="2" t="n"/>
      <c r="R1475" s="1" t="n"/>
      <c r="S1475" s="229">
        <f>M1475*N1475</f>
        <v/>
      </c>
      <c r="T1475" s="230">
        <f>CONCATENATE(S1475,Q1475,P1475)</f>
        <v/>
      </c>
      <c r="U1475" s="206">
        <f>L1475*M1475</f>
        <v/>
      </c>
      <c r="V1475" s="4" t="n"/>
      <c r="W1475" s="4" t="n"/>
      <c r="X1475" s="4" t="n"/>
    </row>
    <row r="1476" ht="15.75" customHeight="1" thickBot="1">
      <c r="A1476" s="186" t="n">
        <v>233</v>
      </c>
      <c r="B1476" s="214" t="inlineStr">
        <is>
          <t>Lechon Sauce</t>
        </is>
      </c>
      <c r="C1476" s="124" t="n"/>
      <c r="D1476" s="115" t="n"/>
      <c r="E1476" s="124" t="n"/>
      <c r="F1476" s="124" t="n"/>
      <c r="G1476" s="124" t="n"/>
      <c r="H1476" s="84" t="n"/>
      <c r="I1476" s="7" t="n"/>
      <c r="J1476" s="32" t="inlineStr">
        <is>
          <t>Mang Tomas/bottle/550grams</t>
        </is>
      </c>
      <c r="K1476" s="24" t="n"/>
      <c r="L1476" s="36" t="n">
        <v>48.7</v>
      </c>
      <c r="M1476" s="204" t="n">
        <v>1</v>
      </c>
      <c r="N1476" s="177" t="n">
        <v>550</v>
      </c>
      <c r="O1476" s="13" t="n"/>
      <c r="P1476" s="139" t="inlineStr">
        <is>
          <t>grams</t>
        </is>
      </c>
      <c r="Q1476" s="2" t="n"/>
      <c r="R1476" s="1" t="n"/>
      <c r="S1476" s="229">
        <f>M1476*N1476</f>
        <v/>
      </c>
      <c r="T1476" s="230">
        <f>CONCATENATE(S1476,Q1476,P1476)</f>
        <v/>
      </c>
      <c r="U1476" s="206">
        <f>L1476*M1476</f>
        <v/>
      </c>
      <c r="V1476" s="4" t="n"/>
      <c r="W1476" s="4" t="n"/>
      <c r="X1476" s="4" t="n"/>
    </row>
    <row r="1477" ht="15.75" customHeight="1" thickBot="1">
      <c r="A1477" s="186" t="n">
        <v>233</v>
      </c>
      <c r="B1477" s="214" t="inlineStr">
        <is>
          <t>Lechon Sauce</t>
        </is>
      </c>
      <c r="C1477" s="124" t="n"/>
      <c r="D1477" s="115" t="n"/>
      <c r="E1477" s="124" t="n"/>
      <c r="F1477" s="124" t="n"/>
      <c r="G1477" s="124" t="n"/>
      <c r="H1477" s="84" t="n"/>
      <c r="I1477" s="7" t="n"/>
      <c r="J1477" s="32" t="inlineStr">
        <is>
          <t>Mang Tomas</t>
        </is>
      </c>
      <c r="K1477" s="24" t="n"/>
      <c r="L1477" s="36" t="n">
        <v>77.3</v>
      </c>
      <c r="M1477" s="204" t="n">
        <v>5</v>
      </c>
      <c r="N1477" s="177" t="n">
        <v>1000</v>
      </c>
      <c r="O1477" s="13" t="n"/>
      <c r="P1477" s="139" t="inlineStr">
        <is>
          <t>kilos</t>
        </is>
      </c>
      <c r="Q1477" s="2" t="n"/>
      <c r="R1477" s="1" t="n"/>
      <c r="S1477" s="229">
        <f>M1477*N1477</f>
        <v/>
      </c>
      <c r="T1477" s="230">
        <f>CONCATENATE(S1477,Q1477,P1477)</f>
        <v/>
      </c>
      <c r="U1477" s="206">
        <f>L1477*M1477</f>
        <v/>
      </c>
      <c r="V1477" s="4" t="n"/>
      <c r="W1477" s="4" t="n"/>
      <c r="X1477" s="4" t="n"/>
    </row>
    <row r="1478" ht="15.75" customHeight="1" thickBot="1">
      <c r="A1478" s="186" t="n">
        <v>233</v>
      </c>
      <c r="B1478" s="214" t="inlineStr">
        <is>
          <t>Lechon Sauce</t>
        </is>
      </c>
      <c r="C1478" s="124" t="n"/>
      <c r="D1478" s="115" t="n"/>
      <c r="E1478" s="124" t="n"/>
      <c r="F1478" s="124" t="n"/>
      <c r="G1478" s="124" t="n"/>
      <c r="H1478" s="84" t="n"/>
      <c r="I1478" s="7" t="n"/>
      <c r="J1478" s="32" t="inlineStr">
        <is>
          <t>Lasap</t>
        </is>
      </c>
      <c r="K1478" s="24" t="n"/>
      <c r="L1478" s="36" t="n">
        <v>251</v>
      </c>
      <c r="M1478" s="204" t="n">
        <v>4</v>
      </c>
      <c r="N1478" s="177" t="n">
        <v>1</v>
      </c>
      <c r="O1478" s="13" t="n"/>
      <c r="P1478" s="139" t="inlineStr">
        <is>
          <t>gal</t>
        </is>
      </c>
      <c r="Q1478" s="2" t="n"/>
      <c r="R1478" s="1" t="n"/>
      <c r="S1478" s="229">
        <f>M1478*N1478</f>
        <v/>
      </c>
      <c r="T1478" s="230">
        <f>CONCATENATE(S1478,Q1478,P1478)</f>
        <v/>
      </c>
      <c r="U1478" s="206">
        <f>L1478*M1478</f>
        <v/>
      </c>
      <c r="V1478" s="4" t="n"/>
      <c r="W1478" s="4" t="n"/>
      <c r="X1478" s="4" t="n"/>
    </row>
    <row r="1479" ht="15.75" customHeight="1" thickBot="1">
      <c r="A1479" s="186" t="n">
        <v>233</v>
      </c>
      <c r="B1479" s="215" t="inlineStr">
        <is>
          <t>Lechon Sauce</t>
        </is>
      </c>
      <c r="C1479" s="124" t="n"/>
      <c r="D1479" s="115" t="n"/>
      <c r="E1479" s="124" t="n"/>
      <c r="F1479" s="124" t="n"/>
      <c r="G1479" s="124" t="n"/>
      <c r="H1479" s="84" t="n"/>
      <c r="I1479" s="7" t="n"/>
      <c r="J1479" s="32" t="inlineStr">
        <is>
          <t>Mang Tomas/bottle/550grams</t>
        </is>
      </c>
      <c r="K1479" s="24" t="n"/>
      <c r="L1479" s="36" t="n">
        <v>48.7</v>
      </c>
      <c r="M1479" s="204" t="n">
        <v>1</v>
      </c>
      <c r="N1479" s="177" t="n">
        <v>550</v>
      </c>
      <c r="O1479" s="13" t="n"/>
      <c r="P1479" s="139" t="inlineStr">
        <is>
          <t>grams</t>
        </is>
      </c>
      <c r="Q1479" s="2" t="n"/>
      <c r="R1479" s="1" t="n"/>
      <c r="S1479" s="229">
        <f>M1479*N1479</f>
        <v/>
      </c>
      <c r="T1479" s="230">
        <f>CONCATENATE(S1479,Q1479,P1479)</f>
        <v/>
      </c>
      <c r="U1479" s="206">
        <f>L1479*M1479</f>
        <v/>
      </c>
      <c r="V1479" s="4" t="n"/>
      <c r="W1479" s="4" t="n"/>
      <c r="X1479" s="4" t="n"/>
    </row>
    <row r="1480" ht="15.75" customHeight="1" thickBot="1">
      <c r="A1480" s="186" t="n">
        <v>233</v>
      </c>
      <c r="B1480" s="214" t="inlineStr">
        <is>
          <t>Lechon Sauce</t>
        </is>
      </c>
      <c r="C1480" s="124" t="n"/>
      <c r="D1480" s="115" t="n"/>
      <c r="E1480" s="124" t="n"/>
      <c r="F1480" s="124" t="n"/>
      <c r="G1480" s="124" t="n"/>
      <c r="H1480" s="84" t="n"/>
      <c r="I1480" s="7" t="n"/>
      <c r="J1480" s="32" t="inlineStr">
        <is>
          <t>Mang Tomas</t>
        </is>
      </c>
      <c r="K1480" s="24" t="n"/>
      <c r="L1480" s="36" t="n">
        <v>36.25</v>
      </c>
      <c r="M1480" s="204" t="n">
        <v>4</v>
      </c>
      <c r="N1480" s="177" t="n">
        <v>325</v>
      </c>
      <c r="O1480" s="13" t="n"/>
      <c r="P1480" s="139" t="inlineStr">
        <is>
          <t>grams</t>
        </is>
      </c>
      <c r="Q1480" s="2" t="n"/>
      <c r="R1480" s="1" t="n"/>
      <c r="S1480" s="229">
        <f>M1480*N1480</f>
        <v/>
      </c>
      <c r="T1480" s="230">
        <f>CONCATENATE(S1480,Q1480,P1480)</f>
        <v/>
      </c>
      <c r="U1480" s="206">
        <f>L1480*M1480</f>
        <v/>
      </c>
      <c r="V1480" s="4" t="n"/>
      <c r="W1480" s="4" t="n"/>
      <c r="X1480" s="4" t="n"/>
    </row>
    <row r="1481" ht="15.75" customHeight="1" thickBot="1">
      <c r="A1481" s="186" t="n">
        <v>233</v>
      </c>
      <c r="B1481" s="214" t="inlineStr">
        <is>
          <t>Lechon Sauce</t>
        </is>
      </c>
      <c r="C1481" s="124" t="n"/>
      <c r="D1481" s="115" t="n"/>
      <c r="E1481" s="124" t="n"/>
      <c r="F1481" s="124" t="n"/>
      <c r="G1481" s="124" t="n"/>
      <c r="H1481" s="84" t="n"/>
      <c r="I1481" s="7" t="n"/>
      <c r="J1481" s="32" t="inlineStr">
        <is>
          <t>Mang Tomas</t>
        </is>
      </c>
      <c r="K1481" s="24" t="n"/>
      <c r="L1481" s="36" t="n">
        <v>48.7</v>
      </c>
      <c r="M1481" s="204" t="n">
        <v>1</v>
      </c>
      <c r="N1481" s="177" t="n">
        <v>4</v>
      </c>
      <c r="O1481" s="13" t="n"/>
      <c r="P1481" s="139" t="inlineStr">
        <is>
          <t>liters</t>
        </is>
      </c>
      <c r="Q1481" s="2" t="n"/>
      <c r="R1481" s="1" t="n"/>
      <c r="S1481" s="229">
        <f>M1481*N1481</f>
        <v/>
      </c>
      <c r="T1481" s="230">
        <f>CONCATENATE(S1481,Q1481,P1481)</f>
        <v/>
      </c>
      <c r="U1481" s="206">
        <f>L1481*M1481</f>
        <v/>
      </c>
      <c r="V1481" s="4" t="n"/>
      <c r="W1481" s="4" t="n"/>
      <c r="X1481" s="4" t="n"/>
    </row>
    <row r="1482" ht="15.75" customHeight="1" thickBot="1">
      <c r="A1482" s="186" t="n">
        <v>668</v>
      </c>
      <c r="B1482" s="214" t="inlineStr">
        <is>
          <t>Lemon</t>
        </is>
      </c>
      <c r="C1482" s="124" t="n"/>
      <c r="D1482" s="115" t="n"/>
      <c r="E1482" s="124" t="n"/>
      <c r="F1482" s="124" t="n"/>
      <c r="G1482" s="124" t="n"/>
      <c r="H1482" s="84" t="n"/>
      <c r="I1482" s="7" t="n"/>
      <c r="J1482" s="32" t="n"/>
      <c r="K1482" s="24" t="n"/>
      <c r="L1482" s="36" t="n">
        <v>25</v>
      </c>
      <c r="M1482" s="204" t="n">
        <v>4</v>
      </c>
      <c r="N1482" s="177" t="n">
        <v>1</v>
      </c>
      <c r="O1482" s="13" t="n"/>
      <c r="P1482" s="139" t="inlineStr">
        <is>
          <t>pieces</t>
        </is>
      </c>
      <c r="Q1482" s="2" t="n"/>
      <c r="R1482" s="1" t="n"/>
      <c r="S1482" s="229">
        <f>M1482*N1482</f>
        <v/>
      </c>
      <c r="T1482" s="230">
        <f>CONCATENATE(S1482,Q1482,P1482)</f>
        <v/>
      </c>
      <c r="U1482" s="206">
        <f>L1482*M1482</f>
        <v/>
      </c>
      <c r="V1482" s="4" t="n"/>
      <c r="W1482" s="4" t="n"/>
      <c r="X1482" s="4" t="n"/>
    </row>
    <row r="1483" ht="15.75" customHeight="1" thickBot="1">
      <c r="A1483" s="186" t="n">
        <v>668</v>
      </c>
      <c r="B1483" s="214" t="inlineStr">
        <is>
          <t>Lemon</t>
        </is>
      </c>
      <c r="C1483" s="124" t="n"/>
      <c r="D1483" s="115" t="n"/>
      <c r="E1483" s="124" t="n"/>
      <c r="F1483" s="124" t="n"/>
      <c r="G1483" s="124" t="n"/>
      <c r="H1483" s="84" t="n"/>
      <c r="I1483" s="7" t="n"/>
      <c r="J1483" s="32" t="inlineStr">
        <is>
          <t>TOPPINGS</t>
        </is>
      </c>
      <c r="K1483" s="24" t="n"/>
      <c r="L1483" s="36" t="n">
        <v>25</v>
      </c>
      <c r="M1483" s="204" t="n">
        <v>2</v>
      </c>
      <c r="N1483" s="177" t="n">
        <v>1000</v>
      </c>
      <c r="O1483" s="13" t="n"/>
      <c r="P1483" s="139" t="inlineStr">
        <is>
          <t>grams</t>
        </is>
      </c>
      <c r="Q1483" s="2" t="n"/>
      <c r="R1483" s="1" t="n"/>
      <c r="S1483" s="229">
        <f>M1483*N1483</f>
        <v/>
      </c>
      <c r="T1483" s="230">
        <f>CONCATENATE(S1483,Q1483,P1483)</f>
        <v/>
      </c>
      <c r="U1483" s="206">
        <f>L1483*M1483</f>
        <v/>
      </c>
      <c r="V1483" s="4" t="n"/>
      <c r="W1483" s="4" t="n"/>
      <c r="X1483" s="4" t="n"/>
    </row>
    <row r="1484" ht="15.75" customHeight="1" thickBot="1">
      <c r="A1484" s="186" t="n">
        <v>668</v>
      </c>
      <c r="B1484" s="214" t="inlineStr">
        <is>
          <t>Lemon</t>
        </is>
      </c>
      <c r="C1484" s="124" t="n"/>
      <c r="D1484" s="115" t="n"/>
      <c r="E1484" s="124" t="n"/>
      <c r="F1484" s="124" t="n"/>
      <c r="G1484" s="124" t="n"/>
      <c r="H1484" s="84" t="n"/>
      <c r="I1484" s="7" t="n"/>
      <c r="J1484" s="32" t="n"/>
      <c r="K1484" s="24" t="n"/>
      <c r="L1484" s="36" t="n">
        <v>28</v>
      </c>
      <c r="M1484" s="204" t="n">
        <v>1</v>
      </c>
      <c r="N1484" s="177" t="n">
        <v>1</v>
      </c>
      <c r="O1484" s="13" t="n"/>
      <c r="P1484" s="139" t="inlineStr">
        <is>
          <t>pieces</t>
        </is>
      </c>
      <c r="Q1484" s="2" t="n"/>
      <c r="R1484" s="1" t="n"/>
      <c r="S1484" s="229">
        <f>M1484*N1484</f>
        <v/>
      </c>
      <c r="T1484" s="230">
        <f>CONCATENATE(S1484,Q1484,P1484)</f>
        <v/>
      </c>
      <c r="U1484" s="206">
        <f>L1484*M1484</f>
        <v/>
      </c>
      <c r="V1484" s="4" t="n"/>
      <c r="W1484" s="4" t="n"/>
      <c r="X1484" s="4" t="n"/>
    </row>
    <row r="1485" ht="15.75" customHeight="1" thickBot="1">
      <c r="A1485" s="186" t="n">
        <v>669</v>
      </c>
      <c r="B1485" s="214" t="inlineStr">
        <is>
          <t>Lemonade - Blue</t>
        </is>
      </c>
      <c r="C1485" s="124" t="n"/>
      <c r="D1485" s="115" t="n"/>
      <c r="E1485" s="124" t="n"/>
      <c r="F1485" s="124" t="n"/>
      <c r="G1485" s="124" t="n"/>
      <c r="H1485" s="84" t="n"/>
      <c r="I1485" s="7" t="n"/>
      <c r="J1485" s="32" t="inlineStr">
        <is>
          <t>Nestle</t>
        </is>
      </c>
      <c r="K1485" s="24" t="n"/>
      <c r="L1485" s="36" t="n">
        <v>180</v>
      </c>
      <c r="M1485" s="204" t="n">
        <v>12</v>
      </c>
      <c r="N1485" s="177" t="n">
        <v>200</v>
      </c>
      <c r="O1485" s="13" t="n"/>
      <c r="P1485" s="139" t="inlineStr">
        <is>
          <t>grams</t>
        </is>
      </c>
      <c r="Q1485" s="2" t="n"/>
      <c r="R1485" s="1" t="n"/>
      <c r="S1485" s="229">
        <f>M1485*N1485</f>
        <v/>
      </c>
      <c r="T1485" s="230">
        <f>CONCATENATE(S1485,Q1485,P1485)</f>
        <v/>
      </c>
      <c r="U1485" s="206">
        <f>L1485*M1485</f>
        <v/>
      </c>
      <c r="V1485" s="4" t="n"/>
      <c r="W1485" s="4" t="n"/>
      <c r="X1485" s="4" t="n"/>
    </row>
    <row r="1486" ht="15.75" customHeight="1" thickBot="1">
      <c r="A1486" s="186" t="n">
        <v>670</v>
      </c>
      <c r="B1486" s="214" t="inlineStr">
        <is>
          <t>Lemonade - Cucumber</t>
        </is>
      </c>
      <c r="C1486" s="124" t="n"/>
      <c r="D1486" s="115" t="n"/>
      <c r="E1486" s="124" t="n"/>
      <c r="F1486" s="124" t="n"/>
      <c r="G1486" s="124" t="n"/>
      <c r="H1486" s="84" t="n"/>
      <c r="I1486" s="7" t="n"/>
      <c r="J1486" s="32" t="inlineStr">
        <is>
          <t>Nestle</t>
        </is>
      </c>
      <c r="K1486" s="24" t="n"/>
      <c r="L1486" s="36" t="n">
        <v>180</v>
      </c>
      <c r="M1486" s="204" t="n">
        <v>24</v>
      </c>
      <c r="N1486" s="177" t="n">
        <v>200</v>
      </c>
      <c r="O1486" s="13" t="n"/>
      <c r="P1486" s="139" t="inlineStr">
        <is>
          <t>grams</t>
        </is>
      </c>
      <c r="Q1486" s="2" t="n"/>
      <c r="R1486" s="1" t="n"/>
      <c r="S1486" s="229">
        <f>M1486*N1486</f>
        <v/>
      </c>
      <c r="T1486" s="230">
        <f>CONCATENATE(S1486,Q1486,P1486)</f>
        <v/>
      </c>
      <c r="U1486" s="206">
        <f>L1486*M1486</f>
        <v/>
      </c>
      <c r="V1486" s="4" t="n"/>
      <c r="W1486" s="4" t="n"/>
      <c r="X1486" s="4" t="n"/>
    </row>
    <row r="1487" ht="15.75" customHeight="1" thickBot="1">
      <c r="A1487" s="186" t="n">
        <v>671</v>
      </c>
      <c r="B1487" s="214" t="inlineStr">
        <is>
          <t>Lettuce - Green Ice</t>
        </is>
      </c>
      <c r="C1487" s="124" t="n"/>
      <c r="D1487" s="115" t="n"/>
      <c r="E1487" s="124" t="n"/>
      <c r="F1487" s="124" t="n"/>
      <c r="G1487" s="124" t="n"/>
      <c r="H1487" s="84" t="n"/>
      <c r="I1487" s="7" t="n"/>
      <c r="J1487" s="32" t="inlineStr">
        <is>
          <t>Fresh</t>
        </is>
      </c>
      <c r="K1487" s="24" t="n"/>
      <c r="L1487" s="36" t="n">
        <v>250</v>
      </c>
      <c r="M1487" s="204" t="n">
        <v>0</v>
      </c>
      <c r="N1487" s="177" t="n">
        <v>1000</v>
      </c>
      <c r="O1487" s="13" t="n"/>
      <c r="P1487" s="139" t="inlineStr">
        <is>
          <t>grams</t>
        </is>
      </c>
      <c r="Q1487" s="2" t="n"/>
      <c r="R1487" s="1" t="n"/>
      <c r="S1487" s="229">
        <f>M1487*N1487</f>
        <v/>
      </c>
      <c r="T1487" s="230">
        <f>CONCATENATE(S1487,Q1487,P1487)</f>
        <v/>
      </c>
      <c r="U1487" s="206">
        <f>L1487*M1487</f>
        <v/>
      </c>
      <c r="V1487" s="4" t="n"/>
      <c r="W1487" s="4" t="n"/>
      <c r="X1487" s="4" t="n"/>
    </row>
    <row r="1488" ht="15.75" customHeight="1" thickBot="1">
      <c r="A1488" s="186" t="n">
        <v>671</v>
      </c>
      <c r="B1488" s="214" t="inlineStr">
        <is>
          <t>Lettuce - Green Ice</t>
        </is>
      </c>
      <c r="C1488" s="124" t="n"/>
      <c r="D1488" s="115" t="n"/>
      <c r="E1488" s="124" t="n"/>
      <c r="F1488" s="124" t="n"/>
      <c r="G1488" s="124" t="n"/>
      <c r="H1488" s="84" t="n"/>
      <c r="I1488" s="7" t="n"/>
      <c r="J1488" s="32" t="inlineStr">
        <is>
          <t>Fresh</t>
        </is>
      </c>
      <c r="K1488" s="24" t="n"/>
      <c r="L1488" s="36" t="n">
        <v>195</v>
      </c>
      <c r="M1488" s="204" t="n">
        <v>1</v>
      </c>
      <c r="N1488" s="177" t="n">
        <v>1000</v>
      </c>
      <c r="O1488" s="13" t="n"/>
      <c r="P1488" s="139" t="inlineStr">
        <is>
          <t>grams</t>
        </is>
      </c>
      <c r="Q1488" s="2" t="n"/>
      <c r="R1488" s="1" t="n"/>
      <c r="S1488" s="229">
        <f>M1488*N1488</f>
        <v/>
      </c>
      <c r="T1488" s="230">
        <f>CONCATENATE(S1488,Q1488,P1488)</f>
        <v/>
      </c>
      <c r="U1488" s="206">
        <f>L1488*M1488</f>
        <v/>
      </c>
      <c r="V1488" s="4" t="n"/>
      <c r="W1488" s="4" t="n"/>
      <c r="X1488" s="4" t="n"/>
    </row>
    <row r="1489" ht="15.75" customHeight="1" thickBot="1">
      <c r="A1489" s="186" t="n">
        <v>672</v>
      </c>
      <c r="B1489" s="214" t="inlineStr">
        <is>
          <t>Light Soy sauce</t>
        </is>
      </c>
      <c r="C1489" s="124" t="n"/>
      <c r="D1489" s="115" t="n"/>
      <c r="E1489" s="124" t="n"/>
      <c r="F1489" s="124" t="n"/>
      <c r="G1489" s="124" t="n"/>
      <c r="H1489" s="84" t="n"/>
      <c r="I1489" s="7" t="n"/>
      <c r="J1489" s="32" t="inlineStr">
        <is>
          <t>Kikkoman</t>
        </is>
      </c>
      <c r="K1489" s="24" t="n"/>
      <c r="L1489" s="36" t="n">
        <v>320</v>
      </c>
      <c r="M1489" s="204" t="n">
        <v>0</v>
      </c>
      <c r="N1489" s="177" t="n">
        <v>1</v>
      </c>
      <c r="O1489" s="13" t="n"/>
      <c r="P1489" s="139" t="inlineStr">
        <is>
          <t>liters</t>
        </is>
      </c>
      <c r="Q1489" s="2" t="n"/>
      <c r="R1489" s="1" t="n"/>
      <c r="S1489" s="229">
        <f>M1489*N1489</f>
        <v/>
      </c>
      <c r="T1489" s="230">
        <f>CONCATENATE(S1489,Q1489,P1489)</f>
        <v/>
      </c>
      <c r="U1489" s="206">
        <f>L1489*M1489</f>
        <v/>
      </c>
      <c r="V1489" s="4" t="n"/>
      <c r="W1489" s="4" t="n"/>
      <c r="X1489" s="4" t="n"/>
    </row>
    <row r="1490" ht="15.75" customHeight="1" thickBot="1">
      <c r="A1490" s="186" t="n">
        <v>672</v>
      </c>
      <c r="B1490" s="215" t="inlineStr">
        <is>
          <t>Light Soy Sauce</t>
        </is>
      </c>
      <c r="C1490" s="124" t="n"/>
      <c r="D1490" s="115" t="n"/>
      <c r="E1490" s="124" t="n"/>
      <c r="F1490" s="124" t="n"/>
      <c r="G1490" s="124" t="n"/>
      <c r="H1490" s="84" t="n"/>
      <c r="I1490" s="7" t="n"/>
      <c r="J1490" s="32" t="inlineStr">
        <is>
          <t>heng Bing/bottle/1800Ml</t>
        </is>
      </c>
      <c r="K1490" s="24" t="n"/>
      <c r="L1490" s="36" t="n">
        <v>310</v>
      </c>
      <c r="M1490" s="204" t="n">
        <v>1</v>
      </c>
      <c r="N1490" s="177" t="n">
        <v>1800</v>
      </c>
      <c r="O1490" s="13" t="n"/>
      <c r="P1490" s="139" t="inlineStr">
        <is>
          <t>ml</t>
        </is>
      </c>
      <c r="Q1490" s="2" t="n"/>
      <c r="R1490" s="1" t="n"/>
      <c r="S1490" s="229">
        <f>M1490*N1490</f>
        <v/>
      </c>
      <c r="T1490" s="230">
        <f>CONCATENATE(S1490,Q1490,P1490)</f>
        <v/>
      </c>
      <c r="U1490" s="206">
        <f>L1490*M1490</f>
        <v/>
      </c>
      <c r="V1490" s="4" t="n"/>
      <c r="W1490" s="4" t="n"/>
      <c r="X1490" s="4" t="n"/>
    </row>
    <row r="1491" ht="15.75" customHeight="1" thickBot="1">
      <c r="A1491" s="186" t="n">
        <v>234</v>
      </c>
      <c r="B1491" s="214" t="inlineStr">
        <is>
          <t>Lihia</t>
        </is>
      </c>
      <c r="C1491" s="124" t="n"/>
      <c r="D1491" s="115" t="n"/>
      <c r="E1491" s="124" t="n"/>
      <c r="F1491" s="124" t="n"/>
      <c r="G1491" s="124" t="n"/>
      <c r="H1491" s="84" t="n"/>
      <c r="I1491" s="7" t="n"/>
      <c r="J1491" s="32" t="inlineStr">
        <is>
          <t>Sampaguita/bottle/350ml</t>
        </is>
      </c>
      <c r="K1491" s="24" t="n"/>
      <c r="L1491" s="36" t="n">
        <v>65</v>
      </c>
      <c r="M1491" s="204" t="n">
        <v>1</v>
      </c>
      <c r="N1491" s="177" t="n">
        <v>350</v>
      </c>
      <c r="O1491" s="13" t="n"/>
      <c r="P1491" s="139" t="inlineStr">
        <is>
          <t>ml</t>
        </is>
      </c>
      <c r="Q1491" s="2" t="n"/>
      <c r="R1491" s="1" t="n"/>
      <c r="S1491" s="229">
        <f>M1491*N1491</f>
        <v/>
      </c>
      <c r="T1491" s="230">
        <f>CONCATENATE(S1491,Q1491,P1491)</f>
        <v/>
      </c>
      <c r="U1491" s="206">
        <f>L1491*M1491</f>
        <v/>
      </c>
      <c r="V1491" s="4" t="n"/>
      <c r="W1491" s="4" t="n"/>
      <c r="X1491" s="4" t="n"/>
    </row>
    <row r="1492" ht="15.75" customHeight="1" thickBot="1">
      <c r="A1492" s="186" t="n">
        <v>673</v>
      </c>
      <c r="B1492" s="214" t="inlineStr">
        <is>
          <t>Lime Juice</t>
        </is>
      </c>
      <c r="C1492" s="124" t="n"/>
      <c r="D1492" s="115" t="n"/>
      <c r="E1492" s="124" t="n"/>
      <c r="F1492" s="124" t="n"/>
      <c r="G1492" s="124" t="n"/>
      <c r="H1492" s="84" t="n"/>
      <c r="I1492" s="7" t="n"/>
      <c r="J1492" s="32" t="n"/>
      <c r="K1492" s="24" t="n"/>
      <c r="L1492" s="36" t="n">
        <v>45</v>
      </c>
      <c r="M1492" s="204" t="n">
        <v>1</v>
      </c>
      <c r="N1492" s="177" t="n">
        <v>350</v>
      </c>
      <c r="O1492" s="13" t="n"/>
      <c r="P1492" s="139" t="inlineStr">
        <is>
          <t>ml</t>
        </is>
      </c>
      <c r="Q1492" s="2" t="n"/>
      <c r="R1492" s="1" t="n"/>
      <c r="S1492" s="229">
        <f>M1492*N1492</f>
        <v/>
      </c>
      <c r="T1492" s="230">
        <f>CONCATENATE(S1492,Q1492,P1492)</f>
        <v/>
      </c>
      <c r="U1492" s="206">
        <f>L1492*M1492</f>
        <v/>
      </c>
      <c r="V1492" s="4" t="n"/>
      <c r="W1492" s="4" t="n"/>
      <c r="X1492" s="4" t="n"/>
    </row>
    <row r="1493" ht="15.75" customHeight="1" thickBot="1">
      <c r="A1493" s="186" t="n">
        <v>674</v>
      </c>
      <c r="B1493" s="214" t="inlineStr">
        <is>
          <t>Lime Seasoning Mix</t>
        </is>
      </c>
      <c r="C1493" s="124" t="n"/>
      <c r="D1493" s="115" t="n"/>
      <c r="E1493" s="124" t="n"/>
      <c r="F1493" s="124" t="n"/>
      <c r="G1493" s="124" t="n"/>
      <c r="H1493" s="84" t="n"/>
      <c r="I1493" s="7" t="n"/>
      <c r="J1493" s="32" t="inlineStr">
        <is>
          <t>McCormick</t>
        </is>
      </c>
      <c r="K1493" s="24" t="n"/>
      <c r="L1493" s="36" t="n">
        <v>22</v>
      </c>
      <c r="M1493" s="204" t="n">
        <v>2</v>
      </c>
      <c r="N1493" s="177" t="n">
        <v>1</v>
      </c>
      <c r="O1493" s="13" t="n"/>
      <c r="P1493" s="139" t="inlineStr">
        <is>
          <t>pieces</t>
        </is>
      </c>
      <c r="Q1493" s="2" t="n"/>
      <c r="R1493" s="1" t="n"/>
      <c r="S1493" s="229">
        <f>M1493*N1493</f>
        <v/>
      </c>
      <c r="T1493" s="230">
        <f>CONCATENATE(S1493,Q1493,P1493)</f>
        <v/>
      </c>
      <c r="U1493" s="206">
        <f>L1493*M1493</f>
        <v/>
      </c>
      <c r="V1493" s="4" t="n"/>
      <c r="W1493" s="4" t="n"/>
      <c r="X1493" s="4" t="n"/>
    </row>
    <row r="1494" ht="15.75" customHeight="1" thickBot="1">
      <c r="A1494" s="186" t="n">
        <v>675</v>
      </c>
      <c r="B1494" s="215" t="inlineStr">
        <is>
          <t>Liquid Glucose</t>
        </is>
      </c>
      <c r="C1494" s="124" t="n"/>
      <c r="D1494" s="115" t="n"/>
      <c r="E1494" s="124" t="n"/>
      <c r="F1494" s="124" t="n"/>
      <c r="G1494" s="124" t="n"/>
      <c r="H1494" s="84" t="n"/>
      <c r="I1494" s="7" t="n"/>
      <c r="J1494" s="32" t="inlineStr">
        <is>
          <t>Ferna/bottle/1000ml</t>
        </is>
      </c>
      <c r="K1494" s="24" t="n"/>
      <c r="L1494" s="36" t="n">
        <v>100</v>
      </c>
      <c r="M1494" s="204" t="n">
        <v>1</v>
      </c>
      <c r="N1494" s="177" t="n">
        <v>1000</v>
      </c>
      <c r="O1494" s="13" t="n"/>
      <c r="P1494" s="139" t="inlineStr">
        <is>
          <t>ml</t>
        </is>
      </c>
      <c r="Q1494" s="2" t="n"/>
      <c r="R1494" s="1" t="n"/>
      <c r="S1494" s="229">
        <f>M1494*N1494</f>
        <v/>
      </c>
      <c r="T1494" s="230">
        <f>CONCATENATE(S1494,Q1494,P1494)</f>
        <v/>
      </c>
      <c r="U1494" s="206">
        <f>L1494*M1494</f>
        <v/>
      </c>
      <c r="V1494" s="4" t="n"/>
      <c r="W1494" s="4" t="n"/>
      <c r="X1494" s="4" t="n"/>
    </row>
    <row r="1495" ht="15.75" customHeight="1" thickBot="1">
      <c r="A1495" s="186" t="n">
        <v>237</v>
      </c>
      <c r="B1495" s="214" t="inlineStr">
        <is>
          <t>Liquid seasoning</t>
        </is>
      </c>
      <c r="C1495" s="124" t="n"/>
      <c r="D1495" s="115" t="n"/>
      <c r="E1495" s="124" t="n"/>
      <c r="F1495" s="124" t="n"/>
      <c r="G1495" s="124" t="n"/>
      <c r="H1495" s="84" t="n"/>
      <c r="I1495" s="7" t="n"/>
      <c r="J1495" s="32" t="inlineStr">
        <is>
          <t>Unilever - Knorr</t>
        </is>
      </c>
      <c r="K1495" s="24" t="n"/>
      <c r="L1495" s="36" t="n">
        <v>318</v>
      </c>
      <c r="M1495" s="204" t="n">
        <v>0</v>
      </c>
      <c r="N1495" s="177" t="n">
        <v>1</v>
      </c>
      <c r="O1495" s="13" t="n"/>
      <c r="P1495" s="139" t="inlineStr">
        <is>
          <t>liters</t>
        </is>
      </c>
      <c r="Q1495" s="2" t="n"/>
      <c r="R1495" s="1" t="n"/>
      <c r="S1495" s="229">
        <f>M1495*N1495</f>
        <v/>
      </c>
      <c r="T1495" s="230">
        <f>CONCATENATE(S1495,Q1495,P1495)</f>
        <v/>
      </c>
      <c r="U1495" s="206">
        <f>L1495*M1495</f>
        <v/>
      </c>
      <c r="V1495" s="4" t="n"/>
      <c r="W1495" s="4" t="n"/>
      <c r="X1495" s="4" t="n"/>
    </row>
    <row r="1496" ht="15.75" customHeight="1" thickBot="1">
      <c r="A1496" s="186" t="n">
        <v>237</v>
      </c>
      <c r="B1496" s="214" t="inlineStr">
        <is>
          <t>Liquid Seasoning</t>
        </is>
      </c>
      <c r="C1496" s="124" t="n"/>
      <c r="D1496" s="115" t="n"/>
      <c r="E1496" s="124" t="n"/>
      <c r="F1496" s="124" t="n"/>
      <c r="G1496" s="124" t="n"/>
      <c r="H1496" s="84" t="n"/>
      <c r="I1496" s="7" t="n"/>
      <c r="J1496" s="32" t="inlineStr">
        <is>
          <t>Knorr/bottle/1000ml</t>
        </is>
      </c>
      <c r="K1496" s="24" t="n"/>
      <c r="L1496" s="36" t="n">
        <v>301.8</v>
      </c>
      <c r="M1496" s="204" t="n">
        <v>1</v>
      </c>
      <c r="N1496" s="177" t="n">
        <v>1000</v>
      </c>
      <c r="O1496" s="13" t="n"/>
      <c r="P1496" s="139" t="inlineStr">
        <is>
          <t>ml</t>
        </is>
      </c>
      <c r="Q1496" s="2" t="n"/>
      <c r="R1496" s="1" t="n"/>
      <c r="S1496" s="229">
        <f>M1496*N1496</f>
        <v/>
      </c>
      <c r="T1496" s="230">
        <f>CONCATENATE(S1496,Q1496,P1496)</f>
        <v/>
      </c>
      <c r="U1496" s="206">
        <f>L1496*M1496</f>
        <v/>
      </c>
      <c r="V1496" s="4" t="n"/>
      <c r="W1496" s="4" t="n"/>
      <c r="X1496" s="4" t="n"/>
    </row>
    <row r="1497" ht="15.75" customHeight="1" thickBot="1">
      <c r="A1497" s="186" t="n">
        <v>238</v>
      </c>
      <c r="B1497" s="214" t="inlineStr">
        <is>
          <t>Liver Spread</t>
        </is>
      </c>
      <c r="C1497" s="124" t="n"/>
      <c r="D1497" s="115" t="n"/>
      <c r="E1497" s="124" t="n"/>
      <c r="F1497" s="124" t="n"/>
      <c r="G1497" s="124" t="n"/>
      <c r="H1497" s="84" t="n"/>
      <c r="I1497" s="7" t="n"/>
      <c r="J1497" s="32" t="inlineStr">
        <is>
          <t>CDO</t>
        </is>
      </c>
      <c r="K1497" s="24" t="n"/>
      <c r="L1497" s="36" t="n">
        <v>22.9</v>
      </c>
      <c r="M1497" s="204" t="n">
        <v>6</v>
      </c>
      <c r="N1497" s="177" t="n">
        <v>85</v>
      </c>
      <c r="O1497" s="13" t="n"/>
      <c r="P1497" s="139" t="inlineStr">
        <is>
          <t>grams</t>
        </is>
      </c>
      <c r="Q1497" s="2" t="n"/>
      <c r="R1497" s="1" t="n"/>
      <c r="S1497" s="229">
        <f>M1497*N1497</f>
        <v/>
      </c>
      <c r="T1497" s="230">
        <f>CONCATENATE(S1497,Q1497,P1497)</f>
        <v/>
      </c>
      <c r="U1497" s="206">
        <f>L1497*M1497</f>
        <v/>
      </c>
      <c r="V1497" s="4" t="n"/>
      <c r="W1497" s="4" t="n"/>
      <c r="X1497" s="4" t="n"/>
    </row>
    <row r="1498" ht="15.75" customHeight="1" thickBot="1">
      <c r="A1498" s="186" t="n">
        <v>238</v>
      </c>
      <c r="B1498" s="214" t="inlineStr">
        <is>
          <t>Liver Spread</t>
        </is>
      </c>
      <c r="C1498" s="124" t="n"/>
      <c r="D1498" s="115" t="n"/>
      <c r="E1498" s="124" t="n"/>
      <c r="F1498" s="124" t="n"/>
      <c r="G1498" s="124" t="n"/>
      <c r="H1498" s="84" t="n"/>
      <c r="I1498" s="7" t="n"/>
      <c r="J1498" s="32" t="inlineStr">
        <is>
          <t>Argentina</t>
        </is>
      </c>
      <c r="K1498" s="24" t="n"/>
      <c r="L1498" s="36" t="n">
        <v>23.7</v>
      </c>
      <c r="M1498" s="204" t="n">
        <v>10</v>
      </c>
      <c r="N1498" s="177" t="n">
        <v>85</v>
      </c>
      <c r="O1498" s="13" t="n"/>
      <c r="P1498" s="139" t="inlineStr">
        <is>
          <t>grams</t>
        </is>
      </c>
      <c r="Q1498" s="2" t="n"/>
      <c r="R1498" s="1" t="n"/>
      <c r="S1498" s="229">
        <f>M1498*N1498</f>
        <v/>
      </c>
      <c r="T1498" s="230">
        <f>CONCATENATE(S1498,Q1498,P1498)</f>
        <v/>
      </c>
      <c r="U1498" s="206">
        <f>L1498*M1498</f>
        <v/>
      </c>
      <c r="V1498" s="4" t="n"/>
      <c r="W1498" s="4" t="n"/>
      <c r="X1498" s="4" t="n"/>
    </row>
    <row r="1499" ht="15.75" customHeight="1" thickBot="1">
      <c r="A1499" s="186" t="n">
        <v>238</v>
      </c>
      <c r="B1499" s="214" t="inlineStr">
        <is>
          <t>Liver Spread</t>
        </is>
      </c>
      <c r="C1499" s="124" t="n"/>
      <c r="D1499" s="115" t="n"/>
      <c r="E1499" s="124" t="n"/>
      <c r="F1499" s="124" t="n"/>
      <c r="G1499" s="124" t="n"/>
      <c r="H1499" s="84" t="n"/>
      <c r="I1499" s="7" t="n"/>
      <c r="J1499" s="32" t="inlineStr">
        <is>
          <t>Reno/can/85grams</t>
        </is>
      </c>
      <c r="K1499" s="24" t="n"/>
      <c r="L1499" s="36" t="n">
        <v>25</v>
      </c>
      <c r="M1499" s="204" t="n">
        <v>3</v>
      </c>
      <c r="N1499" s="177" t="n">
        <v>85</v>
      </c>
      <c r="O1499" s="13" t="n"/>
      <c r="P1499" s="139" t="inlineStr">
        <is>
          <t>grams</t>
        </is>
      </c>
      <c r="Q1499" s="2" t="n"/>
      <c r="R1499" s="1" t="n"/>
      <c r="S1499" s="229">
        <f>M1499*N1499</f>
        <v/>
      </c>
      <c r="T1499" s="230">
        <f>CONCATENATE(S1499,Q1499,P1499)</f>
        <v/>
      </c>
      <c r="U1499" s="206">
        <f>L1499*M1499</f>
        <v/>
      </c>
      <c r="V1499" s="4" t="n"/>
      <c r="W1499" s="4" t="n"/>
      <c r="X1499" s="4" t="n"/>
    </row>
    <row r="1500" ht="15.75" customHeight="1" thickBot="1">
      <c r="A1500" s="186" t="n">
        <v>238</v>
      </c>
      <c r="B1500" s="215" t="inlineStr">
        <is>
          <t>Liver Spread</t>
        </is>
      </c>
      <c r="C1500" s="124" t="n"/>
      <c r="D1500" s="115" t="n"/>
      <c r="E1500" s="124" t="n"/>
      <c r="F1500" s="124" t="n"/>
      <c r="G1500" s="124" t="n"/>
      <c r="H1500" s="84" t="n"/>
      <c r="I1500" s="7" t="n"/>
      <c r="J1500" s="32" t="inlineStr">
        <is>
          <t>Argentina/can/85grams</t>
        </is>
      </c>
      <c r="K1500" s="24" t="n"/>
      <c r="L1500" s="36" t="n">
        <v>23.7</v>
      </c>
      <c r="M1500" s="204" t="n">
        <v>4</v>
      </c>
      <c r="N1500" s="177" t="n">
        <v>85</v>
      </c>
      <c r="O1500" s="13" t="n"/>
      <c r="P1500" s="139" t="inlineStr">
        <is>
          <t>grams</t>
        </is>
      </c>
      <c r="Q1500" s="2" t="n"/>
      <c r="R1500" s="1" t="n"/>
      <c r="S1500" s="229">
        <f>M1500*N1500</f>
        <v/>
      </c>
      <c r="T1500" s="230">
        <f>CONCATENATE(S1500,Q1500,P1500)</f>
        <v/>
      </c>
      <c r="U1500" s="206">
        <f>L1500*M1500</f>
        <v/>
      </c>
      <c r="V1500" s="4" t="n"/>
      <c r="W1500" s="4" t="n"/>
      <c r="X1500" s="4" t="n"/>
    </row>
    <row r="1501" ht="15.75" customHeight="1" thickBot="1">
      <c r="A1501" s="186" t="n">
        <v>238</v>
      </c>
      <c r="B1501" s="214" t="inlineStr">
        <is>
          <t>Liver Spread</t>
        </is>
      </c>
      <c r="C1501" s="124" t="n"/>
      <c r="D1501" s="115" t="n"/>
      <c r="E1501" s="124" t="n"/>
      <c r="F1501" s="124" t="n"/>
      <c r="G1501" s="124" t="n"/>
      <c r="H1501" s="84" t="n"/>
      <c r="I1501" s="7" t="n"/>
      <c r="J1501" s="32" t="inlineStr">
        <is>
          <t>Argentina/can/85grams</t>
        </is>
      </c>
      <c r="K1501" s="24" t="n"/>
      <c r="L1501" s="36" t="n">
        <v>25</v>
      </c>
      <c r="M1501" s="204" t="n">
        <v>15</v>
      </c>
      <c r="N1501" s="177" t="n">
        <v>85</v>
      </c>
      <c r="O1501" s="13" t="n"/>
      <c r="P1501" s="139" t="inlineStr">
        <is>
          <t>grams</t>
        </is>
      </c>
      <c r="Q1501" s="2" t="n"/>
      <c r="R1501" s="1" t="n"/>
      <c r="S1501" s="229">
        <f>M1501*N1501</f>
        <v/>
      </c>
      <c r="T1501" s="230">
        <f>CONCATENATE(S1501,Q1501,P1501)</f>
        <v/>
      </c>
      <c r="U1501" s="206">
        <f>L1501*M1501</f>
        <v/>
      </c>
      <c r="V1501" s="4" t="n"/>
      <c r="W1501" s="4" t="n"/>
      <c r="X1501" s="4" t="n"/>
    </row>
    <row r="1502" ht="15.75" customHeight="1" thickBot="1">
      <c r="A1502" s="186" t="n">
        <v>238</v>
      </c>
      <c r="B1502" s="215" t="inlineStr">
        <is>
          <t>Liver Spread</t>
        </is>
      </c>
      <c r="C1502" s="124" t="n"/>
      <c r="D1502" s="115" t="n"/>
      <c r="E1502" s="124" t="n"/>
      <c r="F1502" s="124" t="n"/>
      <c r="G1502" s="124" t="n"/>
      <c r="H1502" s="84" t="n"/>
      <c r="I1502" s="7" t="n"/>
      <c r="J1502" s="32" t="inlineStr">
        <is>
          <t>Reno/can/85grams</t>
        </is>
      </c>
      <c r="K1502" s="24" t="n"/>
      <c r="L1502" s="36" t="n">
        <v>27.2</v>
      </c>
      <c r="M1502" s="204" t="n">
        <v>19</v>
      </c>
      <c r="N1502" s="177" t="n">
        <v>85</v>
      </c>
      <c r="O1502" s="13" t="n"/>
      <c r="P1502" s="139" t="inlineStr">
        <is>
          <t>grams</t>
        </is>
      </c>
      <c r="Q1502" s="2" t="n"/>
      <c r="R1502" s="1" t="n"/>
      <c r="S1502" s="229">
        <f>M1502*N1502</f>
        <v/>
      </c>
      <c r="T1502" s="230">
        <f>CONCATENATE(S1502,Q1502,P1502)</f>
        <v/>
      </c>
      <c r="U1502" s="206">
        <f>L1502*M1502</f>
        <v/>
      </c>
      <c r="V1502" s="4" t="n"/>
      <c r="W1502" s="4" t="n"/>
      <c r="X1502" s="4" t="n"/>
    </row>
    <row r="1503" ht="15.75" customHeight="1" thickBot="1">
      <c r="A1503" s="186" t="n">
        <v>676</v>
      </c>
      <c r="B1503" s="214" t="inlineStr">
        <is>
          <t>Lomi</t>
        </is>
      </c>
      <c r="C1503" s="124" t="n"/>
      <c r="D1503" s="115" t="n"/>
      <c r="E1503" s="124" t="n"/>
      <c r="F1503" s="124" t="n"/>
      <c r="G1503" s="124" t="n"/>
      <c r="H1503" s="84" t="n"/>
      <c r="I1503" s="7" t="n"/>
      <c r="J1503" s="32" t="inlineStr">
        <is>
          <t>JMRL</t>
        </is>
      </c>
      <c r="K1503" s="24" t="n"/>
      <c r="L1503" s="36" t="n">
        <v>50</v>
      </c>
      <c r="M1503" s="204" t="n">
        <v>3</v>
      </c>
      <c r="N1503" s="177" t="n">
        <v>500</v>
      </c>
      <c r="O1503" s="13" t="n"/>
      <c r="P1503" s="139" t="inlineStr">
        <is>
          <t>grams</t>
        </is>
      </c>
      <c r="Q1503" s="2" t="n"/>
      <c r="R1503" s="1" t="n"/>
      <c r="S1503" s="229">
        <f>M1503*N1503</f>
        <v/>
      </c>
      <c r="T1503" s="230">
        <f>CONCATENATE(S1503,Q1503,P1503)</f>
        <v/>
      </c>
      <c r="U1503" s="206">
        <f>L1503*M1503</f>
        <v/>
      </c>
      <c r="V1503" s="4" t="n"/>
      <c r="W1503" s="4" t="n"/>
      <c r="X1503" s="4" t="n"/>
    </row>
    <row r="1504" ht="15.75" customHeight="1" thickBot="1">
      <c r="A1504" s="186" t="n">
        <v>677</v>
      </c>
      <c r="B1504" s="214" t="inlineStr">
        <is>
          <t>Lomi Noodles</t>
        </is>
      </c>
      <c r="C1504" s="124" t="n"/>
      <c r="D1504" s="115" t="n"/>
      <c r="E1504" s="124" t="n"/>
      <c r="F1504" s="124" t="n"/>
      <c r="G1504" s="124" t="n"/>
      <c r="H1504" s="84" t="n"/>
      <c r="I1504" s="7" t="n"/>
      <c r="J1504" s="32" t="n"/>
      <c r="K1504" s="24" t="n"/>
      <c r="L1504" s="36" t="n">
        <v>47</v>
      </c>
      <c r="M1504" s="204" t="n">
        <v>2</v>
      </c>
      <c r="N1504" s="177" t="n">
        <v>800</v>
      </c>
      <c r="O1504" s="13" t="n"/>
      <c r="P1504" s="139" t="inlineStr">
        <is>
          <t>grams</t>
        </is>
      </c>
      <c r="Q1504" s="2" t="n"/>
      <c r="R1504" s="1" t="n"/>
      <c r="S1504" s="229">
        <f>M1504*N1504</f>
        <v/>
      </c>
      <c r="T1504" s="230">
        <f>CONCATENATE(S1504,Q1504,P1504)</f>
        <v/>
      </c>
      <c r="U1504" s="206">
        <f>L1504*M1504</f>
        <v/>
      </c>
      <c r="V1504" s="4" t="n"/>
      <c r="W1504" s="4" t="n"/>
      <c r="X1504" s="4" t="n"/>
    </row>
    <row r="1505" ht="15.75" customHeight="1" thickBot="1">
      <c r="A1505" s="186" t="n">
        <v>678</v>
      </c>
      <c r="B1505" s="214" t="inlineStr">
        <is>
          <t>LPG</t>
        </is>
      </c>
      <c r="C1505" s="124" t="n"/>
      <c r="D1505" s="115" t="n"/>
      <c r="E1505" s="124" t="n"/>
      <c r="F1505" s="124" t="n"/>
      <c r="G1505" s="124" t="n"/>
      <c r="H1505" s="84" t="n"/>
      <c r="I1505" s="7" t="n"/>
      <c r="J1505" s="32" t="n"/>
      <c r="K1505" s="24" t="n"/>
      <c r="L1505" s="36" t="n">
        <v>4497</v>
      </c>
      <c r="M1505" s="204" t="n">
        <v>1</v>
      </c>
      <c r="N1505" s="177" t="n">
        <v>50</v>
      </c>
      <c r="O1505" s="13" t="n"/>
      <c r="P1505" s="139" t="inlineStr">
        <is>
          <t>kilos</t>
        </is>
      </c>
      <c r="Q1505" s="2" t="n"/>
      <c r="R1505" s="1" t="n"/>
      <c r="S1505" s="229">
        <f>M1505*N1505</f>
        <v/>
      </c>
      <c r="T1505" s="230">
        <f>CONCATENATE(S1505,Q1505,P1505)</f>
        <v/>
      </c>
      <c r="U1505" s="206">
        <f>L1505*M1505</f>
        <v/>
      </c>
      <c r="V1505" s="4" t="n"/>
      <c r="W1505" s="4" t="n"/>
      <c r="X1505" s="4" t="n"/>
    </row>
    <row r="1506" ht="15.75" customHeight="1" thickBot="1">
      <c r="A1506" s="186" t="n">
        <v>678</v>
      </c>
      <c r="B1506" s="215" t="inlineStr">
        <is>
          <t>LPG</t>
        </is>
      </c>
      <c r="C1506" s="124" t="n"/>
      <c r="D1506" s="115" t="n"/>
      <c r="E1506" s="124" t="n"/>
      <c r="F1506" s="124" t="n"/>
      <c r="G1506" s="124" t="n"/>
      <c r="H1506" s="84" t="n"/>
      <c r="I1506" s="7" t="n"/>
      <c r="J1506" s="32" t="inlineStr">
        <is>
          <t>Balcos</t>
        </is>
      </c>
      <c r="K1506" s="24" t="n"/>
      <c r="L1506" s="36" t="n">
        <v>4134</v>
      </c>
      <c r="M1506" s="204" t="n">
        <v>3</v>
      </c>
      <c r="N1506" s="177" t="n">
        <v>1</v>
      </c>
      <c r="O1506" s="13" t="n"/>
      <c r="P1506" s="139" t="inlineStr">
        <is>
          <t>cylinder</t>
        </is>
      </c>
      <c r="Q1506" s="2" t="n"/>
      <c r="R1506" s="1" t="n"/>
      <c r="S1506" s="229">
        <f>M1506*N1506</f>
        <v/>
      </c>
      <c r="T1506" s="230">
        <f>CONCATENATE(S1506,Q1506,P1506)</f>
        <v/>
      </c>
      <c r="U1506" s="206">
        <f>L1506*M1506</f>
        <v/>
      </c>
      <c r="V1506" s="4" t="n"/>
      <c r="W1506" s="4" t="n"/>
      <c r="X1506" s="4" t="n"/>
    </row>
    <row r="1507" ht="15.75" customHeight="1" thickBot="1">
      <c r="A1507" s="186" t="n">
        <v>679</v>
      </c>
      <c r="B1507" s="214" t="inlineStr">
        <is>
          <t>Lubi Kayod</t>
        </is>
      </c>
      <c r="C1507" s="124" t="n"/>
      <c r="D1507" s="115" t="n"/>
      <c r="E1507" s="124" t="n"/>
      <c r="F1507" s="124" t="n"/>
      <c r="G1507" s="124" t="n"/>
      <c r="H1507" s="84" t="n"/>
      <c r="I1507" s="7" t="n"/>
      <c r="J1507" s="32" t="n"/>
      <c r="K1507" s="24" t="n"/>
      <c r="L1507" s="36" t="n">
        <v>20</v>
      </c>
      <c r="M1507" s="204" t="n">
        <v>15</v>
      </c>
      <c r="N1507" s="177" t="n">
        <v>1000</v>
      </c>
      <c r="O1507" s="13" t="n"/>
      <c r="P1507" s="139" t="inlineStr">
        <is>
          <t>grams</t>
        </is>
      </c>
      <c r="Q1507" s="2" t="n"/>
      <c r="R1507" s="1" t="n"/>
      <c r="S1507" s="229">
        <f>M1507*N1507</f>
        <v/>
      </c>
      <c r="T1507" s="230">
        <f>CONCATENATE(S1507,Q1507,P1507)</f>
        <v/>
      </c>
      <c r="U1507" s="206">
        <f>L1507*M1507</f>
        <v/>
      </c>
      <c r="V1507" s="4" t="n"/>
      <c r="W1507" s="4" t="n"/>
      <c r="X1507" s="4" t="n"/>
    </row>
    <row r="1508" ht="15.75" customHeight="1" thickBot="1">
      <c r="A1508" s="186" t="n">
        <v>680</v>
      </c>
      <c r="B1508" s="214" t="inlineStr">
        <is>
          <t>Ludy's Salabat</t>
        </is>
      </c>
      <c r="C1508" s="124" t="n"/>
      <c r="D1508" s="115" t="n"/>
      <c r="E1508" s="124" t="n"/>
      <c r="F1508" s="124" t="n"/>
      <c r="G1508" s="124" t="n"/>
      <c r="H1508" s="84" t="n"/>
      <c r="I1508" s="7" t="n"/>
      <c r="J1508" s="32" t="inlineStr">
        <is>
          <t>Ludy's - 8g</t>
        </is>
      </c>
      <c r="K1508" s="24" t="n"/>
      <c r="L1508" s="36" t="n">
        <v>55.2</v>
      </c>
      <c r="M1508" s="204" t="n">
        <v>1</v>
      </c>
      <c r="N1508" s="177" t="n">
        <v>10</v>
      </c>
      <c r="O1508" s="13" t="n"/>
      <c r="P1508" s="139" t="inlineStr">
        <is>
          <t>pieces</t>
        </is>
      </c>
      <c r="Q1508" s="2" t="n"/>
      <c r="R1508" s="1" t="n"/>
      <c r="S1508" s="229">
        <f>M1508*N1508</f>
        <v/>
      </c>
      <c r="T1508" s="230">
        <f>CONCATENATE(S1508,Q1508,P1508)</f>
        <v/>
      </c>
      <c r="U1508" s="206">
        <f>L1508*M1508</f>
        <v/>
      </c>
      <c r="V1508" s="4" t="n"/>
      <c r="W1508" s="4" t="n"/>
      <c r="X1508" s="4" t="n"/>
    </row>
    <row r="1509" ht="15.75" customHeight="1" thickBot="1">
      <c r="A1509" s="186" t="n">
        <v>681</v>
      </c>
      <c r="B1509" s="214" t="inlineStr">
        <is>
          <t>Lumpia Wrapper</t>
        </is>
      </c>
      <c r="C1509" s="124" t="n"/>
      <c r="D1509" s="115" t="n"/>
      <c r="E1509" s="124" t="n"/>
      <c r="F1509" s="124" t="n"/>
      <c r="G1509" s="124" t="n"/>
      <c r="H1509" s="84" t="n"/>
      <c r="I1509" s="7" t="n"/>
      <c r="J1509" s="32" t="n"/>
      <c r="K1509" s="24" t="n"/>
      <c r="L1509" s="36" t="n">
        <v>20</v>
      </c>
      <c r="M1509" s="204" t="n">
        <v>21</v>
      </c>
      <c r="N1509" s="177" t="n">
        <v>1000</v>
      </c>
      <c r="O1509" s="13" t="n"/>
      <c r="P1509" s="139" t="inlineStr">
        <is>
          <t>grams</t>
        </is>
      </c>
      <c r="Q1509" s="2" t="n"/>
      <c r="R1509" s="1" t="n"/>
      <c r="S1509" s="229">
        <f>M1509*N1509</f>
        <v/>
      </c>
      <c r="T1509" s="230">
        <f>CONCATENATE(S1509,Q1509,P1509)</f>
        <v/>
      </c>
      <c r="U1509" s="206">
        <f>L1509*M1509</f>
        <v/>
      </c>
      <c r="V1509" s="4" t="n"/>
      <c r="W1509" s="4" t="n"/>
      <c r="X1509" s="4" t="n"/>
    </row>
    <row r="1510" ht="15.75" customHeight="1" thickBot="1">
      <c r="A1510" s="186" t="n">
        <v>681</v>
      </c>
      <c r="B1510" s="214" t="inlineStr">
        <is>
          <t>Lumpia Wrapper</t>
        </is>
      </c>
      <c r="C1510" s="124" t="n"/>
      <c r="D1510" s="115" t="n"/>
      <c r="E1510" s="124" t="n"/>
      <c r="F1510" s="124" t="n"/>
      <c r="G1510" s="124" t="n"/>
      <c r="H1510" s="84" t="n"/>
      <c r="I1510" s="7" t="n"/>
      <c r="J1510" s="32" t="n"/>
      <c r="K1510" s="24" t="n"/>
      <c r="L1510" s="36" t="n">
        <v>1</v>
      </c>
      <c r="M1510" s="204" t="n">
        <v>900</v>
      </c>
      <c r="N1510" s="177" t="n">
        <v>1</v>
      </c>
      <c r="O1510" s="13" t="n"/>
      <c r="P1510" s="139" t="inlineStr">
        <is>
          <t>pieces</t>
        </is>
      </c>
      <c r="Q1510" s="2" t="n"/>
      <c r="R1510" s="1" t="n"/>
      <c r="S1510" s="229">
        <f>M1510*N1510</f>
        <v/>
      </c>
      <c r="T1510" s="230">
        <f>CONCATENATE(S1510,Q1510,P1510)</f>
        <v/>
      </c>
      <c r="U1510" s="206">
        <f>L1510*M1510</f>
        <v/>
      </c>
      <c r="V1510" s="4" t="n"/>
      <c r="W1510" s="4" t="n"/>
      <c r="X1510" s="4" t="n"/>
    </row>
    <row r="1511" ht="15.75" customHeight="1" thickBot="1">
      <c r="A1511" s="186" t="n">
        <v>681</v>
      </c>
      <c r="B1511" s="214" t="inlineStr">
        <is>
          <t>Lumpia Wrapper</t>
        </is>
      </c>
      <c r="C1511" s="124" t="n"/>
      <c r="D1511" s="115" t="n"/>
      <c r="E1511" s="124" t="n"/>
      <c r="F1511" s="124" t="n"/>
      <c r="G1511" s="124" t="n"/>
      <c r="H1511" s="84" t="n"/>
      <c r="I1511" s="7" t="n"/>
      <c r="J1511" s="32" t="inlineStr">
        <is>
          <t>Hernan Logmao</t>
        </is>
      </c>
      <c r="K1511" s="24" t="n"/>
      <c r="L1511" s="36" t="n">
        <v>180</v>
      </c>
      <c r="M1511" s="204" t="n">
        <v>1</v>
      </c>
      <c r="N1511" s="177" t="n">
        <v>1000</v>
      </c>
      <c r="O1511" s="13" t="n"/>
      <c r="P1511" s="139" t="inlineStr">
        <is>
          <t>grams</t>
        </is>
      </c>
      <c r="Q1511" s="2" t="n"/>
      <c r="R1511" s="1" t="n"/>
      <c r="S1511" s="229">
        <f>M1511*N1511</f>
        <v/>
      </c>
      <c r="T1511" s="230">
        <f>CONCATENATE(S1511,Q1511,P1511)</f>
        <v/>
      </c>
      <c r="U1511" s="206">
        <f>L1511*M1511</f>
        <v/>
      </c>
      <c r="V1511" s="4" t="n"/>
      <c r="W1511" s="4" t="n"/>
      <c r="X1511" s="4" t="n"/>
    </row>
    <row r="1512" ht="15.75" customHeight="1" thickBot="1">
      <c r="A1512" s="186" t="n">
        <v>681</v>
      </c>
      <c r="B1512" s="214" t="inlineStr">
        <is>
          <t>Lumpia Wrapper</t>
        </is>
      </c>
      <c r="C1512" s="124" t="n"/>
      <c r="D1512" s="115" t="n"/>
      <c r="E1512" s="124" t="n"/>
      <c r="F1512" s="124" t="n"/>
      <c r="G1512" s="124" t="n"/>
      <c r="H1512" s="84" t="n"/>
      <c r="I1512" s="7" t="n"/>
      <c r="J1512" s="32" t="inlineStr">
        <is>
          <t>Hernan Logmao</t>
        </is>
      </c>
      <c r="K1512" s="24" t="n"/>
      <c r="L1512" s="36" t="n">
        <v>42</v>
      </c>
      <c r="M1512" s="204" t="n">
        <v>6</v>
      </c>
      <c r="N1512" s="177" t="n">
        <v>200</v>
      </c>
      <c r="O1512" s="13" t="n"/>
      <c r="P1512" s="139" t="inlineStr">
        <is>
          <t>grams</t>
        </is>
      </c>
      <c r="Q1512" s="2" t="n"/>
      <c r="R1512" s="1" t="n"/>
      <c r="S1512" s="229">
        <f>M1512*N1512</f>
        <v/>
      </c>
      <c r="T1512" s="230">
        <f>CONCATENATE(S1512,Q1512,P1512)</f>
        <v/>
      </c>
      <c r="U1512" s="206">
        <f>L1512*M1512</f>
        <v/>
      </c>
      <c r="V1512" s="4" t="n"/>
      <c r="W1512" s="4" t="n"/>
      <c r="X1512" s="4" t="n"/>
    </row>
    <row r="1513" ht="15.75" customHeight="1" thickBot="1">
      <c r="A1513" s="186" t="n">
        <v>682</v>
      </c>
      <c r="B1513" s="214" t="inlineStr">
        <is>
          <t>Lumpia Wrapper Large</t>
        </is>
      </c>
      <c r="C1513" s="124" t="n"/>
      <c r="D1513" s="115" t="n"/>
      <c r="E1513" s="124" t="n"/>
      <c r="F1513" s="124" t="n"/>
      <c r="G1513" s="124" t="n"/>
      <c r="H1513" s="84" t="n"/>
      <c r="I1513" s="7" t="n"/>
      <c r="J1513" s="32" t="inlineStr">
        <is>
          <t>pack (1x100piece)</t>
        </is>
      </c>
      <c r="K1513" s="24" t="n"/>
      <c r="L1513" s="36" t="n">
        <v>45</v>
      </c>
      <c r="M1513" s="204" t="n">
        <v>1</v>
      </c>
      <c r="N1513" s="177" t="n">
        <v>1</v>
      </c>
      <c r="O1513" s="13" t="n"/>
      <c r="P1513" s="139" t="inlineStr">
        <is>
          <t>packs</t>
        </is>
      </c>
      <c r="Q1513" s="2" t="n"/>
      <c r="R1513" s="1" t="n"/>
      <c r="S1513" s="229">
        <f>M1513*N1513</f>
        <v/>
      </c>
      <c r="T1513" s="230">
        <f>CONCATENATE(S1513,Q1513,P1513)</f>
        <v/>
      </c>
      <c r="U1513" s="206">
        <f>L1513*M1513</f>
        <v/>
      </c>
      <c r="V1513" s="4" t="n"/>
      <c r="W1513" s="4" t="n"/>
      <c r="X1513" s="4" t="n"/>
    </row>
    <row r="1514" ht="15.75" customHeight="1" thickBot="1">
      <c r="A1514" s="186" t="n">
        <v>682</v>
      </c>
      <c r="B1514" s="215" t="inlineStr">
        <is>
          <t>Lumpia Wrapper Large</t>
        </is>
      </c>
      <c r="C1514" s="124" t="n"/>
      <c r="D1514" s="115" t="n"/>
      <c r="E1514" s="124" t="n"/>
      <c r="F1514" s="124" t="n"/>
      <c r="G1514" s="124" t="n"/>
      <c r="H1514" s="84" t="n"/>
      <c r="I1514" s="7" t="n"/>
      <c r="J1514" s="32" t="inlineStr">
        <is>
          <t>piece</t>
        </is>
      </c>
      <c r="K1514" s="24" t="n"/>
      <c r="L1514" s="36" t="n">
        <v>1.8</v>
      </c>
      <c r="M1514" s="204" t="n">
        <v>50</v>
      </c>
      <c r="N1514" s="177" t="n">
        <v>1</v>
      </c>
      <c r="O1514" s="13" t="n"/>
      <c r="P1514" s="139" t="inlineStr">
        <is>
          <t>pieces</t>
        </is>
      </c>
      <c r="Q1514" s="2" t="n"/>
      <c r="R1514" s="1" t="n"/>
      <c r="S1514" s="229">
        <f>M1514*N1514</f>
        <v/>
      </c>
      <c r="T1514" s="230">
        <f>CONCATENATE(S1514,Q1514,P1514)</f>
        <v/>
      </c>
      <c r="U1514" s="206">
        <f>L1514*M1514</f>
        <v/>
      </c>
      <c r="V1514" s="4" t="n"/>
      <c r="W1514" s="4" t="n"/>
      <c r="X1514" s="4" t="n"/>
    </row>
    <row r="1515" ht="15.75" customHeight="1" thickBot="1">
      <c r="A1515" s="186" t="n">
        <v>683</v>
      </c>
      <c r="B1515" s="214" t="inlineStr">
        <is>
          <t>Lumpia Wrapper Small</t>
        </is>
      </c>
      <c r="C1515" s="124" t="n"/>
      <c r="D1515" s="115" t="n"/>
      <c r="E1515" s="124" t="n"/>
      <c r="F1515" s="124" t="n"/>
      <c r="G1515" s="124" t="n"/>
      <c r="H1515" s="84" t="n"/>
      <c r="I1515" s="7" t="n"/>
      <c r="J1515" s="32" t="inlineStr">
        <is>
          <t>pack</t>
        </is>
      </c>
      <c r="K1515" s="24" t="n"/>
      <c r="L1515" s="36" t="n">
        <v>25</v>
      </c>
      <c r="M1515" s="204" t="n">
        <v>2</v>
      </c>
      <c r="N1515" s="177" t="n">
        <v>1</v>
      </c>
      <c r="O1515" s="13" t="n"/>
      <c r="P1515" s="139" t="inlineStr">
        <is>
          <t>packs</t>
        </is>
      </c>
      <c r="Q1515" s="2" t="n"/>
      <c r="R1515" s="1" t="n"/>
      <c r="S1515" s="229">
        <f>M1515*N1515</f>
        <v/>
      </c>
      <c r="T1515" s="230">
        <f>CONCATENATE(S1515,Q1515,P1515)</f>
        <v/>
      </c>
      <c r="U1515" s="206">
        <f>L1515*M1515</f>
        <v/>
      </c>
      <c r="V1515" s="4" t="n"/>
      <c r="W1515" s="4" t="n"/>
      <c r="X1515" s="4" t="n"/>
    </row>
    <row r="1516" ht="15.75" customHeight="1" thickBot="1">
      <c r="A1516" s="186" t="n">
        <v>239</v>
      </c>
      <c r="B1516" s="214" t="inlineStr">
        <is>
          <t>Luncheon Meat</t>
        </is>
      </c>
      <c r="C1516" s="124" t="n"/>
      <c r="D1516" s="115" t="n"/>
      <c r="E1516" s="124" t="n"/>
      <c r="F1516" s="124" t="n"/>
      <c r="G1516" s="124" t="n"/>
      <c r="H1516" s="84" t="n"/>
      <c r="I1516" s="7" t="n"/>
      <c r="J1516" s="32" t="inlineStr">
        <is>
          <t>Prem</t>
        </is>
      </c>
      <c r="K1516" s="24" t="n"/>
      <c r="L1516" s="36" t="n">
        <v>185</v>
      </c>
      <c r="M1516" s="204" t="n">
        <v>2</v>
      </c>
      <c r="N1516" s="177" t="n">
        <v>340</v>
      </c>
      <c r="O1516" s="13" t="n"/>
      <c r="P1516" s="139" t="inlineStr">
        <is>
          <t>grams</t>
        </is>
      </c>
      <c r="Q1516" s="2" t="n"/>
      <c r="R1516" s="1" t="n"/>
      <c r="S1516" s="229">
        <f>M1516*N1516</f>
        <v/>
      </c>
      <c r="T1516" s="230">
        <f>CONCATENATE(S1516,Q1516,P1516)</f>
        <v/>
      </c>
      <c r="U1516" s="206">
        <f>L1516*M1516</f>
        <v/>
      </c>
      <c r="V1516" s="4" t="n"/>
      <c r="W1516" s="4" t="n"/>
      <c r="X1516" s="4" t="n"/>
    </row>
    <row r="1517" ht="15.75" customHeight="1" thickBot="1">
      <c r="A1517" s="186" t="n">
        <v>239</v>
      </c>
      <c r="B1517" s="214" t="inlineStr">
        <is>
          <t>Luncheon Meat</t>
        </is>
      </c>
      <c r="C1517" s="124" t="n"/>
      <c r="D1517" s="115" t="n"/>
      <c r="E1517" s="124" t="n"/>
      <c r="F1517" s="124" t="n"/>
      <c r="G1517" s="124" t="n"/>
      <c r="H1517" s="84" t="n"/>
      <c r="I1517" s="7" t="n"/>
      <c r="J1517" s="32" t="inlineStr">
        <is>
          <t>Tulip</t>
        </is>
      </c>
      <c r="K1517" s="24" t="n"/>
      <c r="L1517" s="36" t="n">
        <v>109.9</v>
      </c>
      <c r="M1517" s="204" t="n">
        <v>5</v>
      </c>
      <c r="N1517" s="177" t="n">
        <v>340</v>
      </c>
      <c r="O1517" s="13" t="n"/>
      <c r="P1517" s="139" t="inlineStr">
        <is>
          <t>grams</t>
        </is>
      </c>
      <c r="Q1517" s="2" t="n"/>
      <c r="R1517" s="1" t="n"/>
      <c r="S1517" s="229">
        <f>M1517*N1517</f>
        <v/>
      </c>
      <c r="T1517" s="230">
        <f>CONCATENATE(S1517,Q1517,P1517)</f>
        <v/>
      </c>
      <c r="U1517" s="206">
        <f>L1517*M1517</f>
        <v/>
      </c>
      <c r="V1517" s="4" t="n"/>
      <c r="W1517" s="4" t="n"/>
      <c r="X1517" s="4" t="n"/>
    </row>
    <row r="1518" ht="15.75" customHeight="1" thickBot="1">
      <c r="A1518" s="186" t="n">
        <v>239</v>
      </c>
      <c r="B1518" s="214" t="inlineStr">
        <is>
          <t>Luncheon Meat</t>
        </is>
      </c>
      <c r="C1518" s="124" t="n"/>
      <c r="D1518" s="115" t="n"/>
      <c r="E1518" s="124" t="n"/>
      <c r="F1518" s="124" t="n"/>
      <c r="G1518" s="124" t="n"/>
      <c r="H1518" s="84" t="n"/>
      <c r="I1518" s="7" t="n"/>
      <c r="J1518" s="32" t="inlineStr">
        <is>
          <t>Hormel - Spam - 25% Less Sodium</t>
        </is>
      </c>
      <c r="K1518" s="24" t="n"/>
      <c r="L1518" s="36" t="n">
        <v>218</v>
      </c>
      <c r="M1518" s="204" t="n">
        <v>11</v>
      </c>
      <c r="N1518" s="177" t="n">
        <v>340</v>
      </c>
      <c r="O1518" s="13" t="n"/>
      <c r="P1518" s="139" t="inlineStr">
        <is>
          <t>grams</t>
        </is>
      </c>
      <c r="Q1518" s="2" t="n"/>
      <c r="R1518" s="1" t="n"/>
      <c r="S1518" s="229">
        <f>M1518*N1518</f>
        <v/>
      </c>
      <c r="T1518" s="230">
        <f>CONCATENATE(S1518,Q1518,P1518)</f>
        <v/>
      </c>
      <c r="U1518" s="206">
        <f>L1518*M1518</f>
        <v/>
      </c>
      <c r="V1518" s="4" t="n"/>
      <c r="W1518" s="4" t="n"/>
      <c r="X1518" s="4" t="n"/>
    </row>
    <row r="1519" ht="15.75" customHeight="1" thickBot="1">
      <c r="A1519" s="186" t="n">
        <v>239</v>
      </c>
      <c r="B1519" s="214" t="inlineStr">
        <is>
          <t>Luncheon Meat</t>
        </is>
      </c>
      <c r="C1519" s="124" t="n"/>
      <c r="D1519" s="115" t="n"/>
      <c r="E1519" s="124" t="n"/>
      <c r="F1519" s="124" t="n"/>
      <c r="G1519" s="124" t="n"/>
      <c r="H1519" s="84" t="n"/>
      <c r="I1519" s="7" t="n"/>
      <c r="J1519" s="32" t="inlineStr">
        <is>
          <t>Hormel - Spam Lite</t>
        </is>
      </c>
      <c r="K1519" s="24" t="n"/>
      <c r="L1519" s="36" t="n">
        <v>208</v>
      </c>
      <c r="M1519" s="204" t="n">
        <v>2</v>
      </c>
      <c r="N1519" s="177" t="n">
        <v>340</v>
      </c>
      <c r="O1519" s="13" t="n"/>
      <c r="P1519" s="139" t="inlineStr">
        <is>
          <t>grams</t>
        </is>
      </c>
      <c r="Q1519" s="2" t="n"/>
      <c r="R1519" s="1" t="n"/>
      <c r="S1519" s="229">
        <f>M1519*N1519</f>
        <v/>
      </c>
      <c r="T1519" s="230">
        <f>CONCATENATE(S1519,Q1519,P1519)</f>
        <v/>
      </c>
      <c r="U1519" s="206">
        <f>L1519*M1519</f>
        <v/>
      </c>
      <c r="V1519" s="4" t="n"/>
      <c r="W1519" s="4" t="n"/>
      <c r="X1519" s="4" t="n"/>
    </row>
    <row r="1520" ht="15.75" customHeight="1" thickBot="1">
      <c r="A1520" s="186" t="n">
        <v>240</v>
      </c>
      <c r="B1520" s="214" t="inlineStr">
        <is>
          <t>Luncheon Meat - Chicken</t>
        </is>
      </c>
      <c r="C1520" s="124" t="n"/>
      <c r="D1520" s="115" t="n"/>
      <c r="E1520" s="124" t="n"/>
      <c r="F1520" s="124" t="n"/>
      <c r="G1520" s="124" t="n"/>
      <c r="H1520" s="84" t="n"/>
      <c r="I1520" s="7" t="n"/>
      <c r="J1520" s="32" t="inlineStr">
        <is>
          <t>Lotte</t>
        </is>
      </c>
      <c r="K1520" s="24" t="n"/>
      <c r="L1520" s="36" t="n">
        <v>144.8</v>
      </c>
      <c r="M1520" s="204" t="n">
        <v>4</v>
      </c>
      <c r="N1520" s="177" t="n">
        <v>340</v>
      </c>
      <c r="O1520" s="13" t="n"/>
      <c r="P1520" s="139" t="inlineStr">
        <is>
          <t>grams</t>
        </is>
      </c>
      <c r="Q1520" s="2" t="n"/>
      <c r="R1520" s="1" t="n"/>
      <c r="S1520" s="229">
        <f>M1520*N1520</f>
        <v/>
      </c>
      <c r="T1520" s="230">
        <f>CONCATENATE(S1520,Q1520,P1520)</f>
        <v/>
      </c>
      <c r="U1520" s="206">
        <f>L1520*M1520</f>
        <v/>
      </c>
      <c r="V1520" s="4" t="n"/>
      <c r="W1520" s="4" t="n"/>
      <c r="X1520" s="4" t="n"/>
    </row>
    <row r="1521" ht="15.75" customHeight="1" thickBot="1">
      <c r="A1521" s="186" t="n">
        <v>240</v>
      </c>
      <c r="B1521" s="214" t="inlineStr">
        <is>
          <t>Luncheon Meat - Chicken</t>
        </is>
      </c>
      <c r="C1521" s="124" t="n"/>
      <c r="D1521" s="115" t="n"/>
      <c r="E1521" s="124" t="n"/>
      <c r="F1521" s="124" t="n"/>
      <c r="G1521" s="124" t="n"/>
      <c r="H1521" s="84" t="n"/>
      <c r="I1521" s="7" t="n"/>
      <c r="J1521" s="32" t="inlineStr">
        <is>
          <t>Chef's Choice</t>
        </is>
      </c>
      <c r="K1521" s="24" t="n"/>
      <c r="L1521" s="36" t="n">
        <v>89.8</v>
      </c>
      <c r="M1521" s="204" t="n">
        <v>17</v>
      </c>
      <c r="N1521" s="177" t="n">
        <v>340</v>
      </c>
      <c r="O1521" s="13" t="n"/>
      <c r="P1521" s="139" t="inlineStr">
        <is>
          <t>grams</t>
        </is>
      </c>
      <c r="Q1521" s="2" t="n"/>
      <c r="R1521" s="1" t="n"/>
      <c r="S1521" s="229">
        <f>M1521*N1521</f>
        <v/>
      </c>
      <c r="T1521" s="230">
        <f>CONCATENATE(S1521,Q1521,P1521)</f>
        <v/>
      </c>
      <c r="U1521" s="206">
        <f>L1521*M1521</f>
        <v/>
      </c>
      <c r="V1521" s="4" t="n"/>
      <c r="W1521" s="4" t="n"/>
      <c r="X1521" s="4" t="n"/>
    </row>
    <row r="1522" ht="15.75" customHeight="1" thickBot="1">
      <c r="A1522" s="186" t="n">
        <v>240</v>
      </c>
      <c r="B1522" s="214" t="inlineStr">
        <is>
          <t>Luncheon Meat - Chicken</t>
        </is>
      </c>
      <c r="C1522" s="124" t="n"/>
      <c r="D1522" s="115" t="n"/>
      <c r="E1522" s="124" t="n"/>
      <c r="F1522" s="124" t="n"/>
      <c r="G1522" s="124" t="n"/>
      <c r="H1522" s="84" t="n"/>
      <c r="I1522" s="7" t="n"/>
      <c r="J1522" s="32" t="inlineStr">
        <is>
          <t>Maling</t>
        </is>
      </c>
      <c r="K1522" s="24" t="n"/>
      <c r="L1522" s="36" t="n">
        <v>115.1</v>
      </c>
      <c r="M1522" s="204" t="n">
        <v>8</v>
      </c>
      <c r="N1522" s="177" t="n">
        <v>397</v>
      </c>
      <c r="O1522" s="13" t="n"/>
      <c r="P1522" s="139" t="inlineStr">
        <is>
          <t>grams</t>
        </is>
      </c>
      <c r="Q1522" s="2" t="n"/>
      <c r="R1522" s="1" t="n"/>
      <c r="S1522" s="229">
        <f>M1522*N1522</f>
        <v/>
      </c>
      <c r="T1522" s="230">
        <f>CONCATENATE(S1522,Q1522,P1522)</f>
        <v/>
      </c>
      <c r="U1522" s="206">
        <f>L1522*M1522</f>
        <v/>
      </c>
      <c r="V1522" s="4" t="n"/>
      <c r="W1522" s="4" t="n"/>
      <c r="X1522" s="4" t="n"/>
    </row>
    <row r="1523" ht="15.75" customHeight="1" thickBot="1">
      <c r="A1523" s="186" t="n">
        <v>240</v>
      </c>
      <c r="B1523" s="214" t="inlineStr">
        <is>
          <t>Luncheon Meat - Chicken</t>
        </is>
      </c>
      <c r="C1523" s="124" t="n"/>
      <c r="D1523" s="115" t="n"/>
      <c r="E1523" s="124" t="n"/>
      <c r="F1523" s="124" t="n"/>
      <c r="G1523" s="124" t="n"/>
      <c r="H1523" s="84" t="n"/>
      <c r="I1523" s="7" t="n"/>
      <c r="J1523" s="32" t="inlineStr">
        <is>
          <t>Lotte/can/340grams</t>
        </is>
      </c>
      <c r="K1523" s="24" t="n"/>
      <c r="L1523" s="36" t="n">
        <v>142.3</v>
      </c>
      <c r="M1523" s="204" t="n">
        <v>6</v>
      </c>
      <c r="N1523" s="177" t="n">
        <v>340</v>
      </c>
      <c r="O1523" s="13" t="n"/>
      <c r="P1523" s="139" t="inlineStr">
        <is>
          <t>grams</t>
        </is>
      </c>
      <c r="Q1523" s="2" t="n"/>
      <c r="R1523" s="1" t="n"/>
      <c r="S1523" s="229">
        <f>M1523*N1523</f>
        <v/>
      </c>
      <c r="T1523" s="230">
        <f>CONCATENATE(S1523,Q1523,P1523)</f>
        <v/>
      </c>
      <c r="U1523" s="206">
        <f>L1523*M1523</f>
        <v/>
      </c>
      <c r="V1523" s="4" t="n"/>
      <c r="W1523" s="4" t="n"/>
      <c r="X1523" s="4" t="n"/>
    </row>
    <row r="1524" ht="15.75" customHeight="1" thickBot="1">
      <c r="A1524" s="186" t="n">
        <v>240</v>
      </c>
      <c r="B1524" s="215" t="inlineStr">
        <is>
          <t>Luncheon Meat - Chicken</t>
        </is>
      </c>
      <c r="C1524" s="124" t="n"/>
      <c r="D1524" s="115" t="n"/>
      <c r="E1524" s="124" t="n"/>
      <c r="F1524" s="124" t="n"/>
      <c r="G1524" s="124" t="n"/>
      <c r="H1524" s="84" t="n"/>
      <c r="I1524" s="7" t="n"/>
      <c r="J1524" s="32" t="inlineStr">
        <is>
          <t>CDO/can/350grams</t>
        </is>
      </c>
      <c r="K1524" s="24" t="n"/>
      <c r="L1524" s="36" t="n">
        <v>88.8</v>
      </c>
      <c r="M1524" s="204" t="n">
        <v>2</v>
      </c>
      <c r="N1524" s="177" t="n">
        <v>350</v>
      </c>
      <c r="O1524" s="13" t="n"/>
      <c r="P1524" s="139" t="inlineStr">
        <is>
          <t>grams</t>
        </is>
      </c>
      <c r="Q1524" s="2" t="n"/>
      <c r="R1524" s="1" t="n"/>
      <c r="S1524" s="229">
        <f>M1524*N1524</f>
        <v/>
      </c>
      <c r="T1524" s="230">
        <f>CONCATENATE(S1524,Q1524,P1524)</f>
        <v/>
      </c>
      <c r="U1524" s="206">
        <f>L1524*M1524</f>
        <v/>
      </c>
      <c r="V1524" s="4" t="n"/>
      <c r="W1524" s="4" t="n"/>
      <c r="X1524" s="4" t="n"/>
    </row>
    <row r="1525" ht="15.75" customHeight="1" thickBot="1">
      <c r="A1525" s="186" t="n">
        <v>684</v>
      </c>
      <c r="B1525" s="214" t="inlineStr">
        <is>
          <t>Luncheon Meat - Chinese Style</t>
        </is>
      </c>
      <c r="C1525" s="124" t="n"/>
      <c r="D1525" s="115" t="n"/>
      <c r="E1525" s="124" t="n"/>
      <c r="F1525" s="124" t="n"/>
      <c r="G1525" s="124" t="n"/>
      <c r="H1525" s="84" t="n"/>
      <c r="I1525" s="7" t="n"/>
      <c r="J1525" s="32" t="inlineStr">
        <is>
          <t>Purefoods</t>
        </is>
      </c>
      <c r="K1525" s="24" t="n"/>
      <c r="L1525" s="36" t="n">
        <v>85.09999999999999</v>
      </c>
      <c r="M1525" s="204" t="n">
        <v>8</v>
      </c>
      <c r="N1525" s="177" t="n">
        <v>350</v>
      </c>
      <c r="O1525" s="13" t="n"/>
      <c r="P1525" s="139" t="inlineStr">
        <is>
          <t>grams</t>
        </is>
      </c>
      <c r="Q1525" s="2" t="n"/>
      <c r="R1525" s="1" t="n"/>
      <c r="S1525" s="229">
        <f>M1525*N1525</f>
        <v/>
      </c>
      <c r="T1525" s="230">
        <f>CONCATENATE(S1525,Q1525,P1525)</f>
        <v/>
      </c>
      <c r="U1525" s="206">
        <f>L1525*M1525</f>
        <v/>
      </c>
      <c r="V1525" s="4" t="n"/>
      <c r="W1525" s="4" t="n"/>
      <c r="X1525" s="4" t="n"/>
    </row>
    <row r="1526" ht="15.75" customHeight="1" thickBot="1">
      <c r="A1526" s="186" t="n">
        <v>684</v>
      </c>
      <c r="B1526" s="214" t="inlineStr">
        <is>
          <t>Luncheon Meat - Chinese Style</t>
        </is>
      </c>
      <c r="C1526" s="124" t="n"/>
      <c r="D1526" s="115" t="n"/>
      <c r="E1526" s="124" t="n"/>
      <c r="F1526" s="124" t="n"/>
      <c r="G1526" s="124" t="n"/>
      <c r="H1526" s="84" t="n"/>
      <c r="I1526" s="7" t="n"/>
      <c r="J1526" s="32" t="inlineStr">
        <is>
          <t>CDO</t>
        </is>
      </c>
      <c r="K1526" s="24" t="n"/>
      <c r="L1526" s="36" t="n">
        <v>82.5</v>
      </c>
      <c r="M1526" s="204" t="n">
        <v>6</v>
      </c>
      <c r="N1526" s="177" t="n">
        <v>350</v>
      </c>
      <c r="O1526" s="13" t="n"/>
      <c r="P1526" s="139" t="inlineStr">
        <is>
          <t>grams</t>
        </is>
      </c>
      <c r="Q1526" s="2" t="n"/>
      <c r="R1526" s="1" t="n"/>
      <c r="S1526" s="229">
        <f>M1526*N1526</f>
        <v/>
      </c>
      <c r="T1526" s="230">
        <f>CONCATENATE(S1526,Q1526,P1526)</f>
        <v/>
      </c>
      <c r="U1526" s="206">
        <f>L1526*M1526</f>
        <v/>
      </c>
      <c r="V1526" s="4" t="n"/>
      <c r="W1526" s="4" t="n"/>
      <c r="X1526" s="4" t="n"/>
    </row>
    <row r="1527" ht="15.75" customHeight="1" thickBot="1">
      <c r="A1527" s="186" t="n">
        <v>684</v>
      </c>
      <c r="B1527" s="214" t="inlineStr">
        <is>
          <t>Luncheon Meat - Chinese Style</t>
        </is>
      </c>
      <c r="C1527" s="124" t="n"/>
      <c r="D1527" s="115" t="n"/>
      <c r="E1527" s="124" t="n"/>
      <c r="F1527" s="124" t="n"/>
      <c r="G1527" s="124" t="n"/>
      <c r="H1527" s="84" t="n"/>
      <c r="I1527" s="7" t="n"/>
      <c r="J1527" s="32" t="inlineStr">
        <is>
          <t>Purefoods/can/350grams</t>
        </is>
      </c>
      <c r="K1527" s="24" t="n"/>
      <c r="L1527" s="36" t="n">
        <v>85.09999999999999</v>
      </c>
      <c r="M1527" s="204" t="n">
        <v>1</v>
      </c>
      <c r="N1527" s="177" t="n">
        <v>350</v>
      </c>
      <c r="O1527" s="13" t="n"/>
      <c r="P1527" s="139" t="inlineStr">
        <is>
          <t>grams</t>
        </is>
      </c>
      <c r="Q1527" s="2" t="n"/>
      <c r="R1527" s="1" t="n"/>
      <c r="S1527" s="229">
        <f>M1527*N1527</f>
        <v/>
      </c>
      <c r="T1527" s="230">
        <f>CONCATENATE(S1527,Q1527,P1527)</f>
        <v/>
      </c>
      <c r="U1527" s="206">
        <f>L1527*M1527</f>
        <v/>
      </c>
      <c r="V1527" s="4" t="n"/>
      <c r="W1527" s="4" t="n"/>
      <c r="X1527" s="4" t="n"/>
    </row>
    <row r="1528" ht="15.75" customHeight="1" thickBot="1">
      <c r="A1528" s="186" t="n">
        <v>242</v>
      </c>
      <c r="B1528" s="214" t="inlineStr">
        <is>
          <t>Luya</t>
        </is>
      </c>
      <c r="C1528" s="124" t="n"/>
      <c r="D1528" s="115" t="n"/>
      <c r="E1528" s="124" t="n"/>
      <c r="F1528" s="124" t="n"/>
      <c r="G1528" s="124" t="n"/>
      <c r="H1528" s="84" t="n"/>
      <c r="I1528" s="7" t="n"/>
      <c r="J1528" s="32" t="n"/>
      <c r="K1528" s="24" t="n"/>
      <c r="L1528" s="36" t="n">
        <v>140</v>
      </c>
      <c r="M1528" s="204" t="n">
        <v>1</v>
      </c>
      <c r="N1528" s="177" t="n">
        <v>1</v>
      </c>
      <c r="O1528" s="13" t="n"/>
      <c r="P1528" s="139" t="inlineStr">
        <is>
          <t>kilos</t>
        </is>
      </c>
      <c r="Q1528" s="2" t="n"/>
      <c r="R1528" s="1" t="n"/>
      <c r="S1528" s="229">
        <f>M1528*N1528</f>
        <v/>
      </c>
      <c r="T1528" s="230">
        <f>CONCATENATE(S1528,Q1528,P1528)</f>
        <v/>
      </c>
      <c r="U1528" s="206">
        <f>L1528*M1528</f>
        <v/>
      </c>
      <c r="V1528" s="4" t="n"/>
      <c r="W1528" s="4" t="n"/>
      <c r="X1528" s="4" t="n"/>
    </row>
    <row r="1529" ht="15.75" customHeight="1" thickBot="1">
      <c r="A1529" s="186" t="n">
        <v>685</v>
      </c>
      <c r="B1529" s="214" t="inlineStr">
        <is>
          <t>Lychee in Light Syrup</t>
        </is>
      </c>
      <c r="C1529" s="124" t="n"/>
      <c r="D1529" s="115" t="n"/>
      <c r="E1529" s="124" t="n"/>
      <c r="F1529" s="124" t="n"/>
      <c r="G1529" s="124" t="n"/>
      <c r="H1529" s="84" t="n"/>
      <c r="I1529" s="7" t="n"/>
      <c r="J1529" s="32" t="inlineStr">
        <is>
          <t>Jolly/can/540grams/230 draigned weight</t>
        </is>
      </c>
      <c r="K1529" s="24" t="n"/>
      <c r="L1529" s="36" t="n">
        <v>106.5</v>
      </c>
      <c r="M1529" s="204" t="n">
        <v>1</v>
      </c>
      <c r="N1529" s="177" t="n">
        <v>230</v>
      </c>
      <c r="O1529" s="13" t="n"/>
      <c r="P1529" s="139" t="inlineStr">
        <is>
          <t>drained weight grams</t>
        </is>
      </c>
      <c r="Q1529" s="2" t="n"/>
      <c r="R1529" s="1" t="n"/>
      <c r="S1529" s="229">
        <f>M1529*N1529</f>
        <v/>
      </c>
      <c r="T1529" s="230">
        <f>CONCATENATE(S1529,Q1529,P1529)</f>
        <v/>
      </c>
      <c r="U1529" s="206">
        <f>L1529*M1529</f>
        <v/>
      </c>
      <c r="V1529" s="4" t="n"/>
      <c r="W1529" s="4" t="n"/>
      <c r="X1529" s="4" t="n"/>
    </row>
    <row r="1530" ht="15.75" customHeight="1" thickBot="1">
      <c r="A1530" s="186" t="n">
        <v>243</v>
      </c>
      <c r="B1530" s="214" t="inlineStr">
        <is>
          <t>Lychees</t>
        </is>
      </c>
      <c r="C1530" s="124" t="n"/>
      <c r="D1530" s="115" t="n"/>
      <c r="E1530" s="124" t="n"/>
      <c r="F1530" s="124" t="n"/>
      <c r="G1530" s="124" t="n"/>
      <c r="H1530" s="84" t="n"/>
      <c r="I1530" s="7" t="n"/>
      <c r="J1530" s="32" t="inlineStr">
        <is>
          <t>Jolly</t>
        </is>
      </c>
      <c r="K1530" s="24" t="n"/>
      <c r="L1530" s="36" t="n">
        <v>106.5</v>
      </c>
      <c r="M1530" s="204" t="n">
        <v>2</v>
      </c>
      <c r="N1530" s="177" t="n">
        <v>230</v>
      </c>
      <c r="O1530" s="13" t="n"/>
      <c r="P1530" s="139" t="inlineStr">
        <is>
          <t>grams</t>
        </is>
      </c>
      <c r="Q1530" s="2" t="n"/>
      <c r="R1530" s="1" t="n"/>
      <c r="S1530" s="229">
        <f>M1530*N1530</f>
        <v/>
      </c>
      <c r="T1530" s="230">
        <f>CONCATENATE(S1530,Q1530,P1530)</f>
        <v/>
      </c>
      <c r="U1530" s="206">
        <f>L1530*M1530</f>
        <v/>
      </c>
      <c r="V1530" s="4" t="n"/>
      <c r="W1530" s="4" t="n"/>
      <c r="X1530" s="4" t="n"/>
    </row>
    <row r="1531" ht="15.75" customHeight="1" thickBot="1">
      <c r="A1531" s="186" t="n">
        <v>243</v>
      </c>
      <c r="B1531" s="214" t="inlineStr">
        <is>
          <t>Lychees</t>
        </is>
      </c>
      <c r="C1531" s="124" t="n"/>
      <c r="D1531" s="115" t="n"/>
      <c r="E1531" s="124" t="n"/>
      <c r="F1531" s="124" t="n"/>
      <c r="G1531" s="124" t="n"/>
      <c r="H1531" s="84" t="n"/>
      <c r="I1531" s="7" t="n"/>
      <c r="J1531" s="32" t="inlineStr">
        <is>
          <t>HOSEN</t>
        </is>
      </c>
      <c r="K1531" s="24" t="n"/>
      <c r="L1531" s="36" t="n">
        <v>138.5</v>
      </c>
      <c r="M1531" s="204" t="n">
        <v>1</v>
      </c>
      <c r="N1531" s="177" t="n">
        <v>565</v>
      </c>
      <c r="O1531" s="13" t="n"/>
      <c r="P1531" s="139" t="inlineStr">
        <is>
          <t>grams</t>
        </is>
      </c>
      <c r="Q1531" s="2" t="n"/>
      <c r="R1531" s="1" t="n"/>
      <c r="S1531" s="229">
        <f>M1531*N1531</f>
        <v/>
      </c>
      <c r="T1531" s="230">
        <f>CONCATENATE(S1531,Q1531,P1531)</f>
        <v/>
      </c>
      <c r="U1531" s="206">
        <f>L1531*M1531</f>
        <v/>
      </c>
      <c r="V1531" s="4" t="n"/>
      <c r="W1531" s="4" t="n"/>
      <c r="X1531" s="4" t="n"/>
    </row>
    <row r="1532" ht="15.75" customHeight="1" thickBot="1">
      <c r="A1532" s="186" t="n">
        <v>243</v>
      </c>
      <c r="B1532" s="214" t="inlineStr">
        <is>
          <t>Lychees</t>
        </is>
      </c>
      <c r="C1532" s="124" t="n"/>
      <c r="D1532" s="115" t="n"/>
      <c r="E1532" s="124" t="n"/>
      <c r="F1532" s="124" t="n"/>
      <c r="G1532" s="124" t="n"/>
      <c r="H1532" s="84" t="n"/>
      <c r="I1532" s="7" t="n"/>
      <c r="J1532" s="32" t="inlineStr">
        <is>
          <t>Jolly</t>
        </is>
      </c>
      <c r="K1532" s="24" t="n"/>
      <c r="L1532" s="36" t="n">
        <v>80.25</v>
      </c>
      <c r="M1532" s="204" t="n">
        <v>1</v>
      </c>
      <c r="N1532" s="177" t="n">
        <v>565</v>
      </c>
      <c r="O1532" s="13" t="n"/>
      <c r="P1532" s="139" t="inlineStr">
        <is>
          <t>grams</t>
        </is>
      </c>
      <c r="Q1532" s="2" t="n"/>
      <c r="R1532" s="1" t="n"/>
      <c r="S1532" s="229">
        <f>M1532*N1532</f>
        <v/>
      </c>
      <c r="T1532" s="230">
        <f>CONCATENATE(S1532,Q1532,P1532)</f>
        <v/>
      </c>
      <c r="U1532" s="206">
        <f>L1532*M1532</f>
        <v/>
      </c>
      <c r="V1532" s="4" t="n"/>
      <c r="W1532" s="4" t="n"/>
      <c r="X1532" s="4" t="n"/>
    </row>
    <row r="1533" ht="15.75" customHeight="1" thickBot="1">
      <c r="A1533" s="186" t="n">
        <v>686</v>
      </c>
      <c r="B1533" s="214" t="inlineStr">
        <is>
          <t>Lye Water</t>
        </is>
      </c>
      <c r="C1533" s="124" t="n"/>
      <c r="D1533" s="115" t="n"/>
      <c r="E1533" s="124" t="n"/>
      <c r="F1533" s="124" t="n"/>
      <c r="G1533" s="124" t="n"/>
      <c r="H1533" s="84" t="n"/>
      <c r="I1533" s="7" t="n"/>
      <c r="J1533" s="32" t="inlineStr">
        <is>
          <t>Green Leaves</t>
        </is>
      </c>
      <c r="K1533" s="24" t="n"/>
      <c r="L1533" s="36" t="n">
        <v>35</v>
      </c>
      <c r="M1533" s="204" t="n">
        <v>1</v>
      </c>
      <c r="N1533" s="177" t="n">
        <v>375</v>
      </c>
      <c r="O1533" s="13" t="n"/>
      <c r="P1533" s="139" t="inlineStr">
        <is>
          <t>ml</t>
        </is>
      </c>
      <c r="Q1533" s="2" t="n"/>
      <c r="R1533" s="1" t="n"/>
      <c r="S1533" s="229">
        <f>M1533*N1533</f>
        <v/>
      </c>
      <c r="T1533" s="230">
        <f>CONCATENATE(S1533,Q1533,P1533)</f>
        <v/>
      </c>
      <c r="U1533" s="206">
        <f>L1533*M1533</f>
        <v/>
      </c>
      <c r="V1533" s="4" t="n"/>
      <c r="W1533" s="4" t="n"/>
      <c r="X1533" s="4" t="n"/>
    </row>
    <row r="1534" ht="15.75" customHeight="1" thickBot="1">
      <c r="A1534" s="186" t="n">
        <v>687</v>
      </c>
      <c r="B1534" s="214" t="inlineStr">
        <is>
          <t>Macapuno</t>
        </is>
      </c>
      <c r="C1534" s="124" t="n"/>
      <c r="D1534" s="115" t="n"/>
      <c r="E1534" s="124" t="n"/>
      <c r="F1534" s="124" t="n"/>
      <c r="G1534" s="124" t="n"/>
      <c r="H1534" s="84" t="n"/>
      <c r="I1534" s="7" t="n"/>
      <c r="J1534" s="32" t="inlineStr">
        <is>
          <t>Buenas</t>
        </is>
      </c>
      <c r="K1534" s="24" t="n"/>
      <c r="L1534" s="36" t="n">
        <v>154</v>
      </c>
      <c r="M1534" s="204" t="n">
        <v>1</v>
      </c>
      <c r="N1534" s="177" t="n">
        <v>340</v>
      </c>
      <c r="O1534" s="13" t="n"/>
      <c r="P1534" s="139" t="inlineStr">
        <is>
          <t>grams</t>
        </is>
      </c>
      <c r="Q1534" s="2" t="n"/>
      <c r="R1534" s="1" t="n"/>
      <c r="S1534" s="229">
        <f>M1534*N1534</f>
        <v/>
      </c>
      <c r="T1534" s="230">
        <f>CONCATENATE(S1534,Q1534,P1534)</f>
        <v/>
      </c>
      <c r="U1534" s="206">
        <f>L1534*M1534</f>
        <v/>
      </c>
      <c r="V1534" s="4" t="n"/>
      <c r="W1534" s="4" t="n"/>
      <c r="X1534" s="4" t="n"/>
    </row>
    <row r="1535" ht="15.75" customHeight="1" thickBot="1">
      <c r="A1535" s="186" t="n">
        <v>688</v>
      </c>
      <c r="B1535" s="214" t="inlineStr">
        <is>
          <t>Macaroni</t>
        </is>
      </c>
      <c r="C1535" s="124" t="n"/>
      <c r="D1535" s="115" t="n"/>
      <c r="E1535" s="124" t="n"/>
      <c r="F1535" s="124" t="n"/>
      <c r="G1535" s="124" t="n"/>
      <c r="H1535" s="84" t="n"/>
      <c r="I1535" s="7" t="n"/>
      <c r="J1535" s="32" t="inlineStr">
        <is>
          <t>Ideal</t>
        </is>
      </c>
      <c r="K1535" s="24" t="n"/>
      <c r="L1535" s="36" t="n">
        <v>296.7</v>
      </c>
      <c r="M1535" s="204" t="n">
        <v>1</v>
      </c>
      <c r="N1535" s="177" t="n">
        <v>1</v>
      </c>
      <c r="O1535" s="13" t="n"/>
      <c r="P1535" s="139" t="inlineStr">
        <is>
          <t>kilos</t>
        </is>
      </c>
      <c r="Q1535" s="2" t="n"/>
      <c r="R1535" s="1" t="n"/>
      <c r="S1535" s="229">
        <f>M1535*N1535</f>
        <v/>
      </c>
      <c r="T1535" s="230">
        <f>CONCATENATE(S1535,Q1535,P1535)</f>
        <v/>
      </c>
      <c r="U1535" s="206">
        <f>L1535*M1535</f>
        <v/>
      </c>
      <c r="V1535" s="4" t="n"/>
      <c r="W1535" s="4" t="n"/>
      <c r="X1535" s="4" t="n"/>
    </row>
    <row r="1536" ht="15.75" customHeight="1" thickBot="1">
      <c r="A1536" s="186" t="n">
        <v>688</v>
      </c>
      <c r="B1536" s="214" t="inlineStr">
        <is>
          <t>Macaroni</t>
        </is>
      </c>
      <c r="C1536" s="124" t="n"/>
      <c r="D1536" s="115" t="n"/>
      <c r="E1536" s="124" t="n"/>
      <c r="F1536" s="124" t="n"/>
      <c r="G1536" s="124" t="n"/>
      <c r="H1536" s="84" t="n"/>
      <c r="I1536" s="7" t="n"/>
      <c r="J1536" s="32" t="inlineStr">
        <is>
          <t>Ideal</t>
        </is>
      </c>
      <c r="K1536" s="24" t="n"/>
      <c r="L1536" s="36" t="n">
        <v>380</v>
      </c>
      <c r="M1536" s="204" t="n">
        <v>5</v>
      </c>
      <c r="N1536" s="177" t="n">
        <v>5</v>
      </c>
      <c r="O1536" s="13" t="n"/>
      <c r="P1536" s="139" t="inlineStr">
        <is>
          <t>kilos</t>
        </is>
      </c>
      <c r="Q1536" s="2" t="n"/>
      <c r="R1536" s="1" t="n"/>
      <c r="S1536" s="229">
        <f>M1536*N1536</f>
        <v/>
      </c>
      <c r="T1536" s="230">
        <f>CONCATENATE(S1536,Q1536,P1536)</f>
        <v/>
      </c>
      <c r="U1536" s="206">
        <f>L1536*M1536</f>
        <v/>
      </c>
      <c r="V1536" s="4" t="n"/>
      <c r="W1536" s="4" t="n"/>
      <c r="X1536" s="4" t="n"/>
    </row>
    <row r="1537" ht="15.75" customHeight="1" thickBot="1">
      <c r="A1537" s="186" t="n">
        <v>688</v>
      </c>
      <c r="B1537" s="214" t="inlineStr">
        <is>
          <t>Macaroni</t>
        </is>
      </c>
      <c r="C1537" s="124" t="n"/>
      <c r="D1537" s="115" t="n"/>
      <c r="E1537" s="124" t="n"/>
      <c r="F1537" s="124" t="n"/>
      <c r="G1537" s="124" t="n"/>
      <c r="H1537" s="84" t="n"/>
      <c r="I1537" s="7" t="n"/>
      <c r="J1537" s="32" t="inlineStr">
        <is>
          <t>Ideal</t>
        </is>
      </c>
      <c r="K1537" s="24" t="n"/>
      <c r="L1537" s="36" t="n">
        <v>59.34</v>
      </c>
      <c r="M1537" s="204" t="n">
        <v>8</v>
      </c>
      <c r="N1537" s="177" t="n">
        <v>5000</v>
      </c>
      <c r="O1537" s="13" t="n"/>
      <c r="P1537" s="139" t="inlineStr">
        <is>
          <t>grams</t>
        </is>
      </c>
      <c r="Q1537" s="2" t="n"/>
      <c r="R1537" s="1" t="n"/>
      <c r="S1537" s="229">
        <f>M1537*N1537</f>
        <v/>
      </c>
      <c r="T1537" s="230">
        <f>CONCATENATE(S1537,Q1537,P1537)</f>
        <v/>
      </c>
      <c r="U1537" s="206">
        <f>L1537*M1537</f>
        <v/>
      </c>
      <c r="V1537" s="4" t="n"/>
      <c r="W1537" s="4" t="n"/>
      <c r="X1537" s="4" t="n"/>
    </row>
    <row r="1538" ht="15.75" customHeight="1" thickBot="1">
      <c r="A1538" s="186" t="n">
        <v>688</v>
      </c>
      <c r="B1538" s="214" t="inlineStr">
        <is>
          <t>Macaroni</t>
        </is>
      </c>
      <c r="C1538" s="124" t="n"/>
      <c r="D1538" s="115" t="n"/>
      <c r="E1538" s="124" t="n"/>
      <c r="F1538" s="124" t="n"/>
      <c r="G1538" s="124" t="n"/>
      <c r="H1538" s="84" t="n"/>
      <c r="I1538" s="7" t="n"/>
      <c r="J1538" s="32" t="inlineStr">
        <is>
          <t>Ideal</t>
        </is>
      </c>
      <c r="K1538" s="24" t="n"/>
      <c r="L1538" s="36" t="n">
        <v>40</v>
      </c>
      <c r="M1538" s="204" t="n">
        <v>5</v>
      </c>
      <c r="N1538" s="177" t="n">
        <v>500</v>
      </c>
      <c r="O1538" s="13" t="n"/>
      <c r="P1538" s="139" t="inlineStr">
        <is>
          <t>grams</t>
        </is>
      </c>
      <c r="Q1538" s="2" t="n"/>
      <c r="R1538" s="1" t="n"/>
      <c r="S1538" s="229">
        <f>M1538*N1538</f>
        <v/>
      </c>
      <c r="T1538" s="230">
        <f>CONCATENATE(S1538,Q1538,P1538)</f>
        <v/>
      </c>
      <c r="U1538" s="206">
        <f>L1538*M1538</f>
        <v/>
      </c>
      <c r="V1538" s="4" t="n"/>
      <c r="W1538" s="4" t="n"/>
      <c r="X1538" s="4" t="n"/>
    </row>
    <row r="1539" ht="15.75" customHeight="1" thickBot="1">
      <c r="A1539" s="186" t="n">
        <v>688</v>
      </c>
      <c r="B1539" s="214" t="inlineStr">
        <is>
          <t>Macaroni</t>
        </is>
      </c>
      <c r="C1539" s="124" t="n"/>
      <c r="D1539" s="115" t="n"/>
      <c r="E1539" s="124" t="n"/>
      <c r="F1539" s="124" t="n"/>
      <c r="G1539" s="124" t="n"/>
      <c r="H1539" s="84" t="n"/>
      <c r="I1539" s="7" t="n"/>
      <c r="J1539" s="32" t="inlineStr">
        <is>
          <t>Ideal</t>
        </is>
      </c>
      <c r="K1539" s="24" t="n"/>
      <c r="L1539" s="36" t="n">
        <v>80</v>
      </c>
      <c r="M1539" s="204" t="n">
        <v>5</v>
      </c>
      <c r="N1539" s="177" t="n">
        <v>500</v>
      </c>
      <c r="O1539" s="13" t="n"/>
      <c r="P1539" s="139" t="inlineStr">
        <is>
          <t>grams</t>
        </is>
      </c>
      <c r="Q1539" s="2" t="n"/>
      <c r="R1539" s="1" t="n"/>
      <c r="S1539" s="229">
        <f>M1539*N1539</f>
        <v/>
      </c>
      <c r="T1539" s="230">
        <f>CONCATENATE(S1539,Q1539,P1539)</f>
        <v/>
      </c>
      <c r="U1539" s="206">
        <f>L1539*M1539</f>
        <v/>
      </c>
      <c r="V1539" s="4" t="n"/>
      <c r="W1539" s="4" t="n"/>
      <c r="X1539" s="4" t="n"/>
    </row>
    <row r="1540" ht="15.75" customHeight="1" thickBot="1">
      <c r="A1540" s="186" t="n">
        <v>688</v>
      </c>
      <c r="B1540" s="215" t="inlineStr">
        <is>
          <t>Macaroni</t>
        </is>
      </c>
      <c r="C1540" s="124" t="n"/>
      <c r="D1540" s="115" t="n"/>
      <c r="E1540" s="124" t="n"/>
      <c r="F1540" s="124" t="n"/>
      <c r="G1540" s="124" t="n"/>
      <c r="H1540" s="84" t="n"/>
      <c r="I1540" s="7" t="n"/>
      <c r="J1540" s="32" t="inlineStr">
        <is>
          <t>Ideal</t>
        </is>
      </c>
      <c r="K1540" s="24" t="n"/>
      <c r="L1540" s="36" t="n">
        <v>62</v>
      </c>
      <c r="M1540" s="204" t="n">
        <v>7</v>
      </c>
      <c r="N1540" s="177" t="n">
        <v>500</v>
      </c>
      <c r="O1540" s="13" t="n"/>
      <c r="P1540" s="139" t="inlineStr">
        <is>
          <t>grams</t>
        </is>
      </c>
      <c r="Q1540" s="2" t="n"/>
      <c r="R1540" s="1" t="n"/>
      <c r="S1540" s="229">
        <f>M1540*N1540</f>
        <v/>
      </c>
      <c r="T1540" s="230">
        <f>CONCATENATE(S1540,Q1540,P1540)</f>
        <v/>
      </c>
      <c r="U1540" s="206">
        <f>L1540*M1540</f>
        <v/>
      </c>
      <c r="V1540" s="4" t="n"/>
      <c r="W1540" s="4" t="n"/>
      <c r="X1540" s="4" t="n"/>
    </row>
    <row r="1541" ht="15.75" customHeight="1" thickBot="1">
      <c r="A1541" s="186" t="n">
        <v>689</v>
      </c>
      <c r="B1541" s="214" t="inlineStr">
        <is>
          <t>Macaroni Elbow</t>
        </is>
      </c>
      <c r="C1541" s="124" t="n"/>
      <c r="D1541" s="115" t="n"/>
      <c r="E1541" s="124" t="n"/>
      <c r="F1541" s="124" t="n"/>
      <c r="G1541" s="124" t="n"/>
      <c r="H1541" s="84" t="n"/>
      <c r="I1541" s="7" t="n"/>
      <c r="J1541" s="32" t="inlineStr">
        <is>
          <t>SUNSHINE</t>
        </is>
      </c>
      <c r="K1541" s="24" t="n"/>
      <c r="L1541" s="36" t="n">
        <v>87</v>
      </c>
      <c r="M1541" s="204" t="n">
        <v>1</v>
      </c>
      <c r="N1541" s="177" t="n">
        <v>1000</v>
      </c>
      <c r="O1541" s="13" t="n"/>
      <c r="P1541" s="139" t="inlineStr">
        <is>
          <t>grams</t>
        </is>
      </c>
      <c r="Q1541" s="2" t="n"/>
      <c r="R1541" s="1" t="n"/>
      <c r="S1541" s="229">
        <f>M1541*N1541</f>
        <v/>
      </c>
      <c r="T1541" s="230">
        <f>CONCATENATE(S1541,Q1541,P1541)</f>
        <v/>
      </c>
      <c r="U1541" s="206">
        <f>L1541*M1541</f>
        <v/>
      </c>
      <c r="V1541" s="4" t="n"/>
      <c r="W1541" s="4" t="n"/>
      <c r="X1541" s="4" t="n"/>
    </row>
    <row r="1542" ht="15.75" customHeight="1" thickBot="1">
      <c r="A1542" s="186" t="n">
        <v>689</v>
      </c>
      <c r="B1542" s="214" t="inlineStr">
        <is>
          <t>Macaroni Elbow</t>
        </is>
      </c>
      <c r="C1542" s="124" t="n"/>
      <c r="D1542" s="115" t="n"/>
      <c r="E1542" s="124" t="n"/>
      <c r="F1542" s="124" t="n"/>
      <c r="G1542" s="124" t="n"/>
      <c r="H1542" s="84" t="n"/>
      <c r="I1542" s="7" t="n"/>
      <c r="J1542" s="32" t="inlineStr">
        <is>
          <t>El Real</t>
        </is>
      </c>
      <c r="K1542" s="24" t="n"/>
      <c r="L1542" s="36" t="n">
        <v>39.7</v>
      </c>
      <c r="M1542" s="204" t="n">
        <v>2</v>
      </c>
      <c r="N1542" s="177" t="n">
        <v>400</v>
      </c>
      <c r="O1542" s="13" t="n"/>
      <c r="P1542" s="139" t="inlineStr">
        <is>
          <t>grams</t>
        </is>
      </c>
      <c r="Q1542" s="2" t="n"/>
      <c r="R1542" s="1" t="n"/>
      <c r="S1542" s="229">
        <f>M1542*N1542</f>
        <v/>
      </c>
      <c r="T1542" s="230">
        <f>CONCATENATE(S1542,Q1542,P1542)</f>
        <v/>
      </c>
      <c r="U1542" s="206">
        <f>L1542*M1542</f>
        <v/>
      </c>
      <c r="V1542" s="4" t="n"/>
      <c r="W1542" s="4" t="n"/>
      <c r="X1542" s="4" t="n"/>
    </row>
    <row r="1543" ht="15.75" customHeight="1" thickBot="1">
      <c r="A1543" s="186" t="n">
        <v>690</v>
      </c>
      <c r="B1543" s="214" t="inlineStr">
        <is>
          <t>Mackerel</t>
        </is>
      </c>
      <c r="C1543" s="124" t="n"/>
      <c r="D1543" s="115" t="n"/>
      <c r="E1543" s="124" t="n"/>
      <c r="F1543" s="124" t="n"/>
      <c r="G1543" s="124" t="n"/>
      <c r="H1543" s="84" t="n"/>
      <c r="I1543" s="7" t="n"/>
      <c r="J1543" s="32" t="inlineStr">
        <is>
          <t>Uni pak</t>
        </is>
      </c>
      <c r="K1543" s="24" t="n"/>
      <c r="L1543" s="36" t="n">
        <v>73.5</v>
      </c>
      <c r="M1543" s="204" t="n">
        <v>1</v>
      </c>
      <c r="N1543" s="177" t="n">
        <v>425</v>
      </c>
      <c r="O1543" s="13" t="n"/>
      <c r="P1543" s="139" t="inlineStr">
        <is>
          <t>grams</t>
        </is>
      </c>
      <c r="Q1543" s="2" t="n"/>
      <c r="R1543" s="1" t="n"/>
      <c r="S1543" s="229">
        <f>M1543*N1543</f>
        <v/>
      </c>
      <c r="T1543" s="230">
        <f>CONCATENATE(S1543,Q1543,P1543)</f>
        <v/>
      </c>
      <c r="U1543" s="206">
        <f>L1543*M1543</f>
        <v/>
      </c>
      <c r="V1543" s="4" t="n"/>
      <c r="W1543" s="4" t="n"/>
      <c r="X1543" s="4" t="n"/>
    </row>
    <row r="1544" ht="15.75" customHeight="1" thickBot="1">
      <c r="A1544" s="186" t="n">
        <v>690</v>
      </c>
      <c r="B1544" s="214" t="inlineStr">
        <is>
          <t>Mackerel</t>
        </is>
      </c>
      <c r="C1544" s="124" t="n"/>
      <c r="D1544" s="115" t="n"/>
      <c r="E1544" s="124" t="n"/>
      <c r="F1544" s="124" t="n"/>
      <c r="G1544" s="124" t="n"/>
      <c r="H1544" s="84" t="n"/>
      <c r="I1544" s="7" t="n"/>
      <c r="J1544" s="32" t="inlineStr">
        <is>
          <t>MEGA</t>
        </is>
      </c>
      <c r="K1544" s="24" t="n"/>
      <c r="L1544" s="36" t="n">
        <v>64.40000000000001</v>
      </c>
      <c r="M1544" s="204" t="n">
        <v>5</v>
      </c>
      <c r="N1544" s="177" t="n">
        <v>425</v>
      </c>
      <c r="O1544" s="13" t="n"/>
      <c r="P1544" s="139" t="inlineStr">
        <is>
          <t>grams</t>
        </is>
      </c>
      <c r="Q1544" s="2" t="n"/>
      <c r="R1544" s="1" t="n"/>
      <c r="S1544" s="229">
        <f>M1544*N1544</f>
        <v/>
      </c>
      <c r="T1544" s="230">
        <f>CONCATENATE(S1544,Q1544,P1544)</f>
        <v/>
      </c>
      <c r="U1544" s="206">
        <f>L1544*M1544</f>
        <v/>
      </c>
      <c r="V1544" s="4" t="n"/>
      <c r="W1544" s="4" t="n"/>
      <c r="X1544" s="4" t="n"/>
    </row>
    <row r="1545" ht="15.75" customHeight="1" thickBot="1">
      <c r="A1545" s="186" t="n">
        <v>690</v>
      </c>
      <c r="B1545" s="214" t="inlineStr">
        <is>
          <t>Mackerel</t>
        </is>
      </c>
      <c r="C1545" s="124" t="n"/>
      <c r="D1545" s="115" t="n"/>
      <c r="E1545" s="124" t="n"/>
      <c r="F1545" s="124" t="n"/>
      <c r="G1545" s="124" t="n"/>
      <c r="H1545" s="84" t="n"/>
      <c r="I1545" s="7" t="n"/>
      <c r="J1545" s="32" t="inlineStr">
        <is>
          <t>Unipak</t>
        </is>
      </c>
      <c r="K1545" s="24" t="n"/>
      <c r="L1545" s="36" t="n">
        <v>73.59999999999999</v>
      </c>
      <c r="M1545" s="204" t="n">
        <v>6</v>
      </c>
      <c r="N1545" s="177" t="n">
        <v>425</v>
      </c>
      <c r="O1545" s="13" t="n"/>
      <c r="P1545" s="139" t="inlineStr">
        <is>
          <t>grams</t>
        </is>
      </c>
      <c r="Q1545" s="2" t="n"/>
      <c r="R1545" s="1" t="n"/>
      <c r="S1545" s="229">
        <f>M1545*N1545</f>
        <v/>
      </c>
      <c r="T1545" s="230">
        <f>CONCATENATE(S1545,Q1545,P1545)</f>
        <v/>
      </c>
      <c r="U1545" s="206">
        <f>L1545*M1545</f>
        <v/>
      </c>
      <c r="V1545" s="4" t="n"/>
      <c r="W1545" s="4" t="n"/>
      <c r="X1545" s="4" t="n"/>
    </row>
    <row r="1546" ht="15.75" customHeight="1" thickBot="1">
      <c r="A1546" s="186" t="n">
        <v>246</v>
      </c>
      <c r="B1546" s="214" t="inlineStr">
        <is>
          <t>Mackerel in Natural Oil</t>
        </is>
      </c>
      <c r="C1546" s="124" t="n"/>
      <c r="D1546" s="115" t="n"/>
      <c r="E1546" s="124" t="n"/>
      <c r="F1546" s="124" t="n"/>
      <c r="G1546" s="124" t="n"/>
      <c r="H1546" s="84" t="n"/>
      <c r="I1546" s="7" t="n"/>
      <c r="J1546" s="32" t="inlineStr">
        <is>
          <t>Mega</t>
        </is>
      </c>
      <c r="K1546" s="24" t="n"/>
      <c r="L1546" s="36" t="n">
        <v>67.40000000000001</v>
      </c>
      <c r="M1546" s="204" t="n">
        <v>10</v>
      </c>
      <c r="N1546" s="177" t="n">
        <v>425</v>
      </c>
      <c r="O1546" s="13" t="n"/>
      <c r="P1546" s="139" t="inlineStr">
        <is>
          <t>grams</t>
        </is>
      </c>
      <c r="Q1546" s="2" t="n"/>
      <c r="R1546" s="1" t="n"/>
      <c r="S1546" s="229">
        <f>M1546*N1546</f>
        <v/>
      </c>
      <c r="T1546" s="230">
        <f>CONCATENATE(S1546,Q1546,P1546)</f>
        <v/>
      </c>
      <c r="U1546" s="206">
        <f>L1546*M1546</f>
        <v/>
      </c>
      <c r="V1546" s="4" t="n"/>
      <c r="W1546" s="4" t="n"/>
      <c r="X1546" s="4" t="n"/>
    </row>
    <row r="1547" ht="15.75" customHeight="1" thickBot="1">
      <c r="A1547" s="186" t="n">
        <v>246</v>
      </c>
      <c r="B1547" s="215" t="inlineStr">
        <is>
          <t>Mackerel in Natural Oil</t>
        </is>
      </c>
      <c r="C1547" s="124" t="n"/>
      <c r="D1547" s="115" t="n"/>
      <c r="E1547" s="124" t="n"/>
      <c r="F1547" s="124" t="n"/>
      <c r="G1547" s="124" t="n"/>
      <c r="H1547" s="84" t="n"/>
      <c r="I1547" s="7" t="n"/>
      <c r="J1547" s="32" t="inlineStr">
        <is>
          <t>Unipack/can/425grams</t>
        </is>
      </c>
      <c r="K1547" s="24" t="n"/>
      <c r="L1547" s="36" t="n">
        <v>73.59999999999999</v>
      </c>
      <c r="M1547" s="204" t="n">
        <v>9</v>
      </c>
      <c r="N1547" s="177" t="n">
        <v>425</v>
      </c>
      <c r="O1547" s="13" t="n"/>
      <c r="P1547" s="139" t="inlineStr">
        <is>
          <t>grams</t>
        </is>
      </c>
      <c r="Q1547" s="2" t="n"/>
      <c r="R1547" s="1" t="n"/>
      <c r="S1547" s="229">
        <f>M1547*N1547</f>
        <v/>
      </c>
      <c r="T1547" s="230">
        <f>CONCATENATE(S1547,Q1547,P1547)</f>
        <v/>
      </c>
      <c r="U1547" s="206">
        <f>L1547*M1547</f>
        <v/>
      </c>
      <c r="V1547" s="4" t="n"/>
      <c r="W1547" s="4" t="n"/>
      <c r="X1547" s="4" t="n"/>
    </row>
    <row r="1548" ht="15.75" customHeight="1" thickBot="1">
      <c r="A1548" s="186" t="n">
        <v>246</v>
      </c>
      <c r="B1548" s="214" t="inlineStr">
        <is>
          <t>Mackerel in Natural Oil</t>
        </is>
      </c>
      <c r="C1548" s="124" t="n"/>
      <c r="D1548" s="115" t="n"/>
      <c r="E1548" s="124" t="n"/>
      <c r="F1548" s="124" t="n"/>
      <c r="G1548" s="124" t="n"/>
      <c r="H1548" s="84" t="n"/>
      <c r="I1548" s="7" t="n"/>
      <c r="J1548" s="32" t="inlineStr">
        <is>
          <t>Unipack/can/425grams</t>
        </is>
      </c>
      <c r="K1548" s="24" t="n"/>
      <c r="L1548" s="36" t="n">
        <v>73.59999999999999</v>
      </c>
      <c r="M1548" s="204" t="n">
        <v>7</v>
      </c>
      <c r="N1548" s="177" t="n">
        <v>425</v>
      </c>
      <c r="O1548" s="13" t="n"/>
      <c r="P1548" s="139" t="inlineStr">
        <is>
          <t>grams</t>
        </is>
      </c>
      <c r="Q1548" s="2" t="n"/>
      <c r="R1548" s="1" t="n"/>
      <c r="S1548" s="229">
        <f>M1548*N1548</f>
        <v/>
      </c>
      <c r="T1548" s="230">
        <f>CONCATENATE(S1548,Q1548,P1548)</f>
        <v/>
      </c>
      <c r="U1548" s="206">
        <f>L1548*M1548</f>
        <v/>
      </c>
      <c r="V1548" s="4" t="n"/>
      <c r="W1548" s="4" t="n"/>
      <c r="X1548" s="4" t="n"/>
    </row>
    <row r="1549" ht="15.75" customHeight="1" thickBot="1">
      <c r="A1549" s="186" t="n">
        <v>246</v>
      </c>
      <c r="B1549" s="214" t="inlineStr">
        <is>
          <t>Mackerel in Natural Oil</t>
        </is>
      </c>
      <c r="C1549" s="124" t="n"/>
      <c r="D1549" s="115" t="n"/>
      <c r="E1549" s="124" t="n"/>
      <c r="F1549" s="124" t="n"/>
      <c r="G1549" s="124" t="n"/>
      <c r="H1549" s="84" t="n"/>
      <c r="I1549" s="7" t="n"/>
      <c r="J1549" s="32" t="inlineStr">
        <is>
          <t>MEGA</t>
        </is>
      </c>
      <c r="K1549" s="24" t="n"/>
      <c r="L1549" s="36" t="n">
        <v>72</v>
      </c>
      <c r="M1549" s="204" t="n">
        <v>10</v>
      </c>
      <c r="N1549" s="177" t="n">
        <v>425</v>
      </c>
      <c r="O1549" s="13" t="n"/>
      <c r="P1549" s="139" t="inlineStr">
        <is>
          <t>grams</t>
        </is>
      </c>
      <c r="Q1549" s="2" t="n"/>
      <c r="R1549" s="1" t="n"/>
      <c r="S1549" s="229">
        <f>M1549*N1549</f>
        <v/>
      </c>
      <c r="T1549" s="230">
        <f>CONCATENATE(S1549,Q1549,P1549)</f>
        <v/>
      </c>
      <c r="U1549" s="206">
        <f>L1549*M1549</f>
        <v/>
      </c>
      <c r="V1549" s="4" t="n"/>
      <c r="W1549" s="4" t="n"/>
      <c r="X1549" s="4" t="n"/>
    </row>
    <row r="1550" ht="15.75" customHeight="1" thickBot="1">
      <c r="A1550" s="186" t="n">
        <v>246</v>
      </c>
      <c r="B1550" s="214" t="inlineStr">
        <is>
          <t>Mackerel in Natural Oil</t>
        </is>
      </c>
      <c r="C1550" s="124" t="n"/>
      <c r="D1550" s="115" t="n"/>
      <c r="E1550" s="124" t="n"/>
      <c r="F1550" s="124" t="n"/>
      <c r="G1550" s="124" t="n"/>
      <c r="H1550" s="84" t="n"/>
      <c r="I1550" s="7" t="n"/>
      <c r="J1550" s="32" t="inlineStr">
        <is>
          <t>UNIPAK</t>
        </is>
      </c>
      <c r="K1550" s="24" t="n"/>
      <c r="L1550" s="36" t="n">
        <v>73.09999999999999</v>
      </c>
      <c r="M1550" s="204" t="n">
        <v>3</v>
      </c>
      <c r="N1550" s="177" t="n">
        <v>425</v>
      </c>
      <c r="O1550" s="13" t="n"/>
      <c r="P1550" s="139" t="inlineStr">
        <is>
          <t>grams</t>
        </is>
      </c>
      <c r="Q1550" s="2" t="n"/>
      <c r="R1550" s="1" t="n"/>
      <c r="S1550" s="229">
        <f>M1550*N1550</f>
        <v/>
      </c>
      <c r="T1550" s="230">
        <f>CONCATENATE(S1550,Q1550,P1550)</f>
        <v/>
      </c>
      <c r="U1550" s="206">
        <f>L1550*M1550</f>
        <v/>
      </c>
      <c r="V1550" s="4" t="n"/>
      <c r="W1550" s="4" t="n"/>
      <c r="X1550" s="4" t="n"/>
    </row>
    <row r="1551" ht="15.75" customHeight="1" thickBot="1">
      <c r="A1551" s="186" t="n">
        <v>250</v>
      </c>
      <c r="B1551" s="214" t="inlineStr">
        <is>
          <t>Magic Sarap</t>
        </is>
      </c>
      <c r="C1551" s="124" t="n"/>
      <c r="D1551" s="115" t="n"/>
      <c r="E1551" s="124" t="n"/>
      <c r="F1551" s="124" t="n"/>
      <c r="G1551" s="124" t="n"/>
      <c r="H1551" s="84" t="n"/>
      <c r="I1551" s="7" t="n"/>
      <c r="J1551" s="32" t="inlineStr">
        <is>
          <t>Nestle - Maggi</t>
        </is>
      </c>
      <c r="K1551" s="24" t="n"/>
      <c r="L1551" s="36" t="n">
        <v>4.91</v>
      </c>
      <c r="M1551" s="204" t="n">
        <v>48</v>
      </c>
      <c r="N1551" s="177" t="n">
        <v>8</v>
      </c>
      <c r="O1551" s="13" t="n"/>
      <c r="P1551" s="139" t="inlineStr">
        <is>
          <t>grams</t>
        </is>
      </c>
      <c r="Q1551" s="2" t="n"/>
      <c r="R1551" s="1" t="n"/>
      <c r="S1551" s="229">
        <f>M1551*N1551</f>
        <v/>
      </c>
      <c r="T1551" s="230">
        <f>CONCATENATE(S1551,Q1551,P1551)</f>
        <v/>
      </c>
      <c r="U1551" s="206">
        <f>L1551*M1551</f>
        <v/>
      </c>
      <c r="V1551" s="4" t="n"/>
      <c r="W1551" s="4" t="n"/>
      <c r="X1551" s="4" t="n"/>
    </row>
    <row r="1552" ht="15.75" customHeight="1" thickBot="1">
      <c r="A1552" s="186" t="n">
        <v>250</v>
      </c>
      <c r="B1552" s="215" t="inlineStr">
        <is>
          <t>Magic Sarap</t>
        </is>
      </c>
      <c r="C1552" s="124" t="n"/>
      <c r="D1552" s="115" t="n"/>
      <c r="E1552" s="124" t="n"/>
      <c r="F1552" s="124" t="n"/>
      <c r="G1552" s="124" t="n"/>
      <c r="H1552" s="84" t="n"/>
      <c r="I1552" s="7" t="n"/>
      <c r="J1552" s="32" t="inlineStr">
        <is>
          <t>Nestle - Maggi</t>
        </is>
      </c>
      <c r="K1552" s="24" t="n"/>
      <c r="L1552" s="36" t="n">
        <v>63</v>
      </c>
      <c r="M1552" s="204" t="n">
        <v>1</v>
      </c>
      <c r="N1552" s="177" t="n">
        <v>150</v>
      </c>
      <c r="O1552" s="13" t="n"/>
      <c r="P1552" s="139" t="inlineStr">
        <is>
          <t>grams</t>
        </is>
      </c>
      <c r="Q1552" s="2" t="n"/>
      <c r="R1552" s="1" t="n"/>
      <c r="S1552" s="229">
        <f>M1552*N1552</f>
        <v/>
      </c>
      <c r="T1552" s="230">
        <f>CONCATENATE(S1552,Q1552,P1552)</f>
        <v/>
      </c>
      <c r="U1552" s="206">
        <f>L1552*M1552</f>
        <v/>
      </c>
      <c r="V1552" s="4" t="n"/>
      <c r="W1552" s="4" t="n"/>
      <c r="X1552" s="4" t="n"/>
    </row>
    <row r="1553" ht="15.75" customHeight="1" thickBot="1">
      <c r="A1553" s="186" t="n">
        <v>250</v>
      </c>
      <c r="B1553" s="214" t="inlineStr">
        <is>
          <t>Magic Sarap</t>
        </is>
      </c>
      <c r="C1553" s="124" t="n"/>
      <c r="D1553" s="115" t="n"/>
      <c r="E1553" s="124" t="n"/>
      <c r="F1553" s="124" t="n"/>
      <c r="G1553" s="124" t="n"/>
      <c r="H1553" s="84" t="n"/>
      <c r="I1553" s="7" t="n"/>
      <c r="J1553" s="32" t="inlineStr">
        <is>
          <t>Nestle - Maggi</t>
        </is>
      </c>
      <c r="K1553" s="24" t="n"/>
      <c r="L1553" s="36" t="n">
        <v>71.7</v>
      </c>
      <c r="M1553" s="204" t="n">
        <v>7</v>
      </c>
      <c r="N1553" s="177" t="n">
        <v>150</v>
      </c>
      <c r="O1553" s="13" t="n"/>
      <c r="P1553" s="139" t="inlineStr">
        <is>
          <t>grams</t>
        </is>
      </c>
      <c r="Q1553" s="2" t="n"/>
      <c r="R1553" s="1" t="n"/>
      <c r="S1553" s="229">
        <f>M1553*N1553</f>
        <v/>
      </c>
      <c r="T1553" s="230">
        <f>CONCATENATE(S1553,Q1553,P1553)</f>
        <v/>
      </c>
      <c r="U1553" s="206">
        <f>L1553*M1553</f>
        <v/>
      </c>
      <c r="V1553" s="4" t="n"/>
      <c r="W1553" s="4" t="n"/>
      <c r="X1553" s="4" t="n"/>
    </row>
    <row r="1554" ht="15.75" customHeight="1" thickBot="1">
      <c r="A1554" s="186" t="n">
        <v>250</v>
      </c>
      <c r="B1554" s="214" t="inlineStr">
        <is>
          <t>Magic Sarap</t>
        </is>
      </c>
      <c r="C1554" s="124" t="n"/>
      <c r="D1554" s="115" t="n"/>
      <c r="E1554" s="124" t="n"/>
      <c r="F1554" s="124" t="n"/>
      <c r="G1554" s="124" t="n"/>
      <c r="H1554" s="84" t="n"/>
      <c r="I1554" s="7" t="n"/>
      <c r="J1554" s="32" t="inlineStr">
        <is>
          <t>Nestle - Maggi</t>
        </is>
      </c>
      <c r="K1554" s="24" t="n"/>
      <c r="L1554" s="36" t="n">
        <v>4.92</v>
      </c>
      <c r="M1554" s="204" t="n">
        <v>700</v>
      </c>
      <c r="N1554" s="177" t="n">
        <v>8</v>
      </c>
      <c r="O1554" s="13" t="n"/>
      <c r="P1554" s="139" t="inlineStr">
        <is>
          <t>grams</t>
        </is>
      </c>
      <c r="Q1554" s="2" t="n"/>
      <c r="R1554" s="1" t="n"/>
      <c r="S1554" s="229">
        <f>M1554*N1554</f>
        <v/>
      </c>
      <c r="T1554" s="230">
        <f>CONCATENATE(S1554,Q1554,P1554)</f>
        <v/>
      </c>
      <c r="U1554" s="206">
        <f>L1554*M1554</f>
        <v/>
      </c>
      <c r="V1554" s="4" t="n"/>
      <c r="W1554" s="4" t="n"/>
      <c r="X1554" s="4" t="n"/>
    </row>
    <row r="1555" ht="15.75" customHeight="1" thickBot="1">
      <c r="A1555" s="186" t="n">
        <v>250</v>
      </c>
      <c r="B1555" s="214" t="inlineStr">
        <is>
          <t>Magic Sarap</t>
        </is>
      </c>
      <c r="C1555" s="124" t="n"/>
      <c r="D1555" s="115" t="n"/>
      <c r="E1555" s="124" t="n"/>
      <c r="F1555" s="124" t="n"/>
      <c r="G1555" s="124" t="n"/>
      <c r="H1555" s="84" t="n"/>
      <c r="I1555" s="7" t="n"/>
      <c r="J1555" s="32" t="inlineStr">
        <is>
          <t>Nestle - Maggi</t>
        </is>
      </c>
      <c r="K1555" s="24" t="n"/>
      <c r="L1555" s="36" t="n">
        <v>71.70999999999999</v>
      </c>
      <c r="M1555" s="204" t="n">
        <v>4</v>
      </c>
      <c r="N1555" s="177" t="n">
        <v>150</v>
      </c>
      <c r="O1555" s="13" t="n"/>
      <c r="P1555" s="139" t="inlineStr">
        <is>
          <t>grams</t>
        </is>
      </c>
      <c r="Q1555" s="2" t="n"/>
      <c r="R1555" s="1" t="n"/>
      <c r="S1555" s="229">
        <f>M1555*N1555</f>
        <v/>
      </c>
      <c r="T1555" s="230">
        <f>CONCATENATE(S1555,Q1555,P1555)</f>
        <v/>
      </c>
      <c r="U1555" s="206">
        <f>L1555*M1555</f>
        <v/>
      </c>
      <c r="V1555" s="4" t="n"/>
      <c r="W1555" s="4" t="n"/>
      <c r="X1555" s="4" t="n"/>
    </row>
    <row r="1556" ht="15.75" customHeight="1" thickBot="1">
      <c r="A1556" s="186" t="n">
        <v>250</v>
      </c>
      <c r="B1556" s="215" t="inlineStr">
        <is>
          <t>Magic Sarap</t>
        </is>
      </c>
      <c r="C1556" s="124" t="n"/>
      <c r="D1556" s="115" t="n"/>
      <c r="E1556" s="124" t="n"/>
      <c r="F1556" s="124" t="n"/>
      <c r="G1556" s="124" t="n"/>
      <c r="H1556" s="84" t="n"/>
      <c r="I1556" s="7" t="n"/>
      <c r="J1556" s="32" t="inlineStr">
        <is>
          <t>Nestle - Maggi</t>
        </is>
      </c>
      <c r="K1556" s="24" t="n"/>
      <c r="L1556" s="36" t="n">
        <v>74.5</v>
      </c>
      <c r="M1556" s="204" t="n">
        <v>1</v>
      </c>
      <c r="N1556" s="177" t="n">
        <v>150</v>
      </c>
      <c r="O1556" s="13" t="n"/>
      <c r="P1556" s="139" t="inlineStr">
        <is>
          <t>grams</t>
        </is>
      </c>
      <c r="Q1556" s="2" t="n"/>
      <c r="R1556" s="1" t="n"/>
      <c r="S1556" s="229">
        <f>M1556*N1556</f>
        <v/>
      </c>
      <c r="T1556" s="230">
        <f>CONCATENATE(S1556,Q1556,P1556)</f>
        <v/>
      </c>
      <c r="U1556" s="206">
        <f>L1556*M1556</f>
        <v/>
      </c>
      <c r="V1556" s="4" t="n"/>
      <c r="W1556" s="4" t="n"/>
      <c r="X1556" s="4" t="n"/>
    </row>
    <row r="1557" ht="15.75" customHeight="1" thickBot="1">
      <c r="A1557" s="186" t="n">
        <v>250</v>
      </c>
      <c r="B1557" s="214" t="inlineStr">
        <is>
          <t>Magic Sarap</t>
        </is>
      </c>
      <c r="C1557" s="124" t="n"/>
      <c r="D1557" s="115" t="n"/>
      <c r="E1557" s="124" t="n"/>
      <c r="F1557" s="124" t="n"/>
      <c r="G1557" s="124" t="n"/>
      <c r="H1557" s="84" t="n"/>
      <c r="I1557" s="7" t="n"/>
      <c r="J1557" s="32" t="inlineStr">
        <is>
          <t>Nestle - Maggi</t>
        </is>
      </c>
      <c r="K1557" s="24" t="n"/>
      <c r="L1557" s="36" t="n">
        <v>71.7</v>
      </c>
      <c r="M1557" s="204" t="n">
        <v>2</v>
      </c>
      <c r="N1557" s="177" t="n">
        <v>150</v>
      </c>
      <c r="O1557" s="13" t="n"/>
      <c r="P1557" s="139" t="inlineStr">
        <is>
          <t>grams</t>
        </is>
      </c>
      <c r="Q1557" s="2" t="n"/>
      <c r="R1557" s="1" t="n"/>
      <c r="S1557" s="229">
        <f>M1557*N1557</f>
        <v/>
      </c>
      <c r="T1557" s="230">
        <f>CONCATENATE(S1557,Q1557,P1557)</f>
        <v/>
      </c>
      <c r="U1557" s="206">
        <f>L1557*M1557</f>
        <v/>
      </c>
      <c r="V1557" s="4" t="n"/>
      <c r="W1557" s="4" t="n"/>
      <c r="X1557" s="4" t="n"/>
    </row>
    <row r="1558" ht="15.75" customHeight="1" thickBot="1">
      <c r="A1558" s="186" t="n">
        <v>691</v>
      </c>
      <c r="B1558" s="214" t="inlineStr">
        <is>
          <t>Malagkit</t>
        </is>
      </c>
      <c r="C1558" s="124" t="n"/>
      <c r="D1558" s="115" t="n"/>
      <c r="E1558" s="124" t="n"/>
      <c r="F1558" s="124" t="n"/>
      <c r="G1558" s="124" t="n"/>
      <c r="H1558" s="84" t="n"/>
      <c r="I1558" s="7" t="n"/>
      <c r="J1558" s="32" t="inlineStr">
        <is>
          <t>JMRL</t>
        </is>
      </c>
      <c r="K1558" s="24" t="n"/>
      <c r="L1558" s="36" t="n">
        <v>90</v>
      </c>
      <c r="M1558" s="204" t="n">
        <v>3</v>
      </c>
      <c r="N1558" s="177" t="n">
        <v>1</v>
      </c>
      <c r="O1558" s="13" t="n"/>
      <c r="P1558" s="139" t="inlineStr">
        <is>
          <t>kilos</t>
        </is>
      </c>
      <c r="Q1558" s="2" t="n"/>
      <c r="R1558" s="1" t="n"/>
      <c r="S1558" s="229">
        <f>M1558*N1558</f>
        <v/>
      </c>
      <c r="T1558" s="230">
        <f>CONCATENATE(S1558,Q1558,P1558)</f>
        <v/>
      </c>
      <c r="U1558" s="206">
        <f>L1558*M1558</f>
        <v/>
      </c>
      <c r="V1558" s="4" t="n"/>
      <c r="W1558" s="4" t="n"/>
      <c r="X1558" s="4" t="n"/>
    </row>
    <row r="1559" ht="15.75" customHeight="1" thickBot="1">
      <c r="A1559" s="186" t="n">
        <v>251</v>
      </c>
      <c r="B1559" s="214" t="inlineStr">
        <is>
          <t>Malagkit na Bigas</t>
        </is>
      </c>
      <c r="C1559" s="124" t="n"/>
      <c r="D1559" s="115" t="n"/>
      <c r="E1559" s="124" t="n"/>
      <c r="F1559" s="124" t="n"/>
      <c r="G1559" s="124" t="n"/>
      <c r="H1559" s="84" t="n"/>
      <c r="I1559" s="7" t="n"/>
      <c r="J1559" s="32" t="n"/>
      <c r="K1559" s="24" t="n"/>
      <c r="L1559" s="36" t="n">
        <v>85</v>
      </c>
      <c r="M1559" s="204" t="n">
        <v>4</v>
      </c>
      <c r="N1559" s="177" t="n">
        <v>1</v>
      </c>
      <c r="O1559" s="13" t="n"/>
      <c r="P1559" s="139" t="inlineStr">
        <is>
          <t>kilos</t>
        </is>
      </c>
      <c r="Q1559" s="2" t="n"/>
      <c r="R1559" s="1" t="n"/>
      <c r="S1559" s="229">
        <f>M1559*N1559</f>
        <v/>
      </c>
      <c r="T1559" s="230">
        <f>CONCATENATE(S1559,Q1559,P1559)</f>
        <v/>
      </c>
      <c r="U1559" s="206">
        <f>L1559*M1559</f>
        <v/>
      </c>
      <c r="V1559" s="4" t="n"/>
      <c r="W1559" s="4" t="n"/>
      <c r="X1559" s="4" t="n"/>
    </row>
    <row r="1560" ht="15.75" customHeight="1" thickBot="1">
      <c r="A1560" s="186" t="n">
        <v>251</v>
      </c>
      <c r="B1560" s="214" t="inlineStr">
        <is>
          <t>Malagkit na Bigas</t>
        </is>
      </c>
      <c r="C1560" s="124" t="n"/>
      <c r="D1560" s="115" t="n"/>
      <c r="E1560" s="124" t="n"/>
      <c r="F1560" s="124" t="n"/>
      <c r="G1560" s="124" t="n"/>
      <c r="H1560" s="84" t="n"/>
      <c r="I1560" s="7" t="n"/>
      <c r="J1560" s="32" t="inlineStr">
        <is>
          <t>Amparos</t>
        </is>
      </c>
      <c r="K1560" s="24" t="n"/>
      <c r="L1560" s="36" t="n">
        <v>100</v>
      </c>
      <c r="M1560" s="204" t="n">
        <v>1</v>
      </c>
      <c r="N1560" s="177" t="n">
        <v>1</v>
      </c>
      <c r="O1560" s="13" t="n"/>
      <c r="P1560" s="139" t="inlineStr">
        <is>
          <t>kilos</t>
        </is>
      </c>
      <c r="Q1560" s="2" t="n"/>
      <c r="R1560" s="1" t="n"/>
      <c r="S1560" s="229">
        <f>M1560*N1560</f>
        <v/>
      </c>
      <c r="T1560" s="230">
        <f>CONCATENATE(S1560,Q1560,P1560)</f>
        <v/>
      </c>
      <c r="U1560" s="206">
        <f>L1560*M1560</f>
        <v/>
      </c>
      <c r="V1560" s="4" t="n"/>
      <c r="W1560" s="4" t="n"/>
      <c r="X1560" s="4" t="n"/>
    </row>
    <row r="1561" ht="15.75" customHeight="1" thickBot="1">
      <c r="A1561" s="186" t="n">
        <v>251</v>
      </c>
      <c r="B1561" s="214" t="inlineStr">
        <is>
          <t>Malagkit na Bigas</t>
        </is>
      </c>
      <c r="C1561" s="124" t="n"/>
      <c r="D1561" s="115" t="n"/>
      <c r="E1561" s="124" t="n"/>
      <c r="F1561" s="124" t="n"/>
      <c r="G1561" s="124" t="n"/>
      <c r="H1561" s="84" t="n"/>
      <c r="I1561" s="7" t="n"/>
      <c r="J1561" s="32" t="inlineStr">
        <is>
          <t>Amparos</t>
        </is>
      </c>
      <c r="K1561" s="24" t="n"/>
      <c r="L1561" s="36" t="n">
        <v>85</v>
      </c>
      <c r="M1561" s="204" t="n">
        <v>4</v>
      </c>
      <c r="N1561" s="177" t="n">
        <v>1</v>
      </c>
      <c r="O1561" s="13" t="n"/>
      <c r="P1561" s="139" t="inlineStr">
        <is>
          <t>kilos</t>
        </is>
      </c>
      <c r="Q1561" s="2" t="n"/>
      <c r="R1561" s="1" t="n"/>
      <c r="S1561" s="229">
        <f>M1561*N1561</f>
        <v/>
      </c>
      <c r="T1561" s="230">
        <f>CONCATENATE(S1561,Q1561,P1561)</f>
        <v/>
      </c>
      <c r="U1561" s="206">
        <f>L1561*M1561</f>
        <v/>
      </c>
      <c r="V1561" s="4" t="n"/>
      <c r="W1561" s="4" t="n"/>
      <c r="X1561" s="4" t="n"/>
    </row>
    <row r="1562" ht="15.75" customHeight="1" thickBot="1">
      <c r="A1562" s="186" t="n">
        <v>251</v>
      </c>
      <c r="B1562" s="214" t="inlineStr">
        <is>
          <t>Malagkit na Bigas</t>
        </is>
      </c>
      <c r="C1562" s="124" t="n"/>
      <c r="D1562" s="115" t="n"/>
      <c r="E1562" s="124" t="n"/>
      <c r="F1562" s="124" t="n"/>
      <c r="G1562" s="124" t="n"/>
      <c r="H1562" s="84" t="n"/>
      <c r="I1562" s="7" t="n"/>
      <c r="J1562" s="32" t="inlineStr">
        <is>
          <t>Edward Edit</t>
        </is>
      </c>
      <c r="K1562" s="24" t="n"/>
      <c r="L1562" s="36" t="n">
        <v>120</v>
      </c>
      <c r="M1562" s="204" t="n">
        <v>3</v>
      </c>
      <c r="N1562" s="177" t="n">
        <v>1000</v>
      </c>
      <c r="O1562" s="13" t="n"/>
      <c r="P1562" s="139" t="inlineStr">
        <is>
          <t>grams</t>
        </is>
      </c>
      <c r="Q1562" s="2" t="n"/>
      <c r="R1562" s="1" t="n"/>
      <c r="S1562" s="229">
        <f>M1562*N1562</f>
        <v/>
      </c>
      <c r="T1562" s="230">
        <f>CONCATENATE(S1562,Q1562,P1562)</f>
        <v/>
      </c>
      <c r="U1562" s="206">
        <f>L1562*M1562</f>
        <v/>
      </c>
      <c r="V1562" s="4" t="n"/>
      <c r="W1562" s="4" t="n"/>
      <c r="X1562" s="4" t="n"/>
    </row>
    <row r="1563" ht="15.75" customHeight="1" thickBot="1">
      <c r="A1563" s="186" t="n">
        <v>251</v>
      </c>
      <c r="B1563" s="215" t="inlineStr">
        <is>
          <t>Malagkit na Bigas</t>
        </is>
      </c>
      <c r="C1563" s="124" t="n"/>
      <c r="D1563" s="115" t="n"/>
      <c r="E1563" s="124" t="n"/>
      <c r="F1563" s="124" t="n"/>
      <c r="G1563" s="124" t="n"/>
      <c r="H1563" s="84" t="n"/>
      <c r="I1563" s="7" t="n"/>
      <c r="J1563" s="32" t="inlineStr">
        <is>
          <t>/pack/1kilos</t>
        </is>
      </c>
      <c r="K1563" s="24" t="n"/>
      <c r="L1563" s="36" t="n">
        <v>85</v>
      </c>
      <c r="M1563" s="204" t="n">
        <v>2</v>
      </c>
      <c r="N1563" s="177" t="n">
        <v>1</v>
      </c>
      <c r="O1563" s="13" t="n"/>
      <c r="P1563" s="139" t="inlineStr">
        <is>
          <t>kilos</t>
        </is>
      </c>
      <c r="Q1563" s="2" t="n"/>
      <c r="R1563" s="1" t="n"/>
      <c r="S1563" s="229">
        <f>M1563*N1563</f>
        <v/>
      </c>
      <c r="T1563" s="230">
        <f>CONCATENATE(S1563,Q1563,P1563)</f>
        <v/>
      </c>
      <c r="U1563" s="206">
        <f>L1563*M1563</f>
        <v/>
      </c>
      <c r="V1563" s="4" t="n"/>
      <c r="W1563" s="4" t="n"/>
      <c r="X1563" s="4" t="n"/>
    </row>
    <row r="1564" ht="15.75" customHeight="1" thickBot="1">
      <c r="A1564" s="186" t="n">
        <v>692</v>
      </c>
      <c r="B1564" s="214" t="inlineStr">
        <is>
          <t>Malunggay</t>
        </is>
      </c>
      <c r="C1564" s="124" t="n"/>
      <c r="D1564" s="115" t="n"/>
      <c r="E1564" s="124" t="n"/>
      <c r="F1564" s="124" t="n"/>
      <c r="G1564" s="124" t="n"/>
      <c r="H1564" s="84" t="n"/>
      <c r="I1564" s="7" t="n"/>
      <c r="J1564" s="32" t="n"/>
      <c r="K1564" s="24" t="n"/>
      <c r="L1564" s="36" t="n">
        <v>35</v>
      </c>
      <c r="M1564" s="204" t="n">
        <v>1</v>
      </c>
      <c r="N1564" s="177" t="n">
        <v>1000</v>
      </c>
      <c r="O1564" s="13" t="n"/>
      <c r="P1564" s="139" t="inlineStr">
        <is>
          <t>grams</t>
        </is>
      </c>
      <c r="Q1564" s="2" t="n"/>
      <c r="R1564" s="1" t="n"/>
      <c r="S1564" s="229">
        <f>M1564*N1564</f>
        <v/>
      </c>
      <c r="T1564" s="230">
        <f>CONCATENATE(S1564,Q1564,P1564)</f>
        <v/>
      </c>
      <c r="U1564" s="206">
        <f>L1564*M1564</f>
        <v/>
      </c>
      <c r="V1564" s="4" t="n"/>
      <c r="W1564" s="4" t="n"/>
      <c r="X1564" s="4" t="n"/>
    </row>
    <row r="1565" ht="15.75" customHeight="1" thickBot="1">
      <c r="A1565" s="186" t="n">
        <v>693</v>
      </c>
      <c r="B1565" s="214" t="inlineStr">
        <is>
          <t>Mami</t>
        </is>
      </c>
      <c r="C1565" s="124" t="n"/>
      <c r="D1565" s="115" t="n"/>
      <c r="E1565" s="124" t="n"/>
      <c r="F1565" s="124" t="n"/>
      <c r="G1565" s="124" t="n"/>
      <c r="H1565" s="84" t="n"/>
      <c r="I1565" s="7" t="n"/>
      <c r="J1565" s="32" t="inlineStr">
        <is>
          <t>BestFoods/pack/1000grams</t>
        </is>
      </c>
      <c r="K1565" s="24" t="n"/>
      <c r="L1565" s="36" t="n">
        <v>47</v>
      </c>
      <c r="M1565" s="204" t="n">
        <v>1</v>
      </c>
      <c r="N1565" s="177" t="n">
        <v>1000</v>
      </c>
      <c r="O1565" s="13" t="n"/>
      <c r="P1565" s="139" t="inlineStr">
        <is>
          <t>grams</t>
        </is>
      </c>
      <c r="Q1565" s="2" t="n"/>
      <c r="R1565" s="1" t="n"/>
      <c r="S1565" s="229">
        <f>M1565*N1565</f>
        <v/>
      </c>
      <c r="T1565" s="230">
        <f>CONCATENATE(S1565,Q1565,P1565)</f>
        <v/>
      </c>
      <c r="U1565" s="206">
        <f>L1565*M1565</f>
        <v/>
      </c>
      <c r="V1565" s="4" t="n"/>
      <c r="W1565" s="4" t="n"/>
      <c r="X1565" s="4" t="n"/>
    </row>
    <row r="1566" ht="15.75" customHeight="1" thickBot="1">
      <c r="A1566" s="186" t="n">
        <v>694</v>
      </c>
      <c r="B1566" s="214" t="inlineStr">
        <is>
          <t>Mangga</t>
        </is>
      </c>
      <c r="C1566" s="124" t="n"/>
      <c r="D1566" s="115" t="n"/>
      <c r="E1566" s="124" t="n"/>
      <c r="F1566" s="124" t="n"/>
      <c r="G1566" s="124" t="n"/>
      <c r="H1566" s="84" t="n"/>
      <c r="I1566" s="7" t="n"/>
      <c r="J1566" s="32" t="n"/>
      <c r="K1566" s="24" t="n"/>
      <c r="L1566" s="36" t="n">
        <v>100</v>
      </c>
      <c r="M1566" s="204" t="n">
        <v>1</v>
      </c>
      <c r="N1566" s="177" t="n">
        <v>1000</v>
      </c>
      <c r="O1566" s="13" t="n"/>
      <c r="P1566" s="139" t="inlineStr">
        <is>
          <t>grams</t>
        </is>
      </c>
      <c r="Q1566" s="2" t="n"/>
      <c r="R1566" s="1" t="n"/>
      <c r="S1566" s="229">
        <f>M1566*N1566</f>
        <v/>
      </c>
      <c r="T1566" s="230">
        <f>CONCATENATE(S1566,Q1566,P1566)</f>
        <v/>
      </c>
      <c r="U1566" s="206">
        <f>L1566*M1566</f>
        <v/>
      </c>
      <c r="V1566" s="4" t="n"/>
      <c r="W1566" s="4" t="n"/>
      <c r="X1566" s="4" t="n"/>
    </row>
    <row r="1567" ht="15.75" customHeight="1" thickBot="1">
      <c r="A1567" s="186" t="n">
        <v>255</v>
      </c>
      <c r="B1567" s="214" t="inlineStr">
        <is>
          <t>Margarine</t>
        </is>
      </c>
      <c r="C1567" s="124" t="n"/>
      <c r="D1567" s="115" t="n"/>
      <c r="E1567" s="124" t="n"/>
      <c r="F1567" s="124" t="n"/>
      <c r="G1567" s="124" t="n"/>
      <c r="H1567" s="84" t="n"/>
      <c r="I1567" s="7" t="n"/>
      <c r="J1567" s="32" t="inlineStr">
        <is>
          <t>Star</t>
        </is>
      </c>
      <c r="K1567" s="24" t="n"/>
      <c r="L1567" s="36" t="n">
        <v>317.8</v>
      </c>
      <c r="M1567" s="204" t="n">
        <v>1</v>
      </c>
      <c r="N1567" s="177" t="n">
        <v>1000</v>
      </c>
      <c r="O1567" s="13" t="n"/>
      <c r="P1567" s="139" t="inlineStr">
        <is>
          <t>grams</t>
        </is>
      </c>
      <c r="Q1567" s="2" t="n"/>
      <c r="R1567" s="1" t="n"/>
      <c r="S1567" s="229">
        <f>M1567*N1567</f>
        <v/>
      </c>
      <c r="T1567" s="230">
        <f>CONCATENATE(S1567,Q1567,P1567)</f>
        <v/>
      </c>
      <c r="U1567" s="206">
        <f>L1567*M1567</f>
        <v/>
      </c>
      <c r="V1567" s="4" t="n"/>
      <c r="W1567" s="4" t="n"/>
      <c r="X1567" s="4" t="n"/>
    </row>
    <row r="1568" ht="15.75" customHeight="1" thickBot="1">
      <c r="A1568" s="186" t="n">
        <v>255</v>
      </c>
      <c r="B1568" s="214" t="inlineStr">
        <is>
          <t>Margarine</t>
        </is>
      </c>
      <c r="C1568" s="124" t="n"/>
      <c r="D1568" s="115" t="n"/>
      <c r="E1568" s="124" t="n"/>
      <c r="F1568" s="124" t="n"/>
      <c r="G1568" s="124" t="n"/>
      <c r="H1568" s="84" t="n"/>
      <c r="I1568" s="7" t="n"/>
      <c r="J1568" s="32" t="inlineStr">
        <is>
          <t>Star</t>
        </is>
      </c>
      <c r="K1568" s="24" t="n"/>
      <c r="L1568" s="36" t="n">
        <v>517.45</v>
      </c>
      <c r="M1568" s="204" t="n">
        <v>1</v>
      </c>
      <c r="N1568" s="177" t="n">
        <v>2</v>
      </c>
      <c r="O1568" s="13" t="n"/>
      <c r="P1568" s="139" t="inlineStr">
        <is>
          <t>kilos</t>
        </is>
      </c>
      <c r="Q1568" s="2" t="n"/>
      <c r="R1568" s="1" t="n"/>
      <c r="S1568" s="229">
        <f>M1568*N1568</f>
        <v/>
      </c>
      <c r="T1568" s="230">
        <f>CONCATENATE(S1568,Q1568,P1568)</f>
        <v/>
      </c>
      <c r="U1568" s="206">
        <f>L1568*M1568</f>
        <v/>
      </c>
      <c r="V1568" s="4" t="n"/>
      <c r="W1568" s="4" t="n"/>
      <c r="X1568" s="4" t="n"/>
    </row>
    <row r="1569" ht="15.75" customHeight="1" thickBot="1">
      <c r="A1569" s="186" t="n">
        <v>255</v>
      </c>
      <c r="B1569" s="214" t="inlineStr">
        <is>
          <t>Margarine</t>
        </is>
      </c>
      <c r="C1569" s="124" t="n"/>
      <c r="D1569" s="115" t="n"/>
      <c r="E1569" s="124" t="n"/>
      <c r="F1569" s="124" t="n"/>
      <c r="G1569" s="124" t="n"/>
      <c r="H1569" s="84" t="n"/>
      <c r="I1569" s="7" t="n"/>
      <c r="J1569" s="32" t="inlineStr">
        <is>
          <t>Star/pail/1000grams</t>
        </is>
      </c>
      <c r="K1569" s="24" t="n"/>
      <c r="L1569" s="36" t="n">
        <v>317.8</v>
      </c>
      <c r="M1569" s="204" t="n">
        <v>1</v>
      </c>
      <c r="N1569" s="177" t="n">
        <v>1000</v>
      </c>
      <c r="O1569" s="13" t="n"/>
      <c r="P1569" s="139" t="inlineStr">
        <is>
          <t>grams</t>
        </is>
      </c>
      <c r="Q1569" s="2" t="n"/>
      <c r="R1569" s="1" t="n"/>
      <c r="S1569" s="229">
        <f>M1569*N1569</f>
        <v/>
      </c>
      <c r="T1569" s="230">
        <f>CONCATENATE(S1569,Q1569,P1569)</f>
        <v/>
      </c>
      <c r="U1569" s="206">
        <f>L1569*M1569</f>
        <v/>
      </c>
      <c r="V1569" s="4" t="n"/>
      <c r="W1569" s="4" t="n"/>
      <c r="X1569" s="4" t="n"/>
    </row>
    <row r="1570" ht="15.75" customHeight="1" thickBot="1">
      <c r="A1570" s="186" t="n">
        <v>255</v>
      </c>
      <c r="B1570" s="214" t="inlineStr">
        <is>
          <t>Margarine</t>
        </is>
      </c>
      <c r="C1570" s="124" t="n"/>
      <c r="D1570" s="115" t="n"/>
      <c r="E1570" s="124" t="n"/>
      <c r="F1570" s="124" t="n"/>
      <c r="G1570" s="124" t="n"/>
      <c r="H1570" s="84" t="n"/>
      <c r="I1570" s="7" t="n"/>
      <c r="J1570" s="32" t="inlineStr">
        <is>
          <t>Dari Cream</t>
        </is>
      </c>
      <c r="K1570" s="24" t="n"/>
      <c r="L1570" s="36" t="n">
        <v>65</v>
      </c>
      <c r="M1570" s="204" t="n">
        <v>2</v>
      </c>
      <c r="N1570" s="177" t="n">
        <v>200</v>
      </c>
      <c r="O1570" s="13" t="n"/>
      <c r="P1570" s="139" t="inlineStr">
        <is>
          <t>grams</t>
        </is>
      </c>
      <c r="Q1570" s="2" t="n"/>
      <c r="R1570" s="1" t="n"/>
      <c r="S1570" s="229">
        <f>M1570*N1570</f>
        <v/>
      </c>
      <c r="T1570" s="230">
        <f>CONCATENATE(S1570,Q1570,P1570)</f>
        <v/>
      </c>
      <c r="U1570" s="206">
        <f>L1570*M1570</f>
        <v/>
      </c>
      <c r="V1570" s="4" t="n"/>
      <c r="W1570" s="4" t="n"/>
      <c r="X1570" s="4" t="n"/>
    </row>
    <row r="1571" ht="15.75" customHeight="1" thickBot="1">
      <c r="A1571" s="186" t="n">
        <v>255</v>
      </c>
      <c r="B1571" s="214" t="inlineStr">
        <is>
          <t>Margarine</t>
        </is>
      </c>
      <c r="C1571" s="124" t="n"/>
      <c r="D1571" s="115" t="n"/>
      <c r="E1571" s="124" t="n"/>
      <c r="F1571" s="124" t="n"/>
      <c r="G1571" s="124" t="n"/>
      <c r="H1571" s="84" t="n"/>
      <c r="I1571" s="7" t="n"/>
      <c r="J1571" s="32" t="inlineStr">
        <is>
          <t>Star Margarine</t>
        </is>
      </c>
      <c r="K1571" s="24" t="n"/>
      <c r="L1571" s="36" t="n">
        <v>90</v>
      </c>
      <c r="M1571" s="204" t="n">
        <v>0</v>
      </c>
      <c r="N1571" s="177" t="n">
        <v>1</v>
      </c>
      <c r="O1571" s="13" t="n"/>
      <c r="P1571" s="139" t="inlineStr">
        <is>
          <t>kilos</t>
        </is>
      </c>
      <c r="Q1571" s="2" t="n"/>
      <c r="R1571" s="1" t="n"/>
      <c r="S1571" s="229">
        <f>M1571*N1571</f>
        <v/>
      </c>
      <c r="T1571" s="230">
        <f>CONCATENATE(S1571,Q1571,P1571)</f>
        <v/>
      </c>
      <c r="U1571" s="206">
        <f>L1571*M1571</f>
        <v/>
      </c>
      <c r="V1571" s="4" t="n"/>
      <c r="W1571" s="4" t="n"/>
      <c r="X1571" s="4" t="n"/>
    </row>
    <row r="1572" ht="15.75" customHeight="1" thickBot="1">
      <c r="A1572" s="186" t="n">
        <v>255</v>
      </c>
      <c r="B1572" s="214" t="inlineStr">
        <is>
          <t>Margarine</t>
        </is>
      </c>
      <c r="C1572" s="124" t="n"/>
      <c r="D1572" s="115" t="n"/>
      <c r="E1572" s="124" t="n"/>
      <c r="F1572" s="124" t="n"/>
      <c r="G1572" s="124" t="n"/>
      <c r="H1572" s="84" t="n"/>
      <c r="I1572" s="7" t="n"/>
      <c r="J1572" s="32" t="inlineStr">
        <is>
          <t>Buttercup</t>
        </is>
      </c>
      <c r="K1572" s="24" t="n"/>
      <c r="L1572" s="36" t="n">
        <v>47</v>
      </c>
      <c r="M1572" s="204" t="n">
        <v>1</v>
      </c>
      <c r="N1572" s="177" t="n">
        <v>200</v>
      </c>
      <c r="O1572" s="13" t="n"/>
      <c r="P1572" s="139" t="inlineStr">
        <is>
          <t>grams</t>
        </is>
      </c>
      <c r="Q1572" s="2" t="n"/>
      <c r="R1572" s="1" t="n"/>
      <c r="S1572" s="229">
        <f>M1572*N1572</f>
        <v/>
      </c>
      <c r="T1572" s="230">
        <f>CONCATENATE(S1572,Q1572,P1572)</f>
        <v/>
      </c>
      <c r="U1572" s="206">
        <f>L1572*M1572</f>
        <v/>
      </c>
      <c r="V1572" s="4" t="n"/>
      <c r="W1572" s="4" t="n"/>
      <c r="X1572" s="4" t="n"/>
    </row>
    <row r="1573" ht="15.75" customHeight="1" thickBot="1">
      <c r="A1573" s="186" t="n">
        <v>255</v>
      </c>
      <c r="B1573" s="214" t="inlineStr">
        <is>
          <t>Margarine</t>
        </is>
      </c>
      <c r="C1573" s="124" t="n"/>
      <c r="D1573" s="115" t="n"/>
      <c r="E1573" s="124" t="n"/>
      <c r="F1573" s="124" t="n"/>
      <c r="G1573" s="124" t="n"/>
      <c r="H1573" s="84" t="n"/>
      <c r="I1573" s="7" t="n"/>
      <c r="J1573" s="32" t="inlineStr">
        <is>
          <t>Star</t>
        </is>
      </c>
      <c r="K1573" s="24" t="n"/>
      <c r="L1573" s="36" t="n">
        <v>299.2</v>
      </c>
      <c r="M1573" s="204" t="n">
        <v>2</v>
      </c>
      <c r="N1573" s="177" t="n">
        <v>1</v>
      </c>
      <c r="O1573" s="13" t="n"/>
      <c r="P1573" s="139" t="inlineStr">
        <is>
          <t>kilos</t>
        </is>
      </c>
      <c r="Q1573" s="2" t="n"/>
      <c r="R1573" s="1" t="n"/>
      <c r="S1573" s="229">
        <f>M1573*N1573</f>
        <v/>
      </c>
      <c r="T1573" s="230">
        <f>CONCATENATE(S1573,Q1573,P1573)</f>
        <v/>
      </c>
      <c r="U1573" s="206">
        <f>L1573*M1573</f>
        <v/>
      </c>
      <c r="V1573" s="4" t="n"/>
      <c r="W1573" s="4" t="n"/>
      <c r="X1573" s="4" t="n"/>
    </row>
    <row r="1574" ht="15.75" customHeight="1" thickBot="1">
      <c r="A1574" s="186" t="n">
        <v>255</v>
      </c>
      <c r="B1574" s="215" t="inlineStr">
        <is>
          <t>Margarine</t>
        </is>
      </c>
      <c r="C1574" s="124" t="n"/>
      <c r="D1574" s="115" t="n"/>
      <c r="E1574" s="124" t="n"/>
      <c r="F1574" s="124" t="n"/>
      <c r="G1574" s="124" t="n"/>
      <c r="H1574" s="84" t="n"/>
      <c r="I1574" s="7" t="n"/>
      <c r="J1574" s="32" t="inlineStr">
        <is>
          <t>Frito</t>
        </is>
      </c>
      <c r="K1574" s="24" t="n"/>
      <c r="L1574" s="36" t="n">
        <v>49.09</v>
      </c>
      <c r="M1574" s="204" t="n">
        <v>9</v>
      </c>
      <c r="N1574" s="177" t="n">
        <v>500</v>
      </c>
      <c r="O1574" s="13" t="n"/>
      <c r="P1574" s="139" t="inlineStr">
        <is>
          <t>grams</t>
        </is>
      </c>
      <c r="Q1574" s="2" t="n"/>
      <c r="R1574" s="1" t="n"/>
      <c r="S1574" s="229">
        <f>M1574*N1574</f>
        <v/>
      </c>
      <c r="T1574" s="230">
        <f>CONCATENATE(S1574,Q1574,P1574)</f>
        <v/>
      </c>
      <c r="U1574" s="206">
        <f>L1574*M1574</f>
        <v/>
      </c>
      <c r="V1574" s="4" t="n"/>
      <c r="W1574" s="4" t="n"/>
      <c r="X1574" s="4" t="n"/>
    </row>
    <row r="1575" ht="15.75" customHeight="1" thickBot="1">
      <c r="A1575" s="186" t="n">
        <v>695</v>
      </c>
      <c r="B1575" s="215" t="inlineStr">
        <is>
          <t>Marjoram</t>
        </is>
      </c>
      <c r="C1575" s="124" t="n"/>
      <c r="D1575" s="115" t="n"/>
      <c r="E1575" s="124" t="n"/>
      <c r="F1575" s="124" t="n"/>
      <c r="G1575" s="124" t="n"/>
      <c r="H1575" s="84" t="n"/>
      <c r="I1575" s="7" t="n"/>
      <c r="J1575" s="32" t="inlineStr">
        <is>
          <t>McCormick</t>
        </is>
      </c>
      <c r="K1575" s="24" t="n"/>
      <c r="L1575" s="36" t="n">
        <v>57.1</v>
      </c>
      <c r="M1575" s="204" t="n">
        <v>2</v>
      </c>
      <c r="N1575" s="177" t="n">
        <v>7</v>
      </c>
      <c r="O1575" s="13" t="n"/>
      <c r="P1575" s="139" t="inlineStr">
        <is>
          <t>grams</t>
        </is>
      </c>
      <c r="Q1575" s="2" t="n"/>
      <c r="R1575" s="1" t="n"/>
      <c r="S1575" s="229">
        <f>M1575*N1575</f>
        <v/>
      </c>
      <c r="T1575" s="230">
        <f>CONCATENATE(S1575,Q1575,P1575)</f>
        <v/>
      </c>
      <c r="U1575" s="206">
        <f>L1575*M1575</f>
        <v/>
      </c>
      <c r="V1575" s="4" t="n"/>
      <c r="W1575" s="4" t="n"/>
      <c r="X1575" s="4" t="n"/>
    </row>
    <row r="1576" ht="15.75" customHeight="1" thickBot="1">
      <c r="A1576" s="186" t="n">
        <v>696</v>
      </c>
      <c r="B1576" s="215" t="inlineStr">
        <is>
          <t>Marshmallow</t>
        </is>
      </c>
      <c r="C1576" s="124" t="n"/>
      <c r="D1576" s="115" t="n"/>
      <c r="E1576" s="124" t="n"/>
      <c r="F1576" s="124" t="n"/>
      <c r="G1576" s="124" t="n"/>
      <c r="H1576" s="84" t="n"/>
      <c r="I1576" s="7" t="n"/>
      <c r="J1576" s="32" t="inlineStr">
        <is>
          <t>Oishi - O-Puff Mashmallow - Chocolate</t>
        </is>
      </c>
      <c r="K1576" s="24" t="n"/>
      <c r="L1576" s="36" t="n">
        <v>24.6</v>
      </c>
      <c r="M1576" s="204" t="n">
        <v>8</v>
      </c>
      <c r="N1576" s="177" t="n">
        <v>84</v>
      </c>
      <c r="O1576" s="13" t="n"/>
      <c r="P1576" s="139" t="inlineStr">
        <is>
          <t>grams</t>
        </is>
      </c>
      <c r="Q1576" s="2" t="n"/>
      <c r="R1576" s="1" t="n"/>
      <c r="S1576" s="229">
        <f>M1576*N1576</f>
        <v/>
      </c>
      <c r="T1576" s="230">
        <f>CONCATENATE(S1576,Q1576,P1576)</f>
        <v/>
      </c>
      <c r="U1576" s="206">
        <f>L1576*M1576</f>
        <v/>
      </c>
      <c r="V1576" s="4" t="n"/>
      <c r="W1576" s="4" t="n"/>
      <c r="X1576" s="4" t="n"/>
    </row>
    <row r="1577" ht="15.75" customHeight="1" thickBot="1">
      <c r="A1577" s="186" t="n">
        <v>257</v>
      </c>
      <c r="B1577" s="214" t="inlineStr">
        <is>
          <t>Mayo Sandwich Spread</t>
        </is>
      </c>
      <c r="C1577" s="124" t="n"/>
      <c r="D1577" s="115" t="n"/>
      <c r="E1577" s="124" t="n"/>
      <c r="F1577" s="124" t="n"/>
      <c r="G1577" s="124" t="n"/>
      <c r="H1577" s="84" t="n"/>
      <c r="I1577" s="7" t="n"/>
      <c r="J1577" s="32" t="inlineStr">
        <is>
          <t>Mondelez - Cheez Whiz</t>
        </is>
      </c>
      <c r="K1577" s="24" t="n"/>
      <c r="L1577" s="36" t="n">
        <v>11.9</v>
      </c>
      <c r="M1577" s="204" t="n">
        <v>13</v>
      </c>
      <c r="N1577" s="177" t="n">
        <v>24</v>
      </c>
      <c r="O1577" s="13" t="n"/>
      <c r="P1577" s="139" t="inlineStr">
        <is>
          <t>grams</t>
        </is>
      </c>
      <c r="Q1577" s="2" t="n"/>
      <c r="R1577" s="1" t="n"/>
      <c r="S1577" s="229">
        <f>M1577*N1577</f>
        <v/>
      </c>
      <c r="T1577" s="230">
        <f>CONCATENATE(S1577,Q1577,P1577)</f>
        <v/>
      </c>
      <c r="U1577" s="206">
        <f>L1577*M1577</f>
        <v/>
      </c>
      <c r="V1577" s="4" t="n"/>
      <c r="W1577" s="4" t="n"/>
      <c r="X1577" s="4" t="n"/>
    </row>
    <row r="1578" ht="15.75" customHeight="1" thickBot="1">
      <c r="A1578" s="186" t="n">
        <v>697</v>
      </c>
      <c r="B1578" s="214" t="inlineStr">
        <is>
          <t>Mayonnaise</t>
        </is>
      </c>
      <c r="C1578" s="124" t="n"/>
      <c r="D1578" s="115" t="n"/>
      <c r="E1578" s="124" t="n"/>
      <c r="F1578" s="124" t="n"/>
      <c r="G1578" s="124" t="n"/>
      <c r="H1578" s="84" t="n"/>
      <c r="I1578" s="7" t="n"/>
      <c r="J1578" s="32" t="inlineStr">
        <is>
          <t>Lady's Choice - Real Mayonnaise</t>
        </is>
      </c>
      <c r="K1578" s="24" t="n"/>
      <c r="L1578" s="36" t="n">
        <v>11</v>
      </c>
      <c r="M1578" s="204" t="n">
        <v>9</v>
      </c>
      <c r="N1578" s="177" t="n">
        <v>27</v>
      </c>
      <c r="O1578" s="13" t="n"/>
      <c r="P1578" s="139" t="inlineStr">
        <is>
          <t>ml</t>
        </is>
      </c>
      <c r="Q1578" s="2" t="n"/>
      <c r="R1578" s="1" t="n"/>
      <c r="S1578" s="229">
        <f>M1578*N1578</f>
        <v/>
      </c>
      <c r="T1578" s="230">
        <f>CONCATENATE(S1578,Q1578,P1578)</f>
        <v/>
      </c>
      <c r="U1578" s="206">
        <f>L1578*M1578</f>
        <v/>
      </c>
      <c r="V1578" s="4" t="n"/>
      <c r="W1578" s="4" t="n"/>
      <c r="X1578" s="4" t="n"/>
    </row>
    <row r="1579" ht="15.75" customHeight="1" thickBot="1">
      <c r="A1579" s="186" t="n">
        <v>697</v>
      </c>
      <c r="B1579" s="214" t="inlineStr">
        <is>
          <t>Mayonnaise</t>
        </is>
      </c>
      <c r="C1579" s="124" t="n"/>
      <c r="D1579" s="115" t="n"/>
      <c r="E1579" s="124" t="n"/>
      <c r="F1579" s="124" t="n"/>
      <c r="G1579" s="124" t="n"/>
      <c r="H1579" s="84" t="n"/>
      <c r="I1579" s="7" t="n"/>
      <c r="J1579" s="32" t="inlineStr">
        <is>
          <t>Best Foods - Wonder Mayo</t>
        </is>
      </c>
      <c r="K1579" s="24" t="n"/>
      <c r="L1579" s="36" t="n">
        <v>428</v>
      </c>
      <c r="M1579" s="204" t="n">
        <v>2</v>
      </c>
      <c r="N1579" s="177" t="n">
        <v>3500</v>
      </c>
      <c r="O1579" s="13" t="n"/>
      <c r="P1579" s="139" t="inlineStr">
        <is>
          <t>ml</t>
        </is>
      </c>
      <c r="Q1579" s="2" t="n"/>
      <c r="R1579" s="1" t="n"/>
      <c r="S1579" s="229">
        <f>M1579*N1579</f>
        <v/>
      </c>
      <c r="T1579" s="230">
        <f>CONCATENATE(S1579,Q1579,P1579)</f>
        <v/>
      </c>
      <c r="U1579" s="206">
        <f>L1579*M1579</f>
        <v/>
      </c>
      <c r="V1579" s="4" t="n"/>
      <c r="W1579" s="4" t="n"/>
      <c r="X1579" s="4" t="n"/>
    </row>
    <row r="1580" ht="15.75" customHeight="1" thickBot="1">
      <c r="A1580" s="186" t="n">
        <v>697</v>
      </c>
      <c r="B1580" s="214" t="inlineStr">
        <is>
          <t>Mayonnaise</t>
        </is>
      </c>
      <c r="C1580" s="124" t="n"/>
      <c r="D1580" s="115" t="n"/>
      <c r="E1580" s="124" t="n"/>
      <c r="F1580" s="124" t="n"/>
      <c r="G1580" s="124" t="n"/>
      <c r="H1580" s="84" t="n"/>
      <c r="I1580" s="7" t="n"/>
      <c r="J1580" s="32" t="inlineStr">
        <is>
          <t>Best Foods - Wonder Mayo</t>
        </is>
      </c>
      <c r="K1580" s="24" t="n"/>
      <c r="L1580" s="36" t="n">
        <v>435</v>
      </c>
      <c r="M1580" s="204" t="n">
        <v>1</v>
      </c>
      <c r="N1580" s="177" t="n">
        <v>3500</v>
      </c>
      <c r="O1580" s="13" t="n"/>
      <c r="P1580" s="139" t="inlineStr">
        <is>
          <t>ml</t>
        </is>
      </c>
      <c r="Q1580" s="2" t="n"/>
      <c r="R1580" s="1" t="n"/>
      <c r="S1580" s="229">
        <f>M1580*N1580</f>
        <v/>
      </c>
      <c r="T1580" s="230">
        <f>CONCATENATE(S1580,Q1580,P1580)</f>
        <v/>
      </c>
      <c r="U1580" s="206">
        <f>L1580*M1580</f>
        <v/>
      </c>
      <c r="V1580" s="4" t="n"/>
      <c r="W1580" s="4" t="n"/>
      <c r="X1580" s="4" t="n"/>
    </row>
    <row r="1581" ht="15.75" customHeight="1" thickBot="1">
      <c r="A1581" s="186" t="n">
        <v>697</v>
      </c>
      <c r="B1581" s="214" t="inlineStr">
        <is>
          <t>Mayonnaise</t>
        </is>
      </c>
      <c r="C1581" s="124" t="n"/>
      <c r="D1581" s="115" t="n"/>
      <c r="E1581" s="124" t="n"/>
      <c r="F1581" s="124" t="n"/>
      <c r="G1581" s="124" t="n"/>
      <c r="H1581" s="84" t="n"/>
      <c r="I1581" s="7" t="n"/>
      <c r="J1581" s="32" t="inlineStr">
        <is>
          <t>Best Foods - Wonder Mayo</t>
        </is>
      </c>
      <c r="K1581" s="24" t="n"/>
      <c r="L1581" s="36" t="n">
        <v>490.7</v>
      </c>
      <c r="M1581" s="204" t="n">
        <v>3</v>
      </c>
      <c r="N1581" s="177" t="n">
        <v>3500</v>
      </c>
      <c r="O1581" s="13" t="n"/>
      <c r="P1581" s="139" t="inlineStr">
        <is>
          <t>ml</t>
        </is>
      </c>
      <c r="Q1581" s="2" t="n"/>
      <c r="R1581" s="1" t="n"/>
      <c r="S1581" s="229">
        <f>M1581*N1581</f>
        <v/>
      </c>
      <c r="T1581" s="230">
        <f>CONCATENATE(S1581,Q1581,P1581)</f>
        <v/>
      </c>
      <c r="U1581" s="206">
        <f>L1581*M1581</f>
        <v/>
      </c>
      <c r="V1581" s="4" t="n"/>
      <c r="W1581" s="4" t="n"/>
      <c r="X1581" s="4" t="n"/>
    </row>
    <row r="1582" ht="15.75" customHeight="1" thickBot="1">
      <c r="A1582" s="186" t="n">
        <v>697</v>
      </c>
      <c r="B1582" s="214" t="inlineStr">
        <is>
          <t>Mayonnaise</t>
        </is>
      </c>
      <c r="C1582" s="124" t="n"/>
      <c r="D1582" s="115" t="n"/>
      <c r="E1582" s="124" t="n"/>
      <c r="F1582" s="124" t="n"/>
      <c r="G1582" s="124" t="n"/>
      <c r="H1582" s="84" t="n"/>
      <c r="I1582" s="7" t="n"/>
      <c r="J1582" s="32" t="inlineStr">
        <is>
          <t>Best Foods - Wonder Mayo</t>
        </is>
      </c>
      <c r="K1582" s="24" t="n"/>
      <c r="L1582" s="36" t="n">
        <v>420</v>
      </c>
      <c r="M1582" s="204" t="n">
        <v>4</v>
      </c>
      <c r="N1582" s="177" t="n">
        <v>3500</v>
      </c>
      <c r="O1582" s="13" t="n"/>
      <c r="P1582" s="139" t="inlineStr">
        <is>
          <t>ml</t>
        </is>
      </c>
      <c r="Q1582" s="2" t="n"/>
      <c r="R1582" s="1" t="n"/>
      <c r="S1582" s="229">
        <f>M1582*N1582</f>
        <v/>
      </c>
      <c r="T1582" s="230">
        <f>CONCATENATE(S1582,Q1582,P1582)</f>
        <v/>
      </c>
      <c r="U1582" s="206">
        <f>L1582*M1582</f>
        <v/>
      </c>
      <c r="V1582" s="4" t="n"/>
      <c r="W1582" s="4" t="n"/>
      <c r="X1582" s="4" t="n"/>
    </row>
    <row r="1583" ht="15.75" customHeight="1" thickBot="1">
      <c r="A1583" s="186" t="n">
        <v>697</v>
      </c>
      <c r="B1583" s="214" t="inlineStr">
        <is>
          <t>Mayonnaise</t>
        </is>
      </c>
      <c r="C1583" s="124" t="n"/>
      <c r="D1583" s="115" t="n"/>
      <c r="E1583" s="124" t="n"/>
      <c r="F1583" s="124" t="n"/>
      <c r="G1583" s="124" t="n"/>
      <c r="H1583" s="84" t="n"/>
      <c r="I1583" s="7" t="n"/>
      <c r="J1583" s="32" t="inlineStr">
        <is>
          <t>Lady's Choice - Real Mayonnaise</t>
        </is>
      </c>
      <c r="K1583" s="24" t="n"/>
      <c r="L1583" s="36" t="n">
        <v>1217</v>
      </c>
      <c r="M1583" s="204" t="n">
        <v>2</v>
      </c>
      <c r="N1583" s="177" t="n">
        <v>3500</v>
      </c>
      <c r="O1583" s="13" t="n"/>
      <c r="P1583" s="139" t="inlineStr">
        <is>
          <t>ml</t>
        </is>
      </c>
      <c r="Q1583" s="2" t="n"/>
      <c r="R1583" s="1" t="n"/>
      <c r="S1583" s="229">
        <f>M1583*N1583</f>
        <v/>
      </c>
      <c r="T1583" s="230">
        <f>CONCATENATE(S1583,Q1583,P1583)</f>
        <v/>
      </c>
      <c r="U1583" s="206">
        <f>L1583*M1583</f>
        <v/>
      </c>
      <c r="V1583" s="4" t="n"/>
      <c r="W1583" s="4" t="n"/>
      <c r="X1583" s="4" t="n"/>
    </row>
    <row r="1584" ht="15.75" customHeight="1" thickBot="1">
      <c r="A1584" s="186" t="n">
        <v>698</v>
      </c>
      <c r="B1584" s="214" t="inlineStr">
        <is>
          <t>Meal Box</t>
        </is>
      </c>
      <c r="C1584" s="124" t="n"/>
      <c r="D1584" s="115" t="n"/>
      <c r="E1584" s="124" t="n"/>
      <c r="F1584" s="124" t="n"/>
      <c r="G1584" s="124" t="n"/>
      <c r="H1584" s="84" t="n"/>
      <c r="I1584" s="7" t="n"/>
      <c r="J1584" s="32" t="inlineStr">
        <is>
          <t>I-box - LB2 CLEAR</t>
        </is>
      </c>
      <c r="K1584" s="24" t="n"/>
      <c r="L1584" s="36" t="n">
        <v>7.33</v>
      </c>
      <c r="M1584" s="204" t="n">
        <v>370</v>
      </c>
      <c r="N1584" s="177" t="n"/>
      <c r="O1584" s="13" t="n"/>
      <c r="P1584" s="139" t="inlineStr">
        <is>
          <t>pieces</t>
        </is>
      </c>
      <c r="Q1584" s="2" t="n"/>
      <c r="R1584" s="1" t="n"/>
      <c r="S1584" s="229">
        <f>M1584*N1584</f>
        <v/>
      </c>
      <c r="T1584" s="230">
        <f>CONCATENATE(S1584,Q1584,P1584)</f>
        <v/>
      </c>
      <c r="U1584" s="206">
        <f>L1584*M1584</f>
        <v/>
      </c>
      <c r="V1584" s="4" t="n"/>
      <c r="W1584" s="4" t="n"/>
      <c r="X1584" s="4" t="n"/>
    </row>
    <row r="1585" ht="15.75" customHeight="1" thickBot="1">
      <c r="A1585" s="186" t="n">
        <v>698</v>
      </c>
      <c r="B1585" s="214" t="inlineStr">
        <is>
          <t>Meal Box</t>
        </is>
      </c>
      <c r="C1585" s="124" t="n"/>
      <c r="D1585" s="115" t="n"/>
      <c r="E1585" s="124" t="n"/>
      <c r="F1585" s="124" t="n"/>
      <c r="G1585" s="124" t="n"/>
      <c r="H1585" s="84" t="n"/>
      <c r="I1585" s="7" t="n"/>
      <c r="J1585" s="32" t="inlineStr">
        <is>
          <t>I-box - LB3 CLEAR</t>
        </is>
      </c>
      <c r="K1585" s="24" t="n"/>
      <c r="L1585" s="36" t="n">
        <v>7.9</v>
      </c>
      <c r="M1585" s="204" t="n">
        <v>250</v>
      </c>
      <c r="N1585" s="177" t="n"/>
      <c r="O1585" s="13" t="n"/>
      <c r="P1585" s="139" t="inlineStr">
        <is>
          <t>pieces</t>
        </is>
      </c>
      <c r="Q1585" s="2" t="n"/>
      <c r="R1585" s="1" t="n"/>
      <c r="S1585" s="229">
        <f>M1585*N1585</f>
        <v/>
      </c>
      <c r="T1585" s="230">
        <f>CONCATENATE(S1585,Q1585,P1585)</f>
        <v/>
      </c>
      <c r="U1585" s="206">
        <f>L1585*M1585</f>
        <v/>
      </c>
      <c r="V1585" s="4" t="n"/>
      <c r="W1585" s="4" t="n"/>
      <c r="X1585" s="4" t="n"/>
    </row>
    <row r="1586" ht="15.75" customHeight="1" thickBot="1">
      <c r="A1586" s="186" t="n">
        <v>268</v>
      </c>
      <c r="B1586" s="214" t="inlineStr">
        <is>
          <t>Meat Loaf</t>
        </is>
      </c>
      <c r="C1586" s="124" t="n"/>
      <c r="D1586" s="115" t="n"/>
      <c r="E1586" s="124" t="n"/>
      <c r="F1586" s="124" t="n"/>
      <c r="G1586" s="124" t="n"/>
      <c r="H1586" s="84" t="n"/>
      <c r="I1586" s="7" t="n"/>
      <c r="J1586" s="32" t="inlineStr">
        <is>
          <t>CDO</t>
        </is>
      </c>
      <c r="K1586" s="24" t="n"/>
      <c r="L1586" s="36" t="n">
        <v>31</v>
      </c>
      <c r="M1586" s="204" t="n">
        <v>4</v>
      </c>
      <c r="N1586" s="177" t="n">
        <v>210</v>
      </c>
      <c r="O1586" s="13" t="n"/>
      <c r="P1586" s="139" t="inlineStr">
        <is>
          <t>grams</t>
        </is>
      </c>
      <c r="Q1586" s="2" t="n"/>
      <c r="R1586" s="1" t="n"/>
      <c r="S1586" s="229">
        <f>M1586*N1586</f>
        <v/>
      </c>
      <c r="T1586" s="230">
        <f>CONCATENATE(S1586,Q1586,P1586)</f>
        <v/>
      </c>
      <c r="U1586" s="206">
        <f>L1586*M1586</f>
        <v/>
      </c>
      <c r="V1586" s="4" t="n"/>
      <c r="W1586" s="4" t="n"/>
      <c r="X1586" s="4" t="n"/>
    </row>
    <row r="1587" ht="15.75" customHeight="1" thickBot="1">
      <c r="A1587" s="186" t="n">
        <v>268</v>
      </c>
      <c r="B1587" s="214" t="inlineStr">
        <is>
          <t>Meat Loaf</t>
        </is>
      </c>
      <c r="C1587" s="124" t="n"/>
      <c r="D1587" s="115" t="n"/>
      <c r="E1587" s="124" t="n"/>
      <c r="F1587" s="124" t="n"/>
      <c r="G1587" s="124" t="n"/>
      <c r="H1587" s="84" t="n"/>
      <c r="I1587" s="7" t="n"/>
      <c r="J1587" s="32" t="inlineStr">
        <is>
          <t>Century - Argentina</t>
        </is>
      </c>
      <c r="K1587" s="24" t="n"/>
      <c r="L1587" s="36" t="n">
        <v>31.9</v>
      </c>
      <c r="M1587" s="204" t="n">
        <v>8</v>
      </c>
      <c r="N1587" s="177" t="n">
        <v>250</v>
      </c>
      <c r="O1587" s="13" t="n"/>
      <c r="P1587" s="139" t="inlineStr">
        <is>
          <t>grams</t>
        </is>
      </c>
      <c r="Q1587" s="2" t="n"/>
      <c r="R1587" s="1" t="n"/>
      <c r="S1587" s="229">
        <f>M1587*N1587</f>
        <v/>
      </c>
      <c r="T1587" s="230">
        <f>CONCATENATE(S1587,Q1587,P1587)</f>
        <v/>
      </c>
      <c r="U1587" s="206">
        <f>L1587*M1587</f>
        <v/>
      </c>
      <c r="V1587" s="4" t="n"/>
      <c r="W1587" s="4" t="n"/>
      <c r="X1587" s="4" t="n"/>
    </row>
    <row r="1588" ht="15.75" customHeight="1" thickBot="1">
      <c r="A1588" s="186" t="n">
        <v>268</v>
      </c>
      <c r="B1588" s="214" t="inlineStr">
        <is>
          <t>Meat Loaf</t>
        </is>
      </c>
      <c r="C1588" s="124" t="n"/>
      <c r="D1588" s="115" t="n"/>
      <c r="E1588" s="124" t="n"/>
      <c r="F1588" s="124" t="n"/>
      <c r="G1588" s="124" t="n"/>
      <c r="H1588" s="84" t="n"/>
      <c r="I1588" s="7" t="n"/>
      <c r="J1588" s="32" t="inlineStr">
        <is>
          <t>Century - Argentina</t>
        </is>
      </c>
      <c r="K1588" s="24" t="n"/>
      <c r="L1588" s="36" t="n">
        <v>31.9</v>
      </c>
      <c r="M1588" s="204" t="n">
        <v>8</v>
      </c>
      <c r="N1588" s="177" t="n">
        <v>250</v>
      </c>
      <c r="O1588" s="13" t="n"/>
      <c r="P1588" s="139" t="inlineStr">
        <is>
          <t>grams</t>
        </is>
      </c>
      <c r="Q1588" s="2" t="n"/>
      <c r="R1588" s="1" t="n"/>
      <c r="S1588" s="229">
        <f>M1588*N1588</f>
        <v/>
      </c>
      <c r="T1588" s="230">
        <f>CONCATENATE(S1588,Q1588,P1588)</f>
        <v/>
      </c>
      <c r="U1588" s="206">
        <f>L1588*M1588</f>
        <v/>
      </c>
      <c r="V1588" s="4" t="n"/>
      <c r="W1588" s="4" t="n"/>
      <c r="X1588" s="4" t="n"/>
    </row>
    <row r="1589" ht="15.75" customHeight="1" thickBot="1">
      <c r="A1589" s="186" t="n">
        <v>268</v>
      </c>
      <c r="B1589" s="214" t="inlineStr">
        <is>
          <t>Meat Loaf</t>
        </is>
      </c>
      <c r="C1589" s="124" t="n"/>
      <c r="D1589" s="115" t="n"/>
      <c r="E1589" s="124" t="n"/>
      <c r="F1589" s="124" t="n"/>
      <c r="G1589" s="124" t="n"/>
      <c r="H1589" s="84" t="n"/>
      <c r="I1589" s="7" t="n"/>
      <c r="J1589" s="32" t="inlineStr">
        <is>
          <t>Century - Argentina</t>
        </is>
      </c>
      <c r="K1589" s="24" t="n"/>
      <c r="L1589" s="36" t="n">
        <v>35.75</v>
      </c>
      <c r="M1589" s="204" t="n">
        <v>10</v>
      </c>
      <c r="N1589" s="177" t="n">
        <v>250</v>
      </c>
      <c r="O1589" s="13" t="n"/>
      <c r="P1589" s="139" t="inlineStr">
        <is>
          <t>grams</t>
        </is>
      </c>
      <c r="Q1589" s="2" t="n"/>
      <c r="R1589" s="1" t="n"/>
      <c r="S1589" s="229">
        <f>M1589*N1589</f>
        <v/>
      </c>
      <c r="T1589" s="230">
        <f>CONCATENATE(S1589,Q1589,P1589)</f>
        <v/>
      </c>
      <c r="U1589" s="206">
        <f>L1589*M1589</f>
        <v/>
      </c>
      <c r="V1589" s="4" t="n"/>
      <c r="W1589" s="4" t="n"/>
      <c r="X1589" s="4" t="n"/>
    </row>
    <row r="1590" ht="15.75" customHeight="1" thickBot="1">
      <c r="A1590" s="186" t="n">
        <v>699</v>
      </c>
      <c r="B1590" s="214" t="inlineStr">
        <is>
          <t>Meat Tenderizer</t>
        </is>
      </c>
      <c r="C1590" s="124" t="n"/>
      <c r="D1590" s="115" t="n"/>
      <c r="E1590" s="124" t="n"/>
      <c r="F1590" s="124" t="n"/>
      <c r="G1590" s="124" t="n"/>
      <c r="H1590" s="84" t="n"/>
      <c r="I1590" s="7" t="n"/>
      <c r="J1590" s="32" t="inlineStr">
        <is>
          <t>McCormick</t>
        </is>
      </c>
      <c r="K1590" s="24" t="n"/>
      <c r="L1590" s="36" t="n">
        <v>89</v>
      </c>
      <c r="M1590" s="204" t="n">
        <v>1</v>
      </c>
      <c r="N1590" s="177" t="n">
        <v>60</v>
      </c>
      <c r="O1590" s="13" t="n"/>
      <c r="P1590" s="139" t="inlineStr">
        <is>
          <t>grams</t>
        </is>
      </c>
      <c r="Q1590" s="2" t="n"/>
      <c r="R1590" s="1" t="n"/>
      <c r="S1590" s="229">
        <f>M1590*N1590</f>
        <v/>
      </c>
      <c r="T1590" s="230">
        <f>CONCATENATE(S1590,Q1590,P1590)</f>
        <v/>
      </c>
      <c r="U1590" s="206">
        <f>L1590*M1590</f>
        <v/>
      </c>
      <c r="V1590" s="4" t="n"/>
      <c r="W1590" s="4" t="n"/>
      <c r="X1590" s="4" t="n"/>
    </row>
    <row r="1591" ht="15.75" customHeight="1" thickBot="1">
      <c r="A1591" s="186" t="n">
        <v>700</v>
      </c>
      <c r="B1591" s="214" t="inlineStr">
        <is>
          <t>Melon Cantaloupe</t>
        </is>
      </c>
      <c r="C1591" s="124" t="n"/>
      <c r="D1591" s="115" t="n"/>
      <c r="E1591" s="124" t="n"/>
      <c r="F1591" s="124" t="n"/>
      <c r="G1591" s="124" t="n"/>
      <c r="H1591" s="84" t="n"/>
      <c r="I1591" s="7" t="n"/>
      <c r="J1591" s="32" t="n"/>
      <c r="K1591" s="24" t="n"/>
      <c r="L1591" s="36" t="n">
        <v>80</v>
      </c>
      <c r="M1591" s="204" t="n">
        <v>5</v>
      </c>
      <c r="N1591" s="177" t="n">
        <v>1000</v>
      </c>
      <c r="O1591" s="13" t="n"/>
      <c r="P1591" s="139" t="inlineStr">
        <is>
          <t>grams</t>
        </is>
      </c>
      <c r="Q1591" s="2" t="n"/>
      <c r="R1591" s="1" t="n"/>
      <c r="S1591" s="229">
        <f>M1591*N1591</f>
        <v/>
      </c>
      <c r="T1591" s="230">
        <f>CONCATENATE(S1591,Q1591,P1591)</f>
        <v/>
      </c>
      <c r="U1591" s="206">
        <f>L1591*M1591</f>
        <v/>
      </c>
      <c r="V1591" s="4" t="n"/>
      <c r="W1591" s="4" t="n"/>
      <c r="X1591" s="4" t="n"/>
    </row>
    <row r="1592" ht="15.75" customHeight="1" thickBot="1">
      <c r="A1592" s="186" t="n">
        <v>701</v>
      </c>
      <c r="B1592" s="214" t="inlineStr">
        <is>
          <t>Microwavable Conatiner</t>
        </is>
      </c>
      <c r="C1592" s="124" t="n"/>
      <c r="D1592" s="115" t="n"/>
      <c r="E1592" s="124" t="n"/>
      <c r="F1592" s="124" t="n"/>
      <c r="G1592" s="124" t="n"/>
      <c r="H1592" s="84" t="n"/>
      <c r="I1592" s="7" t="n"/>
      <c r="J1592" s="32" t="inlineStr">
        <is>
          <t>Trigem - 4 division</t>
        </is>
      </c>
      <c r="K1592" s="24" t="n"/>
      <c r="L1592" s="36" t="n">
        <v>2.99</v>
      </c>
      <c r="M1592" s="204" t="n">
        <v>10</v>
      </c>
      <c r="N1592" s="177" t="n">
        <v>1</v>
      </c>
      <c r="O1592" s="13" t="n"/>
      <c r="P1592" s="139" t="inlineStr">
        <is>
          <t>pieces</t>
        </is>
      </c>
      <c r="Q1592" s="2" t="n"/>
      <c r="R1592" s="1" t="n"/>
      <c r="S1592" s="229">
        <f>M1592*N1592</f>
        <v/>
      </c>
      <c r="T1592" s="230">
        <f>CONCATENATE(S1592,Q1592,P1592)</f>
        <v/>
      </c>
      <c r="U1592" s="206">
        <f>L1592*M1592</f>
        <v/>
      </c>
      <c r="V1592" s="4" t="n"/>
      <c r="W1592" s="4" t="n"/>
      <c r="X1592" s="4" t="n"/>
    </row>
    <row r="1593" ht="15.75" customHeight="1" thickBot="1">
      <c r="A1593" s="186" t="n">
        <v>701</v>
      </c>
      <c r="B1593" s="214" t="inlineStr">
        <is>
          <t>Microwavable Conatiner</t>
        </is>
      </c>
      <c r="C1593" s="124" t="n"/>
      <c r="D1593" s="115" t="n"/>
      <c r="E1593" s="124" t="n"/>
      <c r="F1593" s="124" t="n"/>
      <c r="G1593" s="124" t="n"/>
      <c r="H1593" s="84" t="n"/>
      <c r="I1593" s="7" t="n"/>
      <c r="J1593" s="32" t="inlineStr">
        <is>
          <t>Trigem - 4 division</t>
        </is>
      </c>
      <c r="K1593" s="24" t="n"/>
      <c r="L1593" s="36" t="n">
        <v>12</v>
      </c>
      <c r="M1593" s="204" t="n">
        <v>120</v>
      </c>
      <c r="N1593" s="177" t="n">
        <v>1</v>
      </c>
      <c r="O1593" s="13" t="n"/>
      <c r="P1593" s="139" t="inlineStr">
        <is>
          <t>pieces</t>
        </is>
      </c>
      <c r="Q1593" s="2" t="n"/>
      <c r="R1593" s="1" t="n"/>
      <c r="S1593" s="229">
        <f>M1593*N1593</f>
        <v/>
      </c>
      <c r="T1593" s="230">
        <f>CONCATENATE(S1593,Q1593,P1593)</f>
        <v/>
      </c>
      <c r="U1593" s="206">
        <f>L1593*M1593</f>
        <v/>
      </c>
      <c r="V1593" s="4" t="n"/>
      <c r="W1593" s="4" t="n"/>
      <c r="X1593" s="4" t="n"/>
    </row>
    <row r="1594" ht="15.75" customHeight="1" thickBot="1">
      <c r="A1594" s="186" t="n">
        <v>701</v>
      </c>
      <c r="B1594" s="214" t="inlineStr">
        <is>
          <t>Microwavable Conatiner</t>
        </is>
      </c>
      <c r="C1594" s="124" t="n"/>
      <c r="D1594" s="115" t="n"/>
      <c r="E1594" s="124" t="n"/>
      <c r="F1594" s="124" t="n"/>
      <c r="G1594" s="124" t="n"/>
      <c r="H1594" s="84" t="n"/>
      <c r="I1594" s="7" t="n"/>
      <c r="J1594" s="32" t="inlineStr">
        <is>
          <t>Fas Pack - Rectangular 500</t>
        </is>
      </c>
      <c r="K1594" s="24" t="n"/>
      <c r="L1594" s="36" t="n">
        <v>6.16</v>
      </c>
      <c r="M1594" s="204" t="n">
        <v>20</v>
      </c>
      <c r="N1594" s="177" t="n">
        <v>1</v>
      </c>
      <c r="O1594" s="13" t="n"/>
      <c r="P1594" s="139" t="inlineStr">
        <is>
          <t>pieces</t>
        </is>
      </c>
      <c r="Q1594" s="2" t="n"/>
      <c r="R1594" s="1" t="n"/>
      <c r="S1594" s="229">
        <f>M1594*N1594</f>
        <v/>
      </c>
      <c r="T1594" s="230">
        <f>CONCATENATE(S1594,Q1594,P1594)</f>
        <v/>
      </c>
      <c r="U1594" s="206">
        <f>L1594*M1594</f>
        <v/>
      </c>
      <c r="V1594" s="4" t="n"/>
      <c r="W1594" s="4" t="n"/>
      <c r="X1594" s="4" t="n"/>
    </row>
    <row r="1595" ht="15.75" customHeight="1" thickBot="1">
      <c r="A1595" s="186" t="n">
        <v>701</v>
      </c>
      <c r="B1595" s="214" t="inlineStr">
        <is>
          <t>Microwavable Conatiner</t>
        </is>
      </c>
      <c r="C1595" s="124" t="n"/>
      <c r="D1595" s="115" t="n"/>
      <c r="E1595" s="124" t="n"/>
      <c r="F1595" s="124" t="n"/>
      <c r="G1595" s="124" t="n"/>
      <c r="H1595" s="84" t="n"/>
      <c r="I1595" s="7" t="n"/>
      <c r="J1595" s="32" t="inlineStr">
        <is>
          <t>Belle - Rectangular 500ml</t>
        </is>
      </c>
      <c r="K1595" s="24" t="n"/>
      <c r="L1595" s="36" t="n">
        <v>36.5</v>
      </c>
      <c r="M1595" s="204" t="n">
        <v>4</v>
      </c>
      <c r="N1595" s="177" t="n">
        <v>1</v>
      </c>
      <c r="O1595" s="13" t="n"/>
      <c r="P1595" s="139" t="inlineStr">
        <is>
          <t>packs</t>
        </is>
      </c>
      <c r="Q1595" s="2" t="n"/>
      <c r="R1595" s="1" t="n"/>
      <c r="S1595" s="229">
        <f>M1595*N1595</f>
        <v/>
      </c>
      <c r="T1595" s="230">
        <f>CONCATENATE(S1595,Q1595,P1595)</f>
        <v/>
      </c>
      <c r="U1595" s="206">
        <f>L1595*M1595</f>
        <v/>
      </c>
      <c r="V1595" s="4" t="n"/>
      <c r="W1595" s="4" t="n"/>
      <c r="X1595" s="4" t="n"/>
    </row>
    <row r="1596" ht="15.75" customHeight="1" thickBot="1">
      <c r="A1596" s="186" t="n">
        <v>701</v>
      </c>
      <c r="B1596" s="214" t="inlineStr">
        <is>
          <t>Microwavable Conatiner</t>
        </is>
      </c>
      <c r="C1596" s="124" t="n"/>
      <c r="D1596" s="115" t="n"/>
      <c r="E1596" s="124" t="n"/>
      <c r="F1596" s="124" t="n"/>
      <c r="G1596" s="124" t="n"/>
      <c r="H1596" s="84" t="n"/>
      <c r="I1596" s="7" t="n"/>
      <c r="J1596" s="32" t="inlineStr">
        <is>
          <t>Bestbuy - Rectangular 500ml</t>
        </is>
      </c>
      <c r="K1596" s="24" t="n"/>
      <c r="L1596" s="36" t="n">
        <v>3.65</v>
      </c>
      <c r="M1596" s="204" t="n">
        <v>15</v>
      </c>
      <c r="N1596" s="177" t="n">
        <v>10</v>
      </c>
      <c r="O1596" s="13" t="n"/>
      <c r="P1596" s="139" t="inlineStr">
        <is>
          <t>pieces</t>
        </is>
      </c>
      <c r="Q1596" s="2" t="n"/>
      <c r="R1596" s="1" t="n"/>
      <c r="S1596" s="229">
        <f>M1596*N1596</f>
        <v/>
      </c>
      <c r="T1596" s="230">
        <f>CONCATENATE(S1596,Q1596,P1596)</f>
        <v/>
      </c>
      <c r="U1596" s="206">
        <f>L1596*M1596</f>
        <v/>
      </c>
      <c r="V1596" s="4" t="n"/>
      <c r="W1596" s="4" t="n"/>
      <c r="X1596" s="4" t="n"/>
    </row>
    <row r="1597" ht="15.75" customHeight="1" thickBot="1">
      <c r="A1597" s="186" t="n">
        <v>701</v>
      </c>
      <c r="B1597" s="214" t="inlineStr">
        <is>
          <t>Microwavable Conatiner</t>
        </is>
      </c>
      <c r="C1597" s="124" t="n"/>
      <c r="D1597" s="115" t="n"/>
      <c r="E1597" s="124" t="n"/>
      <c r="F1597" s="124" t="n"/>
      <c r="G1597" s="124" t="n"/>
      <c r="H1597" s="84" t="n"/>
      <c r="I1597" s="7" t="n"/>
      <c r="J1597" s="32" t="inlineStr">
        <is>
          <t>Calypso - Rectangular 750</t>
        </is>
      </c>
      <c r="K1597" s="24" t="n"/>
      <c r="L1597" s="36" t="n">
        <v>3.46</v>
      </c>
      <c r="M1597" s="204" t="n">
        <v>100</v>
      </c>
      <c r="N1597" s="177" t="n">
        <v>1</v>
      </c>
      <c r="O1597" s="13" t="n"/>
      <c r="P1597" s="139" t="inlineStr">
        <is>
          <t>pieces</t>
        </is>
      </c>
      <c r="Q1597" s="2" t="n"/>
      <c r="R1597" s="1" t="n"/>
      <c r="S1597" s="229">
        <f>M1597*N1597</f>
        <v/>
      </c>
      <c r="T1597" s="230">
        <f>CONCATENATE(S1597,Q1597,P1597)</f>
        <v/>
      </c>
      <c r="U1597" s="206">
        <f>L1597*M1597</f>
        <v/>
      </c>
      <c r="V1597" s="4" t="n"/>
      <c r="W1597" s="4" t="n"/>
      <c r="X1597" s="4" t="n"/>
    </row>
    <row r="1598" ht="15.75" customHeight="1" thickBot="1">
      <c r="A1598" s="186" t="n">
        <v>701</v>
      </c>
      <c r="B1598" s="214" t="inlineStr">
        <is>
          <t>Microwavable Conatiner</t>
        </is>
      </c>
      <c r="C1598" s="124" t="n"/>
      <c r="D1598" s="115" t="n"/>
      <c r="E1598" s="124" t="n"/>
      <c r="F1598" s="124" t="n"/>
      <c r="G1598" s="124" t="n"/>
      <c r="H1598" s="84" t="n"/>
      <c r="I1598" s="7" t="n"/>
      <c r="J1598" s="32" t="inlineStr">
        <is>
          <t>Belle - Round 10oz</t>
        </is>
      </c>
      <c r="K1598" s="24" t="n"/>
      <c r="L1598" s="36" t="n">
        <v>2.6</v>
      </c>
      <c r="M1598" s="204" t="n">
        <v>13</v>
      </c>
      <c r="N1598" s="177" t="n">
        <v>10</v>
      </c>
      <c r="O1598" s="13" t="n"/>
      <c r="P1598" s="139" t="inlineStr">
        <is>
          <t>pieces</t>
        </is>
      </c>
      <c r="Q1598" s="2" t="n"/>
      <c r="R1598" s="1" t="n"/>
      <c r="S1598" s="229">
        <f>M1598*N1598</f>
        <v/>
      </c>
      <c r="T1598" s="230">
        <f>CONCATENATE(S1598,Q1598,P1598)</f>
        <v/>
      </c>
      <c r="U1598" s="206">
        <f>L1598*M1598</f>
        <v/>
      </c>
      <c r="V1598" s="4" t="n"/>
      <c r="W1598" s="4" t="n"/>
      <c r="X1598" s="4" t="n"/>
    </row>
    <row r="1599" ht="15.75" customHeight="1" thickBot="1">
      <c r="A1599" s="186" t="n">
        <v>701</v>
      </c>
      <c r="B1599" s="214" t="inlineStr">
        <is>
          <t>Microwavable Conatiner</t>
        </is>
      </c>
      <c r="C1599" s="124" t="n"/>
      <c r="D1599" s="115" t="n"/>
      <c r="E1599" s="124" t="n"/>
      <c r="F1599" s="124" t="n"/>
      <c r="G1599" s="124" t="n"/>
      <c r="H1599" s="84" t="n"/>
      <c r="I1599" s="7" t="n"/>
      <c r="J1599" s="32" t="inlineStr">
        <is>
          <t>3D</t>
        </is>
      </c>
      <c r="K1599" s="24" t="n"/>
      <c r="L1599" s="36" t="n">
        <v>9.199999999999999</v>
      </c>
      <c r="M1599" s="204" t="n">
        <v>77</v>
      </c>
      <c r="N1599" s="177" t="n">
        <v>1</v>
      </c>
      <c r="O1599" s="13" t="n"/>
      <c r="P1599" s="139" t="inlineStr">
        <is>
          <t>pieces</t>
        </is>
      </c>
      <c r="Q1599" s="2" t="n"/>
      <c r="R1599" s="1" t="n"/>
      <c r="S1599" s="229">
        <f>M1599*N1599</f>
        <v/>
      </c>
      <c r="T1599" s="230">
        <f>CONCATENATE(S1599,Q1599,P1599)</f>
        <v/>
      </c>
      <c r="U1599" s="206">
        <f>L1599*M1599</f>
        <v/>
      </c>
      <c r="V1599" s="4" t="n"/>
      <c r="W1599" s="4" t="n"/>
      <c r="X1599" s="4" t="n"/>
    </row>
    <row r="1600" ht="15.75" customHeight="1" thickBot="1">
      <c r="A1600" s="186" t="n">
        <v>701</v>
      </c>
      <c r="B1600" s="214" t="inlineStr">
        <is>
          <t>Microwavable Conatiner</t>
        </is>
      </c>
      <c r="C1600" s="124" t="n"/>
      <c r="D1600" s="115" t="n"/>
      <c r="E1600" s="124" t="n"/>
      <c r="F1600" s="124" t="n"/>
      <c r="G1600" s="124" t="n"/>
      <c r="H1600" s="84" t="n"/>
      <c r="I1600" s="7" t="n"/>
      <c r="J1600" s="32" t="inlineStr">
        <is>
          <t>4D</t>
        </is>
      </c>
      <c r="K1600" s="24" t="n"/>
      <c r="L1600" s="36" t="n">
        <v>10</v>
      </c>
      <c r="M1600" s="204" t="n">
        <v>48</v>
      </c>
      <c r="N1600" s="177" t="n">
        <v>1</v>
      </c>
      <c r="O1600" s="13" t="n"/>
      <c r="P1600" s="139" t="inlineStr">
        <is>
          <t>pieces</t>
        </is>
      </c>
      <c r="Q1600" s="2" t="n"/>
      <c r="R1600" s="1" t="n"/>
      <c r="S1600" s="229">
        <f>M1600*N1600</f>
        <v/>
      </c>
      <c r="T1600" s="230">
        <f>CONCATENATE(S1600,Q1600,P1600)</f>
        <v/>
      </c>
      <c r="U1600" s="206">
        <f>L1600*M1600</f>
        <v/>
      </c>
      <c r="V1600" s="4" t="n"/>
      <c r="W1600" s="4" t="n"/>
      <c r="X1600" s="4" t="n"/>
    </row>
    <row r="1601" ht="15.75" customHeight="1" thickBot="1">
      <c r="A1601" s="186" t="n">
        <v>701</v>
      </c>
      <c r="B1601" s="214" t="inlineStr">
        <is>
          <t>Microwavable Conatiner</t>
        </is>
      </c>
      <c r="C1601" s="124" t="n"/>
      <c r="D1601" s="115" t="n"/>
      <c r="E1601" s="124" t="n"/>
      <c r="F1601" s="124" t="n"/>
      <c r="G1601" s="124" t="n"/>
      <c r="H1601" s="84" t="n"/>
      <c r="I1601" s="7" t="n"/>
      <c r="J1601" s="32" t="inlineStr">
        <is>
          <t>5D</t>
        </is>
      </c>
      <c r="K1601" s="24" t="n"/>
      <c r="L1601" s="36" t="n">
        <v>10.2</v>
      </c>
      <c r="M1601" s="204" t="n">
        <v>130</v>
      </c>
      <c r="N1601" s="177" t="n">
        <v>1</v>
      </c>
      <c r="O1601" s="13" t="n"/>
      <c r="P1601" s="139" t="inlineStr">
        <is>
          <t>pieces</t>
        </is>
      </c>
      <c r="Q1601" s="2" t="n"/>
      <c r="R1601" s="1" t="n"/>
      <c r="S1601" s="229">
        <f>M1601*N1601</f>
        <v/>
      </c>
      <c r="T1601" s="230">
        <f>CONCATENATE(S1601,Q1601,P1601)</f>
        <v/>
      </c>
      <c r="U1601" s="206">
        <f>L1601*M1601</f>
        <v/>
      </c>
      <c r="V1601" s="4" t="n"/>
      <c r="W1601" s="4" t="n"/>
      <c r="X1601" s="4" t="n"/>
    </row>
    <row r="1602" ht="15.75" customHeight="1" thickBot="1">
      <c r="A1602" s="186" t="n">
        <v>701</v>
      </c>
      <c r="B1602" s="214" t="inlineStr">
        <is>
          <t>Microwavable Conatiner</t>
        </is>
      </c>
      <c r="C1602" s="124" t="n"/>
      <c r="D1602" s="115" t="n"/>
      <c r="E1602" s="124" t="n"/>
      <c r="F1602" s="124" t="n"/>
      <c r="G1602" s="124" t="n"/>
      <c r="H1602" s="84" t="n"/>
      <c r="I1602" s="7" t="n"/>
      <c r="J1602" s="32" t="inlineStr">
        <is>
          <t>Suy Sing - My Everyday - 30oz Plastic Round</t>
        </is>
      </c>
      <c r="K1602" s="24" t="n"/>
      <c r="L1602" s="36" t="n">
        <v>7</v>
      </c>
      <c r="M1602" s="204" t="n">
        <v>10</v>
      </c>
      <c r="N1602" s="177" t="n">
        <v>1</v>
      </c>
      <c r="O1602" s="13" t="n"/>
      <c r="P1602" s="139" t="inlineStr">
        <is>
          <t>pieces</t>
        </is>
      </c>
      <c r="Q1602" s="2" t="n"/>
      <c r="R1602" s="1" t="n"/>
      <c r="S1602" s="229">
        <f>M1602*N1602</f>
        <v/>
      </c>
      <c r="T1602" s="230">
        <f>CONCATENATE(S1602,Q1602,P1602)</f>
        <v/>
      </c>
      <c r="U1602" s="206">
        <f>L1602*M1602</f>
        <v/>
      </c>
      <c r="V1602" s="4" t="n"/>
      <c r="W1602" s="4" t="n"/>
      <c r="X1602" s="4" t="n"/>
    </row>
    <row r="1603" ht="15.75" customHeight="1" thickBot="1">
      <c r="A1603" s="186" t="n">
        <v>702</v>
      </c>
      <c r="B1603" s="214" t="inlineStr">
        <is>
          <t>Microwavable Container</t>
        </is>
      </c>
      <c r="C1603" s="124" t="n"/>
      <c r="D1603" s="115" t="n"/>
      <c r="E1603" s="124" t="n"/>
      <c r="F1603" s="124" t="n"/>
      <c r="G1603" s="124" t="n"/>
      <c r="H1603" s="84" t="n"/>
      <c r="I1603" s="7" t="n"/>
      <c r="J1603" s="32" t="inlineStr">
        <is>
          <t>Suy Sing - My Everyday - 500ml Plastic Rectanguar</t>
        </is>
      </c>
      <c r="K1603" s="24" t="n"/>
      <c r="L1603" s="36" t="n">
        <v>10</v>
      </c>
      <c r="M1603" s="204" t="n">
        <v>5</v>
      </c>
      <c r="N1603" s="177" t="n">
        <v>1</v>
      </c>
      <c r="O1603" s="13" t="n"/>
      <c r="P1603" s="139" t="inlineStr">
        <is>
          <t>pieces</t>
        </is>
      </c>
      <c r="Q1603" s="2" t="n"/>
      <c r="R1603" s="1" t="n"/>
      <c r="S1603" s="229">
        <f>M1603*N1603</f>
        <v/>
      </c>
      <c r="T1603" s="230">
        <f>CONCATENATE(S1603,Q1603,P1603)</f>
        <v/>
      </c>
      <c r="U1603" s="206">
        <f>L1603*M1603</f>
        <v/>
      </c>
      <c r="V1603" s="4" t="n"/>
      <c r="W1603" s="4" t="n"/>
      <c r="X1603" s="4" t="n"/>
    </row>
    <row r="1604" ht="15.75" customHeight="1" thickBot="1">
      <c r="A1604" s="186" t="n">
        <v>702</v>
      </c>
      <c r="B1604" s="214" t="inlineStr">
        <is>
          <t>Microwavable Container</t>
        </is>
      </c>
      <c r="C1604" s="124" t="n"/>
      <c r="D1604" s="115" t="n"/>
      <c r="E1604" s="124" t="n"/>
      <c r="F1604" s="124" t="n"/>
      <c r="G1604" s="124" t="n"/>
      <c r="H1604" s="84" t="n"/>
      <c r="I1604" s="7" t="n"/>
      <c r="J1604" s="32" t="inlineStr">
        <is>
          <t>Belle - RE500</t>
        </is>
      </c>
      <c r="K1604" s="24" t="n"/>
      <c r="L1604" s="36" t="n">
        <v>3.65</v>
      </c>
      <c r="M1604" s="204" t="n">
        <v>50</v>
      </c>
      <c r="N1604" s="177" t="n">
        <v>1</v>
      </c>
      <c r="O1604" s="13" t="n"/>
      <c r="P1604" s="139" t="inlineStr">
        <is>
          <t>pieces</t>
        </is>
      </c>
      <c r="Q1604" s="2" t="n"/>
      <c r="R1604" s="1" t="n"/>
      <c r="S1604" s="229">
        <f>M1604*N1604</f>
        <v/>
      </c>
      <c r="T1604" s="230">
        <f>CONCATENATE(S1604,Q1604,P1604)</f>
        <v/>
      </c>
      <c r="U1604" s="206">
        <f>L1604*M1604</f>
        <v/>
      </c>
      <c r="V1604" s="4" t="n"/>
      <c r="W1604" s="4" t="n"/>
      <c r="X1604" s="4" t="n"/>
    </row>
    <row r="1605" ht="15.75" customHeight="1" thickBot="1">
      <c r="A1605" s="186" t="n">
        <v>702</v>
      </c>
      <c r="B1605" s="214" t="inlineStr">
        <is>
          <t>Microwavable Container</t>
        </is>
      </c>
      <c r="C1605" s="124" t="n"/>
      <c r="D1605" s="115" t="n"/>
      <c r="E1605" s="124" t="n"/>
      <c r="F1605" s="124" t="n"/>
      <c r="G1605" s="124" t="n"/>
      <c r="H1605" s="84" t="n"/>
      <c r="I1605" s="7" t="n"/>
      <c r="J1605" s="32" t="inlineStr">
        <is>
          <t>Belle - RE750</t>
        </is>
      </c>
      <c r="K1605" s="24" t="n"/>
      <c r="L1605" s="36" t="n">
        <v>4.45</v>
      </c>
      <c r="M1605" s="204" t="n">
        <v>90</v>
      </c>
      <c r="N1605" s="177" t="n">
        <v>1</v>
      </c>
      <c r="O1605" s="13" t="n"/>
      <c r="P1605" s="139" t="inlineStr">
        <is>
          <t>pieces</t>
        </is>
      </c>
      <c r="Q1605" s="2" t="n"/>
      <c r="R1605" s="1" t="n"/>
      <c r="S1605" s="229">
        <f>M1605*N1605</f>
        <v/>
      </c>
      <c r="T1605" s="230">
        <f>CONCATENATE(S1605,Q1605,P1605)</f>
        <v/>
      </c>
      <c r="U1605" s="206">
        <f>L1605*M1605</f>
        <v/>
      </c>
      <c r="V1605" s="4" t="n"/>
      <c r="W1605" s="4" t="n"/>
      <c r="X1605" s="4" t="n"/>
    </row>
    <row r="1606" ht="15.75" customHeight="1" thickBot="1">
      <c r="A1606" s="186" t="n">
        <v>702</v>
      </c>
      <c r="B1606" s="214" t="inlineStr">
        <is>
          <t>Microwavable Container</t>
        </is>
      </c>
      <c r="C1606" s="124" t="n"/>
      <c r="D1606" s="115" t="n"/>
      <c r="E1606" s="124" t="n"/>
      <c r="F1606" s="124" t="n"/>
      <c r="G1606" s="124" t="n"/>
      <c r="H1606" s="84" t="n"/>
      <c r="I1606" s="7" t="n"/>
      <c r="J1606" s="32" t="inlineStr">
        <is>
          <t>Belle - RE750</t>
        </is>
      </c>
      <c r="K1606" s="24" t="n"/>
      <c r="L1606" s="36" t="n">
        <v>4.95</v>
      </c>
      <c r="M1606" s="204" t="n">
        <v>180</v>
      </c>
      <c r="N1606" s="177" t="n">
        <v>1</v>
      </c>
      <c r="O1606" s="13" t="n"/>
      <c r="P1606" s="139" t="inlineStr">
        <is>
          <t>pieces</t>
        </is>
      </c>
      <c r="Q1606" s="2" t="n"/>
      <c r="R1606" s="1" t="n"/>
      <c r="S1606" s="229">
        <f>M1606*N1606</f>
        <v/>
      </c>
      <c r="T1606" s="230">
        <f>CONCATENATE(S1606,Q1606,P1606)</f>
        <v/>
      </c>
      <c r="U1606" s="206">
        <f>L1606*M1606</f>
        <v/>
      </c>
      <c r="V1606" s="4" t="n"/>
      <c r="W1606" s="4" t="n"/>
      <c r="X1606" s="4" t="n"/>
    </row>
    <row r="1607" ht="15.75" customHeight="1" thickBot="1">
      <c r="A1607" s="186" t="n">
        <v>702</v>
      </c>
      <c r="B1607" s="214" t="inlineStr">
        <is>
          <t>Microwavable Container</t>
        </is>
      </c>
      <c r="C1607" s="124" t="n"/>
      <c r="D1607" s="115" t="n"/>
      <c r="E1607" s="124" t="n"/>
      <c r="F1607" s="124" t="n"/>
      <c r="G1607" s="124" t="n"/>
      <c r="H1607" s="84" t="n"/>
      <c r="I1607" s="7" t="n"/>
      <c r="J1607" s="32" t="inlineStr">
        <is>
          <t>Belle - RO10</t>
        </is>
      </c>
      <c r="K1607" s="24" t="n"/>
      <c r="L1607" s="36" t="n">
        <v>2.5</v>
      </c>
      <c r="M1607" s="204" t="n">
        <v>561</v>
      </c>
      <c r="N1607" s="177" t="n">
        <v>1</v>
      </c>
      <c r="O1607" s="13" t="n"/>
      <c r="P1607" s="139" t="inlineStr">
        <is>
          <t>pieces</t>
        </is>
      </c>
      <c r="Q1607" s="2" t="n"/>
      <c r="R1607" s="1" t="n"/>
      <c r="S1607" s="229">
        <f>M1607*N1607</f>
        <v/>
      </c>
      <c r="T1607" s="230">
        <f>CONCATENATE(S1607,Q1607,P1607)</f>
        <v/>
      </c>
      <c r="U1607" s="206">
        <f>L1607*M1607</f>
        <v/>
      </c>
      <c r="V1607" s="4" t="n"/>
      <c r="W1607" s="4" t="n"/>
      <c r="X1607" s="4" t="n"/>
    </row>
    <row r="1608" ht="15.75" customHeight="1" thickBot="1">
      <c r="A1608" s="186" t="n">
        <v>702</v>
      </c>
      <c r="B1608" s="214" t="inlineStr">
        <is>
          <t>Microwavable Container</t>
        </is>
      </c>
      <c r="C1608" s="124" t="n"/>
      <c r="D1608" s="115" t="n"/>
      <c r="E1608" s="124" t="n"/>
      <c r="F1608" s="124" t="n"/>
      <c r="G1608" s="124" t="n"/>
      <c r="H1608" s="84" t="n"/>
      <c r="I1608" s="7" t="n"/>
      <c r="J1608" s="32" t="inlineStr">
        <is>
          <t>Belle - RO16</t>
        </is>
      </c>
      <c r="K1608" s="24" t="n"/>
      <c r="L1608" s="36" t="n">
        <v>2.96</v>
      </c>
      <c r="M1608" s="204" t="n">
        <v>567</v>
      </c>
      <c r="N1608" s="177" t="n">
        <v>1</v>
      </c>
      <c r="O1608" s="13" t="n"/>
      <c r="P1608" s="139" t="inlineStr">
        <is>
          <t>pieces</t>
        </is>
      </c>
      <c r="Q1608" s="2" t="n"/>
      <c r="R1608" s="1" t="n"/>
      <c r="S1608" s="229">
        <f>M1608*N1608</f>
        <v/>
      </c>
      <c r="T1608" s="230">
        <f>CONCATENATE(S1608,Q1608,P1608)</f>
        <v/>
      </c>
      <c r="U1608" s="206">
        <f>L1608*M1608</f>
        <v/>
      </c>
      <c r="V1608" s="4" t="n"/>
      <c r="W1608" s="4" t="n"/>
      <c r="X1608" s="4" t="n"/>
    </row>
    <row r="1609" ht="15.75" customHeight="1" thickBot="1">
      <c r="A1609" s="186" t="n">
        <v>703</v>
      </c>
      <c r="B1609" s="214" t="inlineStr">
        <is>
          <t>Miki</t>
        </is>
      </c>
      <c r="C1609" s="124" t="n"/>
      <c r="D1609" s="115" t="n"/>
      <c r="E1609" s="124" t="n"/>
      <c r="F1609" s="124" t="n"/>
      <c r="G1609" s="124" t="n"/>
      <c r="H1609" s="84" t="n"/>
      <c r="I1609" s="7" t="n"/>
      <c r="J1609" s="32" t="n"/>
      <c r="K1609" s="24" t="n"/>
      <c r="L1609" s="36" t="n">
        <v>36</v>
      </c>
      <c r="M1609" s="204" t="n">
        <v>6</v>
      </c>
      <c r="N1609" s="177" t="n">
        <v>1</v>
      </c>
      <c r="O1609" s="13" t="n"/>
      <c r="P1609" s="139" t="inlineStr">
        <is>
          <t>kilos</t>
        </is>
      </c>
      <c r="Q1609" s="2" t="n"/>
      <c r="R1609" s="1" t="n"/>
      <c r="S1609" s="229">
        <f>M1609*N1609</f>
        <v/>
      </c>
      <c r="T1609" s="230">
        <f>CONCATENATE(S1609,Q1609,P1609)</f>
        <v/>
      </c>
      <c r="U1609" s="206">
        <f>L1609*M1609</f>
        <v/>
      </c>
      <c r="V1609" s="4" t="n"/>
      <c r="W1609" s="4" t="n"/>
      <c r="X1609" s="4" t="n"/>
    </row>
    <row r="1610" ht="15.75" customHeight="1" thickBot="1">
      <c r="A1610" s="186" t="n">
        <v>704</v>
      </c>
      <c r="B1610" s="215" t="inlineStr">
        <is>
          <t>Milk - Fresh</t>
        </is>
      </c>
      <c r="C1610" s="124" t="n"/>
      <c r="D1610" s="115" t="n"/>
      <c r="E1610" s="124" t="n"/>
      <c r="F1610" s="124" t="n"/>
      <c r="G1610" s="124" t="n"/>
      <c r="H1610" s="84" t="n"/>
      <c r="I1610" s="7" t="n"/>
      <c r="J1610" s="32" t="inlineStr">
        <is>
          <t>Nestle - Fresh Milk</t>
        </is>
      </c>
      <c r="K1610" s="24" t="n"/>
      <c r="L1610" s="36" t="n">
        <v>38</v>
      </c>
      <c r="M1610" s="204" t="n">
        <v>98</v>
      </c>
      <c r="N1610" s="177" t="n">
        <v>250</v>
      </c>
      <c r="O1610" s="13" t="n"/>
      <c r="P1610" s="139" t="inlineStr">
        <is>
          <t>ml</t>
        </is>
      </c>
      <c r="Q1610" s="2" t="n"/>
      <c r="R1610" s="1" t="n"/>
      <c r="S1610" s="229">
        <f>M1610*N1610</f>
        <v/>
      </c>
      <c r="T1610" s="230">
        <f>CONCATENATE(S1610,Q1610,P1610)</f>
        <v/>
      </c>
      <c r="U1610" s="206">
        <f>L1610*M1610</f>
        <v/>
      </c>
      <c r="V1610" s="4" t="n"/>
      <c r="W1610" s="4" t="n"/>
      <c r="X1610" s="4" t="n"/>
    </row>
    <row r="1611" ht="15.75" customHeight="1" thickBot="1">
      <c r="A1611" s="186" t="n">
        <v>704</v>
      </c>
      <c r="B1611" s="215" t="inlineStr">
        <is>
          <t>Milk - Fresh</t>
        </is>
      </c>
      <c r="C1611" s="124" t="n"/>
      <c r="D1611" s="115" t="n"/>
      <c r="E1611" s="124" t="n"/>
      <c r="F1611" s="124" t="n"/>
      <c r="G1611" s="124" t="n"/>
      <c r="H1611" s="84" t="n"/>
      <c r="I1611" s="7" t="n"/>
      <c r="J1611" s="32" t="inlineStr">
        <is>
          <t>Selecta</t>
        </is>
      </c>
      <c r="K1611" s="24" t="n"/>
      <c r="L1611" s="36" t="n">
        <v>99</v>
      </c>
      <c r="M1611" s="204" t="n">
        <v>1</v>
      </c>
      <c r="N1611" s="177" t="n">
        <v>1</v>
      </c>
      <c r="O1611" s="13" t="n"/>
      <c r="P1611" s="139" t="inlineStr">
        <is>
          <t>liters</t>
        </is>
      </c>
      <c r="Q1611" s="2" t="n"/>
      <c r="R1611" s="1" t="n"/>
      <c r="S1611" s="229">
        <f>M1611*N1611</f>
        <v/>
      </c>
      <c r="T1611" s="230">
        <f>CONCATENATE(S1611,Q1611,P1611)</f>
        <v/>
      </c>
      <c r="U1611" s="206">
        <f>L1611*M1611</f>
        <v/>
      </c>
      <c r="V1611" s="4" t="n"/>
      <c r="W1611" s="4" t="n"/>
      <c r="X1611" s="4" t="n"/>
    </row>
    <row r="1612" ht="15.75" customHeight="1" thickBot="1">
      <c r="A1612" s="186" t="n">
        <v>705</v>
      </c>
      <c r="B1612" s="214" t="inlineStr">
        <is>
          <t>Milk - Powdered</t>
        </is>
      </c>
      <c r="C1612" s="124" t="n"/>
      <c r="D1612" s="115" t="n"/>
      <c r="E1612" s="124" t="n"/>
      <c r="F1612" s="124" t="n"/>
      <c r="G1612" s="124" t="n"/>
      <c r="H1612" s="84" t="n"/>
      <c r="I1612" s="7" t="n"/>
      <c r="J1612" s="32" t="inlineStr">
        <is>
          <t>Birch Tree</t>
        </is>
      </c>
      <c r="K1612" s="24" t="n"/>
      <c r="L1612" s="36" t="n">
        <v>12.9</v>
      </c>
      <c r="M1612" s="204" t="n">
        <v>34</v>
      </c>
      <c r="N1612" s="177" t="n">
        <v>33</v>
      </c>
      <c r="O1612" s="13" t="n"/>
      <c r="P1612" s="139" t="inlineStr">
        <is>
          <t>grams</t>
        </is>
      </c>
      <c r="Q1612" s="2" t="n"/>
      <c r="R1612" s="1" t="n"/>
      <c r="S1612" s="229">
        <f>M1612*N1612</f>
        <v/>
      </c>
      <c r="T1612" s="230">
        <f>CONCATENATE(S1612,Q1612,P1612)</f>
        <v/>
      </c>
      <c r="U1612" s="206">
        <f>L1612*M1612</f>
        <v/>
      </c>
      <c r="V1612" s="4" t="n"/>
      <c r="W1612" s="4" t="n"/>
      <c r="X1612" s="4" t="n"/>
    </row>
    <row r="1613" ht="15.75" customHeight="1" thickBot="1">
      <c r="A1613" s="186" t="n">
        <v>705</v>
      </c>
      <c r="B1613" s="215" t="inlineStr">
        <is>
          <t>Milk - Powdered</t>
        </is>
      </c>
      <c r="C1613" s="124" t="n"/>
      <c r="D1613" s="115" t="n"/>
      <c r="E1613" s="124" t="n"/>
      <c r="F1613" s="124" t="n"/>
      <c r="G1613" s="124" t="n"/>
      <c r="H1613" s="84" t="n"/>
      <c r="I1613" s="7" t="n"/>
      <c r="J1613" s="32" t="inlineStr">
        <is>
          <t>Nestle - Bear Brand</t>
        </is>
      </c>
      <c r="K1613" s="24" t="n"/>
      <c r="L1613" s="36" t="n">
        <v>11.1</v>
      </c>
      <c r="M1613" s="204" t="n">
        <v>1</v>
      </c>
      <c r="N1613" s="177" t="n">
        <v>1</v>
      </c>
      <c r="O1613" s="13" t="n"/>
      <c r="P1613" s="139" t="inlineStr">
        <is>
          <t>grams</t>
        </is>
      </c>
      <c r="Q1613" s="2" t="n"/>
      <c r="R1613" s="1" t="n"/>
      <c r="S1613" s="229">
        <f>M1613*N1613</f>
        <v/>
      </c>
      <c r="T1613" s="230">
        <f>CONCATENATE(S1613,Q1613,P1613)</f>
        <v/>
      </c>
      <c r="U1613" s="206">
        <f>L1613*M1613</f>
        <v/>
      </c>
      <c r="V1613" s="4" t="n"/>
      <c r="W1613" s="4" t="n"/>
      <c r="X1613" s="4" t="n"/>
    </row>
    <row r="1614" ht="15.75" customHeight="1" thickBot="1">
      <c r="A1614" s="186" t="n">
        <v>705</v>
      </c>
      <c r="B1614" s="215" t="inlineStr">
        <is>
          <t>Milk - Powdered</t>
        </is>
      </c>
      <c r="C1614" s="124" t="n"/>
      <c r="D1614" s="115" t="n"/>
      <c r="E1614" s="124" t="n"/>
      <c r="F1614" s="124" t="n"/>
      <c r="G1614" s="124" t="n"/>
      <c r="H1614" s="84" t="n"/>
      <c r="I1614" s="7" t="n"/>
      <c r="J1614" s="32" t="inlineStr">
        <is>
          <t>Nestle - Bear Brand</t>
        </is>
      </c>
      <c r="K1614" s="24" t="n"/>
      <c r="L1614" s="36" t="n">
        <v>11.1</v>
      </c>
      <c r="M1614" s="204" t="n">
        <v>33</v>
      </c>
      <c r="N1614" s="177" t="n">
        <v>33</v>
      </c>
      <c r="O1614" s="13" t="n"/>
      <c r="P1614" s="139" t="inlineStr">
        <is>
          <t>grams</t>
        </is>
      </c>
      <c r="Q1614" s="2" t="n"/>
      <c r="R1614" s="1" t="n"/>
      <c r="S1614" s="229">
        <f>M1614*N1614</f>
        <v/>
      </c>
      <c r="T1614" s="230">
        <f>CONCATENATE(S1614,Q1614,P1614)</f>
        <v/>
      </c>
      <c r="U1614" s="206">
        <f>L1614*M1614</f>
        <v/>
      </c>
      <c r="V1614" s="4" t="n"/>
      <c r="W1614" s="4" t="n"/>
      <c r="X1614" s="4" t="n"/>
    </row>
    <row r="1615" ht="15.75" customHeight="1" thickBot="1">
      <c r="A1615" s="186" t="n">
        <v>705</v>
      </c>
      <c r="B1615" s="214" t="inlineStr">
        <is>
          <t>Milk - Powdered</t>
        </is>
      </c>
      <c r="C1615" s="124" t="n"/>
      <c r="D1615" s="115" t="n"/>
      <c r="E1615" s="124" t="n"/>
      <c r="F1615" s="124" t="n"/>
      <c r="G1615" s="124" t="n"/>
      <c r="H1615" s="84" t="n"/>
      <c r="I1615" s="7" t="n"/>
      <c r="J1615" s="32" t="inlineStr">
        <is>
          <t>Nestle - Bear Brand</t>
        </is>
      </c>
      <c r="K1615" s="24" t="n"/>
      <c r="L1615" s="36" t="n">
        <v>11.1</v>
      </c>
      <c r="M1615" s="204" t="n">
        <v>296</v>
      </c>
      <c r="N1615" s="177" t="n">
        <v>33</v>
      </c>
      <c r="O1615" s="13" t="n"/>
      <c r="P1615" s="139" t="inlineStr">
        <is>
          <t>grams</t>
        </is>
      </c>
      <c r="Q1615" s="2" t="n"/>
      <c r="R1615" s="1" t="n"/>
      <c r="S1615" s="229">
        <f>M1615*N1615</f>
        <v/>
      </c>
      <c r="T1615" s="230">
        <f>CONCATENATE(S1615,Q1615,P1615)</f>
        <v/>
      </c>
      <c r="U1615" s="206">
        <f>L1615*M1615</f>
        <v/>
      </c>
      <c r="V1615" s="4" t="n"/>
      <c r="W1615" s="4" t="n"/>
      <c r="X1615" s="4" t="n"/>
    </row>
    <row r="1616" ht="15.75" customHeight="1" thickBot="1">
      <c r="A1616" s="186" t="n">
        <v>706</v>
      </c>
      <c r="B1616" s="214" t="inlineStr">
        <is>
          <t>Milk - Powdered (Choco)</t>
        </is>
      </c>
      <c r="C1616" s="124" t="n"/>
      <c r="D1616" s="115" t="n"/>
      <c r="E1616" s="124" t="n"/>
      <c r="F1616" s="124" t="n"/>
      <c r="G1616" s="124" t="n"/>
      <c r="H1616" s="84" t="n"/>
      <c r="I1616" s="7" t="n"/>
      <c r="J1616" s="32" t="inlineStr">
        <is>
          <t>Nestle - Bear Brand</t>
        </is>
      </c>
      <c r="K1616" s="24" t="n"/>
      <c r="L1616" s="36" t="n">
        <v>11.1</v>
      </c>
      <c r="M1616" s="204" t="n">
        <v>2</v>
      </c>
      <c r="N1616" s="177" t="n">
        <v>33</v>
      </c>
      <c r="O1616" s="13" t="n"/>
      <c r="P1616" s="139" t="inlineStr">
        <is>
          <t>grams</t>
        </is>
      </c>
      <c r="Q1616" s="2" t="n"/>
      <c r="R1616" s="1" t="n"/>
      <c r="S1616" s="229">
        <f>M1616*N1616</f>
        <v/>
      </c>
      <c r="T1616" s="230">
        <f>CONCATENATE(S1616,Q1616,P1616)</f>
        <v/>
      </c>
      <c r="U1616" s="206">
        <f>L1616*M1616</f>
        <v/>
      </c>
      <c r="V1616" s="4" t="n"/>
      <c r="W1616" s="4" t="n"/>
      <c r="X1616" s="4" t="n"/>
    </row>
    <row r="1617" ht="15.75" customHeight="1" thickBot="1">
      <c r="A1617" s="186" t="n">
        <v>707</v>
      </c>
      <c r="B1617" s="215" t="inlineStr">
        <is>
          <t>Milk- Sterelized</t>
        </is>
      </c>
      <c r="C1617" s="124" t="n"/>
      <c r="D1617" s="115" t="n"/>
      <c r="E1617" s="124" t="n"/>
      <c r="F1617" s="124" t="n"/>
      <c r="G1617" s="124" t="n"/>
      <c r="H1617" s="84" t="n"/>
      <c r="I1617" s="7" t="n"/>
      <c r="J1617" s="32" t="inlineStr">
        <is>
          <t>Nestle - Bear Brand</t>
        </is>
      </c>
      <c r="K1617" s="24" t="n"/>
      <c r="L1617" s="36" t="n">
        <v>27.5</v>
      </c>
      <c r="M1617" s="204" t="n">
        <v>9</v>
      </c>
      <c r="N1617" s="177" t="n">
        <v>200</v>
      </c>
      <c r="O1617" s="13" t="n"/>
      <c r="P1617" s="139" t="inlineStr">
        <is>
          <t>ml</t>
        </is>
      </c>
      <c r="Q1617" s="2" t="n"/>
      <c r="R1617" s="1" t="n"/>
      <c r="S1617" s="229">
        <f>M1617*N1617</f>
        <v/>
      </c>
      <c r="T1617" s="230">
        <f>CONCATENATE(S1617,Q1617,P1617)</f>
        <v/>
      </c>
      <c r="U1617" s="206">
        <f>L1617*M1617</f>
        <v/>
      </c>
      <c r="V1617" s="4" t="n"/>
      <c r="W1617" s="4" t="n"/>
      <c r="X1617" s="4" t="n"/>
    </row>
    <row r="1618" ht="15.75" customHeight="1" thickBot="1">
      <c r="A1618" s="186" t="n">
        <v>274</v>
      </c>
      <c r="B1618" s="214" t="inlineStr">
        <is>
          <t>Mineral Water</t>
        </is>
      </c>
      <c r="C1618" s="124" t="n"/>
      <c r="D1618" s="115" t="n"/>
      <c r="E1618" s="124" t="n"/>
      <c r="F1618" s="124" t="n"/>
      <c r="G1618" s="124" t="n"/>
      <c r="H1618" s="84" t="n"/>
      <c r="I1618" s="7" t="n"/>
      <c r="J1618" s="32" t="inlineStr">
        <is>
          <t>Asia Brewery - Summit</t>
        </is>
      </c>
      <c r="K1618" s="24" t="n"/>
      <c r="L1618" s="36" t="n">
        <v>10.16</v>
      </c>
      <c r="M1618" s="204" t="n">
        <v>154</v>
      </c>
      <c r="N1618" s="177" t="n">
        <v>500</v>
      </c>
      <c r="O1618" s="13" t="n"/>
      <c r="P1618" s="139" t="inlineStr">
        <is>
          <t>ml</t>
        </is>
      </c>
      <c r="Q1618" s="2" t="n"/>
      <c r="R1618" s="1" t="n"/>
      <c r="S1618" s="229">
        <f>M1618*N1618</f>
        <v/>
      </c>
      <c r="T1618" s="230">
        <f>CONCATENATE(S1618,Q1618,P1618)</f>
        <v/>
      </c>
      <c r="U1618" s="206">
        <f>L1618*M1618</f>
        <v/>
      </c>
      <c r="V1618" s="4" t="n"/>
      <c r="W1618" s="4" t="n"/>
      <c r="X1618" s="4" t="n"/>
    </row>
    <row r="1619" ht="15.75" customHeight="1" thickBot="1">
      <c r="A1619" s="186" t="n">
        <v>274</v>
      </c>
      <c r="B1619" s="214" t="inlineStr">
        <is>
          <t>Mineral Water</t>
        </is>
      </c>
      <c r="C1619" s="124" t="n"/>
      <c r="D1619" s="115" t="n"/>
      <c r="E1619" s="124" t="n"/>
      <c r="F1619" s="124" t="n"/>
      <c r="G1619" s="124" t="n"/>
      <c r="H1619" s="84" t="n"/>
      <c r="I1619" s="7" t="n"/>
      <c r="J1619" s="32" t="inlineStr">
        <is>
          <t>Asia Brewery - Summit</t>
        </is>
      </c>
      <c r="K1619" s="24" t="n"/>
      <c r="L1619" s="36" t="n">
        <v>7.72</v>
      </c>
      <c r="M1619" s="204" t="n">
        <v>65</v>
      </c>
      <c r="N1619" s="177" t="n">
        <v>350</v>
      </c>
      <c r="O1619" s="13" t="n"/>
      <c r="P1619" s="139" t="inlineStr">
        <is>
          <t>ml</t>
        </is>
      </c>
      <c r="Q1619" s="2" t="n"/>
      <c r="R1619" s="1" t="n"/>
      <c r="S1619" s="229">
        <f>M1619*N1619</f>
        <v/>
      </c>
      <c r="T1619" s="230">
        <f>CONCATENATE(S1619,Q1619,P1619)</f>
        <v/>
      </c>
      <c r="U1619" s="206">
        <f>L1619*M1619</f>
        <v/>
      </c>
      <c r="V1619" s="4" t="n"/>
      <c r="W1619" s="4" t="n"/>
      <c r="X1619" s="4" t="n"/>
    </row>
    <row r="1620" ht="15.75" customHeight="1" thickBot="1">
      <c r="A1620" s="186" t="n">
        <v>274</v>
      </c>
      <c r="B1620" s="214" t="inlineStr">
        <is>
          <t>Mineral Water</t>
        </is>
      </c>
      <c r="C1620" s="124" t="n"/>
      <c r="D1620" s="115" t="n"/>
      <c r="E1620" s="124" t="n"/>
      <c r="F1620" s="124" t="n"/>
      <c r="G1620" s="124" t="n"/>
      <c r="H1620" s="84" t="n"/>
      <c r="I1620" s="7" t="n"/>
      <c r="J1620" s="32" t="inlineStr">
        <is>
          <t>Asia Brewery - Summit Still</t>
        </is>
      </c>
      <c r="K1620" s="24" t="n"/>
      <c r="L1620" s="36" t="n">
        <v>39</v>
      </c>
      <c r="M1620" s="204" t="n">
        <v>49</v>
      </c>
      <c r="N1620" s="177" t="n">
        <v>330</v>
      </c>
      <c r="O1620" s="13" t="n"/>
      <c r="P1620" s="139" t="inlineStr">
        <is>
          <t>ml</t>
        </is>
      </c>
      <c r="Q1620" s="2" t="n"/>
      <c r="R1620" s="1" t="n"/>
      <c r="S1620" s="229">
        <f>M1620*N1620</f>
        <v/>
      </c>
      <c r="T1620" s="230">
        <f>CONCATENATE(S1620,Q1620,P1620)</f>
        <v/>
      </c>
      <c r="U1620" s="206">
        <f>L1620*M1620</f>
        <v/>
      </c>
      <c r="V1620" s="4" t="n"/>
      <c r="W1620" s="4" t="n"/>
      <c r="X1620" s="4" t="n"/>
    </row>
    <row r="1621" ht="15.75" customHeight="1" thickBot="1">
      <c r="A1621" s="186" t="n">
        <v>274</v>
      </c>
      <c r="B1621" s="214" t="inlineStr">
        <is>
          <t>Mineral Water</t>
        </is>
      </c>
      <c r="C1621" s="124" t="n"/>
      <c r="D1621" s="115" t="n"/>
      <c r="E1621" s="124" t="n"/>
      <c r="F1621" s="124" t="n"/>
      <c r="G1621" s="124" t="n"/>
      <c r="H1621" s="84" t="n"/>
      <c r="I1621" s="7" t="n"/>
      <c r="J1621" s="32" t="inlineStr">
        <is>
          <t>Asia Brewery - Summit</t>
        </is>
      </c>
      <c r="K1621" s="24" t="n"/>
      <c r="L1621" s="36" t="n">
        <v>10.16</v>
      </c>
      <c r="M1621" s="204" t="n">
        <v>24</v>
      </c>
      <c r="N1621" s="177" t="n">
        <v>500</v>
      </c>
      <c r="O1621" s="13" t="n"/>
      <c r="P1621" s="139" t="inlineStr">
        <is>
          <t>ml</t>
        </is>
      </c>
      <c r="Q1621" s="2" t="n"/>
      <c r="R1621" s="1" t="n"/>
      <c r="S1621" s="229">
        <f>M1621*N1621</f>
        <v/>
      </c>
      <c r="T1621" s="230">
        <f>CONCATENATE(S1621,Q1621,P1621)</f>
        <v/>
      </c>
      <c r="U1621" s="206">
        <f>L1621*M1621</f>
        <v/>
      </c>
      <c r="V1621" s="4" t="n"/>
      <c r="W1621" s="4" t="n"/>
      <c r="X1621" s="4" t="n"/>
    </row>
    <row r="1622" ht="15.75" customHeight="1" thickBot="1">
      <c r="A1622" s="186" t="n">
        <v>274</v>
      </c>
      <c r="B1622" s="214" t="inlineStr">
        <is>
          <t>Mineral Water</t>
        </is>
      </c>
      <c r="C1622" s="124" t="n"/>
      <c r="D1622" s="115" t="n"/>
      <c r="E1622" s="124" t="n"/>
      <c r="F1622" s="124" t="n"/>
      <c r="G1622" s="124" t="n"/>
      <c r="H1622" s="84" t="n"/>
      <c r="I1622" s="7" t="n"/>
      <c r="J1622" s="32" t="inlineStr">
        <is>
          <t>Acqua Panna</t>
        </is>
      </c>
      <c r="K1622" s="24" t="n"/>
      <c r="L1622" s="36" t="n">
        <v>90</v>
      </c>
      <c r="M1622" s="204" t="n">
        <v>11</v>
      </c>
      <c r="N1622" s="177" t="n">
        <v>250</v>
      </c>
      <c r="O1622" s="13" t="n"/>
      <c r="P1622" s="139" t="inlineStr">
        <is>
          <t>ml</t>
        </is>
      </c>
      <c r="Q1622" s="2" t="n"/>
      <c r="R1622" s="1" t="n"/>
      <c r="S1622" s="229">
        <f>M1622*N1622</f>
        <v/>
      </c>
      <c r="T1622" s="230">
        <f>CONCATENATE(S1622,Q1622,P1622)</f>
        <v/>
      </c>
      <c r="U1622" s="206">
        <f>L1622*M1622</f>
        <v/>
      </c>
      <c r="V1622" s="4" t="n"/>
      <c r="W1622" s="4" t="n"/>
      <c r="X1622" s="4" t="n"/>
    </row>
    <row r="1623" ht="15.75" customHeight="1" thickBot="1">
      <c r="A1623" s="186" t="n">
        <v>274</v>
      </c>
      <c r="B1623" s="214" t="inlineStr">
        <is>
          <t>Mineral Water</t>
        </is>
      </c>
      <c r="C1623" s="124" t="n"/>
      <c r="D1623" s="115" t="n"/>
      <c r="E1623" s="124" t="n"/>
      <c r="F1623" s="124" t="n"/>
      <c r="G1623" s="124" t="n"/>
      <c r="H1623" s="84" t="n"/>
      <c r="I1623" s="7" t="n"/>
      <c r="J1623" s="32" t="inlineStr">
        <is>
          <t>Acqua Panna</t>
        </is>
      </c>
      <c r="K1623" s="24" t="n"/>
      <c r="L1623" s="36" t="n">
        <v>114</v>
      </c>
      <c r="M1623" s="204" t="n">
        <v>6</v>
      </c>
      <c r="N1623" s="177" t="n">
        <v>500</v>
      </c>
      <c r="O1623" s="13" t="n"/>
      <c r="P1623" s="139" t="inlineStr">
        <is>
          <t>ml</t>
        </is>
      </c>
      <c r="Q1623" s="2" t="n"/>
      <c r="R1623" s="1" t="n"/>
      <c r="S1623" s="229">
        <f>M1623*N1623</f>
        <v/>
      </c>
      <c r="T1623" s="230">
        <f>CONCATENATE(S1623,Q1623,P1623)</f>
        <v/>
      </c>
      <c r="U1623" s="206">
        <f>L1623*M1623</f>
        <v/>
      </c>
      <c r="V1623" s="4" t="n"/>
      <c r="W1623" s="4" t="n"/>
      <c r="X1623" s="4" t="n"/>
    </row>
    <row r="1624" ht="15.75" customHeight="1" thickBot="1">
      <c r="A1624" s="186" t="n">
        <v>274</v>
      </c>
      <c r="B1624" s="214" t="inlineStr">
        <is>
          <t>Mineral Water</t>
        </is>
      </c>
      <c r="C1624" s="124" t="n"/>
      <c r="D1624" s="115" t="n"/>
      <c r="E1624" s="124" t="n"/>
      <c r="F1624" s="124" t="n"/>
      <c r="G1624" s="124" t="n"/>
      <c r="H1624" s="84" t="n"/>
      <c r="I1624" s="7" t="n"/>
      <c r="J1624" s="32" t="inlineStr">
        <is>
          <t>Acqua Panna</t>
        </is>
      </c>
      <c r="K1624" s="24" t="n"/>
      <c r="L1624" s="36" t="n">
        <v>85</v>
      </c>
      <c r="M1624" s="204" t="n">
        <v>27</v>
      </c>
      <c r="N1624" s="177" t="n">
        <v>250</v>
      </c>
      <c r="O1624" s="13" t="n"/>
      <c r="P1624" s="139" t="inlineStr">
        <is>
          <t>ml</t>
        </is>
      </c>
      <c r="Q1624" s="2" t="n"/>
      <c r="R1624" s="1" t="n"/>
      <c r="S1624" s="229">
        <f>M1624*N1624</f>
        <v/>
      </c>
      <c r="T1624" s="230">
        <f>CONCATENATE(S1624,Q1624,P1624)</f>
        <v/>
      </c>
      <c r="U1624" s="206">
        <f>L1624*M1624</f>
        <v/>
      </c>
      <c r="V1624" s="4" t="n"/>
      <c r="W1624" s="4" t="n"/>
      <c r="X1624" s="4" t="n"/>
    </row>
    <row r="1625" ht="15.75" customHeight="1" thickBot="1">
      <c r="A1625" s="186" t="n">
        <v>274</v>
      </c>
      <c r="B1625" s="214" t="inlineStr">
        <is>
          <t>Mineral Water</t>
        </is>
      </c>
      <c r="C1625" s="124" t="n"/>
      <c r="D1625" s="115" t="n"/>
      <c r="E1625" s="124" t="n"/>
      <c r="F1625" s="124" t="n"/>
      <c r="G1625" s="124" t="n"/>
      <c r="H1625" s="84" t="n"/>
      <c r="I1625" s="7" t="n"/>
      <c r="J1625" s="32" t="inlineStr">
        <is>
          <t>Asia Brewery - Summit</t>
        </is>
      </c>
      <c r="K1625" s="24" t="n"/>
      <c r="L1625" s="36" t="n">
        <v>7.72</v>
      </c>
      <c r="M1625" s="204" t="n">
        <v>75</v>
      </c>
      <c r="N1625" s="177" t="n">
        <v>350</v>
      </c>
      <c r="O1625" s="13" t="n"/>
      <c r="P1625" s="139" t="inlineStr">
        <is>
          <t>ml</t>
        </is>
      </c>
      <c r="Q1625" s="2" t="n"/>
      <c r="R1625" s="1" t="n"/>
      <c r="S1625" s="229">
        <f>M1625*N1625</f>
        <v/>
      </c>
      <c r="T1625" s="230">
        <f>CONCATENATE(S1625,Q1625,P1625)</f>
        <v/>
      </c>
      <c r="U1625" s="206">
        <f>L1625*M1625</f>
        <v/>
      </c>
      <c r="V1625" s="4" t="n"/>
      <c r="W1625" s="4" t="n"/>
      <c r="X1625" s="4" t="n"/>
    </row>
    <row r="1626" ht="15.75" customHeight="1" thickBot="1">
      <c r="A1626" s="186" t="n">
        <v>274</v>
      </c>
      <c r="B1626" s="214" t="inlineStr">
        <is>
          <t>Mineral Water</t>
        </is>
      </c>
      <c r="C1626" s="124" t="n"/>
      <c r="D1626" s="115" t="n"/>
      <c r="E1626" s="124" t="n"/>
      <c r="F1626" s="124" t="n"/>
      <c r="G1626" s="124" t="n"/>
      <c r="H1626" s="84" t="n"/>
      <c r="I1626" s="7" t="n"/>
      <c r="J1626" s="32" t="inlineStr">
        <is>
          <t>Nature's Spring</t>
        </is>
      </c>
      <c r="K1626" s="24" t="n"/>
      <c r="L1626" s="36" t="n">
        <v>9.08</v>
      </c>
      <c r="M1626" s="204" t="n">
        <v>243</v>
      </c>
      <c r="N1626" s="177" t="n">
        <v>350</v>
      </c>
      <c r="O1626" s="13" t="n"/>
      <c r="P1626" s="139" t="inlineStr">
        <is>
          <t>ml</t>
        </is>
      </c>
      <c r="Q1626" s="2" t="n"/>
      <c r="R1626" s="1" t="n"/>
      <c r="S1626" s="229">
        <f>M1626*N1626</f>
        <v/>
      </c>
      <c r="T1626" s="230">
        <f>CONCATENATE(S1626,Q1626,P1626)</f>
        <v/>
      </c>
      <c r="U1626" s="206">
        <f>L1626*M1626</f>
        <v/>
      </c>
      <c r="V1626" s="4" t="n"/>
      <c r="W1626" s="4" t="n"/>
      <c r="X1626" s="4" t="n"/>
    </row>
    <row r="1627" ht="15.75" customHeight="1" thickBot="1">
      <c r="A1627" s="186" t="n">
        <v>274</v>
      </c>
      <c r="B1627" s="214" t="inlineStr">
        <is>
          <t>Mineral Water</t>
        </is>
      </c>
      <c r="C1627" s="124" t="n"/>
      <c r="D1627" s="115" t="n"/>
      <c r="E1627" s="124" t="n"/>
      <c r="F1627" s="124" t="n"/>
      <c r="G1627" s="124" t="n"/>
      <c r="H1627" s="84" t="n"/>
      <c r="I1627" s="7" t="n"/>
      <c r="J1627" s="32" t="inlineStr">
        <is>
          <t>Nature's Spring</t>
        </is>
      </c>
      <c r="K1627" s="24" t="n"/>
      <c r="L1627" s="36" t="n">
        <v>7.85</v>
      </c>
      <c r="M1627" s="204" t="n">
        <v>420</v>
      </c>
      <c r="N1627" s="177" t="n">
        <v>500</v>
      </c>
      <c r="O1627" s="13" t="n"/>
      <c r="P1627" s="139" t="inlineStr">
        <is>
          <t>ml</t>
        </is>
      </c>
      <c r="Q1627" s="2" t="n"/>
      <c r="R1627" s="1" t="n"/>
      <c r="S1627" s="229">
        <f>M1627*N1627</f>
        <v/>
      </c>
      <c r="T1627" s="230">
        <f>CONCATENATE(S1627,Q1627,P1627)</f>
        <v/>
      </c>
      <c r="U1627" s="206">
        <f>L1627*M1627</f>
        <v/>
      </c>
      <c r="V1627" s="4" t="n"/>
      <c r="W1627" s="4" t="n"/>
      <c r="X1627" s="4" t="n"/>
    </row>
    <row r="1628" ht="15.75" customHeight="1" thickBot="1">
      <c r="A1628" s="186" t="n">
        <v>274</v>
      </c>
      <c r="B1628" s="215" t="inlineStr">
        <is>
          <t>Mineral Water</t>
        </is>
      </c>
      <c r="C1628" s="124" t="n"/>
      <c r="D1628" s="115" t="n"/>
      <c r="E1628" s="124" t="n"/>
      <c r="F1628" s="124" t="n"/>
      <c r="G1628" s="124" t="n"/>
      <c r="H1628" s="84" t="n"/>
      <c r="I1628" s="7" t="n"/>
      <c r="J1628" s="32" t="inlineStr">
        <is>
          <t>Coca Cola - Wilkins</t>
        </is>
      </c>
      <c r="K1628" s="24" t="n"/>
      <c r="L1628" s="36" t="n">
        <v>10.42</v>
      </c>
      <c r="M1628" s="204" t="n">
        <v>99</v>
      </c>
      <c r="N1628" s="177" t="n">
        <v>500</v>
      </c>
      <c r="O1628" s="13" t="n"/>
      <c r="P1628" s="139" t="inlineStr">
        <is>
          <t>ml</t>
        </is>
      </c>
      <c r="Q1628" s="2" t="n"/>
      <c r="R1628" s="1" t="n"/>
      <c r="S1628" s="229">
        <f>M1628*N1628</f>
        <v/>
      </c>
      <c r="T1628" s="230">
        <f>CONCATENATE(S1628,Q1628,P1628)</f>
        <v/>
      </c>
      <c r="U1628" s="206">
        <f>L1628*M1628</f>
        <v/>
      </c>
      <c r="V1628" s="4" t="n"/>
      <c r="W1628" s="4" t="n"/>
      <c r="X1628" s="4" t="n"/>
    </row>
    <row r="1629" ht="15.75" customHeight="1" thickBot="1">
      <c r="A1629" s="186" t="n">
        <v>274</v>
      </c>
      <c r="B1629" s="214" t="inlineStr">
        <is>
          <t>Mineral water</t>
        </is>
      </c>
      <c r="C1629" s="124" t="n"/>
      <c r="D1629" s="115" t="n"/>
      <c r="E1629" s="124" t="n"/>
      <c r="F1629" s="124" t="n"/>
      <c r="G1629" s="124" t="n"/>
      <c r="H1629" s="84" t="n"/>
      <c r="I1629" s="7" t="n"/>
      <c r="J1629" s="32" t="inlineStr">
        <is>
          <t>Nature's Spring</t>
        </is>
      </c>
      <c r="K1629" s="24" t="n"/>
      <c r="L1629" s="36" t="n">
        <v>9.9</v>
      </c>
      <c r="M1629" s="204" t="n">
        <v>411</v>
      </c>
      <c r="N1629" s="177" t="n">
        <v>500</v>
      </c>
      <c r="O1629" s="13" t="n"/>
      <c r="P1629" s="139" t="inlineStr">
        <is>
          <t>ml</t>
        </is>
      </c>
      <c r="Q1629" s="2" t="n"/>
      <c r="R1629" s="1" t="n"/>
      <c r="S1629" s="229">
        <f>M1629*N1629</f>
        <v/>
      </c>
      <c r="T1629" s="230">
        <f>CONCATENATE(S1629,Q1629,P1629)</f>
        <v/>
      </c>
      <c r="U1629" s="206">
        <f>L1629*M1629</f>
        <v/>
      </c>
      <c r="V1629" s="4" t="n"/>
      <c r="W1629" s="4" t="n"/>
      <c r="X1629" s="4" t="n"/>
    </row>
    <row r="1630" ht="15.75" customHeight="1" thickBot="1">
      <c r="A1630" s="186" t="n">
        <v>274</v>
      </c>
      <c r="B1630" s="214" t="inlineStr">
        <is>
          <t>Mineral water</t>
        </is>
      </c>
      <c r="C1630" s="124" t="n"/>
      <c r="D1630" s="115" t="n"/>
      <c r="E1630" s="124" t="n"/>
      <c r="F1630" s="124" t="n"/>
      <c r="G1630" s="124" t="n"/>
      <c r="H1630" s="84" t="n"/>
      <c r="I1630" s="7" t="n"/>
      <c r="J1630" s="32" t="inlineStr">
        <is>
          <t>Nature's Spring</t>
        </is>
      </c>
      <c r="K1630" s="24" t="n"/>
      <c r="L1630" s="36" t="n">
        <v>9.9</v>
      </c>
      <c r="M1630" s="204" t="n">
        <v>455</v>
      </c>
      <c r="N1630" s="177" t="n">
        <v>500</v>
      </c>
      <c r="O1630" s="13" t="n"/>
      <c r="P1630" s="139" t="inlineStr">
        <is>
          <t>ml</t>
        </is>
      </c>
      <c r="Q1630" s="2" t="n"/>
      <c r="R1630" s="1" t="n"/>
      <c r="S1630" s="229">
        <f>M1630*N1630</f>
        <v/>
      </c>
      <c r="T1630" s="230">
        <f>CONCATENATE(S1630,Q1630,P1630)</f>
        <v/>
      </c>
      <c r="U1630" s="206">
        <f>L1630*M1630</f>
        <v/>
      </c>
      <c r="V1630" s="4" t="n"/>
      <c r="W1630" s="4" t="n"/>
      <c r="X1630" s="4" t="n"/>
    </row>
    <row r="1631" ht="15.75" customHeight="1" thickBot="1">
      <c r="A1631" s="186" t="n">
        <v>274</v>
      </c>
      <c r="B1631" s="214" t="inlineStr">
        <is>
          <t>Mineral Water</t>
        </is>
      </c>
      <c r="C1631" s="124" t="n"/>
      <c r="D1631" s="115" t="n"/>
      <c r="E1631" s="124" t="n"/>
      <c r="F1631" s="124" t="n"/>
      <c r="G1631" s="124" t="n"/>
      <c r="H1631" s="84" t="n"/>
      <c r="I1631" s="7" t="n"/>
      <c r="J1631" s="32" t="inlineStr">
        <is>
          <t>Asia Brewery - Summit</t>
        </is>
      </c>
      <c r="K1631" s="24" t="n"/>
      <c r="L1631" s="36" t="n">
        <v>7.72</v>
      </c>
      <c r="M1631" s="204" t="n">
        <v>85</v>
      </c>
      <c r="N1631" s="177" t="n">
        <v>350</v>
      </c>
      <c r="O1631" s="13" t="n"/>
      <c r="P1631" s="139" t="inlineStr">
        <is>
          <t>ml</t>
        </is>
      </c>
      <c r="Q1631" s="2" t="n"/>
      <c r="R1631" s="1" t="n"/>
      <c r="S1631" s="229">
        <f>M1631*N1631</f>
        <v/>
      </c>
      <c r="T1631" s="230">
        <f>CONCATENATE(S1631,Q1631,P1631)</f>
        <v/>
      </c>
      <c r="U1631" s="206">
        <f>L1631*M1631</f>
        <v/>
      </c>
      <c r="V1631" s="4" t="n"/>
      <c r="W1631" s="4" t="n"/>
      <c r="X1631" s="4" t="n"/>
    </row>
    <row r="1632" ht="15.75" customHeight="1" thickBot="1">
      <c r="A1632" s="186" t="n">
        <v>274</v>
      </c>
      <c r="B1632" s="214" t="inlineStr">
        <is>
          <t>Mineral Water</t>
        </is>
      </c>
      <c r="C1632" s="124" t="n"/>
      <c r="D1632" s="115" t="n"/>
      <c r="E1632" s="124" t="n"/>
      <c r="F1632" s="124" t="n"/>
      <c r="G1632" s="124" t="n"/>
      <c r="H1632" s="84" t="n"/>
      <c r="I1632" s="7" t="n"/>
      <c r="J1632" s="32" t="inlineStr">
        <is>
          <t>Asia Brewery - Summit Still</t>
        </is>
      </c>
      <c r="K1632" s="24" t="n"/>
      <c r="L1632" s="36" t="n">
        <v>75</v>
      </c>
      <c r="M1632" s="204" t="n">
        <v>2</v>
      </c>
      <c r="N1632" s="177" t="n">
        <v>1</v>
      </c>
      <c r="O1632" s="13" t="n"/>
      <c r="P1632" s="139" t="inlineStr">
        <is>
          <t>liters</t>
        </is>
      </c>
      <c r="Q1632" s="2" t="n"/>
      <c r="R1632" s="1" t="n"/>
      <c r="S1632" s="229">
        <f>M1632*N1632</f>
        <v/>
      </c>
      <c r="T1632" s="230">
        <f>CONCATENATE(S1632,Q1632,P1632)</f>
        <v/>
      </c>
      <c r="U1632" s="206">
        <f>L1632*M1632</f>
        <v/>
      </c>
      <c r="V1632" s="4" t="n"/>
      <c r="W1632" s="4" t="n"/>
      <c r="X1632" s="4" t="n"/>
    </row>
    <row r="1633" ht="15.75" customHeight="1" thickBot="1">
      <c r="A1633" s="186" t="n">
        <v>279</v>
      </c>
      <c r="B1633" s="214" t="inlineStr">
        <is>
          <t>Misua</t>
        </is>
      </c>
      <c r="C1633" s="124" t="n"/>
      <c r="D1633" s="115" t="n"/>
      <c r="E1633" s="124" t="n"/>
      <c r="F1633" s="124" t="n"/>
      <c r="G1633" s="124" t="n"/>
      <c r="H1633" s="84" t="n"/>
      <c r="I1633" s="7" t="n"/>
      <c r="J1633" s="32" t="inlineStr">
        <is>
          <t>Excellent</t>
        </is>
      </c>
      <c r="K1633" s="24" t="n"/>
      <c r="L1633" s="36" t="n">
        <v>23.6</v>
      </c>
      <c r="M1633" s="204" t="n">
        <v>8</v>
      </c>
      <c r="N1633" s="177" t="n">
        <v>100</v>
      </c>
      <c r="O1633" s="13" t="n"/>
      <c r="P1633" s="139" t="inlineStr">
        <is>
          <t>grams</t>
        </is>
      </c>
      <c r="Q1633" s="2" t="n"/>
      <c r="R1633" s="1" t="n"/>
      <c r="S1633" s="229">
        <f>M1633*N1633</f>
        <v/>
      </c>
      <c r="T1633" s="230">
        <f>CONCATENATE(S1633,Q1633,P1633)</f>
        <v/>
      </c>
      <c r="U1633" s="206">
        <f>L1633*M1633</f>
        <v/>
      </c>
      <c r="V1633" s="4" t="n"/>
      <c r="W1633" s="4" t="n"/>
      <c r="X1633" s="4" t="n"/>
    </row>
    <row r="1634" ht="15.75" customHeight="1" thickBot="1">
      <c r="A1634" s="186" t="n">
        <v>279</v>
      </c>
      <c r="B1634" s="214" t="inlineStr">
        <is>
          <t>Misua</t>
        </is>
      </c>
      <c r="C1634" s="124" t="n"/>
      <c r="D1634" s="115" t="n"/>
      <c r="E1634" s="124" t="n"/>
      <c r="F1634" s="124" t="n"/>
      <c r="G1634" s="124" t="n"/>
      <c r="H1634" s="84" t="n"/>
      <c r="I1634" s="7" t="n"/>
      <c r="J1634" s="32" t="inlineStr">
        <is>
          <t>Excellent</t>
        </is>
      </c>
      <c r="K1634" s="24" t="n"/>
      <c r="L1634" s="36" t="n">
        <v>236.7</v>
      </c>
      <c r="M1634" s="204" t="n">
        <v>1</v>
      </c>
      <c r="N1634" s="177" t="n">
        <v>1</v>
      </c>
      <c r="O1634" s="13" t="n"/>
      <c r="P1634" s="139" t="inlineStr">
        <is>
          <t>kl</t>
        </is>
      </c>
      <c r="Q1634" s="2" t="n"/>
      <c r="R1634" s="1" t="n"/>
      <c r="S1634" s="229">
        <f>M1634*N1634</f>
        <v/>
      </c>
      <c r="T1634" s="230">
        <f>CONCATENATE(S1634,Q1634,P1634)</f>
        <v/>
      </c>
      <c r="U1634" s="206">
        <f>L1634*M1634</f>
        <v/>
      </c>
      <c r="V1634" s="4" t="n"/>
      <c r="W1634" s="4" t="n"/>
      <c r="X1634" s="4" t="n"/>
    </row>
    <row r="1635" ht="15.75" customHeight="1" thickBot="1">
      <c r="A1635" s="186" t="n">
        <v>279</v>
      </c>
      <c r="B1635" s="214" t="inlineStr">
        <is>
          <t>Misua</t>
        </is>
      </c>
      <c r="C1635" s="124" t="n"/>
      <c r="D1635" s="115" t="n"/>
      <c r="E1635" s="124" t="n"/>
      <c r="F1635" s="124" t="n"/>
      <c r="G1635" s="124" t="n"/>
      <c r="H1635" s="84" t="n"/>
      <c r="I1635" s="7" t="n"/>
      <c r="J1635" s="32" t="inlineStr">
        <is>
          <t>Pure Basics</t>
        </is>
      </c>
      <c r="K1635" s="24" t="n"/>
      <c r="L1635" s="36" t="n">
        <v>20</v>
      </c>
      <c r="M1635" s="204" t="n">
        <v>4</v>
      </c>
      <c r="N1635" s="177" t="n">
        <v>100</v>
      </c>
      <c r="O1635" s="13" t="n"/>
      <c r="P1635" s="139" t="inlineStr">
        <is>
          <t>grams</t>
        </is>
      </c>
      <c r="Q1635" s="2" t="n"/>
      <c r="R1635" s="1" t="n"/>
      <c r="S1635" s="229">
        <f>M1635*N1635</f>
        <v/>
      </c>
      <c r="T1635" s="230">
        <f>CONCATENATE(S1635,Q1635,P1635)</f>
        <v/>
      </c>
      <c r="U1635" s="206">
        <f>L1635*M1635</f>
        <v/>
      </c>
      <c r="V1635" s="4" t="n"/>
      <c r="W1635" s="4" t="n"/>
      <c r="X1635" s="4" t="n"/>
    </row>
    <row r="1636" ht="15.75" customHeight="1" thickBot="1">
      <c r="A1636" s="186" t="n">
        <v>279</v>
      </c>
      <c r="B1636" s="214" t="inlineStr">
        <is>
          <t>Misua</t>
        </is>
      </c>
      <c r="C1636" s="124" t="n"/>
      <c r="D1636" s="115" t="n"/>
      <c r="E1636" s="124" t="n"/>
      <c r="F1636" s="124" t="n"/>
      <c r="G1636" s="124" t="n"/>
      <c r="H1636" s="84" t="n"/>
      <c r="I1636" s="7" t="n"/>
      <c r="J1636" s="32" t="inlineStr">
        <is>
          <t>Unicorn</t>
        </is>
      </c>
      <c r="K1636" s="24" t="n"/>
      <c r="L1636" s="36" t="n">
        <v>125</v>
      </c>
      <c r="M1636" s="204" t="n">
        <v>2</v>
      </c>
      <c r="N1636" s="177" t="n">
        <v>1</v>
      </c>
      <c r="O1636" s="13" t="n"/>
      <c r="P1636" s="139" t="inlineStr">
        <is>
          <t>kilos</t>
        </is>
      </c>
      <c r="Q1636" s="2" t="n"/>
      <c r="R1636" s="1" t="n"/>
      <c r="S1636" s="229">
        <f>M1636*N1636</f>
        <v/>
      </c>
      <c r="T1636" s="230">
        <f>CONCATENATE(S1636,Q1636,P1636)</f>
        <v/>
      </c>
      <c r="U1636" s="206">
        <f>L1636*M1636</f>
        <v/>
      </c>
      <c r="V1636" s="4" t="n"/>
      <c r="W1636" s="4" t="n"/>
      <c r="X1636" s="4" t="n"/>
    </row>
    <row r="1637" ht="15.75" customHeight="1" thickBot="1">
      <c r="A1637" s="186" t="n">
        <v>279</v>
      </c>
      <c r="B1637" s="214" t="inlineStr">
        <is>
          <t>Misua</t>
        </is>
      </c>
      <c r="C1637" s="124" t="n"/>
      <c r="D1637" s="115" t="n"/>
      <c r="E1637" s="124" t="n"/>
      <c r="F1637" s="124" t="n"/>
      <c r="G1637" s="124" t="n"/>
      <c r="H1637" s="84" t="n"/>
      <c r="I1637" s="7" t="n"/>
      <c r="J1637" s="32" t="inlineStr">
        <is>
          <t>Edward Edit</t>
        </is>
      </c>
      <c r="K1637" s="24" t="n"/>
      <c r="L1637" s="36" t="n">
        <v>120</v>
      </c>
      <c r="M1637" s="204" t="n">
        <v>1</v>
      </c>
      <c r="N1637" s="177" t="n">
        <v>1</v>
      </c>
      <c r="O1637" s="13" t="n"/>
      <c r="P1637" s="139" t="inlineStr">
        <is>
          <t>kilos</t>
        </is>
      </c>
      <c r="Q1637" s="2" t="n"/>
      <c r="R1637" s="1" t="n"/>
      <c r="S1637" s="229">
        <f>M1637*N1637</f>
        <v/>
      </c>
      <c r="T1637" s="230">
        <f>CONCATENATE(S1637,Q1637,P1637)</f>
        <v/>
      </c>
      <c r="U1637" s="206">
        <f>L1637*M1637</f>
        <v/>
      </c>
      <c r="V1637" s="4" t="n"/>
      <c r="W1637" s="4" t="n"/>
      <c r="X1637" s="4" t="n"/>
    </row>
    <row r="1638" ht="15.75" customHeight="1" thickBot="1">
      <c r="A1638" s="186" t="n">
        <v>708</v>
      </c>
      <c r="B1638" s="214" t="inlineStr">
        <is>
          <t>Molo Wrapper</t>
        </is>
      </c>
      <c r="C1638" s="124" t="n"/>
      <c r="D1638" s="115" t="n"/>
      <c r="E1638" s="124" t="n"/>
      <c r="F1638" s="124" t="n"/>
      <c r="G1638" s="124" t="n"/>
      <c r="H1638" s="84" t="n"/>
      <c r="I1638" s="7" t="n"/>
      <c r="J1638" s="32" t="inlineStr">
        <is>
          <t>Dinks</t>
        </is>
      </c>
      <c r="K1638" s="24" t="n"/>
      <c r="L1638" s="36" t="n">
        <v>50</v>
      </c>
      <c r="M1638" s="204" t="n">
        <v>3</v>
      </c>
      <c r="N1638" s="177" t="n">
        <v>400</v>
      </c>
      <c r="O1638" s="13" t="n"/>
      <c r="P1638" s="139" t="inlineStr">
        <is>
          <t>grams</t>
        </is>
      </c>
      <c r="Q1638" s="2" t="n"/>
      <c r="R1638" s="1" t="n"/>
      <c r="S1638" s="229">
        <f>M1638*N1638</f>
        <v/>
      </c>
      <c r="T1638" s="230">
        <f>CONCATENATE(S1638,Q1638,P1638)</f>
        <v/>
      </c>
      <c r="U1638" s="206">
        <f>L1638*M1638</f>
        <v/>
      </c>
      <c r="V1638" s="4" t="n"/>
      <c r="W1638" s="4" t="n"/>
      <c r="X1638" s="4" t="n"/>
    </row>
    <row r="1639" ht="15.75" customHeight="1" thickBot="1">
      <c r="A1639" s="186" t="n">
        <v>283</v>
      </c>
      <c r="B1639" s="214" t="inlineStr">
        <is>
          <t>Monggo</t>
        </is>
      </c>
      <c r="C1639" s="124" t="n"/>
      <c r="D1639" s="115" t="n"/>
      <c r="E1639" s="124" t="n"/>
      <c r="F1639" s="124" t="n"/>
      <c r="G1639" s="124" t="n"/>
      <c r="H1639" s="84" t="n"/>
      <c r="I1639" s="7" t="n"/>
      <c r="J1639" s="32" t="n"/>
      <c r="K1639" s="24" t="n"/>
      <c r="L1639" s="36" t="n">
        <v>85</v>
      </c>
      <c r="M1639" s="204" t="n">
        <v>2</v>
      </c>
      <c r="N1639" s="177" t="n">
        <v>1</v>
      </c>
      <c r="O1639" s="13" t="n"/>
      <c r="P1639" s="139" t="inlineStr">
        <is>
          <t>kilos</t>
        </is>
      </c>
      <c r="Q1639" s="2" t="n"/>
      <c r="R1639" s="1" t="n"/>
      <c r="S1639" s="229">
        <f>M1639*N1639</f>
        <v/>
      </c>
      <c r="T1639" s="230">
        <f>CONCATENATE(S1639,Q1639,P1639)</f>
        <v/>
      </c>
      <c r="U1639" s="206">
        <f>L1639*M1639</f>
        <v/>
      </c>
      <c r="V1639" s="4" t="n"/>
      <c r="W1639" s="4" t="n"/>
      <c r="X1639" s="4" t="n"/>
    </row>
    <row r="1640" ht="15.75" customHeight="1" thickBot="1">
      <c r="A1640" s="186" t="n">
        <v>283</v>
      </c>
      <c r="B1640" s="214" t="inlineStr">
        <is>
          <t>Monggo</t>
        </is>
      </c>
      <c r="C1640" s="124" t="n"/>
      <c r="D1640" s="115" t="n"/>
      <c r="E1640" s="124" t="n"/>
      <c r="F1640" s="124" t="n"/>
      <c r="G1640" s="124" t="n"/>
      <c r="H1640" s="84" t="n"/>
      <c r="I1640" s="7" t="n"/>
      <c r="J1640" s="32" t="inlineStr">
        <is>
          <t>JRS Vegetables and Sea Foods</t>
        </is>
      </c>
      <c r="K1640" s="24" t="n"/>
      <c r="L1640" s="36" t="n">
        <v>88</v>
      </c>
      <c r="M1640" s="204" t="n">
        <v>6</v>
      </c>
      <c r="N1640" s="177" t="n">
        <v>1</v>
      </c>
      <c r="O1640" s="13" t="n"/>
      <c r="P1640" s="139" t="inlineStr">
        <is>
          <t>kilos</t>
        </is>
      </c>
      <c r="Q1640" s="2" t="n"/>
      <c r="R1640" s="1" t="n"/>
      <c r="S1640" s="229">
        <f>M1640*N1640</f>
        <v/>
      </c>
      <c r="T1640" s="230">
        <f>CONCATENATE(S1640,Q1640,P1640)</f>
        <v/>
      </c>
      <c r="U1640" s="206">
        <f>L1640*M1640</f>
        <v/>
      </c>
      <c r="V1640" s="4" t="n"/>
      <c r="W1640" s="4" t="n"/>
      <c r="X1640" s="4" t="n"/>
    </row>
    <row r="1641" ht="15.75" customHeight="1" thickBot="1">
      <c r="A1641" s="186" t="n">
        <v>283</v>
      </c>
      <c r="B1641" s="214" t="inlineStr">
        <is>
          <t>Monggo</t>
        </is>
      </c>
      <c r="C1641" s="124" t="n"/>
      <c r="D1641" s="115" t="n"/>
      <c r="E1641" s="124" t="n"/>
      <c r="F1641" s="124" t="n"/>
      <c r="G1641" s="124" t="n"/>
      <c r="H1641" s="84" t="n"/>
      <c r="I1641" s="7" t="n"/>
      <c r="J1641" s="32" t="n"/>
      <c r="K1641" s="24" t="n"/>
      <c r="L1641" s="36" t="n">
        <v>90</v>
      </c>
      <c r="M1641" s="204" t="n">
        <v>1</v>
      </c>
      <c r="N1641" s="177" t="n">
        <v>1</v>
      </c>
      <c r="O1641" s="13" t="n"/>
      <c r="P1641" s="139" t="inlineStr">
        <is>
          <t>kilos</t>
        </is>
      </c>
      <c r="Q1641" s="2" t="n"/>
      <c r="R1641" s="1" t="n"/>
      <c r="S1641" s="229">
        <f>M1641*N1641</f>
        <v/>
      </c>
      <c r="T1641" s="230">
        <f>CONCATENATE(S1641,Q1641,P1641)</f>
        <v/>
      </c>
      <c r="U1641" s="206">
        <f>L1641*M1641</f>
        <v/>
      </c>
      <c r="V1641" s="4" t="n"/>
      <c r="W1641" s="4" t="n"/>
      <c r="X1641" s="4" t="n"/>
    </row>
    <row r="1642" ht="15.75" customHeight="1" thickBot="1">
      <c r="A1642" s="186" t="n">
        <v>283</v>
      </c>
      <c r="B1642" s="214" t="inlineStr">
        <is>
          <t>Monggo</t>
        </is>
      </c>
      <c r="C1642" s="124" t="n"/>
      <c r="D1642" s="115" t="n"/>
      <c r="E1642" s="124" t="n"/>
      <c r="F1642" s="124" t="n"/>
      <c r="G1642" s="124" t="n"/>
      <c r="H1642" s="84" t="n"/>
      <c r="I1642" s="7" t="n"/>
      <c r="J1642" s="32" t="n"/>
      <c r="K1642" s="24" t="n"/>
      <c r="L1642" s="36" t="n">
        <v>100</v>
      </c>
      <c r="M1642" s="204" t="n">
        <v>7</v>
      </c>
      <c r="N1642" s="177" t="n">
        <v>1</v>
      </c>
      <c r="O1642" s="13" t="n"/>
      <c r="P1642" s="139" t="inlineStr">
        <is>
          <t>kilos</t>
        </is>
      </c>
      <c r="Q1642" s="2" t="n"/>
      <c r="R1642" s="1" t="n"/>
      <c r="S1642" s="229">
        <f>M1642*N1642</f>
        <v/>
      </c>
      <c r="T1642" s="230">
        <f>CONCATENATE(S1642,Q1642,P1642)</f>
        <v/>
      </c>
      <c r="U1642" s="206">
        <f>L1642*M1642</f>
        <v/>
      </c>
      <c r="V1642" s="4" t="n"/>
      <c r="W1642" s="4" t="n"/>
      <c r="X1642" s="4" t="n"/>
    </row>
    <row r="1643" ht="15.75" customHeight="1" thickBot="1">
      <c r="A1643" s="186" t="n">
        <v>283</v>
      </c>
      <c r="B1643" s="214" t="inlineStr">
        <is>
          <t>Monggo</t>
        </is>
      </c>
      <c r="C1643" s="124" t="n"/>
      <c r="D1643" s="115" t="n"/>
      <c r="E1643" s="124" t="n"/>
      <c r="F1643" s="124" t="n"/>
      <c r="G1643" s="124" t="n"/>
      <c r="H1643" s="84" t="n"/>
      <c r="I1643" s="7" t="n"/>
      <c r="J1643" s="32" t="n"/>
      <c r="K1643" s="24" t="n"/>
      <c r="L1643" s="36" t="n">
        <v>95</v>
      </c>
      <c r="M1643" s="204" t="n">
        <v>1</v>
      </c>
      <c r="N1643" s="177" t="n">
        <v>1</v>
      </c>
      <c r="O1643" s="13" t="n"/>
      <c r="P1643" s="139" t="inlineStr">
        <is>
          <t>kilos</t>
        </is>
      </c>
      <c r="Q1643" s="2" t="n"/>
      <c r="R1643" s="1" t="n"/>
      <c r="S1643" s="229">
        <f>M1643*N1643</f>
        <v/>
      </c>
      <c r="T1643" s="230">
        <f>CONCATENATE(S1643,Q1643,P1643)</f>
        <v/>
      </c>
      <c r="U1643" s="206">
        <f>L1643*M1643</f>
        <v/>
      </c>
      <c r="V1643" s="4" t="n"/>
      <c r="W1643" s="4" t="n"/>
      <c r="X1643" s="4" t="n"/>
    </row>
    <row r="1644" ht="15.75" customHeight="1" thickBot="1">
      <c r="A1644" s="186" t="n">
        <v>283</v>
      </c>
      <c r="B1644" s="214" t="inlineStr">
        <is>
          <t>Monggo</t>
        </is>
      </c>
      <c r="C1644" s="124" t="n"/>
      <c r="D1644" s="115" t="n"/>
      <c r="E1644" s="124" t="n"/>
      <c r="F1644" s="124" t="n"/>
      <c r="G1644" s="124" t="n"/>
      <c r="H1644" s="84" t="n"/>
      <c r="I1644" s="7" t="n"/>
      <c r="J1644" s="32" t="n"/>
      <c r="K1644" s="24" t="n"/>
      <c r="L1644" s="36" t="n">
        <v>130</v>
      </c>
      <c r="M1644" s="204" t="n">
        <v>1</v>
      </c>
      <c r="N1644" s="177" t="n">
        <v>1</v>
      </c>
      <c r="O1644" s="13" t="n"/>
      <c r="P1644" s="139" t="inlineStr">
        <is>
          <t>kilos</t>
        </is>
      </c>
      <c r="Q1644" s="2" t="n"/>
      <c r="R1644" s="1" t="n"/>
      <c r="S1644" s="229">
        <f>M1644*N1644</f>
        <v/>
      </c>
      <c r="T1644" s="230">
        <f>CONCATENATE(S1644,Q1644,P1644)</f>
        <v/>
      </c>
      <c r="U1644" s="206">
        <f>L1644*M1644</f>
        <v/>
      </c>
      <c r="V1644" s="4" t="n"/>
      <c r="W1644" s="4" t="n"/>
      <c r="X1644" s="4" t="n"/>
    </row>
    <row r="1645" ht="15.75" customHeight="1" thickBot="1">
      <c r="A1645" s="186" t="n">
        <v>283</v>
      </c>
      <c r="B1645" s="214" t="inlineStr">
        <is>
          <t>Monggo</t>
        </is>
      </c>
      <c r="C1645" s="124" t="n"/>
      <c r="D1645" s="115" t="n"/>
      <c r="E1645" s="124" t="n"/>
      <c r="F1645" s="124" t="n"/>
      <c r="G1645" s="124" t="n"/>
      <c r="H1645" s="84" t="n"/>
      <c r="I1645" s="7" t="n"/>
      <c r="J1645" s="32" t="inlineStr">
        <is>
          <t>Wet Market</t>
        </is>
      </c>
      <c r="K1645" s="24" t="n"/>
      <c r="L1645" s="36" t="n">
        <v>100</v>
      </c>
      <c r="M1645" s="204" t="n">
        <v>7</v>
      </c>
      <c r="N1645" s="177" t="n">
        <v>1</v>
      </c>
      <c r="O1645" s="13" t="n"/>
      <c r="P1645" s="139" t="inlineStr">
        <is>
          <t>kilos</t>
        </is>
      </c>
      <c r="Q1645" s="2" t="n"/>
      <c r="R1645" s="1" t="n"/>
      <c r="S1645" s="229">
        <f>M1645*N1645</f>
        <v/>
      </c>
      <c r="T1645" s="230">
        <f>CONCATENATE(S1645,Q1645,P1645)</f>
        <v/>
      </c>
      <c r="U1645" s="206">
        <f>L1645*M1645</f>
        <v/>
      </c>
      <c r="V1645" s="4" t="n"/>
      <c r="W1645" s="4" t="n"/>
      <c r="X1645" s="4" t="n"/>
    </row>
    <row r="1646" ht="15.75" customHeight="1" thickBot="1">
      <c r="A1646" s="186" t="n">
        <v>284</v>
      </c>
      <c r="B1646" s="214" t="inlineStr">
        <is>
          <t>Mop Head</t>
        </is>
      </c>
      <c r="C1646" s="124" t="n"/>
      <c r="D1646" s="115" t="n"/>
      <c r="E1646" s="124" t="n"/>
      <c r="F1646" s="124" t="n"/>
      <c r="G1646" s="124" t="n"/>
      <c r="H1646" s="84" t="n"/>
      <c r="I1646" s="7" t="n"/>
      <c r="J1646" s="32" t="inlineStr">
        <is>
          <t>Universal</t>
        </is>
      </c>
      <c r="K1646" s="24" t="n"/>
      <c r="L1646" s="36" t="n">
        <v>77.45</v>
      </c>
      <c r="M1646" s="204" t="n">
        <v>6</v>
      </c>
      <c r="N1646" s="177" t="n">
        <v>1</v>
      </c>
      <c r="O1646" s="13" t="n"/>
      <c r="P1646" s="139" t="inlineStr">
        <is>
          <t>pieces</t>
        </is>
      </c>
      <c r="Q1646" s="2" t="n"/>
      <c r="R1646" s="1" t="n"/>
      <c r="S1646" s="229">
        <f>M1646*N1646</f>
        <v/>
      </c>
      <c r="T1646" s="230">
        <f>CONCATENATE(S1646,Q1646,P1646)</f>
        <v/>
      </c>
      <c r="U1646" s="206">
        <f>L1646*M1646</f>
        <v/>
      </c>
      <c r="V1646" s="4" t="n"/>
      <c r="W1646" s="4" t="n"/>
      <c r="X1646" s="4" t="n"/>
    </row>
    <row r="1647" ht="15.75" customHeight="1" thickBot="1">
      <c r="A1647" s="186" t="n">
        <v>284</v>
      </c>
      <c r="B1647" s="214" t="inlineStr">
        <is>
          <t>Mop Head</t>
        </is>
      </c>
      <c r="C1647" s="124" t="n"/>
      <c r="D1647" s="115" t="n"/>
      <c r="E1647" s="124" t="n"/>
      <c r="F1647" s="124" t="n"/>
      <c r="G1647" s="124" t="n"/>
      <c r="H1647" s="84" t="n"/>
      <c r="I1647" s="7" t="n"/>
      <c r="J1647" s="32" t="inlineStr">
        <is>
          <t>Universal</t>
        </is>
      </c>
      <c r="K1647" s="24" t="n"/>
      <c r="L1647" s="36" t="n">
        <v>110</v>
      </c>
      <c r="M1647" s="204" t="n">
        <v>6</v>
      </c>
      <c r="N1647" s="177" t="n">
        <v>1</v>
      </c>
      <c r="O1647" s="13" t="n"/>
      <c r="P1647" s="139" t="inlineStr">
        <is>
          <t>pieces</t>
        </is>
      </c>
      <c r="Q1647" s="2" t="n"/>
      <c r="R1647" s="1" t="n"/>
      <c r="S1647" s="229">
        <f>M1647*N1647</f>
        <v/>
      </c>
      <c r="T1647" s="230">
        <f>CONCATENATE(S1647,Q1647,P1647)</f>
        <v/>
      </c>
      <c r="U1647" s="206">
        <f>L1647*M1647</f>
        <v/>
      </c>
      <c r="V1647" s="4" t="n"/>
      <c r="W1647" s="4" t="n"/>
      <c r="X1647" s="4" t="n"/>
    </row>
    <row r="1648" ht="15.75" customHeight="1" thickBot="1">
      <c r="A1648" s="186" t="n">
        <v>284</v>
      </c>
      <c r="B1648" s="214" t="inlineStr">
        <is>
          <t>Mop Head</t>
        </is>
      </c>
      <c r="C1648" s="124" t="n"/>
      <c r="D1648" s="115" t="n"/>
      <c r="E1648" s="124" t="n"/>
      <c r="F1648" s="124" t="n"/>
      <c r="G1648" s="124" t="n"/>
      <c r="H1648" s="84" t="n"/>
      <c r="I1648" s="7" t="n"/>
      <c r="J1648" s="32" t="n"/>
      <c r="K1648" s="24" t="n"/>
      <c r="L1648" s="36" t="n">
        <v>120</v>
      </c>
      <c r="M1648" s="204" t="n">
        <v>1</v>
      </c>
      <c r="N1648" s="177" t="n">
        <v>1</v>
      </c>
      <c r="O1648" s="13" t="n"/>
      <c r="P1648" s="139" t="inlineStr">
        <is>
          <t>pieces</t>
        </is>
      </c>
      <c r="Q1648" s="2" t="n"/>
      <c r="R1648" s="1" t="n"/>
      <c r="S1648" s="229">
        <f>M1648*N1648</f>
        <v/>
      </c>
      <c r="T1648" s="230">
        <f>CONCATENATE(S1648,Q1648,P1648)</f>
        <v/>
      </c>
      <c r="U1648" s="206">
        <f>L1648*M1648</f>
        <v/>
      </c>
      <c r="V1648" s="4" t="n"/>
      <c r="W1648" s="4" t="n"/>
      <c r="X1648" s="4" t="n"/>
    </row>
    <row r="1649" ht="15.75" customHeight="1" thickBot="1">
      <c r="A1649" s="186" t="n">
        <v>291</v>
      </c>
      <c r="B1649" s="214" t="inlineStr">
        <is>
          <t>Mushroom Pieces &amp; Stem</t>
        </is>
      </c>
      <c r="C1649" s="124" t="n"/>
      <c r="D1649" s="115" t="n"/>
      <c r="E1649" s="124" t="n"/>
      <c r="F1649" s="124" t="n"/>
      <c r="G1649" s="124" t="n"/>
      <c r="H1649" s="84" t="n"/>
      <c r="I1649" s="7" t="n"/>
      <c r="J1649" s="32" t="inlineStr">
        <is>
          <t>Jolly</t>
        </is>
      </c>
      <c r="K1649" s="24" t="n"/>
      <c r="L1649" s="36" t="n">
        <v>38.5</v>
      </c>
      <c r="M1649" s="204" t="n">
        <v>3</v>
      </c>
      <c r="N1649" s="177" t="n">
        <v>156</v>
      </c>
      <c r="O1649" s="13" t="n"/>
      <c r="P1649" s="139" t="inlineStr">
        <is>
          <t>grams</t>
        </is>
      </c>
      <c r="Q1649" s="2" t="n"/>
      <c r="R1649" s="1" t="n"/>
      <c r="S1649" s="229">
        <f>M1649*N1649</f>
        <v/>
      </c>
      <c r="T1649" s="230">
        <f>CONCATENATE(S1649,Q1649,P1649)</f>
        <v/>
      </c>
      <c r="U1649" s="206">
        <f>L1649*M1649</f>
        <v/>
      </c>
      <c r="V1649" s="4" t="n"/>
      <c r="W1649" s="4" t="n"/>
      <c r="X1649" s="4" t="n"/>
    </row>
    <row r="1650" ht="15.75" customHeight="1" thickBot="1">
      <c r="A1650" s="186" t="n">
        <v>291</v>
      </c>
      <c r="B1650" s="214" t="inlineStr">
        <is>
          <t>Mushroom Pieces &amp; Stem</t>
        </is>
      </c>
      <c r="C1650" s="124" t="n"/>
      <c r="D1650" s="115" t="n"/>
      <c r="E1650" s="124" t="n"/>
      <c r="F1650" s="124" t="n"/>
      <c r="G1650" s="124" t="n"/>
      <c r="H1650" s="84" t="n"/>
      <c r="I1650" s="7" t="n"/>
      <c r="J1650" s="32" t="inlineStr">
        <is>
          <t>Jolly</t>
        </is>
      </c>
      <c r="K1650" s="24" t="n"/>
      <c r="L1650" s="36" t="n">
        <v>47.9</v>
      </c>
      <c r="M1650" s="204" t="n">
        <v>12</v>
      </c>
      <c r="N1650" s="177" t="n">
        <v>156</v>
      </c>
      <c r="O1650" s="13" t="n"/>
      <c r="P1650" s="139" t="inlineStr">
        <is>
          <t>grams</t>
        </is>
      </c>
      <c r="Q1650" s="2" t="n"/>
      <c r="R1650" s="1" t="n"/>
      <c r="S1650" s="229">
        <f>M1650*N1650</f>
        <v/>
      </c>
      <c r="T1650" s="230">
        <f>CONCATENATE(S1650,Q1650,P1650)</f>
        <v/>
      </c>
      <c r="U1650" s="206">
        <f>L1650*M1650</f>
        <v/>
      </c>
      <c r="V1650" s="4" t="n"/>
      <c r="W1650" s="4" t="n"/>
      <c r="X1650" s="4" t="n"/>
    </row>
    <row r="1651" ht="15.75" customHeight="1" thickBot="1">
      <c r="A1651" s="186" t="n">
        <v>291</v>
      </c>
      <c r="B1651" s="214" t="inlineStr">
        <is>
          <t>Mushroom Pieces &amp; Stem</t>
        </is>
      </c>
      <c r="C1651" s="124" t="n"/>
      <c r="D1651" s="115" t="n"/>
      <c r="E1651" s="124" t="n"/>
      <c r="F1651" s="124" t="n"/>
      <c r="G1651" s="124" t="n"/>
      <c r="H1651" s="84" t="n"/>
      <c r="I1651" s="7" t="n"/>
      <c r="J1651" s="32" t="inlineStr">
        <is>
          <t>Jolly</t>
        </is>
      </c>
      <c r="K1651" s="24" t="n"/>
      <c r="L1651" s="36" t="n">
        <v>61</v>
      </c>
      <c r="M1651" s="204" t="n">
        <v>1</v>
      </c>
      <c r="N1651" s="177" t="n">
        <v>230</v>
      </c>
      <c r="O1651" s="13" t="n"/>
      <c r="P1651" s="139" t="inlineStr">
        <is>
          <t>drained weight grams</t>
        </is>
      </c>
      <c r="Q1651" s="2" t="n"/>
      <c r="R1651" s="1" t="n"/>
      <c r="S1651" s="229">
        <f>M1651*N1651</f>
        <v/>
      </c>
      <c r="T1651" s="230">
        <f>CONCATENATE(S1651,Q1651,P1651)</f>
        <v/>
      </c>
      <c r="U1651" s="206">
        <f>L1651*M1651</f>
        <v/>
      </c>
      <c r="V1651" s="4" t="n"/>
      <c r="W1651" s="4" t="n"/>
      <c r="X1651" s="4" t="n"/>
    </row>
    <row r="1652" ht="15.75" customHeight="1" thickBot="1">
      <c r="A1652" s="186" t="n">
        <v>292</v>
      </c>
      <c r="B1652" s="214" t="inlineStr">
        <is>
          <t>Mushroom Whole</t>
        </is>
      </c>
      <c r="C1652" s="124" t="n"/>
      <c r="D1652" s="115" t="n"/>
      <c r="E1652" s="124" t="n"/>
      <c r="F1652" s="124" t="n"/>
      <c r="G1652" s="124" t="n"/>
      <c r="H1652" s="84" t="n"/>
      <c r="I1652" s="7" t="n"/>
      <c r="J1652" s="32" t="inlineStr">
        <is>
          <t>Jolly</t>
        </is>
      </c>
      <c r="K1652" s="24" t="n"/>
      <c r="L1652" s="36" t="n">
        <v>63.8</v>
      </c>
      <c r="M1652" s="204" t="n">
        <v>10</v>
      </c>
      <c r="N1652" s="177" t="n">
        <v>200</v>
      </c>
      <c r="O1652" s="13" t="n"/>
      <c r="P1652" s="139" t="inlineStr">
        <is>
          <t>drained weight grams</t>
        </is>
      </c>
      <c r="Q1652" s="2" t="n"/>
      <c r="R1652" s="1" t="n"/>
      <c r="S1652" s="229">
        <f>M1652*N1652</f>
        <v/>
      </c>
      <c r="T1652" s="230">
        <f>CONCATENATE(S1652,Q1652,P1652)</f>
        <v/>
      </c>
      <c r="U1652" s="206">
        <f>L1652*M1652</f>
        <v/>
      </c>
      <c r="V1652" s="4" t="n"/>
      <c r="W1652" s="4" t="n"/>
      <c r="X1652" s="4" t="n"/>
    </row>
    <row r="1653" ht="15.75" customHeight="1" thickBot="1">
      <c r="A1653" s="186" t="n">
        <v>709</v>
      </c>
      <c r="B1653" s="214" t="inlineStr">
        <is>
          <t>Mustard</t>
        </is>
      </c>
      <c r="C1653" s="124" t="n"/>
      <c r="D1653" s="115" t="n"/>
      <c r="E1653" s="124" t="n"/>
      <c r="F1653" s="124" t="n"/>
      <c r="G1653" s="124" t="n"/>
      <c r="H1653" s="84" t="n"/>
      <c r="I1653" s="7" t="n"/>
      <c r="J1653" s="32" t="inlineStr">
        <is>
          <t>McCormick</t>
        </is>
      </c>
      <c r="K1653" s="24" t="n"/>
      <c r="L1653" s="36" t="n">
        <v>95.5</v>
      </c>
      <c r="M1653" s="204" t="n">
        <v>1</v>
      </c>
      <c r="N1653" s="177" t="n">
        <v>200</v>
      </c>
      <c r="O1653" s="13" t="n"/>
      <c r="P1653" s="139" t="inlineStr">
        <is>
          <t>grams</t>
        </is>
      </c>
      <c r="Q1653" s="2" t="n"/>
      <c r="R1653" s="1" t="n"/>
      <c r="S1653" s="229">
        <f>M1653*N1653</f>
        <v/>
      </c>
      <c r="T1653" s="230">
        <f>CONCATENATE(S1653,Q1653,P1653)</f>
        <v/>
      </c>
      <c r="U1653" s="206">
        <f>L1653*M1653</f>
        <v/>
      </c>
      <c r="V1653" s="4" t="n"/>
      <c r="W1653" s="4" t="n"/>
      <c r="X1653" s="4" t="n"/>
    </row>
    <row r="1654" ht="15.75" customHeight="1" thickBot="1">
      <c r="A1654" s="186" t="n">
        <v>709</v>
      </c>
      <c r="B1654" s="214" t="inlineStr">
        <is>
          <t>Mustard</t>
        </is>
      </c>
      <c r="C1654" s="124" t="n"/>
      <c r="D1654" s="115" t="n"/>
      <c r="E1654" s="124" t="n"/>
      <c r="F1654" s="124" t="n"/>
      <c r="G1654" s="124" t="n"/>
      <c r="H1654" s="84" t="n"/>
      <c r="I1654" s="7" t="n"/>
      <c r="J1654" s="32" t="inlineStr">
        <is>
          <t>McCormick</t>
        </is>
      </c>
      <c r="K1654" s="24" t="n"/>
      <c r="L1654" s="36" t="n">
        <v>79</v>
      </c>
      <c r="M1654" s="204" t="n">
        <v>1</v>
      </c>
      <c r="N1654" s="177" t="n">
        <v>200</v>
      </c>
      <c r="O1654" s="13" t="n"/>
      <c r="P1654" s="139" t="inlineStr">
        <is>
          <t>grams</t>
        </is>
      </c>
      <c r="Q1654" s="2" t="n"/>
      <c r="R1654" s="1" t="n"/>
      <c r="S1654" s="229">
        <f>M1654*N1654</f>
        <v/>
      </c>
      <c r="T1654" s="230">
        <f>CONCATENATE(S1654,Q1654,P1654)</f>
        <v/>
      </c>
      <c r="U1654" s="206">
        <f>L1654*M1654</f>
        <v/>
      </c>
      <c r="V1654" s="4" t="n"/>
      <c r="W1654" s="4" t="n"/>
      <c r="X1654" s="4" t="n"/>
    </row>
    <row r="1655" ht="15.75" customHeight="1" thickBot="1">
      <c r="A1655" s="186" t="n">
        <v>710</v>
      </c>
      <c r="B1655" s="214" t="inlineStr">
        <is>
          <t>Nata de Coco - Green</t>
        </is>
      </c>
      <c r="C1655" s="124" t="n"/>
      <c r="D1655" s="115" t="n"/>
      <c r="E1655" s="124" t="n"/>
      <c r="F1655" s="124" t="n"/>
      <c r="G1655" s="124" t="n"/>
      <c r="H1655" s="84" t="n"/>
      <c r="I1655" s="7" t="n"/>
      <c r="J1655" s="32" t="inlineStr">
        <is>
          <t>Fruit Delight</t>
        </is>
      </c>
      <c r="K1655" s="24" t="n"/>
      <c r="L1655" s="36" t="n">
        <v>180</v>
      </c>
      <c r="M1655" s="204" t="n">
        <v>1</v>
      </c>
      <c r="N1655" s="177" t="n">
        <v>896</v>
      </c>
      <c r="O1655" s="13" t="n"/>
      <c r="P1655" s="139" t="inlineStr">
        <is>
          <t>grams</t>
        </is>
      </c>
      <c r="Q1655" s="2" t="n"/>
      <c r="R1655" s="1" t="n"/>
      <c r="S1655" s="229">
        <f>M1655*N1655</f>
        <v/>
      </c>
      <c r="T1655" s="230">
        <f>CONCATENATE(S1655,Q1655,P1655)</f>
        <v/>
      </c>
      <c r="U1655" s="206">
        <f>L1655*M1655</f>
        <v/>
      </c>
      <c r="V1655" s="4" t="n"/>
      <c r="W1655" s="4" t="n"/>
      <c r="X1655" s="4" t="n"/>
    </row>
    <row r="1656" ht="15.75" customHeight="1" thickBot="1">
      <c r="A1656" s="186" t="n">
        <v>711</v>
      </c>
      <c r="B1656" s="214" t="inlineStr">
        <is>
          <t>Net Sponge</t>
        </is>
      </c>
      <c r="C1656" s="124" t="n"/>
      <c r="D1656" s="115" t="n"/>
      <c r="E1656" s="124" t="n"/>
      <c r="F1656" s="124" t="n"/>
      <c r="G1656" s="124" t="n"/>
      <c r="H1656" s="84" t="n"/>
      <c r="I1656" s="7" t="n"/>
      <c r="J1656" s="32" t="inlineStr">
        <is>
          <t>Scotch Brite</t>
        </is>
      </c>
      <c r="K1656" s="24" t="n"/>
      <c r="L1656" s="36" t="n">
        <v>49.75</v>
      </c>
      <c r="M1656" s="204" t="n">
        <v>6</v>
      </c>
      <c r="N1656" s="177" t="n">
        <v>1</v>
      </c>
      <c r="O1656" s="13" t="n"/>
      <c r="P1656" s="139" t="inlineStr">
        <is>
          <t>pieces</t>
        </is>
      </c>
      <c r="Q1656" s="2" t="n"/>
      <c r="R1656" s="1" t="n"/>
      <c r="S1656" s="229">
        <f>M1656*N1656</f>
        <v/>
      </c>
      <c r="T1656" s="230">
        <f>CONCATENATE(S1656,Q1656,P1656)</f>
        <v/>
      </c>
      <c r="U1656" s="206">
        <f>L1656*M1656</f>
        <v/>
      </c>
      <c r="V1656" s="4" t="n"/>
      <c r="W1656" s="4" t="n"/>
      <c r="X1656" s="4" t="n"/>
    </row>
    <row r="1657" ht="15.75" customHeight="1" thickBot="1">
      <c r="A1657" s="186" t="n">
        <v>712</v>
      </c>
      <c r="B1657" s="214" t="inlineStr">
        <is>
          <t>Niyog Kayod</t>
        </is>
      </c>
      <c r="C1657" s="124" t="n"/>
      <c r="D1657" s="115" t="n"/>
      <c r="E1657" s="124" t="n"/>
      <c r="F1657" s="124" t="n"/>
      <c r="G1657" s="124" t="n"/>
      <c r="H1657" s="84" t="n"/>
      <c r="I1657" s="7" t="n"/>
      <c r="J1657" s="32" t="n"/>
      <c r="K1657" s="24" t="n"/>
      <c r="L1657" s="36" t="n">
        <v>60</v>
      </c>
      <c r="M1657" s="204" t="n">
        <v>1</v>
      </c>
      <c r="N1657" s="177" t="n">
        <v>1</v>
      </c>
      <c r="O1657" s="13" t="n"/>
      <c r="P1657" s="139" t="inlineStr">
        <is>
          <t>kilos</t>
        </is>
      </c>
      <c r="Q1657" s="2" t="n"/>
      <c r="R1657" s="1" t="n"/>
      <c r="S1657" s="229">
        <f>M1657*N1657</f>
        <v/>
      </c>
      <c r="T1657" s="230">
        <f>CONCATENATE(S1657,Q1657,P1657)</f>
        <v/>
      </c>
      <c r="U1657" s="206">
        <f>L1657*M1657</f>
        <v/>
      </c>
      <c r="V1657" s="4" t="n"/>
      <c r="W1657" s="4" t="n"/>
      <c r="X1657" s="4" t="n"/>
    </row>
    <row r="1658" ht="15.75" customHeight="1" thickBot="1">
      <c r="A1658" s="186" t="n">
        <v>713</v>
      </c>
      <c r="B1658" s="215" t="inlineStr">
        <is>
          <t>Nutmeg</t>
        </is>
      </c>
      <c r="C1658" s="124" t="n"/>
      <c r="D1658" s="115" t="n"/>
      <c r="E1658" s="124" t="n"/>
      <c r="F1658" s="124" t="n"/>
      <c r="G1658" s="124" t="n"/>
      <c r="H1658" s="84" t="n"/>
      <c r="I1658" s="7" t="n"/>
      <c r="J1658" s="32" t="inlineStr">
        <is>
          <t>McCormick</t>
        </is>
      </c>
      <c r="K1658" s="24" t="n"/>
      <c r="L1658" s="36" t="n">
        <v>105</v>
      </c>
      <c r="M1658" s="204" t="n">
        <v>1</v>
      </c>
      <c r="N1658" s="177" t="n">
        <v>37</v>
      </c>
      <c r="O1658" s="13" t="n"/>
      <c r="P1658" s="139" t="inlineStr">
        <is>
          <t>grams</t>
        </is>
      </c>
      <c r="Q1658" s="2" t="n"/>
      <c r="R1658" s="1" t="n"/>
      <c r="S1658" s="229">
        <f>M1658*N1658</f>
        <v/>
      </c>
      <c r="T1658" s="230">
        <f>CONCATENATE(S1658,Q1658,P1658)</f>
        <v/>
      </c>
      <c r="U1658" s="206">
        <f>L1658*M1658</f>
        <v/>
      </c>
      <c r="V1658" s="4" t="n"/>
      <c r="W1658" s="4" t="n"/>
      <c r="X1658" s="4" t="n"/>
    </row>
    <row r="1659" ht="15.75" customHeight="1" thickBot="1">
      <c r="A1659" s="186" t="n">
        <v>713</v>
      </c>
      <c r="B1659" s="215" t="inlineStr">
        <is>
          <t>Nutmeg</t>
        </is>
      </c>
      <c r="C1659" s="124" t="n"/>
      <c r="D1659" s="115" t="n"/>
      <c r="E1659" s="124" t="n"/>
      <c r="F1659" s="124" t="n"/>
      <c r="G1659" s="124" t="n"/>
      <c r="H1659" s="84" t="n"/>
      <c r="I1659" s="7" t="n"/>
      <c r="J1659" s="32" t="inlineStr">
        <is>
          <t>McCormick</t>
        </is>
      </c>
      <c r="K1659" s="24" t="n"/>
      <c r="L1659" s="36" t="n">
        <v>125.25</v>
      </c>
      <c r="M1659" s="204" t="n">
        <v>2</v>
      </c>
      <c r="N1659" s="177" t="n">
        <v>37</v>
      </c>
      <c r="O1659" s="13" t="n"/>
      <c r="P1659" s="139" t="inlineStr">
        <is>
          <t>grams</t>
        </is>
      </c>
      <c r="Q1659" s="2" t="n"/>
      <c r="R1659" s="1" t="n"/>
      <c r="S1659" s="229">
        <f>M1659*N1659</f>
        <v/>
      </c>
      <c r="T1659" s="230">
        <f>CONCATENATE(S1659,Q1659,P1659)</f>
        <v/>
      </c>
      <c r="U1659" s="206">
        <f>L1659*M1659</f>
        <v/>
      </c>
      <c r="V1659" s="4" t="n"/>
      <c r="W1659" s="4" t="n"/>
      <c r="X1659" s="4" t="n"/>
    </row>
    <row r="1660" ht="15.75" customHeight="1" thickBot="1">
      <c r="A1660" s="186" t="n">
        <v>714</v>
      </c>
      <c r="B1660" s="214" t="inlineStr">
        <is>
          <t>Okra</t>
        </is>
      </c>
      <c r="C1660" s="124" t="n"/>
      <c r="D1660" s="115" t="n"/>
      <c r="E1660" s="124" t="n"/>
      <c r="F1660" s="124" t="n"/>
      <c r="G1660" s="124" t="n"/>
      <c r="H1660" s="84" t="n"/>
      <c r="I1660" s="7" t="n"/>
      <c r="J1660" s="32" t="n"/>
      <c r="K1660" s="24" t="n"/>
      <c r="L1660" s="36" t="n">
        <v>55</v>
      </c>
      <c r="M1660" s="204" t="n">
        <v>1</v>
      </c>
      <c r="N1660" s="177" t="n">
        <v>1</v>
      </c>
      <c r="O1660" s="13" t="n"/>
      <c r="P1660" s="139" t="inlineStr">
        <is>
          <t>kilos</t>
        </is>
      </c>
      <c r="Q1660" s="2" t="n"/>
      <c r="R1660" s="1" t="n"/>
      <c r="S1660" s="229">
        <f>M1660*N1660</f>
        <v/>
      </c>
      <c r="T1660" s="230">
        <f>CONCATENATE(S1660,Q1660,P1660)</f>
        <v/>
      </c>
      <c r="U1660" s="206">
        <f>L1660*M1660</f>
        <v/>
      </c>
      <c r="V1660" s="4" t="n"/>
      <c r="W1660" s="4" t="n"/>
      <c r="X1660" s="4" t="n"/>
    </row>
    <row r="1661" ht="15.75" customHeight="1" thickBot="1">
      <c r="A1661" s="186" t="n">
        <v>714</v>
      </c>
      <c r="B1661" s="214" t="inlineStr">
        <is>
          <t>Okra</t>
        </is>
      </c>
      <c r="C1661" s="124" t="n"/>
      <c r="D1661" s="115" t="n"/>
      <c r="E1661" s="124" t="n"/>
      <c r="F1661" s="124" t="n"/>
      <c r="G1661" s="124" t="n"/>
      <c r="H1661" s="84" t="n"/>
      <c r="I1661" s="7" t="n"/>
      <c r="J1661" s="32" t="n"/>
      <c r="K1661" s="24" t="n"/>
      <c r="L1661" s="36" t="n">
        <v>120</v>
      </c>
      <c r="M1661" s="204" t="n">
        <v>0</v>
      </c>
      <c r="N1661" s="177" t="n">
        <v>1</v>
      </c>
      <c r="O1661" s="13" t="n"/>
      <c r="P1661" s="139" t="inlineStr">
        <is>
          <t>kilos</t>
        </is>
      </c>
      <c r="Q1661" s="2" t="n"/>
      <c r="R1661" s="1" t="n"/>
      <c r="S1661" s="229">
        <f>M1661*N1661</f>
        <v/>
      </c>
      <c r="T1661" s="230">
        <f>CONCATENATE(S1661,Q1661,P1661)</f>
        <v/>
      </c>
      <c r="U1661" s="206">
        <f>L1661*M1661</f>
        <v/>
      </c>
      <c r="V1661" s="4" t="n"/>
      <c r="W1661" s="4" t="n"/>
      <c r="X1661" s="4" t="n"/>
    </row>
    <row r="1662" ht="15.75" customHeight="1" thickBot="1">
      <c r="A1662" s="186" t="n">
        <v>714</v>
      </c>
      <c r="B1662" s="214" t="inlineStr">
        <is>
          <t>Okra</t>
        </is>
      </c>
      <c r="C1662" s="124" t="n"/>
      <c r="D1662" s="115" t="n"/>
      <c r="E1662" s="124" t="n"/>
      <c r="F1662" s="124" t="n"/>
      <c r="G1662" s="124" t="n"/>
      <c r="H1662" s="84" t="n"/>
      <c r="I1662" s="7" t="n"/>
      <c r="J1662" s="32" t="n"/>
      <c r="K1662" s="24" t="n"/>
      <c r="L1662" s="36" t="n">
        <v>50</v>
      </c>
      <c r="M1662" s="204" t="n">
        <v>2</v>
      </c>
      <c r="N1662" s="177" t="n">
        <v>1</v>
      </c>
      <c r="O1662" s="13" t="n"/>
      <c r="P1662" s="139" t="inlineStr">
        <is>
          <t>kilos</t>
        </is>
      </c>
      <c r="Q1662" s="2" t="n"/>
      <c r="R1662" s="1" t="n"/>
      <c r="S1662" s="229">
        <f>M1662*N1662</f>
        <v/>
      </c>
      <c r="T1662" s="230">
        <f>CONCATENATE(S1662,Q1662,P1662)</f>
        <v/>
      </c>
      <c r="U1662" s="206">
        <f>L1662*M1662</f>
        <v/>
      </c>
      <c r="V1662" s="4" t="n"/>
      <c r="W1662" s="4" t="n"/>
      <c r="X1662" s="4" t="n"/>
    </row>
    <row r="1663" ht="15.75" customHeight="1" thickBot="1">
      <c r="A1663" s="186" t="n">
        <v>714</v>
      </c>
      <c r="B1663" s="214" t="inlineStr">
        <is>
          <t>Okra</t>
        </is>
      </c>
      <c r="C1663" s="124" t="n"/>
      <c r="D1663" s="115" t="n"/>
      <c r="E1663" s="124" t="n"/>
      <c r="F1663" s="124" t="n"/>
      <c r="G1663" s="124" t="n"/>
      <c r="H1663" s="84" t="n"/>
      <c r="I1663" s="7" t="n"/>
      <c r="J1663" s="32" t="n"/>
      <c r="K1663" s="24" t="n"/>
      <c r="L1663" s="36" t="n">
        <v>105</v>
      </c>
      <c r="M1663" s="204" t="n">
        <v>1</v>
      </c>
      <c r="N1663" s="177" t="n">
        <v>1</v>
      </c>
      <c r="O1663" s="13" t="n"/>
      <c r="P1663" s="139" t="inlineStr">
        <is>
          <t>kilos</t>
        </is>
      </c>
      <c r="Q1663" s="2" t="n"/>
      <c r="R1663" s="1" t="n"/>
      <c r="S1663" s="229">
        <f>M1663*N1663</f>
        <v/>
      </c>
      <c r="T1663" s="230">
        <f>CONCATENATE(S1663,Q1663,P1663)</f>
        <v/>
      </c>
      <c r="U1663" s="206">
        <f>L1663*M1663</f>
        <v/>
      </c>
      <c r="V1663" s="4" t="n"/>
      <c r="W1663" s="4" t="n"/>
      <c r="X1663" s="4" t="n"/>
    </row>
    <row r="1664" ht="15.75" customHeight="1" thickBot="1">
      <c r="A1664" s="186" t="n">
        <v>714</v>
      </c>
      <c r="B1664" s="214" t="inlineStr">
        <is>
          <t>Okra</t>
        </is>
      </c>
      <c r="C1664" s="124" t="n"/>
      <c r="D1664" s="115" t="n"/>
      <c r="E1664" s="124" t="n"/>
      <c r="F1664" s="124" t="n"/>
      <c r="G1664" s="124" t="n"/>
      <c r="H1664" s="84" t="n"/>
      <c r="I1664" s="7" t="n"/>
      <c r="J1664" s="32" t="inlineStr">
        <is>
          <t>Louise Food and Beverages Trading</t>
        </is>
      </c>
      <c r="K1664" s="24" t="n"/>
      <c r="L1664" s="36" t="n">
        <v>60</v>
      </c>
      <c r="M1664" s="204" t="n">
        <v>1</v>
      </c>
      <c r="N1664" s="177" t="n">
        <v>1</v>
      </c>
      <c r="O1664" s="13" t="n"/>
      <c r="P1664" s="139" t="inlineStr">
        <is>
          <t>kilos</t>
        </is>
      </c>
      <c r="Q1664" s="2" t="n"/>
      <c r="R1664" s="1" t="n"/>
      <c r="S1664" s="229">
        <f>M1664*N1664</f>
        <v/>
      </c>
      <c r="T1664" s="230">
        <f>CONCATENATE(S1664,Q1664,P1664)</f>
        <v/>
      </c>
      <c r="U1664" s="206">
        <f>L1664*M1664</f>
        <v/>
      </c>
      <c r="V1664" s="4" t="n"/>
      <c r="W1664" s="4" t="n"/>
      <c r="X1664" s="4" t="n"/>
    </row>
    <row r="1665" ht="15.75" customHeight="1" thickBot="1">
      <c r="A1665" s="186" t="n">
        <v>715</v>
      </c>
      <c r="B1665" s="214" t="inlineStr">
        <is>
          <t>Olive Oil</t>
        </is>
      </c>
      <c r="C1665" s="124" t="n"/>
      <c r="D1665" s="115" t="n"/>
      <c r="E1665" s="124" t="n"/>
      <c r="F1665" s="124" t="n"/>
      <c r="G1665" s="124" t="n"/>
      <c r="H1665" s="84" t="n"/>
      <c r="I1665" s="7" t="n"/>
      <c r="J1665" s="32" t="inlineStr">
        <is>
          <t>Dona Elena</t>
        </is>
      </c>
      <c r="K1665" s="24" t="n"/>
      <c r="L1665" s="36" t="n">
        <v>294</v>
      </c>
      <c r="M1665" s="204" t="n">
        <v>1</v>
      </c>
      <c r="N1665" s="177" t="n">
        <v>500</v>
      </c>
      <c r="O1665" s="13" t="n"/>
      <c r="P1665" s="139" t="inlineStr">
        <is>
          <t>grams</t>
        </is>
      </c>
      <c r="Q1665" s="2" t="n"/>
      <c r="R1665" s="1" t="n"/>
      <c r="S1665" s="229">
        <f>M1665*N1665</f>
        <v/>
      </c>
      <c r="T1665" s="230">
        <f>CONCATENATE(S1665,Q1665,P1665)</f>
        <v/>
      </c>
      <c r="U1665" s="206">
        <f>L1665*M1665</f>
        <v/>
      </c>
      <c r="V1665" s="4" t="n"/>
      <c r="W1665" s="4" t="n"/>
      <c r="X1665" s="4" t="n"/>
    </row>
    <row r="1666" ht="15.75" customHeight="1" thickBot="1">
      <c r="A1666" s="186" t="n">
        <v>715</v>
      </c>
      <c r="B1666" s="214" t="inlineStr">
        <is>
          <t>Olive Oil</t>
        </is>
      </c>
      <c r="C1666" s="124" t="n"/>
      <c r="D1666" s="115" t="n"/>
      <c r="E1666" s="124" t="n"/>
      <c r="F1666" s="124" t="n"/>
      <c r="G1666" s="124" t="n"/>
      <c r="H1666" s="84" t="n"/>
      <c r="I1666" s="7" t="n"/>
      <c r="J1666" s="32" t="inlineStr">
        <is>
          <t>Dona Elena</t>
        </is>
      </c>
      <c r="K1666" s="24" t="n"/>
      <c r="L1666" s="36" t="n">
        <v>534.75</v>
      </c>
      <c r="M1666" s="204" t="n">
        <v>1</v>
      </c>
      <c r="N1666" s="177" t="n">
        <v>500</v>
      </c>
      <c r="O1666" s="13" t="n"/>
      <c r="P1666" s="139" t="inlineStr">
        <is>
          <t>ml</t>
        </is>
      </c>
      <c r="Q1666" s="2" t="n"/>
      <c r="R1666" s="1" t="n"/>
      <c r="S1666" s="229">
        <f>M1666*N1666</f>
        <v/>
      </c>
      <c r="T1666" s="230">
        <f>CONCATENATE(S1666,Q1666,P1666)</f>
        <v/>
      </c>
      <c r="U1666" s="206">
        <f>L1666*M1666</f>
        <v/>
      </c>
      <c r="V1666" s="4" t="n"/>
      <c r="W1666" s="4" t="n"/>
      <c r="X1666" s="4" t="n"/>
    </row>
    <row r="1667" ht="15.75" customHeight="1" thickBot="1">
      <c r="A1667" s="186" t="n">
        <v>715</v>
      </c>
      <c r="B1667" s="215" t="inlineStr">
        <is>
          <t>Olive Oil</t>
        </is>
      </c>
      <c r="C1667" s="124" t="n"/>
      <c r="D1667" s="115" t="n"/>
      <c r="E1667" s="124" t="n"/>
      <c r="F1667" s="124" t="n"/>
      <c r="G1667" s="124" t="n"/>
      <c r="H1667" s="84" t="n"/>
      <c r="I1667" s="7" t="n"/>
      <c r="J1667" s="32" t="inlineStr">
        <is>
          <t>Filippo Berio</t>
        </is>
      </c>
      <c r="K1667" s="24" t="n"/>
      <c r="L1667" s="36" t="n">
        <v>244.5</v>
      </c>
      <c r="M1667" s="204" t="n">
        <v>1</v>
      </c>
      <c r="N1667" s="177" t="n">
        <v>250</v>
      </c>
      <c r="O1667" s="13" t="n"/>
      <c r="P1667" s="139" t="inlineStr">
        <is>
          <t>ml</t>
        </is>
      </c>
      <c r="Q1667" s="2" t="n"/>
      <c r="R1667" s="1" t="n"/>
      <c r="S1667" s="229">
        <f>M1667*N1667</f>
        <v/>
      </c>
      <c r="T1667" s="230">
        <f>CONCATENATE(S1667,Q1667,P1667)</f>
        <v/>
      </c>
      <c r="U1667" s="206">
        <f>L1667*M1667</f>
        <v/>
      </c>
      <c r="V1667" s="4" t="n"/>
      <c r="W1667" s="4" t="n"/>
      <c r="X1667" s="4" t="n"/>
    </row>
    <row r="1668" ht="15.75" customHeight="1" thickBot="1">
      <c r="A1668" s="186" t="n">
        <v>301</v>
      </c>
      <c r="B1668" s="214" t="inlineStr">
        <is>
          <t>Olive Oil - Pure</t>
        </is>
      </c>
      <c r="C1668" s="124" t="n"/>
      <c r="D1668" s="115" t="n"/>
      <c r="E1668" s="124" t="n"/>
      <c r="F1668" s="124" t="n"/>
      <c r="G1668" s="124" t="n"/>
      <c r="H1668" s="84" t="n"/>
      <c r="I1668" s="7" t="n"/>
      <c r="J1668" s="32" t="inlineStr">
        <is>
          <t>Dona Elena</t>
        </is>
      </c>
      <c r="K1668" s="24" t="n"/>
      <c r="L1668" s="36" t="n">
        <v>279.7</v>
      </c>
      <c r="M1668" s="204" t="n">
        <v>1</v>
      </c>
      <c r="N1668" s="177" t="n">
        <v>250</v>
      </c>
      <c r="O1668" s="13" t="n"/>
      <c r="P1668" s="139" t="inlineStr">
        <is>
          <t>ml</t>
        </is>
      </c>
      <c r="Q1668" s="2" t="n"/>
      <c r="R1668" s="1" t="n"/>
      <c r="S1668" s="229">
        <f>M1668*N1668</f>
        <v/>
      </c>
      <c r="T1668" s="230">
        <f>CONCATENATE(S1668,Q1668,P1668)</f>
        <v/>
      </c>
      <c r="U1668" s="206">
        <f>L1668*M1668</f>
        <v/>
      </c>
      <c r="V1668" s="4" t="n"/>
      <c r="W1668" s="4" t="n"/>
      <c r="X1668" s="4" t="n"/>
    </row>
    <row r="1669" ht="15.75" customHeight="1" thickBot="1">
      <c r="A1669" s="186" t="n">
        <v>301</v>
      </c>
      <c r="B1669" s="214" t="inlineStr">
        <is>
          <t>Olive Oil - Pure</t>
        </is>
      </c>
      <c r="C1669" s="124" t="n"/>
      <c r="D1669" s="115" t="n"/>
      <c r="E1669" s="124" t="n"/>
      <c r="F1669" s="124" t="n"/>
      <c r="G1669" s="124" t="n"/>
      <c r="H1669" s="84" t="n"/>
      <c r="I1669" s="7" t="n"/>
      <c r="J1669" s="32" t="inlineStr">
        <is>
          <t>Dona Elena</t>
        </is>
      </c>
      <c r="K1669" s="24" t="n"/>
      <c r="L1669" s="36" t="n">
        <v>263.5</v>
      </c>
      <c r="M1669" s="204" t="n">
        <v>1</v>
      </c>
      <c r="N1669" s="177" t="n">
        <v>250</v>
      </c>
      <c r="O1669" s="13" t="n"/>
      <c r="P1669" s="139" t="inlineStr">
        <is>
          <t>ml</t>
        </is>
      </c>
      <c r="Q1669" s="2" t="n"/>
      <c r="R1669" s="1" t="n"/>
      <c r="S1669" s="229">
        <f>M1669*N1669</f>
        <v/>
      </c>
      <c r="T1669" s="230">
        <f>CONCATENATE(S1669,Q1669,P1669)</f>
        <v/>
      </c>
      <c r="U1669" s="206">
        <f>L1669*M1669</f>
        <v/>
      </c>
      <c r="V1669" s="4" t="n"/>
      <c r="W1669" s="4" t="n"/>
      <c r="X1669" s="4" t="n"/>
    </row>
    <row r="1670" ht="15.75" customHeight="1" thickBot="1">
      <c r="A1670" s="186" t="n">
        <v>301</v>
      </c>
      <c r="B1670" s="214" t="inlineStr">
        <is>
          <t>Olive Oil - Pure</t>
        </is>
      </c>
      <c r="C1670" s="124" t="n"/>
      <c r="D1670" s="115" t="n"/>
      <c r="E1670" s="124" t="n"/>
      <c r="F1670" s="124" t="n"/>
      <c r="G1670" s="124" t="n"/>
      <c r="H1670" s="84" t="n"/>
      <c r="I1670" s="7" t="n"/>
      <c r="J1670" s="32" t="inlineStr">
        <is>
          <t>Dona Elena</t>
        </is>
      </c>
      <c r="K1670" s="24" t="n"/>
      <c r="L1670" s="36" t="n">
        <v>290</v>
      </c>
      <c r="M1670" s="204" t="n">
        <v>4</v>
      </c>
      <c r="N1670" s="177" t="n">
        <v>250</v>
      </c>
      <c r="O1670" s="13" t="n"/>
      <c r="P1670" s="139" t="inlineStr">
        <is>
          <t>grams</t>
        </is>
      </c>
      <c r="Q1670" s="2" t="n"/>
      <c r="R1670" s="1" t="n"/>
      <c r="S1670" s="229">
        <f>M1670*N1670</f>
        <v/>
      </c>
      <c r="T1670" s="230">
        <f>CONCATENATE(S1670,Q1670,P1670)</f>
        <v/>
      </c>
      <c r="U1670" s="206">
        <f>L1670*M1670</f>
        <v/>
      </c>
      <c r="V1670" s="4" t="n"/>
      <c r="W1670" s="4" t="n"/>
      <c r="X1670" s="4" t="n"/>
    </row>
    <row r="1671" ht="15.75" customHeight="1" thickBot="1">
      <c r="A1671" s="186" t="n">
        <v>301</v>
      </c>
      <c r="B1671" s="215" t="inlineStr">
        <is>
          <t>Olive Oil - Pure</t>
        </is>
      </c>
      <c r="C1671" s="124" t="n"/>
      <c r="D1671" s="115" t="n"/>
      <c r="E1671" s="124" t="n"/>
      <c r="F1671" s="124" t="n"/>
      <c r="G1671" s="124" t="n"/>
      <c r="H1671" s="84" t="n"/>
      <c r="I1671" s="7" t="n"/>
      <c r="J1671" s="32" t="inlineStr">
        <is>
          <t>Dona Elena</t>
        </is>
      </c>
      <c r="K1671" s="24" t="n"/>
      <c r="L1671" s="36" t="n">
        <v>279.1</v>
      </c>
      <c r="M1671" s="204" t="n">
        <v>1</v>
      </c>
      <c r="N1671" s="177" t="n">
        <v>250</v>
      </c>
      <c r="O1671" s="13" t="n"/>
      <c r="P1671" s="139" t="inlineStr">
        <is>
          <t>ml</t>
        </is>
      </c>
      <c r="Q1671" s="2" t="n"/>
      <c r="R1671" s="1" t="n"/>
      <c r="S1671" s="229">
        <f>M1671*N1671</f>
        <v/>
      </c>
      <c r="T1671" s="230">
        <f>CONCATENATE(S1671,Q1671,P1671)</f>
        <v/>
      </c>
      <c r="U1671" s="206">
        <f>L1671*M1671</f>
        <v/>
      </c>
      <c r="V1671" s="4" t="n"/>
      <c r="W1671" s="4" t="n"/>
      <c r="X1671" s="4" t="n"/>
    </row>
    <row r="1672" ht="15.75" customHeight="1" thickBot="1">
      <c r="A1672" s="186" t="n">
        <v>716</v>
      </c>
      <c r="B1672" s="214" t="inlineStr">
        <is>
          <t>Onion Leeks</t>
        </is>
      </c>
      <c r="C1672" s="124" t="n"/>
      <c r="D1672" s="115" t="n"/>
      <c r="E1672" s="124" t="n"/>
      <c r="F1672" s="124" t="n"/>
      <c r="G1672" s="124" t="n"/>
      <c r="H1672" s="84" t="n"/>
      <c r="I1672" s="7" t="n"/>
      <c r="J1672" s="32" t="n"/>
      <c r="K1672" s="24" t="n"/>
      <c r="L1672" s="36" t="n">
        <v>100</v>
      </c>
      <c r="M1672" s="204" t="n">
        <v>0</v>
      </c>
      <c r="N1672" s="177" t="n">
        <v>1</v>
      </c>
      <c r="O1672" s="13" t="n"/>
      <c r="P1672" s="139" t="inlineStr">
        <is>
          <t>kilos</t>
        </is>
      </c>
      <c r="Q1672" s="2" t="n"/>
      <c r="R1672" s="1" t="n"/>
      <c r="S1672" s="229">
        <f>M1672*N1672</f>
        <v/>
      </c>
      <c r="T1672" s="230">
        <f>CONCATENATE(S1672,Q1672,P1672)</f>
        <v/>
      </c>
      <c r="U1672" s="206">
        <f>L1672*M1672</f>
        <v/>
      </c>
      <c r="V1672" s="4" t="n"/>
      <c r="W1672" s="4" t="n"/>
      <c r="X1672" s="4" t="n"/>
    </row>
    <row r="1673" ht="15.75" customHeight="1" thickBot="1">
      <c r="A1673" s="186" t="n">
        <v>716</v>
      </c>
      <c r="B1673" s="214" t="inlineStr">
        <is>
          <t>Onion Leeks</t>
        </is>
      </c>
      <c r="C1673" s="124" t="n"/>
      <c r="D1673" s="115" t="n"/>
      <c r="E1673" s="124" t="n"/>
      <c r="F1673" s="124" t="n"/>
      <c r="G1673" s="124" t="n"/>
      <c r="H1673" s="84" t="n"/>
      <c r="I1673" s="7" t="n"/>
      <c r="J1673" s="32" t="n"/>
      <c r="K1673" s="24" t="n"/>
      <c r="L1673" s="36" t="n">
        <v>110</v>
      </c>
      <c r="M1673" s="204" t="n">
        <v>0</v>
      </c>
      <c r="N1673" s="177" t="n">
        <v>1</v>
      </c>
      <c r="O1673" s="13" t="n"/>
      <c r="P1673" s="139" t="inlineStr">
        <is>
          <t>kilos</t>
        </is>
      </c>
      <c r="Q1673" s="2" t="n"/>
      <c r="R1673" s="1" t="n"/>
      <c r="S1673" s="229">
        <f>M1673*N1673</f>
        <v/>
      </c>
      <c r="T1673" s="230">
        <f>CONCATENATE(S1673,Q1673,P1673)</f>
        <v/>
      </c>
      <c r="U1673" s="206">
        <f>L1673*M1673</f>
        <v/>
      </c>
      <c r="V1673" s="4" t="n"/>
      <c r="W1673" s="4" t="n"/>
      <c r="X1673" s="4" t="n"/>
    </row>
    <row r="1674" ht="15.75" customHeight="1" thickBot="1">
      <c r="A1674" s="186" t="n">
        <v>717</v>
      </c>
      <c r="B1674" s="215" t="inlineStr">
        <is>
          <t>Onion Powder</t>
        </is>
      </c>
      <c r="C1674" s="124" t="n"/>
      <c r="D1674" s="115" t="n"/>
      <c r="E1674" s="124" t="n"/>
      <c r="F1674" s="124" t="n"/>
      <c r="G1674" s="124" t="n"/>
      <c r="H1674" s="84" t="n"/>
      <c r="I1674" s="7" t="n"/>
      <c r="J1674" s="32" t="inlineStr">
        <is>
          <t>J&amp;Y</t>
        </is>
      </c>
      <c r="K1674" s="24" t="n"/>
      <c r="L1674" s="36" t="n">
        <v>14.35</v>
      </c>
      <c r="M1674" s="204" t="n">
        <v>1</v>
      </c>
      <c r="N1674" s="177" t="n">
        <v>30</v>
      </c>
      <c r="O1674" s="13" t="n"/>
      <c r="P1674" s="139" t="inlineStr">
        <is>
          <t>grams</t>
        </is>
      </c>
      <c r="Q1674" s="2" t="n"/>
      <c r="R1674" s="1" t="n"/>
      <c r="S1674" s="229">
        <f>M1674*N1674</f>
        <v/>
      </c>
      <c r="T1674" s="230">
        <f>CONCATENATE(S1674,Q1674,P1674)</f>
        <v/>
      </c>
      <c r="U1674" s="206">
        <f>L1674*M1674</f>
        <v/>
      </c>
      <c r="V1674" s="4" t="n"/>
      <c r="W1674" s="4" t="n"/>
      <c r="X1674" s="4" t="n"/>
    </row>
    <row r="1675" ht="15.75" customHeight="1" thickBot="1">
      <c r="A1675" s="186" t="n">
        <v>718</v>
      </c>
      <c r="B1675" s="214" t="inlineStr">
        <is>
          <t>Onion Red</t>
        </is>
      </c>
      <c r="C1675" s="124" t="n"/>
      <c r="D1675" s="115" t="n"/>
      <c r="E1675" s="124" t="n"/>
      <c r="F1675" s="124" t="n"/>
      <c r="G1675" s="124" t="n"/>
      <c r="H1675" s="84" t="n"/>
      <c r="I1675" s="7" t="n"/>
      <c r="J1675" s="32" t="n"/>
      <c r="K1675" s="24" t="n"/>
      <c r="L1675" s="36" t="n">
        <v>95</v>
      </c>
      <c r="M1675" s="204" t="n">
        <v>1</v>
      </c>
      <c r="N1675" s="177" t="n">
        <v>1</v>
      </c>
      <c r="O1675" s="13" t="n"/>
      <c r="P1675" s="139" t="inlineStr">
        <is>
          <t>kilos</t>
        </is>
      </c>
      <c r="Q1675" s="2" t="n"/>
      <c r="R1675" s="1" t="n"/>
      <c r="S1675" s="229">
        <f>M1675*N1675</f>
        <v/>
      </c>
      <c r="T1675" s="230">
        <f>CONCATENATE(S1675,Q1675,P1675)</f>
        <v/>
      </c>
      <c r="U1675" s="206">
        <f>L1675*M1675</f>
        <v/>
      </c>
      <c r="V1675" s="4" t="n"/>
      <c r="W1675" s="4" t="n"/>
      <c r="X1675" s="4" t="n"/>
    </row>
    <row r="1676" ht="15.75" customHeight="1" thickBot="1">
      <c r="A1676" s="186" t="n">
        <v>718</v>
      </c>
      <c r="B1676" s="214" t="inlineStr">
        <is>
          <t>Onion Red</t>
        </is>
      </c>
      <c r="C1676" s="124" t="n"/>
      <c r="D1676" s="115" t="n"/>
      <c r="E1676" s="124" t="n"/>
      <c r="F1676" s="124" t="n"/>
      <c r="G1676" s="124" t="n"/>
      <c r="H1676" s="84" t="n"/>
      <c r="I1676" s="7" t="n"/>
      <c r="J1676" s="32" t="n"/>
      <c r="K1676" s="24" t="n"/>
      <c r="L1676" s="36" t="n">
        <v>280</v>
      </c>
      <c r="M1676" s="204" t="n">
        <v>1</v>
      </c>
      <c r="N1676" s="177" t="n">
        <v>1</v>
      </c>
      <c r="O1676" s="13" t="n"/>
      <c r="P1676" s="139" t="inlineStr">
        <is>
          <t>kilos</t>
        </is>
      </c>
      <c r="Q1676" s="2" t="n"/>
      <c r="R1676" s="1" t="n"/>
      <c r="S1676" s="229">
        <f>M1676*N1676</f>
        <v/>
      </c>
      <c r="T1676" s="230">
        <f>CONCATENATE(S1676,Q1676,P1676)</f>
        <v/>
      </c>
      <c r="U1676" s="206">
        <f>L1676*M1676</f>
        <v/>
      </c>
      <c r="V1676" s="4" t="n"/>
      <c r="W1676" s="4" t="n"/>
      <c r="X1676" s="4" t="n"/>
    </row>
    <row r="1677" ht="15.75" customHeight="1" thickBot="1">
      <c r="A1677" s="186" t="n">
        <v>302</v>
      </c>
      <c r="B1677" s="218" t="inlineStr">
        <is>
          <t>Onion White</t>
        </is>
      </c>
      <c r="C1677" s="124" t="n"/>
      <c r="D1677" s="115" t="n"/>
      <c r="E1677" s="124" t="n"/>
      <c r="F1677" s="124" t="n"/>
      <c r="G1677" s="124" t="n"/>
      <c r="H1677" s="84" t="n"/>
      <c r="I1677" s="7" t="n"/>
      <c r="J1677" s="32" t="inlineStr">
        <is>
          <t>Hernan Logmao</t>
        </is>
      </c>
      <c r="K1677" s="24" t="n"/>
      <c r="L1677" s="36" t="n">
        <v>110</v>
      </c>
      <c r="M1677" s="204" t="n">
        <v>1</v>
      </c>
      <c r="N1677" s="177" t="n">
        <v>1</v>
      </c>
      <c r="O1677" s="13" t="n"/>
      <c r="P1677" s="139" t="inlineStr">
        <is>
          <t>kilos</t>
        </is>
      </c>
      <c r="Q1677" s="2" t="n"/>
      <c r="R1677" s="1" t="n"/>
      <c r="S1677" s="229">
        <f>M1677*N1677</f>
        <v/>
      </c>
      <c r="T1677" s="230">
        <f>CONCATENATE(S1677,Q1677,P1677)</f>
        <v/>
      </c>
      <c r="U1677" s="206">
        <f>L1677*M1677</f>
        <v/>
      </c>
      <c r="V1677" s="4" t="n"/>
      <c r="W1677" s="4" t="n"/>
      <c r="X1677" s="4" t="n"/>
    </row>
    <row r="1678" ht="15.75" customHeight="1" thickBot="1">
      <c r="A1678" s="186" t="n">
        <v>302</v>
      </c>
      <c r="B1678" s="214" t="inlineStr">
        <is>
          <t>Onion White</t>
        </is>
      </c>
      <c r="C1678" s="124" t="n"/>
      <c r="D1678" s="115" t="n"/>
      <c r="E1678" s="124" t="n"/>
      <c r="F1678" s="124" t="n"/>
      <c r="G1678" s="124" t="n"/>
      <c r="H1678" s="84" t="n"/>
      <c r="I1678" s="7" t="n"/>
      <c r="J1678" s="32" t="n"/>
      <c r="K1678" s="24" t="n"/>
      <c r="L1678" s="36" t="n">
        <v>85</v>
      </c>
      <c r="M1678" s="204" t="n">
        <v>2</v>
      </c>
      <c r="N1678" s="177" t="n">
        <v>1</v>
      </c>
      <c r="O1678" s="13" t="n"/>
      <c r="P1678" s="139" t="inlineStr">
        <is>
          <t>kilos</t>
        </is>
      </c>
      <c r="Q1678" s="2" t="n"/>
      <c r="R1678" s="1" t="n"/>
      <c r="S1678" s="229">
        <f>M1678*N1678</f>
        <v/>
      </c>
      <c r="T1678" s="230">
        <f>CONCATENATE(S1678,Q1678,P1678)</f>
        <v/>
      </c>
      <c r="U1678" s="206">
        <f>L1678*M1678</f>
        <v/>
      </c>
      <c r="V1678" s="4" t="n"/>
      <c r="W1678" s="4" t="n"/>
      <c r="X1678" s="4" t="n"/>
    </row>
    <row r="1679" ht="15.75" customHeight="1" thickBot="1">
      <c r="A1679" s="186" t="n">
        <v>302</v>
      </c>
      <c r="B1679" s="214" t="inlineStr">
        <is>
          <t>Onion White</t>
        </is>
      </c>
      <c r="C1679" s="124" t="n"/>
      <c r="D1679" s="115" t="n"/>
      <c r="E1679" s="124" t="n"/>
      <c r="F1679" s="124" t="n"/>
      <c r="G1679" s="124" t="n"/>
      <c r="H1679" s="84" t="n"/>
      <c r="I1679" s="7" t="n"/>
      <c r="J1679" s="32" t="n"/>
      <c r="K1679" s="24" t="n"/>
      <c r="L1679" s="36" t="n">
        <v>140</v>
      </c>
      <c r="M1679" s="204" t="n">
        <v>2</v>
      </c>
      <c r="N1679" s="177" t="n">
        <v>1</v>
      </c>
      <c r="O1679" s="13" t="n"/>
      <c r="P1679" s="139" t="inlineStr">
        <is>
          <t>kilos</t>
        </is>
      </c>
      <c r="Q1679" s="2" t="n"/>
      <c r="R1679" s="1" t="n"/>
      <c r="S1679" s="229">
        <f>M1679*N1679</f>
        <v/>
      </c>
      <c r="T1679" s="230">
        <f>CONCATENATE(S1679,Q1679,P1679)</f>
        <v/>
      </c>
      <c r="U1679" s="206">
        <f>L1679*M1679</f>
        <v/>
      </c>
      <c r="V1679" s="4" t="n"/>
      <c r="W1679" s="4" t="n"/>
      <c r="X1679" s="4" t="n"/>
    </row>
    <row r="1680" ht="15.75" customHeight="1" thickBot="1">
      <c r="A1680" s="186" t="n">
        <v>719</v>
      </c>
      <c r="B1680" s="215" t="inlineStr">
        <is>
          <t>Orange Marmalade</t>
        </is>
      </c>
      <c r="C1680" s="124" t="n"/>
      <c r="D1680" s="115" t="n"/>
      <c r="E1680" s="124" t="n"/>
      <c r="F1680" s="124" t="n"/>
      <c r="G1680" s="124" t="n"/>
      <c r="H1680" s="84" t="n"/>
      <c r="I1680" s="7" t="n"/>
      <c r="J1680" s="32" t="inlineStr">
        <is>
          <t>Clara Ole</t>
        </is>
      </c>
      <c r="K1680" s="24" t="n"/>
      <c r="L1680" s="36" t="n">
        <v>135</v>
      </c>
      <c r="M1680" s="204" t="n">
        <v>1</v>
      </c>
      <c r="N1680" s="177" t="n">
        <v>320</v>
      </c>
      <c r="O1680" s="13" t="n"/>
      <c r="P1680" s="139" t="inlineStr">
        <is>
          <t>grams</t>
        </is>
      </c>
      <c r="Q1680" s="2" t="n"/>
      <c r="R1680" s="1" t="n"/>
      <c r="S1680" s="229">
        <f>M1680*N1680</f>
        <v/>
      </c>
      <c r="T1680" s="230">
        <f>CONCATENATE(S1680,Q1680,P1680)</f>
        <v/>
      </c>
      <c r="U1680" s="206">
        <f>L1680*M1680</f>
        <v/>
      </c>
      <c r="V1680" s="4" t="n"/>
      <c r="W1680" s="4" t="n"/>
      <c r="X1680" s="4" t="n"/>
    </row>
    <row r="1681" ht="15.75" customHeight="1" thickBot="1">
      <c r="A1681" s="186" t="n">
        <v>720</v>
      </c>
      <c r="B1681" s="214" t="inlineStr">
        <is>
          <t>Orange Ponkan</t>
        </is>
      </c>
      <c r="C1681" s="124" t="n"/>
      <c r="D1681" s="115" t="n"/>
      <c r="E1681" s="124" t="n"/>
      <c r="F1681" s="124" t="n"/>
      <c r="G1681" s="124" t="n"/>
      <c r="H1681" s="84" t="n"/>
      <c r="I1681" s="7" t="n"/>
      <c r="J1681" s="32" t="n"/>
      <c r="K1681" s="24" t="n"/>
      <c r="L1681" s="36" t="n">
        <v>45</v>
      </c>
      <c r="M1681" s="204" t="n">
        <v>8</v>
      </c>
      <c r="N1681" s="177" t="n">
        <v>1</v>
      </c>
      <c r="O1681" s="13" t="n"/>
      <c r="P1681" s="139" t="inlineStr">
        <is>
          <t>pieces</t>
        </is>
      </c>
      <c r="Q1681" s="2" t="n"/>
      <c r="R1681" s="1" t="n"/>
      <c r="S1681" s="229">
        <f>M1681*N1681</f>
        <v/>
      </c>
      <c r="T1681" s="230">
        <f>CONCATENATE(S1681,Q1681,P1681)</f>
        <v/>
      </c>
      <c r="U1681" s="206">
        <f>L1681*M1681</f>
        <v/>
      </c>
      <c r="V1681" s="4" t="n"/>
      <c r="W1681" s="4" t="n"/>
      <c r="X1681" s="4" t="n"/>
    </row>
    <row r="1682" ht="15.75" customHeight="1" thickBot="1">
      <c r="A1682" s="186" t="n">
        <v>721</v>
      </c>
      <c r="B1682" s="215" t="inlineStr">
        <is>
          <t>Oregano Leaves Whole</t>
        </is>
      </c>
      <c r="C1682" s="124" t="n"/>
      <c r="D1682" s="115" t="n"/>
      <c r="E1682" s="124" t="n"/>
      <c r="F1682" s="124" t="n"/>
      <c r="G1682" s="124" t="n"/>
      <c r="H1682" s="84" t="n"/>
      <c r="I1682" s="7" t="n"/>
      <c r="J1682" s="32" t="inlineStr">
        <is>
          <t>J&amp;Y</t>
        </is>
      </c>
      <c r="K1682" s="24" t="n"/>
      <c r="L1682" s="36" t="n">
        <v>21.1</v>
      </c>
      <c r="M1682" s="204" t="n">
        <v>3</v>
      </c>
      <c r="N1682" s="177" t="n">
        <v>10</v>
      </c>
      <c r="O1682" s="13" t="n"/>
      <c r="P1682" s="139" t="inlineStr">
        <is>
          <t>grams</t>
        </is>
      </c>
      <c r="Q1682" s="2" t="n"/>
      <c r="R1682" s="1" t="n"/>
      <c r="S1682" s="229">
        <f>M1682*N1682</f>
        <v/>
      </c>
      <c r="T1682" s="230">
        <f>CONCATENATE(S1682,Q1682,P1682)</f>
        <v/>
      </c>
      <c r="U1682" s="206">
        <f>L1682*M1682</f>
        <v/>
      </c>
      <c r="V1682" s="4" t="n"/>
      <c r="W1682" s="4" t="n"/>
      <c r="X1682" s="4" t="n"/>
    </row>
    <row r="1683" ht="15.75" customHeight="1" thickBot="1">
      <c r="A1683" s="186" t="n">
        <v>722</v>
      </c>
      <c r="B1683" s="214" t="inlineStr">
        <is>
          <t>Oxtripe</t>
        </is>
      </c>
      <c r="C1683" s="124" t="n"/>
      <c r="D1683" s="115" t="n"/>
      <c r="E1683" s="124" t="n"/>
      <c r="F1683" s="124" t="n"/>
      <c r="G1683" s="124" t="n"/>
      <c r="H1683" s="84" t="n"/>
      <c r="I1683" s="7" t="n"/>
      <c r="J1683" s="32" t="inlineStr">
        <is>
          <t>Frozen</t>
        </is>
      </c>
      <c r="K1683" s="24" t="n"/>
      <c r="L1683" s="36" t="n">
        <v>160</v>
      </c>
      <c r="M1683" s="204" t="n">
        <v>2</v>
      </c>
      <c r="N1683" s="177" t="n">
        <v>2.3</v>
      </c>
      <c r="O1683" s="13" t="n"/>
      <c r="P1683" s="139" t="inlineStr">
        <is>
          <t>kilos</t>
        </is>
      </c>
      <c r="Q1683" s="2" t="n"/>
      <c r="R1683" s="1" t="n"/>
      <c r="S1683" s="229">
        <f>M1683*N1683</f>
        <v/>
      </c>
      <c r="T1683" s="230">
        <f>CONCATENATE(S1683,Q1683,P1683)</f>
        <v/>
      </c>
      <c r="U1683" s="206">
        <f>L1683*M1683</f>
        <v/>
      </c>
      <c r="V1683" s="4" t="n"/>
      <c r="W1683" s="4" t="n"/>
      <c r="X1683" s="4" t="n"/>
    </row>
    <row r="1684" ht="15.75" customHeight="1" thickBot="1">
      <c r="A1684" s="186" t="n">
        <v>722</v>
      </c>
      <c r="B1684" s="214" t="inlineStr">
        <is>
          <t>Oxtripe</t>
        </is>
      </c>
      <c r="C1684" s="124" t="n"/>
      <c r="D1684" s="115" t="n"/>
      <c r="E1684" s="124" t="n"/>
      <c r="F1684" s="124" t="n"/>
      <c r="G1684" s="124" t="n"/>
      <c r="H1684" s="84" t="n"/>
      <c r="I1684" s="7" t="n"/>
      <c r="J1684" s="32" t="inlineStr">
        <is>
          <t>Francis Trebajo</t>
        </is>
      </c>
      <c r="K1684" s="24" t="n"/>
      <c r="L1684" s="36" t="n">
        <v>240</v>
      </c>
      <c r="M1684" s="204" t="n">
        <v>17</v>
      </c>
      <c r="N1684" s="177" t="n">
        <v>1</v>
      </c>
      <c r="O1684" s="13" t="n"/>
      <c r="P1684" s="139" t="inlineStr">
        <is>
          <t>kilos</t>
        </is>
      </c>
      <c r="Q1684" s="2" t="n"/>
      <c r="R1684" s="1" t="n"/>
      <c r="S1684" s="229">
        <f>M1684*N1684</f>
        <v/>
      </c>
      <c r="T1684" s="230">
        <f>CONCATENATE(S1684,Q1684,P1684)</f>
        <v/>
      </c>
      <c r="U1684" s="206">
        <f>L1684*M1684</f>
        <v/>
      </c>
      <c r="V1684" s="4" t="n"/>
      <c r="W1684" s="4" t="n"/>
      <c r="X1684" s="4" t="n"/>
    </row>
    <row r="1685" ht="15.75" customHeight="1" thickBot="1">
      <c r="A1685" s="186" t="n">
        <v>306</v>
      </c>
      <c r="B1685" s="214" t="inlineStr">
        <is>
          <t>Oyster Sauce</t>
        </is>
      </c>
      <c r="C1685" s="124" t="n"/>
      <c r="D1685" s="115" t="n"/>
      <c r="E1685" s="124" t="n"/>
      <c r="F1685" s="124" t="n"/>
      <c r="G1685" s="124" t="n"/>
      <c r="H1685" s="84" t="n"/>
      <c r="I1685" s="7" t="n"/>
      <c r="J1685" s="32" t="inlineStr">
        <is>
          <t>Ticman</t>
        </is>
      </c>
      <c r="K1685" s="24" t="n"/>
      <c r="L1685" s="36" t="n">
        <v>199</v>
      </c>
      <c r="M1685" s="204" t="n">
        <v>7</v>
      </c>
      <c r="N1685" s="177" t="n">
        <v>3500</v>
      </c>
      <c r="O1685" s="13" t="n"/>
      <c r="P1685" s="139" t="inlineStr">
        <is>
          <t>ml</t>
        </is>
      </c>
      <c r="Q1685" s="2" t="n"/>
      <c r="R1685" s="1" t="n"/>
      <c r="S1685" s="229">
        <f>M1685*N1685</f>
        <v/>
      </c>
      <c r="T1685" s="230">
        <f>CONCATENATE(S1685,Q1685,P1685)</f>
        <v/>
      </c>
      <c r="U1685" s="206">
        <f>L1685*M1685</f>
        <v/>
      </c>
      <c r="V1685" s="4" t="n"/>
      <c r="W1685" s="4" t="n"/>
      <c r="X1685" s="4" t="n"/>
    </row>
    <row r="1686" ht="15.75" customHeight="1" thickBot="1">
      <c r="A1686" s="186" t="n">
        <v>306</v>
      </c>
      <c r="B1686" s="214" t="inlineStr">
        <is>
          <t>Oyster Sauce</t>
        </is>
      </c>
      <c r="C1686" s="124" t="n"/>
      <c r="D1686" s="115" t="n"/>
      <c r="E1686" s="124" t="n"/>
      <c r="F1686" s="124" t="n"/>
      <c r="G1686" s="124" t="n"/>
      <c r="H1686" s="84" t="n"/>
      <c r="I1686" s="7" t="n"/>
      <c r="J1686" s="32" t="inlineStr">
        <is>
          <t>Mama Sita's</t>
        </is>
      </c>
      <c r="K1686" s="24" t="n"/>
      <c r="L1686" s="36" t="n">
        <v>103.6</v>
      </c>
      <c r="M1686" s="204" t="n">
        <v>1</v>
      </c>
      <c r="N1686" s="177" t="n">
        <v>405</v>
      </c>
      <c r="O1686" s="13" t="n"/>
      <c r="P1686" s="139" t="inlineStr">
        <is>
          <t>grams</t>
        </is>
      </c>
      <c r="Q1686" s="2" t="n"/>
      <c r="R1686" s="1" t="n"/>
      <c r="S1686" s="229">
        <f>M1686*N1686</f>
        <v/>
      </c>
      <c r="T1686" s="230">
        <f>CONCATENATE(S1686,Q1686,P1686)</f>
        <v/>
      </c>
      <c r="U1686" s="206">
        <f>L1686*M1686</f>
        <v/>
      </c>
      <c r="V1686" s="4" t="n"/>
      <c r="W1686" s="4" t="n"/>
      <c r="X1686" s="4" t="n"/>
    </row>
    <row r="1687" ht="15.75" customHeight="1" thickBot="1">
      <c r="A1687" s="186" t="n">
        <v>306</v>
      </c>
      <c r="B1687" s="214" t="inlineStr">
        <is>
          <t>Oyster Sauce</t>
        </is>
      </c>
      <c r="C1687" s="124" t="n"/>
      <c r="D1687" s="115" t="n"/>
      <c r="E1687" s="124" t="n"/>
      <c r="F1687" s="124" t="n"/>
      <c r="G1687" s="124" t="n"/>
      <c r="H1687" s="84" t="n"/>
      <c r="I1687" s="7" t="n"/>
      <c r="J1687" s="32" t="inlineStr">
        <is>
          <t>Mama Sita's</t>
        </is>
      </c>
      <c r="K1687" s="24" t="n"/>
      <c r="L1687" s="36" t="n">
        <v>186</v>
      </c>
      <c r="M1687" s="204" t="n">
        <v>1</v>
      </c>
      <c r="N1687" s="177" t="n">
        <v>765</v>
      </c>
      <c r="O1687" s="13" t="n"/>
      <c r="P1687" s="139" t="inlineStr">
        <is>
          <t>grams</t>
        </is>
      </c>
      <c r="Q1687" s="2" t="n"/>
      <c r="R1687" s="1" t="n"/>
      <c r="S1687" s="229">
        <f>M1687*N1687</f>
        <v/>
      </c>
      <c r="T1687" s="230">
        <f>CONCATENATE(S1687,Q1687,P1687)</f>
        <v/>
      </c>
      <c r="U1687" s="206">
        <f>L1687*M1687</f>
        <v/>
      </c>
      <c r="V1687" s="4" t="n"/>
      <c r="W1687" s="4" t="n"/>
      <c r="X1687" s="4" t="n"/>
    </row>
    <row r="1688" ht="15.75" customHeight="1" thickBot="1">
      <c r="A1688" s="186" t="n">
        <v>306</v>
      </c>
      <c r="B1688" s="214" t="inlineStr">
        <is>
          <t>Oyster Sauce</t>
        </is>
      </c>
      <c r="C1688" s="124" t="n"/>
      <c r="D1688" s="115" t="n"/>
      <c r="E1688" s="124" t="n"/>
      <c r="F1688" s="124" t="n"/>
      <c r="G1688" s="124" t="n"/>
      <c r="H1688" s="84" t="n"/>
      <c r="I1688" s="7" t="n"/>
      <c r="J1688" s="32" t="inlineStr">
        <is>
          <t>Ticman</t>
        </is>
      </c>
      <c r="K1688" s="24" t="n"/>
      <c r="L1688" s="36" t="n">
        <v>200</v>
      </c>
      <c r="M1688" s="204" t="n">
        <v>2</v>
      </c>
      <c r="N1688" s="177" t="n">
        <v>3500</v>
      </c>
      <c r="O1688" s="13" t="n"/>
      <c r="P1688" s="139" t="inlineStr">
        <is>
          <t>gal</t>
        </is>
      </c>
      <c r="Q1688" s="2" t="n"/>
      <c r="R1688" s="1" t="n"/>
      <c r="S1688" s="229">
        <f>M1688*N1688</f>
        <v/>
      </c>
      <c r="T1688" s="230">
        <f>CONCATENATE(S1688,Q1688,P1688)</f>
        <v/>
      </c>
      <c r="U1688" s="206">
        <f>L1688*M1688</f>
        <v/>
      </c>
      <c r="V1688" s="4" t="n"/>
      <c r="W1688" s="4" t="n"/>
      <c r="X1688" s="4" t="n"/>
    </row>
    <row r="1689" ht="15.75" customHeight="1" thickBot="1">
      <c r="A1689" s="186" t="n">
        <v>306</v>
      </c>
      <c r="B1689" s="214" t="inlineStr">
        <is>
          <t>Oyster Sauce</t>
        </is>
      </c>
      <c r="C1689" s="124" t="n"/>
      <c r="D1689" s="115" t="n"/>
      <c r="E1689" s="124" t="n"/>
      <c r="F1689" s="124" t="n"/>
      <c r="G1689" s="124" t="n"/>
      <c r="H1689" s="84" t="n"/>
      <c r="I1689" s="7" t="n"/>
      <c r="J1689" s="32" t="inlineStr">
        <is>
          <t>Gold Dragon</t>
        </is>
      </c>
      <c r="K1689" s="24" t="n"/>
      <c r="L1689" s="36" t="n">
        <v>165</v>
      </c>
      <c r="M1689" s="204" t="n">
        <v>5</v>
      </c>
      <c r="N1689" s="177" t="n">
        <v>2270</v>
      </c>
      <c r="O1689" s="13" t="n"/>
      <c r="P1689" s="139" t="inlineStr">
        <is>
          <t>grams</t>
        </is>
      </c>
      <c r="Q1689" s="2" t="n"/>
      <c r="R1689" s="1" t="n"/>
      <c r="S1689" s="229">
        <f>M1689*N1689</f>
        <v/>
      </c>
      <c r="T1689" s="230">
        <f>CONCATENATE(S1689,Q1689,P1689)</f>
        <v/>
      </c>
      <c r="U1689" s="206">
        <f>L1689*M1689</f>
        <v/>
      </c>
      <c r="V1689" s="4" t="n"/>
      <c r="W1689" s="4" t="n"/>
      <c r="X1689" s="4" t="n"/>
    </row>
    <row r="1690" ht="15.75" customHeight="1" thickBot="1">
      <c r="A1690" s="186" t="n">
        <v>306</v>
      </c>
      <c r="B1690" s="215" t="inlineStr">
        <is>
          <t>Oyster Sauce</t>
        </is>
      </c>
      <c r="C1690" s="124" t="n"/>
      <c r="D1690" s="115" t="n"/>
      <c r="E1690" s="124" t="n"/>
      <c r="F1690" s="124" t="n"/>
      <c r="G1690" s="124" t="n"/>
      <c r="H1690" s="84" t="n"/>
      <c r="I1690" s="7" t="n"/>
      <c r="J1690" s="32" t="inlineStr">
        <is>
          <t>Mama Sita's</t>
        </is>
      </c>
      <c r="K1690" s="24" t="n"/>
      <c r="L1690" s="36" t="n">
        <v>721.7</v>
      </c>
      <c r="M1690" s="204" t="n">
        <v>1</v>
      </c>
      <c r="N1690" s="177" t="n">
        <v>4.2</v>
      </c>
      <c r="O1690" s="13" t="n"/>
      <c r="P1690" s="139" t="inlineStr">
        <is>
          <t>kilos</t>
        </is>
      </c>
      <c r="Q1690" s="2" t="n"/>
      <c r="R1690" s="1" t="n"/>
      <c r="S1690" s="229">
        <f>M1690*N1690</f>
        <v/>
      </c>
      <c r="T1690" s="230">
        <f>CONCATENATE(S1690,Q1690,P1690)</f>
        <v/>
      </c>
      <c r="U1690" s="206">
        <f>L1690*M1690</f>
        <v/>
      </c>
      <c r="V1690" s="4" t="n"/>
      <c r="W1690" s="4" t="n"/>
      <c r="X1690" s="4" t="n"/>
    </row>
    <row r="1691" ht="15.75" customHeight="1" thickBot="1">
      <c r="A1691" s="186" t="n">
        <v>723</v>
      </c>
      <c r="B1691" s="214" t="inlineStr">
        <is>
          <t>Pakwan</t>
        </is>
      </c>
      <c r="C1691" s="124" t="n"/>
      <c r="D1691" s="115" t="n"/>
      <c r="E1691" s="124" t="n"/>
      <c r="F1691" s="124" t="n"/>
      <c r="G1691" s="124" t="n"/>
      <c r="H1691" s="84" t="n"/>
      <c r="I1691" s="7" t="n"/>
      <c r="J1691" s="32" t="n"/>
      <c r="K1691" s="24" t="n"/>
      <c r="L1691" s="36" t="n">
        <v>250</v>
      </c>
      <c r="M1691" s="204" t="n">
        <v>2</v>
      </c>
      <c r="N1691" s="177" t="n">
        <v>1</v>
      </c>
      <c r="O1691" s="13" t="n"/>
      <c r="P1691" s="139" t="inlineStr">
        <is>
          <t>kilos</t>
        </is>
      </c>
      <c r="Q1691" s="2" t="n"/>
      <c r="R1691" s="1" t="n"/>
      <c r="S1691" s="229">
        <f>M1691*N1691</f>
        <v/>
      </c>
      <c r="T1691" s="230">
        <f>CONCATENATE(S1691,Q1691,P1691)</f>
        <v/>
      </c>
      <c r="U1691" s="206">
        <f>L1691*M1691</f>
        <v/>
      </c>
      <c r="V1691" s="4" t="n"/>
      <c r="W1691" s="4" t="n"/>
      <c r="X1691" s="4" t="n"/>
    </row>
    <row r="1692" ht="15.75" customHeight="1" thickBot="1">
      <c r="A1692" s="186" t="n">
        <v>723</v>
      </c>
      <c r="B1692" s="214" t="inlineStr">
        <is>
          <t>Pakwan</t>
        </is>
      </c>
      <c r="C1692" s="124" t="n"/>
      <c r="D1692" s="115" t="n"/>
      <c r="E1692" s="124" t="n"/>
      <c r="F1692" s="124" t="n"/>
      <c r="G1692" s="124" t="n"/>
      <c r="H1692" s="84" t="n"/>
      <c r="I1692" s="7" t="n"/>
      <c r="J1692" s="32" t="n"/>
      <c r="K1692" s="24" t="n"/>
      <c r="L1692" s="36" t="n">
        <v>48</v>
      </c>
      <c r="M1692" s="204" t="n">
        <v>9</v>
      </c>
      <c r="N1692" s="177" t="n">
        <v>1000</v>
      </c>
      <c r="O1692" s="13" t="n"/>
      <c r="P1692" s="139" t="inlineStr">
        <is>
          <t>grams</t>
        </is>
      </c>
      <c r="Q1692" s="2" t="n"/>
      <c r="R1692" s="1" t="n"/>
      <c r="S1692" s="229">
        <f>M1692*N1692</f>
        <v/>
      </c>
      <c r="T1692" s="230">
        <f>CONCATENATE(S1692,Q1692,P1692)</f>
        <v/>
      </c>
      <c r="U1692" s="206">
        <f>L1692*M1692</f>
        <v/>
      </c>
      <c r="V1692" s="4" t="n"/>
      <c r="W1692" s="4" t="n"/>
      <c r="X1692" s="4" t="n"/>
    </row>
    <row r="1693" ht="15.75" customHeight="1" thickBot="1">
      <c r="A1693" s="186" t="n">
        <v>724</v>
      </c>
      <c r="B1693" s="214" t="inlineStr">
        <is>
          <t>Pakwan Yellow</t>
        </is>
      </c>
      <c r="C1693" s="124" t="n"/>
      <c r="D1693" s="115" t="n"/>
      <c r="E1693" s="124" t="n"/>
      <c r="F1693" s="124" t="n"/>
      <c r="G1693" s="124" t="n"/>
      <c r="H1693" s="84" t="n"/>
      <c r="I1693" s="7" t="n"/>
      <c r="J1693" s="32" t="n"/>
      <c r="K1693" s="24" t="n"/>
      <c r="L1693" s="36" t="n">
        <v>80</v>
      </c>
      <c r="M1693" s="204" t="n">
        <v>1</v>
      </c>
      <c r="N1693" s="177" t="n">
        <v>1000</v>
      </c>
      <c r="O1693" s="13" t="n"/>
      <c r="P1693" s="139" t="inlineStr">
        <is>
          <t>grams</t>
        </is>
      </c>
      <c r="Q1693" s="2" t="n"/>
      <c r="R1693" s="1" t="n"/>
      <c r="S1693" s="229">
        <f>M1693*N1693</f>
        <v/>
      </c>
      <c r="T1693" s="230">
        <f>CONCATENATE(S1693,Q1693,P1693)</f>
        <v/>
      </c>
      <c r="U1693" s="206">
        <f>L1693*M1693</f>
        <v/>
      </c>
      <c r="V1693" s="4" t="n"/>
      <c r="W1693" s="4" t="n"/>
      <c r="X1693" s="4" t="n"/>
    </row>
    <row r="1694" ht="15.75" customHeight="1" thickBot="1">
      <c r="A1694" s="186" t="n">
        <v>307</v>
      </c>
      <c r="B1694" s="214" t="inlineStr">
        <is>
          <t>Palabok</t>
        </is>
      </c>
      <c r="C1694" s="124" t="n"/>
      <c r="D1694" s="115" t="n"/>
      <c r="E1694" s="124" t="n"/>
      <c r="F1694" s="124" t="n"/>
      <c r="G1694" s="124" t="n"/>
      <c r="H1694" s="84" t="n"/>
      <c r="I1694" s="7" t="n"/>
      <c r="J1694" s="32" t="inlineStr">
        <is>
          <t>Super Q</t>
        </is>
      </c>
      <c r="K1694" s="24" t="n"/>
      <c r="L1694" s="36" t="n">
        <v>42.5</v>
      </c>
      <c r="M1694" s="204" t="n">
        <v>4</v>
      </c>
      <c r="N1694" s="177" t="n">
        <v>500</v>
      </c>
      <c r="O1694" s="13" t="n"/>
      <c r="P1694" s="139" t="inlineStr">
        <is>
          <t>grams</t>
        </is>
      </c>
      <c r="Q1694" s="2" t="n"/>
      <c r="R1694" s="1" t="n"/>
      <c r="S1694" s="229">
        <f>M1694*N1694</f>
        <v/>
      </c>
      <c r="T1694" s="230">
        <f>CONCATENATE(S1694,Q1694,P1694)</f>
        <v/>
      </c>
      <c r="U1694" s="206">
        <f>L1694*M1694</f>
        <v/>
      </c>
      <c r="V1694" s="4" t="n"/>
      <c r="W1694" s="4" t="n"/>
      <c r="X1694" s="4" t="n"/>
    </row>
    <row r="1695" ht="15.75" customHeight="1" thickBot="1">
      <c r="A1695" s="186" t="n">
        <v>307</v>
      </c>
      <c r="B1695" s="214" t="inlineStr">
        <is>
          <t>Palabok</t>
        </is>
      </c>
      <c r="C1695" s="124" t="n"/>
      <c r="D1695" s="115" t="n"/>
      <c r="E1695" s="124" t="n"/>
      <c r="F1695" s="124" t="n"/>
      <c r="G1695" s="124" t="n"/>
      <c r="H1695" s="84" t="n"/>
      <c r="I1695" s="7" t="n"/>
      <c r="J1695" s="32" t="inlineStr">
        <is>
          <t>Super Q</t>
        </is>
      </c>
      <c r="K1695" s="24" t="n"/>
      <c r="L1695" s="36" t="n">
        <v>42.2</v>
      </c>
      <c r="M1695" s="204" t="n">
        <v>14</v>
      </c>
      <c r="N1695" s="177" t="n">
        <v>500</v>
      </c>
      <c r="O1695" s="13" t="n"/>
      <c r="P1695" s="139" t="inlineStr">
        <is>
          <t>grams</t>
        </is>
      </c>
      <c r="Q1695" s="2" t="n"/>
      <c r="R1695" s="1" t="n"/>
      <c r="S1695" s="229">
        <f>M1695*N1695</f>
        <v/>
      </c>
      <c r="T1695" s="230">
        <f>CONCATENATE(S1695,Q1695,P1695)</f>
        <v/>
      </c>
      <c r="U1695" s="206">
        <f>L1695*M1695</f>
        <v/>
      </c>
      <c r="V1695" s="4" t="n"/>
      <c r="W1695" s="4" t="n"/>
      <c r="X1695" s="4" t="n"/>
    </row>
    <row r="1696" ht="15.75" customHeight="1" thickBot="1">
      <c r="A1696" s="186" t="n">
        <v>307</v>
      </c>
      <c r="B1696" s="214" t="inlineStr">
        <is>
          <t>Palabok</t>
        </is>
      </c>
      <c r="C1696" s="124" t="n"/>
      <c r="D1696" s="115" t="n"/>
      <c r="E1696" s="124" t="n"/>
      <c r="F1696" s="124" t="n"/>
      <c r="G1696" s="124" t="n"/>
      <c r="H1696" s="84" t="n"/>
      <c r="I1696" s="7" t="n"/>
      <c r="J1696" s="32" t="inlineStr">
        <is>
          <t>Super Q</t>
        </is>
      </c>
      <c r="K1696" s="24" t="n"/>
      <c r="L1696" s="36" t="n">
        <v>42.2</v>
      </c>
      <c r="M1696" s="204" t="n">
        <v>12</v>
      </c>
      <c r="N1696" s="177" t="n">
        <v>454</v>
      </c>
      <c r="O1696" s="13" t="n"/>
      <c r="P1696" s="139" t="inlineStr">
        <is>
          <t>grams</t>
        </is>
      </c>
      <c r="Q1696" s="2" t="n"/>
      <c r="R1696" s="1" t="n"/>
      <c r="S1696" s="229">
        <f>M1696*N1696</f>
        <v/>
      </c>
      <c r="T1696" s="230">
        <f>CONCATENATE(S1696,Q1696,P1696)</f>
        <v/>
      </c>
      <c r="U1696" s="206">
        <f>L1696*M1696</f>
        <v/>
      </c>
      <c r="V1696" s="4" t="n"/>
      <c r="W1696" s="4" t="n"/>
      <c r="X1696" s="4" t="n"/>
    </row>
    <row r="1697" ht="15.75" customHeight="1" thickBot="1">
      <c r="A1697" s="186" t="n">
        <v>307</v>
      </c>
      <c r="B1697" s="214" t="inlineStr">
        <is>
          <t>Palabok</t>
        </is>
      </c>
      <c r="C1697" s="124" t="n"/>
      <c r="D1697" s="115" t="n"/>
      <c r="E1697" s="124" t="n"/>
      <c r="F1697" s="124" t="n"/>
      <c r="G1697" s="124" t="n"/>
      <c r="H1697" s="84" t="n"/>
      <c r="I1697" s="7" t="n"/>
      <c r="J1697" s="32" t="inlineStr">
        <is>
          <t>Super Q</t>
        </is>
      </c>
      <c r="K1697" s="24" t="n"/>
      <c r="L1697" s="36" t="n">
        <v>42.2</v>
      </c>
      <c r="M1697" s="204" t="n">
        <v>4</v>
      </c>
      <c r="N1697" s="177" t="n">
        <v>500</v>
      </c>
      <c r="O1697" s="13" t="n"/>
      <c r="P1697" s="139" t="inlineStr">
        <is>
          <t>grams</t>
        </is>
      </c>
      <c r="Q1697" s="2" t="n"/>
      <c r="R1697" s="1" t="n"/>
      <c r="S1697" s="229">
        <f>M1697*N1697</f>
        <v/>
      </c>
      <c r="T1697" s="230">
        <f>CONCATENATE(S1697,Q1697,P1697)</f>
        <v/>
      </c>
      <c r="U1697" s="206">
        <f>L1697*M1697</f>
        <v/>
      </c>
      <c r="V1697" s="4" t="n"/>
      <c r="W1697" s="4" t="n"/>
      <c r="X1697" s="4" t="n"/>
    </row>
    <row r="1698" ht="15.75" customHeight="1" thickBot="1">
      <c r="A1698" s="186" t="n">
        <v>307</v>
      </c>
      <c r="B1698" s="214" t="inlineStr">
        <is>
          <t>Palabok</t>
        </is>
      </c>
      <c r="C1698" s="124" t="n"/>
      <c r="D1698" s="115" t="n"/>
      <c r="E1698" s="124" t="n"/>
      <c r="F1698" s="124" t="n"/>
      <c r="G1698" s="124" t="n"/>
      <c r="H1698" s="84" t="n"/>
      <c r="I1698" s="7" t="n"/>
      <c r="J1698" s="32" t="inlineStr">
        <is>
          <t>Super Q</t>
        </is>
      </c>
      <c r="K1698" s="24" t="n"/>
      <c r="L1698" s="36" t="n">
        <v>42.2</v>
      </c>
      <c r="M1698" s="204" t="n">
        <v>7</v>
      </c>
      <c r="N1698" s="177" t="n">
        <v>500</v>
      </c>
      <c r="O1698" s="13" t="n"/>
      <c r="P1698" s="139" t="inlineStr">
        <is>
          <t>grams</t>
        </is>
      </c>
      <c r="Q1698" s="2" t="n"/>
      <c r="R1698" s="1" t="n"/>
      <c r="S1698" s="229">
        <f>M1698*N1698</f>
        <v/>
      </c>
      <c r="T1698" s="230">
        <f>CONCATENATE(S1698,Q1698,P1698)</f>
        <v/>
      </c>
      <c r="U1698" s="206">
        <f>L1698*M1698</f>
        <v/>
      </c>
      <c r="V1698" s="4" t="n"/>
      <c r="W1698" s="4" t="n"/>
      <c r="X1698" s="4" t="n"/>
    </row>
    <row r="1699" ht="15.75" customHeight="1" thickBot="1">
      <c r="A1699" s="186" t="n">
        <v>307</v>
      </c>
      <c r="B1699" s="214" t="inlineStr">
        <is>
          <t>Palabok</t>
        </is>
      </c>
      <c r="C1699" s="124" t="n"/>
      <c r="D1699" s="115" t="n"/>
      <c r="E1699" s="124" t="n"/>
      <c r="F1699" s="124" t="n"/>
      <c r="G1699" s="124" t="n"/>
      <c r="H1699" s="84" t="n"/>
      <c r="I1699" s="7" t="n"/>
      <c r="J1699" s="32" t="inlineStr">
        <is>
          <t>Super Q</t>
        </is>
      </c>
      <c r="K1699" s="24" t="n"/>
      <c r="L1699" s="36" t="n">
        <v>45</v>
      </c>
      <c r="M1699" s="204" t="n">
        <v>1</v>
      </c>
      <c r="N1699" s="177" t="n">
        <v>500</v>
      </c>
      <c r="O1699" s="13" t="n"/>
      <c r="P1699" s="139" t="inlineStr">
        <is>
          <t>grams</t>
        </is>
      </c>
      <c r="Q1699" s="2" t="n"/>
      <c r="R1699" s="1" t="n"/>
      <c r="S1699" s="229">
        <f>M1699*N1699</f>
        <v/>
      </c>
      <c r="T1699" s="230">
        <f>CONCATENATE(S1699,Q1699,P1699)</f>
        <v/>
      </c>
      <c r="U1699" s="206">
        <f>L1699*M1699</f>
        <v/>
      </c>
      <c r="V1699" s="4" t="n"/>
      <c r="W1699" s="4" t="n"/>
      <c r="X1699" s="4" t="n"/>
    </row>
    <row r="1700" ht="15.75" customHeight="1" thickBot="1">
      <c r="A1700" s="186" t="n">
        <v>307</v>
      </c>
      <c r="B1700" s="215" t="inlineStr">
        <is>
          <t>Palabok</t>
        </is>
      </c>
      <c r="C1700" s="124" t="n"/>
      <c r="D1700" s="115" t="n"/>
      <c r="E1700" s="124" t="n"/>
      <c r="F1700" s="124" t="n"/>
      <c r="G1700" s="124" t="n"/>
      <c r="H1700" s="84" t="n"/>
      <c r="I1700" s="7" t="n"/>
      <c r="J1700" s="32" t="inlineStr">
        <is>
          <t>Super Q</t>
        </is>
      </c>
      <c r="K1700" s="24" t="n"/>
      <c r="L1700" s="36" t="n">
        <v>43.5</v>
      </c>
      <c r="M1700" s="204" t="n">
        <v>19</v>
      </c>
      <c r="N1700" s="177" t="n">
        <v>500</v>
      </c>
      <c r="O1700" s="13" t="n"/>
      <c r="P1700" s="139" t="inlineStr">
        <is>
          <t>grams</t>
        </is>
      </c>
      <c r="Q1700" s="2" t="n"/>
      <c r="R1700" s="1" t="n"/>
      <c r="S1700" s="229">
        <f>M1700*N1700</f>
        <v/>
      </c>
      <c r="T1700" s="230">
        <f>CONCATENATE(S1700,Q1700,P1700)</f>
        <v/>
      </c>
      <c r="U1700" s="206">
        <f>L1700*M1700</f>
        <v/>
      </c>
      <c r="V1700" s="4" t="n"/>
      <c r="W1700" s="4" t="n"/>
      <c r="X1700" s="4" t="n"/>
    </row>
    <row r="1701" ht="15.75" customHeight="1" thickBot="1">
      <c r="A1701" s="186" t="n">
        <v>307</v>
      </c>
      <c r="B1701" s="214" t="inlineStr">
        <is>
          <t>Palabok</t>
        </is>
      </c>
      <c r="C1701" s="124" t="n"/>
      <c r="D1701" s="115" t="n"/>
      <c r="E1701" s="124" t="n"/>
      <c r="F1701" s="124" t="n"/>
      <c r="G1701" s="124" t="n"/>
      <c r="H1701" s="84" t="n"/>
      <c r="I1701" s="7" t="n"/>
      <c r="J1701" s="32" t="inlineStr">
        <is>
          <t>Super Q</t>
        </is>
      </c>
      <c r="K1701" s="24" t="n"/>
      <c r="L1701" s="36" t="n">
        <v>42.2</v>
      </c>
      <c r="M1701" s="204" t="n">
        <v>5</v>
      </c>
      <c r="N1701" s="177" t="n">
        <v>500</v>
      </c>
      <c r="O1701" s="13" t="n"/>
      <c r="P1701" s="139" t="inlineStr">
        <is>
          <t>grams</t>
        </is>
      </c>
      <c r="Q1701" s="2" t="n"/>
      <c r="R1701" s="1" t="n"/>
      <c r="S1701" s="229">
        <f>M1701*N1701</f>
        <v/>
      </c>
      <c r="T1701" s="230">
        <f>CONCATENATE(S1701,Q1701,P1701)</f>
        <v/>
      </c>
      <c r="U1701" s="206">
        <f>L1701*M1701</f>
        <v/>
      </c>
      <c r="V1701" s="4" t="n"/>
      <c r="W1701" s="4" t="n"/>
      <c r="X1701" s="4" t="n"/>
    </row>
    <row r="1702" ht="15.75" customHeight="1" thickBot="1">
      <c r="A1702" s="186" t="n">
        <v>725</v>
      </c>
      <c r="B1702" s="214" t="inlineStr">
        <is>
          <t>Pandan Extract</t>
        </is>
      </c>
      <c r="C1702" s="124" t="n"/>
      <c r="D1702" s="115" t="n"/>
      <c r="E1702" s="124" t="n"/>
      <c r="F1702" s="124" t="n"/>
      <c r="G1702" s="124" t="n"/>
      <c r="H1702" s="84" t="n"/>
      <c r="I1702" s="7" t="n"/>
      <c r="J1702" s="32" t="inlineStr">
        <is>
          <t>McCormick</t>
        </is>
      </c>
      <c r="K1702" s="24" t="n"/>
      <c r="L1702" s="36" t="n">
        <v>42</v>
      </c>
      <c r="M1702" s="204" t="n">
        <v>3</v>
      </c>
      <c r="N1702" s="177" t="n">
        <v>30</v>
      </c>
      <c r="O1702" s="13" t="n"/>
      <c r="P1702" s="139" t="inlineStr">
        <is>
          <t>ml</t>
        </is>
      </c>
      <c r="Q1702" s="2" t="n"/>
      <c r="R1702" s="1" t="n"/>
      <c r="S1702" s="229">
        <f>M1702*N1702</f>
        <v/>
      </c>
      <c r="T1702" s="230">
        <f>CONCATENATE(S1702,Q1702,P1702)</f>
        <v/>
      </c>
      <c r="U1702" s="206">
        <f>L1702*M1702</f>
        <v/>
      </c>
      <c r="V1702" s="4" t="n"/>
      <c r="W1702" s="4" t="n"/>
      <c r="X1702" s="4" t="n"/>
    </row>
    <row r="1703" ht="15.75" customHeight="1" thickBot="1">
      <c r="A1703" s="186" t="n">
        <v>726</v>
      </c>
      <c r="B1703" s="214" t="inlineStr">
        <is>
          <t>Pantyliner</t>
        </is>
      </c>
      <c r="C1703" s="124" t="n"/>
      <c r="D1703" s="115" t="n"/>
      <c r="E1703" s="124" t="n"/>
      <c r="F1703" s="124" t="n"/>
      <c r="G1703" s="124" t="n"/>
      <c r="H1703" s="84" t="n"/>
      <c r="I1703" s="7" t="n"/>
      <c r="J1703" s="32" t="inlineStr">
        <is>
          <t>Charmee</t>
        </is>
      </c>
      <c r="K1703" s="24" t="n"/>
      <c r="L1703" s="36" t="n">
        <v>26.5</v>
      </c>
      <c r="M1703" s="204" t="n">
        <v>1</v>
      </c>
      <c r="N1703" s="177" t="n">
        <v>1</v>
      </c>
      <c r="O1703" s="13" t="n"/>
      <c r="P1703" s="139" t="inlineStr">
        <is>
          <t>packs</t>
        </is>
      </c>
      <c r="Q1703" s="2" t="n"/>
      <c r="R1703" s="1" t="n"/>
      <c r="S1703" s="229">
        <f>M1703*N1703</f>
        <v/>
      </c>
      <c r="T1703" s="230">
        <f>CONCATENATE(S1703,Q1703,P1703)</f>
        <v/>
      </c>
      <c r="U1703" s="206">
        <f>L1703*M1703</f>
        <v/>
      </c>
      <c r="V1703" s="4" t="n"/>
      <c r="W1703" s="4" t="n"/>
      <c r="X1703" s="4" t="n"/>
    </row>
    <row r="1704" ht="15.75" customHeight="1" thickBot="1">
      <c r="A1704" s="186" t="n">
        <v>726</v>
      </c>
      <c r="B1704" s="214" t="inlineStr">
        <is>
          <t>Pantyliner</t>
        </is>
      </c>
      <c r="C1704" s="124" t="n"/>
      <c r="D1704" s="115" t="n"/>
      <c r="E1704" s="124" t="n"/>
      <c r="F1704" s="124" t="n"/>
      <c r="G1704" s="124" t="n"/>
      <c r="H1704" s="84" t="n"/>
      <c r="I1704" s="7" t="n"/>
      <c r="J1704" s="32" t="inlineStr">
        <is>
          <t>Sisters</t>
        </is>
      </c>
      <c r="K1704" s="24" t="n"/>
      <c r="L1704" s="36" t="n">
        <v>17.08</v>
      </c>
      <c r="M1704" s="204" t="n">
        <v>3</v>
      </c>
      <c r="N1704" s="177" t="n">
        <v>22</v>
      </c>
      <c r="O1704" s="13" t="n"/>
      <c r="P1704" s="139" t="inlineStr">
        <is>
          <t>packs</t>
        </is>
      </c>
      <c r="Q1704" s="2" t="n"/>
      <c r="R1704" s="1" t="n"/>
      <c r="S1704" s="229">
        <f>M1704*N1704</f>
        <v/>
      </c>
      <c r="T1704" s="230">
        <f>CONCATENATE(S1704,Q1704,P1704)</f>
        <v/>
      </c>
      <c r="U1704" s="206">
        <f>L1704*M1704</f>
        <v/>
      </c>
      <c r="V1704" s="4" t="n"/>
      <c r="W1704" s="4" t="n"/>
      <c r="X1704" s="4" t="n"/>
    </row>
    <row r="1705" ht="15.75" customHeight="1" thickBot="1">
      <c r="A1705" s="186" t="n">
        <v>726</v>
      </c>
      <c r="B1705" s="215" t="inlineStr">
        <is>
          <t>Pantyliner</t>
        </is>
      </c>
      <c r="C1705" s="124" t="n"/>
      <c r="D1705" s="115" t="n"/>
      <c r="E1705" s="124" t="n"/>
      <c r="F1705" s="124" t="n"/>
      <c r="G1705" s="124" t="n"/>
      <c r="H1705" s="84" t="n"/>
      <c r="I1705" s="7" t="n"/>
      <c r="J1705" s="32" t="inlineStr">
        <is>
          <t>Charmee</t>
        </is>
      </c>
      <c r="K1705" s="24" t="n"/>
      <c r="L1705" s="36" t="n">
        <v>2.69</v>
      </c>
      <c r="M1705" s="204" t="n">
        <v>50</v>
      </c>
      <c r="N1705" s="177" t="n">
        <v>1</v>
      </c>
      <c r="O1705" s="13" t="n"/>
      <c r="P1705" s="139" t="inlineStr">
        <is>
          <t>pieces</t>
        </is>
      </c>
      <c r="Q1705" s="2" t="n"/>
      <c r="R1705" s="1" t="n"/>
      <c r="S1705" s="229">
        <f>M1705*N1705</f>
        <v/>
      </c>
      <c r="T1705" s="230">
        <f>CONCATENATE(S1705,Q1705,P1705)</f>
        <v/>
      </c>
      <c r="U1705" s="206">
        <f>L1705*M1705</f>
        <v/>
      </c>
      <c r="V1705" s="4" t="n"/>
      <c r="W1705" s="4" t="n"/>
      <c r="X1705" s="4" t="n"/>
    </row>
    <row r="1706" ht="15.75" customHeight="1" thickBot="1">
      <c r="A1706" s="186" t="n">
        <v>727</v>
      </c>
      <c r="B1706" s="214" t="inlineStr">
        <is>
          <t>Panutsa</t>
        </is>
      </c>
      <c r="C1706" s="124" t="n"/>
      <c r="D1706" s="115" t="n"/>
      <c r="E1706" s="124" t="n"/>
      <c r="F1706" s="124" t="n"/>
      <c r="G1706" s="124" t="n"/>
      <c r="H1706" s="84" t="n"/>
      <c r="I1706" s="7" t="n"/>
      <c r="J1706" s="32" t="inlineStr">
        <is>
          <t>Ysanne Ktara Native Kakanin</t>
        </is>
      </c>
      <c r="K1706" s="24" t="n"/>
      <c r="L1706" s="36" t="n">
        <v>2</v>
      </c>
      <c r="M1706" s="204" t="n">
        <v>164</v>
      </c>
      <c r="N1706" s="177" t="n">
        <v>1</v>
      </c>
      <c r="O1706" s="13" t="n"/>
      <c r="P1706" s="139" t="inlineStr">
        <is>
          <t>pieces</t>
        </is>
      </c>
      <c r="Q1706" s="2" t="n"/>
      <c r="R1706" s="1" t="n"/>
      <c r="S1706" s="229">
        <f>M1706*N1706</f>
        <v/>
      </c>
      <c r="T1706" s="230">
        <f>CONCATENATE(S1706,Q1706,P1706)</f>
        <v/>
      </c>
      <c r="U1706" s="206">
        <f>L1706*M1706</f>
        <v/>
      </c>
      <c r="V1706" s="4" t="n"/>
      <c r="W1706" s="4" t="n"/>
      <c r="X1706" s="4" t="n"/>
    </row>
    <row r="1707" ht="15.75" customHeight="1" thickBot="1">
      <c r="A1707" s="186" t="n">
        <v>728</v>
      </c>
      <c r="B1707" s="214" t="inlineStr">
        <is>
          <t>Papaya</t>
        </is>
      </c>
      <c r="C1707" s="124" t="n"/>
      <c r="D1707" s="115" t="n"/>
      <c r="E1707" s="124" t="n"/>
      <c r="F1707" s="124" t="n"/>
      <c r="G1707" s="124" t="n"/>
      <c r="H1707" s="84" t="n"/>
      <c r="I1707" s="7" t="n"/>
      <c r="J1707" s="32" t="n"/>
      <c r="K1707" s="24" t="n"/>
      <c r="L1707" s="36" t="n">
        <v>70</v>
      </c>
      <c r="M1707" s="204" t="n">
        <v>2</v>
      </c>
      <c r="N1707" s="177" t="n">
        <v>1000</v>
      </c>
      <c r="O1707" s="13" t="n"/>
      <c r="P1707" s="139" t="inlineStr">
        <is>
          <t>grams</t>
        </is>
      </c>
      <c r="Q1707" s="2" t="n"/>
      <c r="R1707" s="1" t="n"/>
      <c r="S1707" s="229">
        <f>M1707*N1707</f>
        <v/>
      </c>
      <c r="T1707" s="230">
        <f>CONCATENATE(S1707,Q1707,P1707)</f>
        <v/>
      </c>
      <c r="U1707" s="206">
        <f>L1707*M1707</f>
        <v/>
      </c>
      <c r="V1707" s="4" t="n"/>
      <c r="W1707" s="4" t="n"/>
      <c r="X1707" s="4" t="n"/>
    </row>
    <row r="1708" ht="15.75" customHeight="1" thickBot="1">
      <c r="A1708" s="186" t="n">
        <v>729</v>
      </c>
      <c r="B1708" s="214" t="inlineStr">
        <is>
          <t>Paper Box - 2 division</t>
        </is>
      </c>
      <c r="C1708" s="124" t="n"/>
      <c r="D1708" s="115" t="n"/>
      <c r="E1708" s="124" t="n"/>
      <c r="F1708" s="124" t="n"/>
      <c r="G1708" s="124" t="n"/>
      <c r="H1708" s="84" t="n"/>
      <c r="I1708" s="7" t="n"/>
      <c r="J1708" s="32" t="inlineStr">
        <is>
          <t>Wow</t>
        </is>
      </c>
      <c r="K1708" s="24" t="n"/>
      <c r="L1708" s="36" t="n">
        <v>250</v>
      </c>
      <c r="M1708" s="204" t="n">
        <v>3</v>
      </c>
      <c r="N1708" s="177" t="n">
        <v>50</v>
      </c>
      <c r="O1708" s="13" t="n"/>
      <c r="P1708" s="139" t="inlineStr">
        <is>
          <t>pieces</t>
        </is>
      </c>
      <c r="Q1708" s="2" t="n"/>
      <c r="R1708" s="1" t="n"/>
      <c r="S1708" s="229">
        <f>M1708*N1708</f>
        <v/>
      </c>
      <c r="T1708" s="230">
        <f>CONCATENATE(S1708,Q1708,P1708)</f>
        <v/>
      </c>
      <c r="U1708" s="206">
        <f>L1708*M1708</f>
        <v/>
      </c>
      <c r="V1708" s="4" t="n"/>
      <c r="W1708" s="4" t="n"/>
      <c r="X1708" s="4" t="n"/>
    </row>
    <row r="1709" ht="15.75" customHeight="1" thickBot="1">
      <c r="A1709" s="186" t="n">
        <v>729</v>
      </c>
      <c r="B1709" s="214" t="inlineStr">
        <is>
          <t>Paper Box - 2 division</t>
        </is>
      </c>
      <c r="C1709" s="124" t="n"/>
      <c r="D1709" s="115" t="n"/>
      <c r="E1709" s="124" t="n"/>
      <c r="F1709" s="124" t="n"/>
      <c r="G1709" s="124" t="n"/>
      <c r="H1709" s="84" t="n"/>
      <c r="I1709" s="7" t="n"/>
      <c r="J1709" s="32" t="n"/>
      <c r="K1709" s="24" t="n"/>
      <c r="L1709" s="36" t="n">
        <v>5</v>
      </c>
      <c r="M1709" s="204" t="n">
        <v>140</v>
      </c>
      <c r="N1709" s="177" t="n">
        <v>1</v>
      </c>
      <c r="O1709" s="13" t="n"/>
      <c r="P1709" s="139" t="inlineStr">
        <is>
          <t>pieces</t>
        </is>
      </c>
      <c r="Q1709" s="2" t="n"/>
      <c r="R1709" s="1" t="n"/>
      <c r="S1709" s="229">
        <f>M1709*N1709</f>
        <v/>
      </c>
      <c r="T1709" s="230">
        <f>CONCATENATE(S1709,Q1709,P1709)</f>
        <v/>
      </c>
      <c r="U1709" s="206">
        <f>L1709*M1709</f>
        <v/>
      </c>
      <c r="V1709" s="4" t="n"/>
      <c r="W1709" s="4" t="n"/>
      <c r="X1709" s="4" t="n"/>
    </row>
    <row r="1710" ht="15.75" customHeight="1" thickBot="1">
      <c r="A1710" s="186" t="n">
        <v>729</v>
      </c>
      <c r="B1710" s="214" t="inlineStr">
        <is>
          <t>Paper Box - 2 division</t>
        </is>
      </c>
      <c r="C1710" s="124" t="n"/>
      <c r="D1710" s="115" t="n"/>
      <c r="E1710" s="124" t="n"/>
      <c r="F1710" s="124" t="n"/>
      <c r="G1710" s="124" t="n"/>
      <c r="H1710" s="84" t="n"/>
      <c r="I1710" s="7" t="n"/>
      <c r="J1710" s="32" t="inlineStr">
        <is>
          <t>Orange Box</t>
        </is>
      </c>
      <c r="K1710" s="24" t="n"/>
      <c r="L1710" s="36" t="n">
        <v>4.3</v>
      </c>
      <c r="M1710" s="204" t="n">
        <v>109</v>
      </c>
      <c r="N1710" s="177" t="n">
        <v>1</v>
      </c>
      <c r="O1710" s="13" t="n"/>
      <c r="P1710" s="139" t="inlineStr">
        <is>
          <t>pieces</t>
        </is>
      </c>
      <c r="Q1710" s="2" t="n"/>
      <c r="R1710" s="1" t="n"/>
      <c r="S1710" s="229">
        <f>M1710*N1710</f>
        <v/>
      </c>
      <c r="T1710" s="230">
        <f>CONCATENATE(S1710,Q1710,P1710)</f>
        <v/>
      </c>
      <c r="U1710" s="206">
        <f>L1710*M1710</f>
        <v/>
      </c>
      <c r="V1710" s="4" t="n"/>
      <c r="W1710" s="4" t="n"/>
      <c r="X1710" s="4" t="n"/>
    </row>
    <row r="1711" ht="15.75" customHeight="1" thickBot="1">
      <c r="A1711" s="186" t="n">
        <v>730</v>
      </c>
      <c r="B1711" s="215" t="inlineStr">
        <is>
          <t>Paper Box - Microwavable</t>
        </is>
      </c>
      <c r="C1711" s="124" t="n"/>
      <c r="D1711" s="115" t="n"/>
      <c r="E1711" s="124" t="n"/>
      <c r="F1711" s="124" t="n"/>
      <c r="G1711" s="124" t="n"/>
      <c r="H1711" s="84" t="n"/>
      <c r="I1711" s="7" t="n"/>
      <c r="J1711" s="32" t="inlineStr">
        <is>
          <t>Orange Box</t>
        </is>
      </c>
      <c r="K1711" s="24" t="n"/>
      <c r="L1711" s="36" t="n">
        <v>5.8</v>
      </c>
      <c r="M1711" s="204" t="n">
        <v>44</v>
      </c>
      <c r="N1711" s="177" t="n">
        <v>1</v>
      </c>
      <c r="O1711" s="13" t="n"/>
      <c r="P1711" s="139" t="inlineStr">
        <is>
          <t>pieces</t>
        </is>
      </c>
      <c r="Q1711" s="2" t="n"/>
      <c r="R1711" s="1" t="n"/>
      <c r="S1711" s="229">
        <f>M1711*N1711</f>
        <v/>
      </c>
      <c r="T1711" s="230">
        <f>CONCATENATE(S1711,Q1711,P1711)</f>
        <v/>
      </c>
      <c r="U1711" s="206">
        <f>L1711*M1711</f>
        <v/>
      </c>
      <c r="V1711" s="4" t="n"/>
      <c r="W1711" s="4" t="n"/>
      <c r="X1711" s="4" t="n"/>
    </row>
    <row r="1712" ht="15.75" customHeight="1" thickBot="1">
      <c r="A1712" s="186" t="n">
        <v>731</v>
      </c>
      <c r="B1712" s="214" t="inlineStr">
        <is>
          <t>Paper Box - Silver (Single)</t>
        </is>
      </c>
      <c r="C1712" s="124" t="n"/>
      <c r="D1712" s="115" t="n"/>
      <c r="E1712" s="124" t="n"/>
      <c r="F1712" s="124" t="n"/>
      <c r="G1712" s="124" t="n"/>
      <c r="H1712" s="84" t="n"/>
      <c r="I1712" s="7" t="n"/>
      <c r="J1712" s="32" t="n"/>
      <c r="K1712" s="24" t="n"/>
      <c r="L1712" s="36" t="n">
        <v>8.800000000000001</v>
      </c>
      <c r="M1712" s="204" t="n">
        <v>39</v>
      </c>
      <c r="N1712" s="177" t="n">
        <v>1</v>
      </c>
      <c r="O1712" s="13" t="n"/>
      <c r="P1712" s="139" t="inlineStr">
        <is>
          <t>pieces</t>
        </is>
      </c>
      <c r="Q1712" s="2" t="n"/>
      <c r="R1712" s="1" t="n"/>
      <c r="S1712" s="229">
        <f>M1712*N1712</f>
        <v/>
      </c>
      <c r="T1712" s="230">
        <f>CONCATENATE(S1712,Q1712,P1712)</f>
        <v/>
      </c>
      <c r="U1712" s="206">
        <f>L1712*M1712</f>
        <v/>
      </c>
      <c r="V1712" s="4" t="n"/>
      <c r="W1712" s="4" t="n"/>
      <c r="X1712" s="4" t="n"/>
    </row>
    <row r="1713" ht="15.75" customHeight="1" thickBot="1">
      <c r="A1713" s="186" t="n">
        <v>732</v>
      </c>
      <c r="B1713" s="214" t="inlineStr">
        <is>
          <t>Paper Cups</t>
        </is>
      </c>
      <c r="C1713" s="124" t="n"/>
      <c r="D1713" s="115" t="n"/>
      <c r="E1713" s="124" t="n"/>
      <c r="F1713" s="124" t="n"/>
      <c r="G1713" s="124" t="n"/>
      <c r="H1713" s="84" t="n"/>
      <c r="I1713" s="7" t="n"/>
      <c r="J1713" s="32" t="inlineStr">
        <is>
          <t>Dixie</t>
        </is>
      </c>
      <c r="K1713" s="24" t="n"/>
      <c r="L1713" s="36" t="n">
        <v>125</v>
      </c>
      <c r="M1713" s="204" t="n">
        <v>2</v>
      </c>
      <c r="N1713" s="177" t="n">
        <v>1</v>
      </c>
      <c r="O1713" s="13" t="n"/>
      <c r="P1713" s="139" t="inlineStr">
        <is>
          <t>packs</t>
        </is>
      </c>
      <c r="Q1713" s="2" t="n"/>
      <c r="R1713" s="1" t="n"/>
      <c r="S1713" s="229">
        <f>M1713*N1713</f>
        <v/>
      </c>
      <c r="T1713" s="230">
        <f>CONCATENATE(S1713,Q1713,P1713)</f>
        <v/>
      </c>
      <c r="U1713" s="206">
        <f>L1713*M1713</f>
        <v/>
      </c>
      <c r="V1713" s="4" t="n"/>
      <c r="W1713" s="4" t="n"/>
      <c r="X1713" s="4" t="n"/>
    </row>
    <row r="1714" ht="15.75" customHeight="1" thickBot="1">
      <c r="A1714" s="186" t="n">
        <v>733</v>
      </c>
      <c r="B1714" s="214" t="inlineStr">
        <is>
          <t>Paper Cups - 12oz</t>
        </is>
      </c>
      <c r="C1714" s="124" t="n"/>
      <c r="D1714" s="115" t="n"/>
      <c r="E1714" s="124" t="n"/>
      <c r="F1714" s="124" t="n"/>
      <c r="G1714" s="124" t="n"/>
      <c r="H1714" s="84" t="n"/>
      <c r="I1714" s="7" t="n"/>
      <c r="J1714" s="32" t="inlineStr">
        <is>
          <t>Suy Sing - My Everyday</t>
        </is>
      </c>
      <c r="K1714" s="24" t="n"/>
      <c r="L1714" s="36" t="n">
        <v>1.72</v>
      </c>
      <c r="M1714" s="204" t="n">
        <v>75</v>
      </c>
      <c r="N1714" s="177" t="n">
        <v>1</v>
      </c>
      <c r="O1714" s="13" t="n"/>
      <c r="P1714" s="139" t="inlineStr">
        <is>
          <t>pieces</t>
        </is>
      </c>
      <c r="Q1714" s="2" t="n"/>
      <c r="R1714" s="1" t="n"/>
      <c r="S1714" s="229">
        <f>M1714*N1714</f>
        <v/>
      </c>
      <c r="T1714" s="230">
        <f>CONCATENATE(S1714,Q1714,P1714)</f>
        <v/>
      </c>
      <c r="U1714" s="206">
        <f>L1714*M1714</f>
        <v/>
      </c>
      <c r="V1714" s="4" t="n"/>
      <c r="W1714" s="4" t="n"/>
      <c r="X1714" s="4" t="n"/>
    </row>
    <row r="1715" ht="15.75" customHeight="1" thickBot="1">
      <c r="A1715" s="186" t="n">
        <v>733</v>
      </c>
      <c r="B1715" s="214" t="inlineStr">
        <is>
          <t>Paper Cups - 12oz</t>
        </is>
      </c>
      <c r="C1715" s="124" t="n"/>
      <c r="D1715" s="115" t="n"/>
      <c r="E1715" s="124" t="n"/>
      <c r="F1715" s="124" t="n"/>
      <c r="G1715" s="124" t="n"/>
      <c r="H1715" s="84" t="n"/>
      <c r="I1715" s="7" t="n"/>
      <c r="J1715" s="32" t="inlineStr">
        <is>
          <t>pack by 50s'</t>
        </is>
      </c>
      <c r="K1715" s="24" t="n"/>
      <c r="L1715" s="36" t="n">
        <v>100</v>
      </c>
      <c r="M1715" s="204" t="n">
        <v>9</v>
      </c>
      <c r="N1715" s="177" t="n">
        <v>50</v>
      </c>
      <c r="O1715" s="13" t="n"/>
      <c r="P1715" s="139" t="inlineStr">
        <is>
          <t>pieces</t>
        </is>
      </c>
      <c r="Q1715" s="2" t="n"/>
      <c r="R1715" s="1" t="n"/>
      <c r="S1715" s="229">
        <f>M1715*N1715</f>
        <v/>
      </c>
      <c r="T1715" s="230">
        <f>CONCATENATE(S1715,Q1715,P1715)</f>
        <v/>
      </c>
      <c r="U1715" s="206">
        <f>L1715*M1715</f>
        <v/>
      </c>
      <c r="V1715" s="4" t="n"/>
      <c r="W1715" s="4" t="n"/>
      <c r="X1715" s="4" t="n"/>
    </row>
    <row r="1716" ht="15.75" customHeight="1" thickBot="1">
      <c r="A1716" s="186" t="n">
        <v>734</v>
      </c>
      <c r="B1716" s="214" t="inlineStr">
        <is>
          <t>Paper Cups - 6.5oz</t>
        </is>
      </c>
      <c r="C1716" s="124" t="n"/>
      <c r="D1716" s="115" t="n"/>
      <c r="E1716" s="124" t="n"/>
      <c r="F1716" s="124" t="n"/>
      <c r="G1716" s="124" t="n"/>
      <c r="H1716" s="84" t="n"/>
      <c r="I1716" s="7" t="n"/>
      <c r="J1716" s="32" t="inlineStr">
        <is>
          <t>Suy Sing - My Everyday</t>
        </is>
      </c>
      <c r="K1716" s="24" t="n"/>
      <c r="L1716" s="36" t="n">
        <v>0.95</v>
      </c>
      <c r="M1716" s="204" t="n">
        <v>25</v>
      </c>
      <c r="N1716" s="177" t="n">
        <v>1</v>
      </c>
      <c r="O1716" s="13" t="n"/>
      <c r="P1716" s="139" t="inlineStr">
        <is>
          <t>pieces</t>
        </is>
      </c>
      <c r="Q1716" s="2" t="n"/>
      <c r="R1716" s="1" t="n"/>
      <c r="S1716" s="229">
        <f>M1716*N1716</f>
        <v/>
      </c>
      <c r="T1716" s="230">
        <f>CONCATENATE(S1716,Q1716,P1716)</f>
        <v/>
      </c>
      <c r="U1716" s="206">
        <f>L1716*M1716</f>
        <v/>
      </c>
      <c r="V1716" s="4" t="n"/>
      <c r="W1716" s="4" t="n"/>
      <c r="X1716" s="4" t="n"/>
    </row>
    <row r="1717" ht="15.75" customHeight="1" thickBot="1">
      <c r="A1717" s="186" t="n">
        <v>735</v>
      </c>
      <c r="B1717" s="215" t="inlineStr">
        <is>
          <t>Paper Cups - 8oz</t>
        </is>
      </c>
      <c r="C1717" s="124" t="n"/>
      <c r="D1717" s="115" t="n"/>
      <c r="E1717" s="124" t="n"/>
      <c r="F1717" s="124" t="n"/>
      <c r="G1717" s="124" t="n"/>
      <c r="H1717" s="84" t="n"/>
      <c r="I1717" s="7" t="n"/>
      <c r="J1717" s="32" t="inlineStr">
        <is>
          <t>Suy Sing - My Everyday</t>
        </is>
      </c>
      <c r="K1717" s="24" t="n"/>
      <c r="L1717" s="36" t="n">
        <v>1.14</v>
      </c>
      <c r="M1717" s="204" t="n">
        <v>275</v>
      </c>
      <c r="N1717" s="177" t="n">
        <v>1</v>
      </c>
      <c r="O1717" s="13" t="n"/>
      <c r="P1717" s="139" t="inlineStr">
        <is>
          <t>pieces</t>
        </is>
      </c>
      <c r="Q1717" s="2" t="n"/>
      <c r="R1717" s="1" t="n"/>
      <c r="S1717" s="229">
        <f>M1717*N1717</f>
        <v/>
      </c>
      <c r="T1717" s="230">
        <f>CONCATENATE(S1717,Q1717,P1717)</f>
        <v/>
      </c>
      <c r="U1717" s="206">
        <f>L1717*M1717</f>
        <v/>
      </c>
      <c r="V1717" s="4" t="n"/>
      <c r="W1717" s="4" t="n"/>
      <c r="X1717" s="4" t="n"/>
    </row>
    <row r="1718" ht="15.75" customHeight="1" thickBot="1">
      <c r="A1718" s="186" t="n">
        <v>735</v>
      </c>
      <c r="B1718" s="214" t="inlineStr">
        <is>
          <t>Paper Cups - 8oz</t>
        </is>
      </c>
      <c r="C1718" s="124" t="n"/>
      <c r="D1718" s="115" t="n"/>
      <c r="E1718" s="124" t="n"/>
      <c r="F1718" s="124" t="n"/>
      <c r="G1718" s="124" t="n"/>
      <c r="H1718" s="84" t="n"/>
      <c r="I1718" s="7" t="n"/>
      <c r="J1718" s="32" t="inlineStr">
        <is>
          <t>pack by 50s'</t>
        </is>
      </c>
      <c r="K1718" s="24" t="n"/>
      <c r="L1718" s="36" t="n">
        <v>1</v>
      </c>
      <c r="M1718" s="204" t="n">
        <v>709</v>
      </c>
      <c r="N1718" s="177" t="n">
        <v>50</v>
      </c>
      <c r="O1718" s="13" t="n"/>
      <c r="P1718" s="139" t="inlineStr">
        <is>
          <t>pieces</t>
        </is>
      </c>
      <c r="Q1718" s="2" t="n"/>
      <c r="R1718" s="1" t="n"/>
      <c r="S1718" s="229">
        <f>M1718*N1718</f>
        <v/>
      </c>
      <c r="T1718" s="230">
        <f>CONCATENATE(S1718,Q1718,P1718)</f>
        <v/>
      </c>
      <c r="U1718" s="206">
        <f>L1718*M1718</f>
        <v/>
      </c>
      <c r="V1718" s="4" t="n"/>
      <c r="W1718" s="4" t="n"/>
      <c r="X1718" s="4" t="n"/>
    </row>
    <row r="1719" ht="15.75" customHeight="1" thickBot="1">
      <c r="A1719" s="186" t="n">
        <v>735</v>
      </c>
      <c r="B1719" s="214" t="inlineStr">
        <is>
          <t>Paper Cups - 8oz</t>
        </is>
      </c>
      <c r="C1719" s="124" t="n"/>
      <c r="D1719" s="115" t="n"/>
      <c r="E1719" s="124" t="n"/>
      <c r="F1719" s="124" t="n"/>
      <c r="G1719" s="124" t="n"/>
      <c r="H1719" s="84" t="n"/>
      <c r="I1719" s="7" t="n"/>
      <c r="J1719" s="32" t="n"/>
      <c r="K1719" s="24" t="n"/>
      <c r="L1719" s="36" t="n">
        <v>0.76</v>
      </c>
      <c r="M1719" s="204" t="n">
        <v>239</v>
      </c>
      <c r="N1719" s="177" t="n">
        <v>1</v>
      </c>
      <c r="O1719" s="13" t="n"/>
      <c r="P1719" s="139" t="inlineStr">
        <is>
          <t>pieces</t>
        </is>
      </c>
      <c r="Q1719" s="2" t="n"/>
      <c r="R1719" s="1" t="n"/>
      <c r="S1719" s="229">
        <f>M1719*N1719</f>
        <v/>
      </c>
      <c r="T1719" s="230">
        <f>CONCATENATE(S1719,Q1719,P1719)</f>
        <v/>
      </c>
      <c r="U1719" s="206">
        <f>L1719*M1719</f>
        <v/>
      </c>
      <c r="V1719" s="4" t="n"/>
      <c r="W1719" s="4" t="n"/>
      <c r="X1719" s="4" t="n"/>
    </row>
    <row r="1720" ht="15.75" customHeight="1" thickBot="1">
      <c r="A1720" s="186" t="n">
        <v>735</v>
      </c>
      <c r="B1720" s="214" t="inlineStr">
        <is>
          <t>Paper Cups - 8oz</t>
        </is>
      </c>
      <c r="C1720" s="124" t="n"/>
      <c r="D1720" s="115" t="n"/>
      <c r="E1720" s="124" t="n"/>
      <c r="F1720" s="124" t="n"/>
      <c r="G1720" s="124" t="n"/>
      <c r="H1720" s="84" t="n"/>
      <c r="I1720" s="7" t="n"/>
      <c r="J1720" s="32" t="n"/>
      <c r="K1720" s="24" t="n"/>
      <c r="L1720" s="36" t="n">
        <v>1.25</v>
      </c>
      <c r="M1720" s="204" t="n">
        <v>1870</v>
      </c>
      <c r="N1720" s="177" t="n">
        <v>1</v>
      </c>
      <c r="O1720" s="13" t="n"/>
      <c r="P1720" s="139" t="inlineStr">
        <is>
          <t>pieces</t>
        </is>
      </c>
      <c r="Q1720" s="2" t="n"/>
      <c r="R1720" s="1" t="n"/>
      <c r="S1720" s="229">
        <f>M1720*N1720</f>
        <v/>
      </c>
      <c r="T1720" s="230">
        <f>CONCATENATE(S1720,Q1720,P1720)</f>
        <v/>
      </c>
      <c r="U1720" s="206">
        <f>L1720*M1720</f>
        <v/>
      </c>
      <c r="V1720" s="4" t="n"/>
      <c r="W1720" s="4" t="n"/>
      <c r="X1720" s="4" t="n"/>
    </row>
    <row r="1721" ht="15.75" customHeight="1" thickBot="1">
      <c r="A1721" s="186" t="n">
        <v>735</v>
      </c>
      <c r="B1721" s="214" t="inlineStr">
        <is>
          <t>Paper Cups - 8oz</t>
        </is>
      </c>
      <c r="C1721" s="124" t="n"/>
      <c r="D1721" s="115" t="n"/>
      <c r="E1721" s="124" t="n"/>
      <c r="F1721" s="124" t="n"/>
      <c r="G1721" s="124" t="n"/>
      <c r="H1721" s="84" t="n"/>
      <c r="I1721" s="7" t="n"/>
      <c r="J1721" s="32" t="inlineStr">
        <is>
          <t>Carandang Merchandise</t>
        </is>
      </c>
      <c r="K1721" s="24" t="n"/>
      <c r="L1721" s="36" t="n">
        <v>70</v>
      </c>
      <c r="M1721" s="204" t="n">
        <v>11</v>
      </c>
      <c r="N1721" s="177" t="n">
        <v>100</v>
      </c>
      <c r="O1721" s="13" t="n"/>
      <c r="P1721" s="139" t="inlineStr">
        <is>
          <t>pieces</t>
        </is>
      </c>
      <c r="Q1721" s="2" t="n"/>
      <c r="R1721" s="1" t="n"/>
      <c r="S1721" s="229">
        <f>M1721*N1721</f>
        <v/>
      </c>
      <c r="T1721" s="230">
        <f>CONCATENATE(S1721,Q1721,P1721)</f>
        <v/>
      </c>
      <c r="U1721" s="206">
        <f>L1721*M1721</f>
        <v/>
      </c>
      <c r="V1721" s="4" t="n"/>
      <c r="W1721" s="4" t="n"/>
      <c r="X1721" s="4" t="n"/>
    </row>
    <row r="1722" ht="15.75" customHeight="1" thickBot="1">
      <c r="A1722" s="186" t="n">
        <v>736</v>
      </c>
      <c r="B1722" s="214" t="inlineStr">
        <is>
          <t>Paper Cups with Lid - 390cc</t>
        </is>
      </c>
      <c r="C1722" s="124" t="n"/>
      <c r="D1722" s="115" t="n"/>
      <c r="E1722" s="124" t="n"/>
      <c r="F1722" s="124" t="n"/>
      <c r="G1722" s="124" t="n"/>
      <c r="H1722" s="84" t="n"/>
      <c r="I1722" s="7" t="n"/>
      <c r="J1722" s="32" t="inlineStr">
        <is>
          <t>pack by 50s'</t>
        </is>
      </c>
      <c r="K1722" s="24" t="n"/>
      <c r="L1722" s="36" t="n">
        <v>3</v>
      </c>
      <c r="M1722" s="204" t="n">
        <v>200</v>
      </c>
      <c r="N1722" s="177" t="n">
        <v>1</v>
      </c>
      <c r="O1722" s="13" t="n"/>
      <c r="P1722" s="139" t="inlineStr">
        <is>
          <t>pieces</t>
        </is>
      </c>
      <c r="Q1722" s="2" t="n"/>
      <c r="R1722" s="1" t="n"/>
      <c r="S1722" s="229">
        <f>M1722*N1722</f>
        <v/>
      </c>
      <c r="T1722" s="230">
        <f>CONCATENATE(S1722,Q1722,P1722)</f>
        <v/>
      </c>
      <c r="U1722" s="206">
        <f>L1722*M1722</f>
        <v/>
      </c>
      <c r="V1722" s="4" t="n"/>
      <c r="W1722" s="4" t="n"/>
      <c r="X1722" s="4" t="n"/>
    </row>
    <row r="1723" ht="15.75" customHeight="1" thickBot="1">
      <c r="A1723" s="186" t="n">
        <v>736</v>
      </c>
      <c r="B1723" s="214" t="inlineStr">
        <is>
          <t>Paper Cups with Lid - 390cc</t>
        </is>
      </c>
      <c r="C1723" s="124" t="n"/>
      <c r="D1723" s="115" t="n"/>
      <c r="E1723" s="124" t="n"/>
      <c r="F1723" s="124" t="n"/>
      <c r="G1723" s="124" t="n"/>
      <c r="H1723" s="84" t="n"/>
      <c r="I1723" s="7" t="n"/>
      <c r="J1723" s="32" t="inlineStr">
        <is>
          <t>pack by 50s'</t>
        </is>
      </c>
      <c r="K1723" s="24" t="n"/>
      <c r="L1723" s="36" t="n">
        <v>200</v>
      </c>
      <c r="M1723" s="204" t="n">
        <v>2</v>
      </c>
      <c r="N1723" s="177" t="n">
        <v>50</v>
      </c>
      <c r="O1723" s="13" t="n"/>
      <c r="P1723" s="139" t="inlineStr">
        <is>
          <t>pieces</t>
        </is>
      </c>
      <c r="Q1723" s="2" t="n"/>
      <c r="R1723" s="1" t="n"/>
      <c r="S1723" s="229">
        <f>M1723*N1723</f>
        <v/>
      </c>
      <c r="T1723" s="230">
        <f>CONCATENATE(S1723,Q1723,P1723)</f>
        <v/>
      </c>
      <c r="U1723" s="206">
        <f>L1723*M1723</f>
        <v/>
      </c>
      <c r="V1723" s="4" t="n"/>
      <c r="W1723" s="4" t="n"/>
      <c r="X1723" s="4" t="n"/>
    </row>
    <row r="1724" ht="15.75" customHeight="1" thickBot="1">
      <c r="A1724" s="186" t="n">
        <v>737</v>
      </c>
      <c r="B1724" s="215" t="inlineStr">
        <is>
          <t>Paper Cups with Lid - 520cc</t>
        </is>
      </c>
      <c r="C1724" s="124" t="n"/>
      <c r="D1724" s="115" t="n"/>
      <c r="E1724" s="124" t="n"/>
      <c r="F1724" s="124" t="n"/>
      <c r="G1724" s="124" t="n"/>
      <c r="H1724" s="84" t="n"/>
      <c r="I1724" s="7" t="n"/>
      <c r="J1724" s="32" t="n"/>
      <c r="K1724" s="24" t="n"/>
      <c r="L1724" s="36" t="n">
        <v>3.74</v>
      </c>
      <c r="M1724" s="204" t="n">
        <v>126</v>
      </c>
      <c r="N1724" s="177" t="n">
        <v>1</v>
      </c>
      <c r="O1724" s="13" t="n"/>
      <c r="P1724" s="139" t="inlineStr">
        <is>
          <t>packs</t>
        </is>
      </c>
      <c r="Q1724" s="2" t="n"/>
      <c r="R1724" s="1" t="n"/>
      <c r="S1724" s="229">
        <f>M1724*N1724</f>
        <v/>
      </c>
      <c r="T1724" s="230">
        <f>CONCATENATE(S1724,Q1724,P1724)</f>
        <v/>
      </c>
      <c r="U1724" s="206">
        <f>L1724*M1724</f>
        <v/>
      </c>
      <c r="V1724" s="4" t="n"/>
      <c r="W1724" s="4" t="n"/>
      <c r="X1724" s="4" t="n"/>
    </row>
    <row r="1725" ht="15.75" customHeight="1" thickBot="1">
      <c r="A1725" s="186" t="n">
        <v>738</v>
      </c>
      <c r="B1725" s="214" t="inlineStr">
        <is>
          <t>Paper Hotdog</t>
        </is>
      </c>
      <c r="C1725" s="124" t="n"/>
      <c r="D1725" s="115" t="n"/>
      <c r="E1725" s="124" t="n"/>
      <c r="F1725" s="124" t="n"/>
      <c r="G1725" s="124" t="n"/>
      <c r="H1725" s="84" t="n"/>
      <c r="I1725" s="7" t="n"/>
      <c r="J1725" s="32" t="n"/>
      <c r="K1725" s="24" t="n"/>
      <c r="L1725" s="36" t="n">
        <v>1.89</v>
      </c>
      <c r="M1725" s="204" t="n">
        <v>53</v>
      </c>
      <c r="N1725" s="177" t="n">
        <v>1</v>
      </c>
      <c r="O1725" s="13" t="n"/>
      <c r="P1725" s="139" t="inlineStr">
        <is>
          <t>pieces</t>
        </is>
      </c>
      <c r="Q1725" s="2" t="n"/>
      <c r="R1725" s="1" t="n"/>
      <c r="S1725" s="229">
        <f>M1725*N1725</f>
        <v/>
      </c>
      <c r="T1725" s="230">
        <f>CONCATENATE(S1725,Q1725,P1725)</f>
        <v/>
      </c>
      <c r="U1725" s="206">
        <f>L1725*M1725</f>
        <v/>
      </c>
      <c r="V1725" s="4" t="n"/>
      <c r="W1725" s="4" t="n"/>
      <c r="X1725" s="4" t="n"/>
    </row>
    <row r="1726" ht="15.75" customHeight="1" thickBot="1">
      <c r="A1726" s="186" t="n">
        <v>739</v>
      </c>
      <c r="B1726" s="214" t="inlineStr">
        <is>
          <t>Paper Plate</t>
        </is>
      </c>
      <c r="C1726" s="124" t="n"/>
      <c r="D1726" s="115" t="n"/>
      <c r="E1726" s="124" t="n"/>
      <c r="F1726" s="124" t="n"/>
      <c r="G1726" s="124" t="n"/>
      <c r="H1726" s="84" t="n"/>
      <c r="I1726" s="7" t="n"/>
      <c r="J1726" s="32" t="inlineStr">
        <is>
          <t>Carandang Merchandise</t>
        </is>
      </c>
      <c r="K1726" s="24" t="n"/>
      <c r="L1726" s="36" t="n">
        <v>37.5</v>
      </c>
      <c r="M1726" s="204" t="n">
        <v>4</v>
      </c>
      <c r="N1726" s="177" t="n">
        <v>1</v>
      </c>
      <c r="O1726" s="13" t="n"/>
      <c r="P1726" s="139" t="inlineStr">
        <is>
          <t>packs</t>
        </is>
      </c>
      <c r="Q1726" s="2" t="n"/>
      <c r="R1726" s="1" t="n"/>
      <c r="S1726" s="229">
        <f>M1726*N1726</f>
        <v/>
      </c>
      <c r="T1726" s="230">
        <f>CONCATENATE(S1726,Q1726,P1726)</f>
        <v/>
      </c>
      <c r="U1726" s="206">
        <f>L1726*M1726</f>
        <v/>
      </c>
      <c r="V1726" s="4" t="n"/>
      <c r="W1726" s="4" t="n"/>
      <c r="X1726" s="4" t="n"/>
    </row>
    <row r="1727" ht="15.75" customHeight="1" thickBot="1">
      <c r="A1727" s="186" t="n">
        <v>740</v>
      </c>
      <c r="B1727" s="214" t="inlineStr">
        <is>
          <t>Paper Plate - Small</t>
        </is>
      </c>
      <c r="C1727" s="124" t="n"/>
      <c r="D1727" s="115" t="n"/>
      <c r="E1727" s="124" t="n"/>
      <c r="F1727" s="124" t="n"/>
      <c r="G1727" s="124" t="n"/>
      <c r="H1727" s="84" t="n"/>
      <c r="I1727" s="7" t="n"/>
      <c r="J1727" s="32" t="inlineStr">
        <is>
          <t>Good News</t>
        </is>
      </c>
      <c r="K1727" s="24" t="n"/>
      <c r="L1727" s="36" t="n">
        <v>0.5</v>
      </c>
      <c r="M1727" s="204" t="n">
        <v>200</v>
      </c>
      <c r="N1727" s="177" t="n">
        <v>40</v>
      </c>
      <c r="O1727" s="13" t="n"/>
      <c r="P1727" s="139" t="inlineStr">
        <is>
          <t>pieces</t>
        </is>
      </c>
      <c r="Q1727" s="2" t="n"/>
      <c r="R1727" s="1" t="n"/>
      <c r="S1727" s="229">
        <f>M1727*N1727</f>
        <v/>
      </c>
      <c r="T1727" s="230">
        <f>CONCATENATE(S1727,Q1727,P1727)</f>
        <v/>
      </c>
      <c r="U1727" s="206">
        <f>L1727*M1727</f>
        <v/>
      </c>
      <c r="V1727" s="4" t="n"/>
      <c r="W1727" s="4" t="n"/>
      <c r="X1727" s="4" t="n"/>
    </row>
    <row r="1728" ht="15.75" customHeight="1" thickBot="1">
      <c r="A1728" s="186" t="n">
        <v>741</v>
      </c>
      <c r="B1728" s="214" t="inlineStr">
        <is>
          <t>Paper Plate (Round)</t>
        </is>
      </c>
      <c r="C1728" s="124" t="n"/>
      <c r="D1728" s="115" t="n"/>
      <c r="E1728" s="124" t="n"/>
      <c r="F1728" s="124" t="n"/>
      <c r="G1728" s="124" t="n"/>
      <c r="H1728" s="84" t="n"/>
      <c r="I1728" s="7" t="n"/>
      <c r="J1728" s="32" t="n"/>
      <c r="K1728" s="24" t="n"/>
      <c r="L1728" s="36" t="n">
        <v>1.16</v>
      </c>
      <c r="M1728" s="204" t="n">
        <v>250</v>
      </c>
      <c r="N1728" s="177" t="n">
        <v>1</v>
      </c>
      <c r="O1728" s="13" t="n"/>
      <c r="P1728" s="139" t="inlineStr">
        <is>
          <t>pieces</t>
        </is>
      </c>
      <c r="Q1728" s="2" t="n"/>
      <c r="R1728" s="1" t="n"/>
      <c r="S1728" s="229">
        <f>M1728*N1728</f>
        <v/>
      </c>
      <c r="T1728" s="230">
        <f>CONCATENATE(S1728,Q1728,P1728)</f>
        <v/>
      </c>
      <c r="U1728" s="206">
        <f>L1728*M1728</f>
        <v/>
      </c>
      <c r="V1728" s="4" t="n"/>
      <c r="W1728" s="4" t="n"/>
      <c r="X1728" s="4" t="n"/>
    </row>
    <row r="1729" ht="15.75" customHeight="1" thickBot="1">
      <c r="A1729" s="186" t="n">
        <v>742</v>
      </c>
      <c r="B1729" s="214" t="inlineStr">
        <is>
          <t>Paper Towel</t>
        </is>
      </c>
      <c r="C1729" s="124" t="n"/>
      <c r="D1729" s="115" t="n"/>
      <c r="E1729" s="124" t="n"/>
      <c r="F1729" s="124" t="n"/>
      <c r="G1729" s="124" t="n"/>
      <c r="H1729" s="84" t="n"/>
      <c r="I1729" s="7" t="n"/>
      <c r="J1729" s="32" t="inlineStr">
        <is>
          <t>Suy Sing - My Everyday</t>
        </is>
      </c>
      <c r="K1729" s="24" t="n"/>
      <c r="L1729" s="36" t="n">
        <v>40.8</v>
      </c>
      <c r="M1729" s="204" t="n">
        <v>4</v>
      </c>
      <c r="N1729" s="177" t="n">
        <v>1</v>
      </c>
      <c r="O1729" s="13" t="n"/>
      <c r="P1729" s="139" t="inlineStr">
        <is>
          <t>packs</t>
        </is>
      </c>
      <c r="Q1729" s="2" t="n"/>
      <c r="R1729" s="1" t="n"/>
      <c r="S1729" s="229">
        <f>M1729*N1729</f>
        <v/>
      </c>
      <c r="T1729" s="230">
        <f>CONCATENATE(S1729,Q1729,P1729)</f>
        <v/>
      </c>
      <c r="U1729" s="206">
        <f>L1729*M1729</f>
        <v/>
      </c>
      <c r="V1729" s="4" t="n"/>
      <c r="W1729" s="4" t="n"/>
      <c r="X1729" s="4" t="n"/>
    </row>
    <row r="1730" ht="15.75" customHeight="1" thickBot="1">
      <c r="A1730" s="186" t="n">
        <v>743</v>
      </c>
      <c r="B1730" s="215" t="inlineStr">
        <is>
          <t>Paprika Powder</t>
        </is>
      </c>
      <c r="C1730" s="124" t="n"/>
      <c r="D1730" s="115" t="n"/>
      <c r="E1730" s="124" t="n"/>
      <c r="F1730" s="124" t="n"/>
      <c r="G1730" s="124" t="n"/>
      <c r="H1730" s="84" t="n"/>
      <c r="I1730" s="7" t="n"/>
      <c r="J1730" s="32" t="n"/>
      <c r="K1730" s="24" t="n"/>
      <c r="L1730" s="36" t="n">
        <v>45</v>
      </c>
      <c r="M1730" s="204" t="n">
        <v>1</v>
      </c>
      <c r="N1730" s="177" t="n">
        <v>50</v>
      </c>
      <c r="O1730" s="13" t="n"/>
      <c r="P1730" s="139" t="inlineStr">
        <is>
          <t>grams</t>
        </is>
      </c>
      <c r="Q1730" s="2" t="n"/>
      <c r="R1730" s="1" t="n"/>
      <c r="S1730" s="229">
        <f>M1730*N1730</f>
        <v/>
      </c>
      <c r="T1730" s="230">
        <f>CONCATENATE(S1730,Q1730,P1730)</f>
        <v/>
      </c>
      <c r="U1730" s="206">
        <f>L1730*M1730</f>
        <v/>
      </c>
      <c r="V1730" s="4" t="n"/>
      <c r="W1730" s="4" t="n"/>
      <c r="X1730" s="4" t="n"/>
    </row>
    <row r="1731" ht="15.75" customHeight="1" thickBot="1">
      <c r="A1731" s="186" t="n">
        <v>744</v>
      </c>
      <c r="B1731" s="214" t="inlineStr">
        <is>
          <t>Parmesan Cheese</t>
        </is>
      </c>
      <c r="C1731" s="124" t="n"/>
      <c r="D1731" s="115" t="n"/>
      <c r="E1731" s="124" t="n"/>
      <c r="F1731" s="124" t="n"/>
      <c r="G1731" s="124" t="n"/>
      <c r="H1731" s="84" t="n"/>
      <c r="I1731" s="7" t="n"/>
      <c r="J1731" s="32" t="inlineStr">
        <is>
          <t>Coloma</t>
        </is>
      </c>
      <c r="K1731" s="24" t="n"/>
      <c r="L1731" s="36" t="n">
        <v>265</v>
      </c>
      <c r="M1731" s="204" t="n">
        <v>0</v>
      </c>
      <c r="N1731" s="177" t="n">
        <v>227</v>
      </c>
      <c r="O1731" s="13" t="n"/>
      <c r="P1731" s="139" t="inlineStr">
        <is>
          <t>grams</t>
        </is>
      </c>
      <c r="Q1731" s="2" t="n"/>
      <c r="R1731" s="1" t="n"/>
      <c r="S1731" s="229">
        <f>M1731*N1731</f>
        <v/>
      </c>
      <c r="T1731" s="230">
        <f>CONCATENATE(S1731,Q1731,P1731)</f>
        <v/>
      </c>
      <c r="U1731" s="206">
        <f>L1731*M1731</f>
        <v/>
      </c>
      <c r="V1731" s="4" t="n"/>
      <c r="W1731" s="4" t="n"/>
      <c r="X1731" s="4" t="n"/>
    </row>
    <row r="1732" ht="15.75" customHeight="1" thickBot="1">
      <c r="A1732" s="186" t="n">
        <v>745</v>
      </c>
      <c r="B1732" s="214" t="inlineStr">
        <is>
          <t>Pastillas Roll</t>
        </is>
      </c>
      <c r="C1732" s="124" t="n"/>
      <c r="D1732" s="115" t="n"/>
      <c r="E1732" s="124" t="n"/>
      <c r="F1732" s="124" t="n"/>
      <c r="G1732" s="124" t="n"/>
      <c r="H1732" s="84" t="n"/>
      <c r="I1732" s="7" t="n"/>
      <c r="J1732" s="32" t="inlineStr">
        <is>
          <t>Ysanne Ktara Native Kakanin</t>
        </is>
      </c>
      <c r="K1732" s="24" t="n"/>
      <c r="L1732" s="36" t="n">
        <v>5</v>
      </c>
      <c r="M1732" s="204" t="n">
        <v>25</v>
      </c>
      <c r="N1732" s="177" t="n">
        <v>1</v>
      </c>
      <c r="O1732" s="13" t="n"/>
      <c r="P1732" s="139" t="inlineStr">
        <is>
          <t>pieces</t>
        </is>
      </c>
      <c r="Q1732" s="2" t="n"/>
      <c r="R1732" s="1" t="n"/>
      <c r="S1732" s="229">
        <f>M1732*N1732</f>
        <v/>
      </c>
      <c r="T1732" s="230">
        <f>CONCATENATE(S1732,Q1732,P1732)</f>
        <v/>
      </c>
      <c r="U1732" s="206">
        <f>L1732*M1732</f>
        <v/>
      </c>
      <c r="V1732" s="4" t="n"/>
      <c r="W1732" s="4" t="n"/>
      <c r="X1732" s="4" t="n"/>
    </row>
    <row r="1733" ht="15.75" customHeight="1" thickBot="1">
      <c r="A1733" s="186" t="n">
        <v>746</v>
      </c>
      <c r="B1733" s="214" t="inlineStr">
        <is>
          <t>Patatas</t>
        </is>
      </c>
      <c r="C1733" s="124" t="n"/>
      <c r="D1733" s="115" t="n"/>
      <c r="E1733" s="124" t="n"/>
      <c r="F1733" s="124" t="n"/>
      <c r="G1733" s="124" t="n"/>
      <c r="H1733" s="84" t="n"/>
      <c r="I1733" s="7" t="n"/>
      <c r="J1733" s="32" t="n"/>
      <c r="K1733" s="24" t="n"/>
      <c r="L1733" s="36" t="n">
        <v>50</v>
      </c>
      <c r="M1733" s="204" t="n">
        <v>2</v>
      </c>
      <c r="N1733" s="177" t="n">
        <v>1</v>
      </c>
      <c r="O1733" s="13" t="n"/>
      <c r="P1733" s="139" t="inlineStr">
        <is>
          <t>kilos</t>
        </is>
      </c>
      <c r="Q1733" s="2" t="n"/>
      <c r="R1733" s="1" t="n"/>
      <c r="S1733" s="229">
        <f>M1733*N1733</f>
        <v/>
      </c>
      <c r="T1733" s="230">
        <f>CONCATENATE(S1733,Q1733,P1733)</f>
        <v/>
      </c>
      <c r="U1733" s="206">
        <f>L1733*M1733</f>
        <v/>
      </c>
      <c r="V1733" s="4" t="n"/>
      <c r="W1733" s="4" t="n"/>
      <c r="X1733" s="4" t="n"/>
    </row>
    <row r="1734" ht="15.75" customHeight="1" thickBot="1">
      <c r="A1734" s="186" t="n">
        <v>747</v>
      </c>
      <c r="B1734" s="214" t="inlineStr">
        <is>
          <t>Peach Halves</t>
        </is>
      </c>
      <c r="C1734" s="124" t="n"/>
      <c r="D1734" s="115" t="n"/>
      <c r="E1734" s="124" t="n"/>
      <c r="F1734" s="124" t="n"/>
      <c r="G1734" s="124" t="n"/>
      <c r="H1734" s="84" t="n"/>
      <c r="I1734" s="7" t="n"/>
      <c r="J1734" s="32" t="inlineStr">
        <is>
          <t>Jolly</t>
        </is>
      </c>
      <c r="K1734" s="24" t="n"/>
      <c r="L1734" s="36" t="n">
        <v>113</v>
      </c>
      <c r="M1734" s="204" t="n">
        <v>1</v>
      </c>
      <c r="N1734" s="177" t="n">
        <v>825</v>
      </c>
      <c r="O1734" s="13" t="n"/>
      <c r="P1734" s="139" t="inlineStr">
        <is>
          <t>grams</t>
        </is>
      </c>
      <c r="Q1734" s="2" t="n"/>
      <c r="R1734" s="1" t="n"/>
      <c r="S1734" s="229">
        <f>M1734*N1734</f>
        <v/>
      </c>
      <c r="T1734" s="230">
        <f>CONCATENATE(S1734,Q1734,P1734)</f>
        <v/>
      </c>
      <c r="U1734" s="206">
        <f>L1734*M1734</f>
        <v/>
      </c>
      <c r="V1734" s="4" t="n"/>
      <c r="W1734" s="4" t="n"/>
      <c r="X1734" s="4" t="n"/>
    </row>
    <row r="1735" ht="15.75" customHeight="1" thickBot="1">
      <c r="A1735" s="186" t="n">
        <v>747</v>
      </c>
      <c r="B1735" s="214" t="inlineStr">
        <is>
          <t>Peach Halves</t>
        </is>
      </c>
      <c r="C1735" s="124" t="n"/>
      <c r="D1735" s="115" t="n"/>
      <c r="E1735" s="124" t="n"/>
      <c r="F1735" s="124" t="n"/>
      <c r="G1735" s="124" t="n"/>
      <c r="H1735" s="84" t="n"/>
      <c r="I1735" s="7" t="n"/>
      <c r="J1735" s="32" t="inlineStr">
        <is>
          <t>Del Monte</t>
        </is>
      </c>
      <c r="K1735" s="24" t="n"/>
      <c r="L1735" s="36" t="n">
        <v>139</v>
      </c>
      <c r="M1735" s="204" t="n">
        <v>1</v>
      </c>
      <c r="N1735" s="177" t="n">
        <v>825</v>
      </c>
      <c r="O1735" s="13" t="n"/>
      <c r="P1735" s="139" t="inlineStr">
        <is>
          <t>grams</t>
        </is>
      </c>
      <c r="Q1735" s="2" t="n"/>
      <c r="R1735" s="1" t="n"/>
      <c r="S1735" s="229">
        <f>M1735*N1735</f>
        <v/>
      </c>
      <c r="T1735" s="230">
        <f>CONCATENATE(S1735,Q1735,P1735)</f>
        <v/>
      </c>
      <c r="U1735" s="206">
        <f>L1735*M1735</f>
        <v/>
      </c>
      <c r="V1735" s="4" t="n"/>
      <c r="W1735" s="4" t="n"/>
      <c r="X1735" s="4" t="n"/>
    </row>
    <row r="1736" ht="15.75" customHeight="1" thickBot="1">
      <c r="A1736" s="186" t="n">
        <v>310</v>
      </c>
      <c r="B1736" s="214" t="inlineStr">
        <is>
          <t>Peanut Butter</t>
        </is>
      </c>
      <c r="C1736" s="124" t="n"/>
      <c r="D1736" s="115" t="n"/>
      <c r="E1736" s="124" t="n"/>
      <c r="F1736" s="124" t="n"/>
      <c r="G1736" s="124" t="n"/>
      <c r="H1736" s="84" t="n"/>
      <c r="I1736" s="7" t="n"/>
      <c r="J1736" s="32" t="inlineStr">
        <is>
          <t>Baby</t>
        </is>
      </c>
      <c r="K1736" s="24" t="n"/>
      <c r="L1736" s="36" t="n">
        <v>180</v>
      </c>
      <c r="M1736" s="204" t="n">
        <v>2</v>
      </c>
      <c r="N1736" s="177" t="n">
        <v>2</v>
      </c>
      <c r="O1736" s="13" t="n"/>
      <c r="P1736" s="139" t="inlineStr">
        <is>
          <t>kilos</t>
        </is>
      </c>
      <c r="Q1736" s="2" t="n"/>
      <c r="R1736" s="1" t="n"/>
      <c r="S1736" s="229">
        <f>M1736*N1736</f>
        <v/>
      </c>
      <c r="T1736" s="230">
        <f>CONCATENATE(S1736,Q1736,P1736)</f>
        <v/>
      </c>
      <c r="U1736" s="206">
        <f>L1736*M1736</f>
        <v/>
      </c>
      <c r="V1736" s="4" t="n"/>
      <c r="W1736" s="4" t="n"/>
      <c r="X1736" s="4" t="n"/>
    </row>
    <row r="1737" ht="15.75" customHeight="1" thickBot="1">
      <c r="A1737" s="186" t="n">
        <v>310</v>
      </c>
      <c r="B1737" s="215" t="inlineStr">
        <is>
          <t>Peanut Butter</t>
        </is>
      </c>
      <c r="C1737" s="124" t="n"/>
      <c r="D1737" s="115" t="n"/>
      <c r="E1737" s="124" t="n"/>
      <c r="F1737" s="124" t="n"/>
      <c r="G1737" s="124" t="n"/>
      <c r="H1737" s="84" t="n"/>
      <c r="I1737" s="7" t="n"/>
      <c r="J1737" s="32" t="inlineStr">
        <is>
          <t>Lily's</t>
        </is>
      </c>
      <c r="K1737" s="24" t="n"/>
      <c r="L1737" s="36" t="n">
        <v>221.3</v>
      </c>
      <c r="M1737" s="204" t="n">
        <v>1</v>
      </c>
      <c r="N1737" s="177" t="n">
        <v>504</v>
      </c>
      <c r="O1737" s="13" t="n"/>
      <c r="P1737" s="139" t="inlineStr">
        <is>
          <t>grams</t>
        </is>
      </c>
      <c r="Q1737" s="2" t="n"/>
      <c r="R1737" s="1" t="n"/>
      <c r="S1737" s="229">
        <f>M1737*N1737</f>
        <v/>
      </c>
      <c r="T1737" s="230">
        <f>CONCATENATE(S1737,Q1737,P1737)</f>
        <v/>
      </c>
      <c r="U1737" s="206">
        <f>L1737*M1737</f>
        <v/>
      </c>
      <c r="V1737" s="4" t="n"/>
      <c r="W1737" s="4" t="n"/>
      <c r="X1737" s="4" t="n"/>
    </row>
    <row r="1738" ht="15.75" customHeight="1" thickBot="1">
      <c r="A1738" s="186" t="n">
        <v>310</v>
      </c>
      <c r="B1738" s="214" t="inlineStr">
        <is>
          <t>Peanut Butter</t>
        </is>
      </c>
      <c r="C1738" s="124" t="n"/>
      <c r="D1738" s="115" t="n"/>
      <c r="E1738" s="124" t="n"/>
      <c r="F1738" s="124" t="n"/>
      <c r="G1738" s="124" t="n"/>
      <c r="H1738" s="84" t="n"/>
      <c r="I1738" s="7" t="n"/>
      <c r="J1738" s="32" t="inlineStr">
        <is>
          <t>Baby</t>
        </is>
      </c>
      <c r="K1738" s="24" t="n"/>
      <c r="L1738" s="36" t="n">
        <v>230</v>
      </c>
      <c r="M1738" s="204" t="n">
        <v>2</v>
      </c>
      <c r="N1738" s="177" t="n">
        <v>1800</v>
      </c>
      <c r="O1738" s="13" t="n"/>
      <c r="P1738" s="139" t="inlineStr">
        <is>
          <t>grams</t>
        </is>
      </c>
      <c r="Q1738" s="2" t="n"/>
      <c r="R1738" s="1" t="n"/>
      <c r="S1738" s="229">
        <f>M1738*N1738</f>
        <v/>
      </c>
      <c r="T1738" s="230">
        <f>CONCATENATE(S1738,Q1738,P1738)</f>
        <v/>
      </c>
      <c r="U1738" s="206">
        <f>L1738*M1738</f>
        <v/>
      </c>
      <c r="V1738" s="4" t="n"/>
      <c r="W1738" s="4" t="n"/>
      <c r="X1738" s="4" t="n"/>
    </row>
    <row r="1739" ht="15.75" customHeight="1" thickBot="1">
      <c r="A1739" s="186" t="n">
        <v>748</v>
      </c>
      <c r="B1739" s="215" t="inlineStr">
        <is>
          <t>Peanuts</t>
        </is>
      </c>
      <c r="C1739" s="124" t="n"/>
      <c r="D1739" s="115" t="n"/>
      <c r="E1739" s="124" t="n"/>
      <c r="F1739" s="124" t="n"/>
      <c r="G1739" s="124" t="n"/>
      <c r="H1739" s="84" t="n"/>
      <c r="I1739" s="7" t="n"/>
      <c r="J1739" s="32" t="n"/>
      <c r="K1739" s="24" t="n"/>
      <c r="L1739" s="36" t="n">
        <v>6</v>
      </c>
      <c r="M1739" s="204" t="n">
        <v>130</v>
      </c>
      <c r="N1739" s="177" t="n">
        <v>10</v>
      </c>
      <c r="O1739" s="13" t="n"/>
      <c r="P1739" s="139" t="inlineStr">
        <is>
          <t>packs</t>
        </is>
      </c>
      <c r="Q1739" s="2" t="n"/>
      <c r="R1739" s="1" t="n"/>
      <c r="S1739" s="229">
        <f>M1739*N1739</f>
        <v/>
      </c>
      <c r="T1739" s="230">
        <f>CONCATENATE(S1739,Q1739,P1739)</f>
        <v/>
      </c>
      <c r="U1739" s="206">
        <f>L1739*M1739</f>
        <v/>
      </c>
      <c r="V1739" s="4" t="n"/>
      <c r="W1739" s="4" t="n"/>
      <c r="X1739" s="4" t="n"/>
    </row>
    <row r="1740" ht="15.75" customHeight="1" thickBot="1">
      <c r="A1740" s="186" t="n">
        <v>748</v>
      </c>
      <c r="B1740" s="214" t="inlineStr">
        <is>
          <t>Peanuts</t>
        </is>
      </c>
      <c r="C1740" s="124" t="n"/>
      <c r="D1740" s="115" t="n"/>
      <c r="E1740" s="124" t="n"/>
      <c r="F1740" s="124" t="n"/>
      <c r="G1740" s="124" t="n"/>
      <c r="H1740" s="84" t="n"/>
      <c r="I1740" s="7" t="n"/>
      <c r="J1740" s="32" t="inlineStr">
        <is>
          <t>JBC - Happy</t>
        </is>
      </c>
      <c r="K1740" s="24" t="n"/>
      <c r="L1740" s="36" t="n">
        <v>38</v>
      </c>
      <c r="M1740" s="204" t="n">
        <v>4</v>
      </c>
      <c r="N1740" s="177" t="n">
        <v>100</v>
      </c>
      <c r="O1740" s="13" t="n"/>
      <c r="P1740" s="139" t="inlineStr">
        <is>
          <t>grams</t>
        </is>
      </c>
      <c r="Q1740" s="2" t="n"/>
      <c r="R1740" s="1" t="n"/>
      <c r="S1740" s="229">
        <f>M1740*N1740</f>
        <v/>
      </c>
      <c r="T1740" s="230">
        <f>CONCATENATE(S1740,Q1740,P1740)</f>
        <v/>
      </c>
      <c r="U1740" s="206">
        <f>L1740*M1740</f>
        <v/>
      </c>
      <c r="V1740" s="4" t="n"/>
      <c r="W1740" s="4" t="n"/>
      <c r="X1740" s="4" t="n"/>
    </row>
    <row r="1741" ht="15.75" customHeight="1" thickBot="1">
      <c r="A1741" s="186" t="n">
        <v>749</v>
      </c>
      <c r="B1741" s="214" t="inlineStr">
        <is>
          <t>Peanuts - Garlic</t>
        </is>
      </c>
      <c r="C1741" s="124" t="n"/>
      <c r="D1741" s="115" t="n"/>
      <c r="E1741" s="124" t="n"/>
      <c r="F1741" s="124" t="n"/>
      <c r="G1741" s="124" t="n"/>
      <c r="H1741" s="84" t="n"/>
      <c r="I1741" s="7" t="n"/>
      <c r="J1741" s="32" t="inlineStr">
        <is>
          <t>Growers</t>
        </is>
      </c>
      <c r="K1741" s="24" t="n"/>
      <c r="L1741" s="36" t="n">
        <v>35.18</v>
      </c>
      <c r="M1741" s="204" t="n">
        <v>24</v>
      </c>
      <c r="N1741" s="177" t="n">
        <v>80</v>
      </c>
      <c r="O1741" s="13" t="n"/>
      <c r="P1741" s="139" t="inlineStr">
        <is>
          <t>grams</t>
        </is>
      </c>
      <c r="Q1741" s="2" t="n"/>
      <c r="R1741" s="1" t="n"/>
      <c r="S1741" s="229">
        <f>M1741*N1741</f>
        <v/>
      </c>
      <c r="T1741" s="230">
        <f>CONCATENATE(S1741,Q1741,P1741)</f>
        <v/>
      </c>
      <c r="U1741" s="206">
        <f>L1741*M1741</f>
        <v/>
      </c>
      <c r="V1741" s="4" t="n"/>
      <c r="W1741" s="4" t="n"/>
      <c r="X1741" s="4" t="n"/>
    </row>
    <row r="1742" ht="15.75" customHeight="1" thickBot="1">
      <c r="A1742" s="186" t="n">
        <v>749</v>
      </c>
      <c r="B1742" s="214" t="inlineStr">
        <is>
          <t>Peanuts - Garlic</t>
        </is>
      </c>
      <c r="C1742" s="124" t="n"/>
      <c r="D1742" s="115" t="n"/>
      <c r="E1742" s="124" t="n"/>
      <c r="F1742" s="124" t="n"/>
      <c r="G1742" s="124" t="n"/>
      <c r="H1742" s="84" t="n"/>
      <c r="I1742" s="7" t="n"/>
      <c r="J1742" s="32" t="inlineStr">
        <is>
          <t>Wow Mani</t>
        </is>
      </c>
      <c r="K1742" s="24" t="n"/>
      <c r="L1742" s="36" t="n">
        <v>234.75</v>
      </c>
      <c r="M1742" s="204" t="n">
        <v>1</v>
      </c>
      <c r="N1742" s="177" t="n">
        <v>120</v>
      </c>
      <c r="O1742" s="13" t="n"/>
      <c r="P1742" s="139" t="inlineStr">
        <is>
          <t>grams</t>
        </is>
      </c>
      <c r="Q1742" s="2" t="n"/>
      <c r="R1742" s="1" t="n"/>
      <c r="S1742" s="229">
        <f>M1742*N1742</f>
        <v/>
      </c>
      <c r="T1742" s="230">
        <f>CONCATENATE(S1742,Q1742,P1742)</f>
        <v/>
      </c>
      <c r="U1742" s="206">
        <f>L1742*M1742</f>
        <v/>
      </c>
      <c r="V1742" s="4" t="n"/>
      <c r="W1742" s="4" t="n"/>
      <c r="X1742" s="4" t="n"/>
    </row>
    <row r="1743" ht="15.75" customHeight="1" thickBot="1">
      <c r="A1743" s="186" t="n">
        <v>750</v>
      </c>
      <c r="B1743" s="215" t="inlineStr">
        <is>
          <t>Peanuts (Big)</t>
        </is>
      </c>
      <c r="C1743" s="124" t="n"/>
      <c r="D1743" s="115" t="n"/>
      <c r="E1743" s="124" t="n"/>
      <c r="F1743" s="124" t="n"/>
      <c r="G1743" s="124" t="n"/>
      <c r="H1743" s="84" t="n"/>
      <c r="I1743" s="7" t="n"/>
      <c r="J1743" s="32" t="inlineStr">
        <is>
          <t>Mialendra Online Shop</t>
        </is>
      </c>
      <c r="K1743" s="24" t="n"/>
      <c r="L1743" s="36" t="n">
        <v>125</v>
      </c>
      <c r="M1743" s="204" t="n">
        <v>17</v>
      </c>
      <c r="N1743" s="177" t="n">
        <v>1</v>
      </c>
      <c r="O1743" s="13" t="n"/>
      <c r="P1743" s="139" t="inlineStr">
        <is>
          <t>jar</t>
        </is>
      </c>
      <c r="Q1743" s="2" t="n"/>
      <c r="R1743" s="1" t="n"/>
      <c r="S1743" s="229">
        <f>M1743*N1743</f>
        <v/>
      </c>
      <c r="T1743" s="230">
        <f>CONCATENATE(S1743,Q1743,P1743)</f>
        <v/>
      </c>
      <c r="U1743" s="206">
        <f>L1743*M1743</f>
        <v/>
      </c>
      <c r="V1743" s="4" t="n"/>
      <c r="W1743" s="4" t="n"/>
      <c r="X1743" s="4" t="n"/>
    </row>
    <row r="1744" ht="15.75" customHeight="1" thickBot="1">
      <c r="A1744" s="186" t="n">
        <v>751</v>
      </c>
      <c r="B1744" s="215" t="inlineStr">
        <is>
          <t>Peanuts (Small)</t>
        </is>
      </c>
      <c r="C1744" s="124" t="n"/>
      <c r="D1744" s="115" t="n"/>
      <c r="E1744" s="124" t="n"/>
      <c r="F1744" s="124" t="n"/>
      <c r="G1744" s="124" t="n"/>
      <c r="H1744" s="84" t="n"/>
      <c r="I1744" s="7" t="n"/>
      <c r="J1744" s="32" t="inlineStr">
        <is>
          <t>Mialendra Online Shop</t>
        </is>
      </c>
      <c r="K1744" s="24" t="n"/>
      <c r="L1744" s="36" t="n">
        <v>35</v>
      </c>
      <c r="M1744" s="204" t="n">
        <v>1</v>
      </c>
      <c r="N1744" s="177" t="n">
        <v>1</v>
      </c>
      <c r="O1744" s="13" t="n"/>
      <c r="P1744" s="139" t="inlineStr">
        <is>
          <t>jar</t>
        </is>
      </c>
      <c r="Q1744" s="2" t="n"/>
      <c r="R1744" s="1" t="n"/>
      <c r="S1744" s="229">
        <f>M1744*N1744</f>
        <v/>
      </c>
      <c r="T1744" s="230">
        <f>CONCATENATE(S1744,Q1744,P1744)</f>
        <v/>
      </c>
      <c r="U1744" s="206">
        <f>L1744*M1744</f>
        <v/>
      </c>
      <c r="V1744" s="4" t="n"/>
      <c r="W1744" s="4" t="n"/>
      <c r="X1744" s="4" t="n"/>
    </row>
    <row r="1745" ht="15.75" customHeight="1" thickBot="1">
      <c r="A1745" s="186" t="n">
        <v>752</v>
      </c>
      <c r="B1745" s="214" t="inlineStr">
        <is>
          <t>Pechay Baguio</t>
        </is>
      </c>
      <c r="C1745" s="124" t="n"/>
      <c r="D1745" s="115" t="n"/>
      <c r="E1745" s="124" t="n"/>
      <c r="F1745" s="124" t="n"/>
      <c r="G1745" s="124" t="n"/>
      <c r="H1745" s="84" t="n"/>
      <c r="I1745" s="7" t="n"/>
      <c r="J1745" s="32" t="n"/>
      <c r="K1745" s="24" t="n"/>
      <c r="L1745" s="36" t="n">
        <v>75</v>
      </c>
      <c r="M1745" s="204" t="n">
        <v>1</v>
      </c>
      <c r="N1745" s="177" t="n">
        <v>1</v>
      </c>
      <c r="O1745" s="13" t="n"/>
      <c r="P1745" s="139" t="inlineStr">
        <is>
          <t>kilos</t>
        </is>
      </c>
      <c r="Q1745" s="2" t="n"/>
      <c r="R1745" s="1" t="n"/>
      <c r="S1745" s="229">
        <f>M1745*N1745</f>
        <v/>
      </c>
      <c r="T1745" s="230">
        <f>CONCATENATE(S1745,Q1745,P1745)</f>
        <v/>
      </c>
      <c r="U1745" s="206">
        <f>L1745*M1745</f>
        <v/>
      </c>
      <c r="V1745" s="4" t="n"/>
      <c r="W1745" s="4" t="n"/>
      <c r="X1745" s="4" t="n"/>
    </row>
    <row r="1746" ht="15.75" customHeight="1" thickBot="1">
      <c r="A1746" s="186" t="n">
        <v>752</v>
      </c>
      <c r="B1746" s="214" t="inlineStr">
        <is>
          <t>Pechay Baguio</t>
        </is>
      </c>
      <c r="C1746" s="124" t="n"/>
      <c r="D1746" s="115" t="n"/>
      <c r="E1746" s="124" t="n"/>
      <c r="F1746" s="124" t="n"/>
      <c r="G1746" s="124" t="n"/>
      <c r="H1746" s="84" t="n"/>
      <c r="I1746" s="7" t="n"/>
      <c r="J1746" s="32" t="n"/>
      <c r="K1746" s="24" t="n"/>
      <c r="L1746" s="36" t="n">
        <v>100</v>
      </c>
      <c r="M1746" s="204" t="n">
        <v>1</v>
      </c>
      <c r="N1746" s="177" t="n">
        <v>1</v>
      </c>
      <c r="O1746" s="13" t="n"/>
      <c r="P1746" s="139" t="inlineStr">
        <is>
          <t>kilos</t>
        </is>
      </c>
      <c r="Q1746" s="2" t="n"/>
      <c r="R1746" s="1" t="n"/>
      <c r="S1746" s="229">
        <f>M1746*N1746</f>
        <v/>
      </c>
      <c r="T1746" s="230">
        <f>CONCATENATE(S1746,Q1746,P1746)</f>
        <v/>
      </c>
      <c r="U1746" s="206">
        <f>L1746*M1746</f>
        <v/>
      </c>
      <c r="V1746" s="4" t="n"/>
      <c r="W1746" s="4" t="n"/>
      <c r="X1746" s="4" t="n"/>
    </row>
    <row r="1747" ht="15.75" customHeight="1" thickBot="1">
      <c r="A1747" s="186" t="n">
        <v>752</v>
      </c>
      <c r="B1747" s="214" t="inlineStr">
        <is>
          <t>Pechay Baguio</t>
        </is>
      </c>
      <c r="C1747" s="124" t="n"/>
      <c r="D1747" s="115" t="n"/>
      <c r="E1747" s="124" t="n"/>
      <c r="F1747" s="124" t="n"/>
      <c r="G1747" s="124" t="n"/>
      <c r="H1747" s="84" t="n"/>
      <c r="I1747" s="7" t="n"/>
      <c r="J1747" s="32" t="n"/>
      <c r="K1747" s="24" t="n"/>
      <c r="L1747" s="36" t="n">
        <v>50</v>
      </c>
      <c r="M1747" s="204" t="n">
        <v>1</v>
      </c>
      <c r="N1747" s="177" t="n">
        <v>1</v>
      </c>
      <c r="O1747" s="13" t="n"/>
      <c r="P1747" s="139" t="inlineStr">
        <is>
          <t>kilos</t>
        </is>
      </c>
      <c r="Q1747" s="2" t="n"/>
      <c r="R1747" s="1" t="n"/>
      <c r="S1747" s="229">
        <f>M1747*N1747</f>
        <v/>
      </c>
      <c r="T1747" s="230">
        <f>CONCATENATE(S1747,Q1747,P1747)</f>
        <v/>
      </c>
      <c r="U1747" s="206">
        <f>L1747*M1747</f>
        <v/>
      </c>
      <c r="V1747" s="4" t="n"/>
      <c r="W1747" s="4" t="n"/>
      <c r="X1747" s="4" t="n"/>
    </row>
    <row r="1748" ht="15.75" customHeight="1" thickBot="1">
      <c r="A1748" s="186" t="n">
        <v>753</v>
      </c>
      <c r="B1748" s="214" t="inlineStr">
        <is>
          <t>Pechay Native</t>
        </is>
      </c>
      <c r="C1748" s="124" t="n"/>
      <c r="D1748" s="115" t="n"/>
      <c r="E1748" s="124" t="n"/>
      <c r="F1748" s="124" t="n"/>
      <c r="G1748" s="124" t="n"/>
      <c r="H1748" s="84" t="n"/>
      <c r="I1748" s="7" t="n"/>
      <c r="J1748" s="32" t="n"/>
      <c r="K1748" s="24" t="n"/>
      <c r="L1748" s="36" t="n">
        <v>50</v>
      </c>
      <c r="M1748" s="204" t="n">
        <v>2</v>
      </c>
      <c r="N1748" s="177" t="n">
        <v>1</v>
      </c>
      <c r="O1748" s="13" t="n"/>
      <c r="P1748" s="139" t="inlineStr">
        <is>
          <t>kilos</t>
        </is>
      </c>
      <c r="Q1748" s="2" t="n"/>
      <c r="R1748" s="1" t="n"/>
      <c r="S1748" s="229">
        <f>M1748*N1748</f>
        <v/>
      </c>
      <c r="T1748" s="230">
        <f>CONCATENATE(S1748,Q1748,P1748)</f>
        <v/>
      </c>
      <c r="U1748" s="206">
        <f>L1748*M1748</f>
        <v/>
      </c>
      <c r="V1748" s="4" t="n"/>
      <c r="W1748" s="4" t="n"/>
      <c r="X1748" s="4" t="n"/>
    </row>
    <row r="1749" ht="15.75" customHeight="1" thickBot="1">
      <c r="A1749" s="186" t="n">
        <v>753</v>
      </c>
      <c r="B1749" s="214" t="inlineStr">
        <is>
          <t>Pechay Native</t>
        </is>
      </c>
      <c r="C1749" s="124" t="n"/>
      <c r="D1749" s="115" t="n"/>
      <c r="E1749" s="124" t="n"/>
      <c r="F1749" s="124" t="n"/>
      <c r="G1749" s="124" t="n"/>
      <c r="H1749" s="84" t="n"/>
      <c r="I1749" s="7" t="n"/>
      <c r="J1749" s="32" t="n"/>
      <c r="K1749" s="24" t="n"/>
      <c r="L1749" s="36" t="n">
        <v>80</v>
      </c>
      <c r="M1749" s="204" t="n">
        <v>1</v>
      </c>
      <c r="N1749" s="177" t="n">
        <v>1</v>
      </c>
      <c r="O1749" s="13" t="n"/>
      <c r="P1749" s="139" t="inlineStr">
        <is>
          <t>kilos</t>
        </is>
      </c>
      <c r="Q1749" s="2" t="n"/>
      <c r="R1749" s="1" t="n"/>
      <c r="S1749" s="229">
        <f>M1749*N1749</f>
        <v/>
      </c>
      <c r="T1749" s="230">
        <f>CONCATENATE(S1749,Q1749,P1749)</f>
        <v/>
      </c>
      <c r="U1749" s="206">
        <f>L1749*M1749</f>
        <v/>
      </c>
      <c r="V1749" s="4" t="n"/>
      <c r="W1749" s="4" t="n"/>
      <c r="X1749" s="4" t="n"/>
    </row>
    <row r="1750" ht="15.75" customHeight="1" thickBot="1">
      <c r="A1750" s="186" t="n">
        <v>754</v>
      </c>
      <c r="B1750" s="214" t="inlineStr">
        <is>
          <t>Penne</t>
        </is>
      </c>
      <c r="C1750" s="124" t="n"/>
      <c r="D1750" s="115" t="n"/>
      <c r="E1750" s="124" t="n"/>
      <c r="F1750" s="124" t="n"/>
      <c r="G1750" s="124" t="n"/>
      <c r="H1750" s="84" t="n"/>
      <c r="I1750" s="7" t="n"/>
      <c r="J1750" s="32" t="inlineStr">
        <is>
          <t>Ideal</t>
        </is>
      </c>
      <c r="K1750" s="24" t="n"/>
      <c r="L1750" s="36" t="n">
        <v>75</v>
      </c>
      <c r="M1750" s="204" t="n">
        <v>2</v>
      </c>
      <c r="N1750" s="177" t="n">
        <v>1</v>
      </c>
      <c r="O1750" s="13" t="n"/>
      <c r="P1750" s="139" t="inlineStr">
        <is>
          <t>kilos</t>
        </is>
      </c>
      <c r="Q1750" s="2" t="n"/>
      <c r="R1750" s="1" t="n"/>
      <c r="S1750" s="229">
        <f>M1750*N1750</f>
        <v/>
      </c>
      <c r="T1750" s="230">
        <f>CONCATENATE(S1750,Q1750,P1750)</f>
        <v/>
      </c>
      <c r="U1750" s="206">
        <f>L1750*M1750</f>
        <v/>
      </c>
      <c r="V1750" s="4" t="n"/>
      <c r="W1750" s="4" t="n"/>
      <c r="X1750" s="4" t="n"/>
    </row>
    <row r="1751" ht="15.75" customHeight="1" thickBot="1">
      <c r="A1751" s="186" t="n">
        <v>754</v>
      </c>
      <c r="B1751" s="214" t="inlineStr">
        <is>
          <t>Penne</t>
        </is>
      </c>
      <c r="C1751" s="124" t="n"/>
      <c r="D1751" s="115" t="n"/>
      <c r="E1751" s="124" t="n"/>
      <c r="F1751" s="124" t="n"/>
      <c r="G1751" s="124" t="n"/>
      <c r="H1751" s="84" t="n"/>
      <c r="I1751" s="7" t="n"/>
      <c r="J1751" s="32" t="inlineStr">
        <is>
          <t>Ideal</t>
        </is>
      </c>
      <c r="K1751" s="24" t="n"/>
      <c r="L1751" s="36" t="n">
        <v>80</v>
      </c>
      <c r="M1751" s="204" t="n">
        <v>1</v>
      </c>
      <c r="N1751" s="177" t="n">
        <v>1</v>
      </c>
      <c r="O1751" s="13" t="n"/>
      <c r="P1751" s="139" t="inlineStr">
        <is>
          <t>kilos</t>
        </is>
      </c>
      <c r="Q1751" s="2" t="n"/>
      <c r="R1751" s="1" t="n"/>
      <c r="S1751" s="229">
        <f>M1751*N1751</f>
        <v/>
      </c>
      <c r="T1751" s="230">
        <f>CONCATENATE(S1751,Q1751,P1751)</f>
        <v/>
      </c>
      <c r="U1751" s="206">
        <f>L1751*M1751</f>
        <v/>
      </c>
      <c r="V1751" s="4" t="n"/>
      <c r="W1751" s="4" t="n"/>
      <c r="X1751" s="4" t="n"/>
    </row>
    <row r="1752" ht="15.75" customHeight="1" thickBot="1">
      <c r="A1752" s="186" t="n">
        <v>754</v>
      </c>
      <c r="B1752" s="215" t="inlineStr">
        <is>
          <t>Penne</t>
        </is>
      </c>
      <c r="C1752" s="124" t="n"/>
      <c r="D1752" s="115" t="n"/>
      <c r="E1752" s="124" t="n"/>
      <c r="F1752" s="124" t="n"/>
      <c r="G1752" s="124" t="n"/>
      <c r="H1752" s="84" t="n"/>
      <c r="I1752" s="7" t="n"/>
      <c r="J1752" s="32" t="inlineStr">
        <is>
          <t>San Remo</t>
        </is>
      </c>
      <c r="K1752" s="24" t="n"/>
      <c r="L1752" s="36" t="n">
        <v>46</v>
      </c>
      <c r="M1752" s="204" t="n">
        <v>2</v>
      </c>
      <c r="N1752" s="177" t="n">
        <v>1</v>
      </c>
      <c r="O1752" s="13" t="n"/>
      <c r="P1752" s="139" t="inlineStr">
        <is>
          <t>kilos</t>
        </is>
      </c>
      <c r="Q1752" s="2" t="n"/>
      <c r="R1752" s="1" t="n"/>
      <c r="S1752" s="229">
        <f>M1752*N1752</f>
        <v/>
      </c>
      <c r="T1752" s="230">
        <f>CONCATENATE(S1752,Q1752,P1752)</f>
        <v/>
      </c>
      <c r="U1752" s="206">
        <f>L1752*M1752</f>
        <v/>
      </c>
      <c r="V1752" s="4" t="n"/>
      <c r="W1752" s="4" t="n"/>
      <c r="X1752" s="4" t="n"/>
    </row>
    <row r="1753" ht="15.75" customHeight="1" thickBot="1">
      <c r="A1753" s="186" t="n">
        <v>755</v>
      </c>
      <c r="B1753" s="214" t="inlineStr">
        <is>
          <t>Petchay</t>
        </is>
      </c>
      <c r="C1753" s="124" t="n"/>
      <c r="D1753" s="115" t="n"/>
      <c r="E1753" s="124" t="n"/>
      <c r="F1753" s="124" t="n"/>
      <c r="G1753" s="124" t="n"/>
      <c r="H1753" s="84" t="n"/>
      <c r="I1753" s="7" t="n"/>
      <c r="J1753" s="32" t="n"/>
      <c r="K1753" s="24" t="n"/>
      <c r="L1753" s="36" t="n">
        <v>60</v>
      </c>
      <c r="M1753" s="204" t="n">
        <v>4</v>
      </c>
      <c r="N1753" s="177" t="n">
        <v>1</v>
      </c>
      <c r="O1753" s="13" t="n"/>
      <c r="P1753" s="139" t="inlineStr">
        <is>
          <t>kilos</t>
        </is>
      </c>
      <c r="Q1753" s="2" t="n"/>
      <c r="R1753" s="1" t="n"/>
      <c r="S1753" s="229">
        <f>M1753*N1753</f>
        <v/>
      </c>
      <c r="T1753" s="230">
        <f>CONCATENATE(S1753,Q1753,P1753)</f>
        <v/>
      </c>
      <c r="U1753" s="206">
        <f>L1753*M1753</f>
        <v/>
      </c>
      <c r="V1753" s="4" t="n"/>
      <c r="W1753" s="4" t="n"/>
      <c r="X1753" s="4" t="n"/>
    </row>
    <row r="1754" ht="15.75" customHeight="1" thickBot="1">
      <c r="A1754" s="186" t="n">
        <v>756</v>
      </c>
      <c r="B1754" s="214" t="inlineStr">
        <is>
          <t>Pickle Relish</t>
        </is>
      </c>
      <c r="C1754" s="124" t="n"/>
      <c r="D1754" s="115" t="n"/>
      <c r="E1754" s="124" t="n"/>
      <c r="F1754" s="124" t="n"/>
      <c r="G1754" s="124" t="n"/>
      <c r="H1754" s="84" t="n"/>
      <c r="I1754" s="7" t="n"/>
      <c r="J1754" s="32" t="inlineStr">
        <is>
          <t>Ram</t>
        </is>
      </c>
      <c r="K1754" s="24" t="n"/>
      <c r="L1754" s="36" t="n">
        <v>45</v>
      </c>
      <c r="M1754" s="204" t="n">
        <v>1</v>
      </c>
      <c r="N1754" s="177" t="n">
        <v>100</v>
      </c>
      <c r="O1754" s="13" t="n"/>
      <c r="P1754" s="139" t="inlineStr">
        <is>
          <t>grams</t>
        </is>
      </c>
      <c r="Q1754" s="2" t="n"/>
      <c r="R1754" s="1" t="n"/>
      <c r="S1754" s="229">
        <f>M1754*N1754</f>
        <v/>
      </c>
      <c r="T1754" s="230">
        <f>CONCATENATE(S1754,Q1754,P1754)</f>
        <v/>
      </c>
      <c r="U1754" s="206">
        <f>L1754*M1754</f>
        <v/>
      </c>
      <c r="V1754" s="4" t="n"/>
      <c r="W1754" s="4" t="n"/>
      <c r="X1754" s="4" t="n"/>
    </row>
    <row r="1755" ht="15.75" customHeight="1" thickBot="1">
      <c r="A1755" s="186" t="n">
        <v>757</v>
      </c>
      <c r="B1755" s="214" t="inlineStr">
        <is>
          <t>Pickles</t>
        </is>
      </c>
      <c r="C1755" s="124" t="n"/>
      <c r="D1755" s="115" t="n"/>
      <c r="E1755" s="124" t="n"/>
      <c r="F1755" s="124" t="n"/>
      <c r="G1755" s="124" t="n"/>
      <c r="H1755" s="84" t="n"/>
      <c r="I1755" s="7" t="n"/>
      <c r="J1755" s="32" t="inlineStr">
        <is>
          <t>Ram</t>
        </is>
      </c>
      <c r="K1755" s="24" t="n"/>
      <c r="L1755" s="36" t="n">
        <v>57.7</v>
      </c>
      <c r="M1755" s="204" t="n">
        <v>1</v>
      </c>
      <c r="N1755" s="177" t="n">
        <v>135</v>
      </c>
      <c r="O1755" s="13" t="n"/>
      <c r="P1755" s="139" t="inlineStr">
        <is>
          <t>grams</t>
        </is>
      </c>
      <c r="Q1755" s="2" t="n"/>
      <c r="R1755" s="1" t="n"/>
      <c r="S1755" s="229">
        <f>M1755*N1755</f>
        <v/>
      </c>
      <c r="T1755" s="230">
        <f>CONCATENATE(S1755,Q1755,P1755)</f>
        <v/>
      </c>
      <c r="U1755" s="206">
        <f>L1755*M1755</f>
        <v/>
      </c>
      <c r="V1755" s="4" t="n"/>
      <c r="W1755" s="4" t="n"/>
      <c r="X1755" s="4" t="n"/>
    </row>
    <row r="1756" ht="15.75" customHeight="1" thickBot="1">
      <c r="A1756" s="186" t="n">
        <v>758</v>
      </c>
      <c r="B1756" s="215" t="inlineStr">
        <is>
          <t>Pili Nuts</t>
        </is>
      </c>
      <c r="C1756" s="124" t="n"/>
      <c r="D1756" s="115" t="n"/>
      <c r="E1756" s="124" t="n"/>
      <c r="F1756" s="124" t="n"/>
      <c r="G1756" s="124" t="n"/>
      <c r="H1756" s="84" t="n"/>
      <c r="I1756" s="7" t="n"/>
      <c r="J1756" s="32" t="inlineStr">
        <is>
          <t>Mialendra Online Shop</t>
        </is>
      </c>
      <c r="K1756" s="24" t="n"/>
      <c r="L1756" s="36" t="n">
        <v>125</v>
      </c>
      <c r="M1756" s="204" t="n">
        <v>6</v>
      </c>
      <c r="N1756" s="177" t="n">
        <v>1</v>
      </c>
      <c r="O1756" s="13" t="n"/>
      <c r="P1756" s="139" t="inlineStr">
        <is>
          <t>jar</t>
        </is>
      </c>
      <c r="Q1756" s="2" t="n"/>
      <c r="R1756" s="1" t="n"/>
      <c r="S1756" s="229">
        <f>M1756*N1756</f>
        <v/>
      </c>
      <c r="T1756" s="230">
        <f>CONCATENATE(S1756,Q1756,P1756)</f>
        <v/>
      </c>
      <c r="U1756" s="206">
        <f>L1756*M1756</f>
        <v/>
      </c>
      <c r="V1756" s="4" t="n"/>
      <c r="W1756" s="4" t="n"/>
      <c r="X1756" s="4" t="n"/>
    </row>
    <row r="1757" ht="15.75" customHeight="1" thickBot="1">
      <c r="A1757" s="186" t="n">
        <v>759</v>
      </c>
      <c r="B1757" s="215" t="inlineStr">
        <is>
          <t>Pineapple Jam</t>
        </is>
      </c>
      <c r="C1757" s="124" t="n"/>
      <c r="D1757" s="115" t="n"/>
      <c r="E1757" s="124" t="n"/>
      <c r="F1757" s="124" t="n"/>
      <c r="G1757" s="124" t="n"/>
      <c r="H1757" s="84" t="n"/>
      <c r="I1757" s="7" t="n"/>
      <c r="J1757" s="32" t="inlineStr">
        <is>
          <t>Clara Ole</t>
        </is>
      </c>
      <c r="K1757" s="24" t="n"/>
      <c r="L1757" s="36" t="n">
        <v>135</v>
      </c>
      <c r="M1757" s="204" t="n">
        <v>1</v>
      </c>
      <c r="N1757" s="177" t="n">
        <v>320</v>
      </c>
      <c r="O1757" s="13" t="n"/>
      <c r="P1757" s="139" t="inlineStr">
        <is>
          <t>grams</t>
        </is>
      </c>
      <c r="Q1757" s="2" t="n"/>
      <c r="R1757" s="1" t="n"/>
      <c r="S1757" s="229">
        <f>M1757*N1757</f>
        <v/>
      </c>
      <c r="T1757" s="230">
        <f>CONCATENATE(S1757,Q1757,P1757)</f>
        <v/>
      </c>
      <c r="U1757" s="206">
        <f>L1757*M1757</f>
        <v/>
      </c>
      <c r="V1757" s="4" t="n"/>
      <c r="W1757" s="4" t="n"/>
      <c r="X1757" s="4" t="n"/>
    </row>
    <row r="1758" ht="15.75" customHeight="1" thickBot="1">
      <c r="A1758" s="186" t="n">
        <v>320</v>
      </c>
      <c r="B1758" s="215" t="inlineStr">
        <is>
          <t>Pineapple Sliced</t>
        </is>
      </c>
      <c r="C1758" s="124" t="n"/>
      <c r="D1758" s="115" t="n"/>
      <c r="E1758" s="124" t="n"/>
      <c r="F1758" s="124" t="n"/>
      <c r="G1758" s="124" t="n"/>
      <c r="H1758" s="84" t="n"/>
      <c r="I1758" s="7" t="n"/>
      <c r="J1758" s="32" t="inlineStr">
        <is>
          <t>Del Monte</t>
        </is>
      </c>
      <c r="K1758" s="24" t="n"/>
      <c r="L1758" s="36" t="n">
        <v>38.5</v>
      </c>
      <c r="M1758" s="204" t="n">
        <v>2</v>
      </c>
      <c r="N1758" s="177" t="n">
        <v>137</v>
      </c>
      <c r="O1758" s="13" t="n"/>
      <c r="P1758" s="139" t="inlineStr">
        <is>
          <t>drained weight grams</t>
        </is>
      </c>
      <c r="Q1758" s="2" t="n"/>
      <c r="R1758" s="1" t="n"/>
      <c r="S1758" s="229">
        <f>M1758*N1758</f>
        <v/>
      </c>
      <c r="T1758" s="230">
        <f>CONCATENATE(S1758,Q1758,P1758)</f>
        <v/>
      </c>
      <c r="U1758" s="206">
        <f>L1758*M1758</f>
        <v/>
      </c>
      <c r="V1758" s="4" t="n"/>
      <c r="W1758" s="4" t="n"/>
      <c r="X1758" s="4" t="n"/>
    </row>
    <row r="1759" ht="15.75" customHeight="1" thickBot="1">
      <c r="A1759" s="186" t="n">
        <v>321</v>
      </c>
      <c r="B1759" s="214" t="inlineStr">
        <is>
          <t>Pineapple Tidbits</t>
        </is>
      </c>
      <c r="C1759" s="124" t="n"/>
      <c r="D1759" s="115" t="n"/>
      <c r="E1759" s="124" t="n"/>
      <c r="F1759" s="124" t="n"/>
      <c r="G1759" s="124" t="n"/>
      <c r="H1759" s="84" t="n"/>
      <c r="I1759" s="7" t="n"/>
      <c r="J1759" s="32" t="inlineStr">
        <is>
          <t>Del Monte</t>
        </is>
      </c>
      <c r="K1759" s="24" t="n"/>
      <c r="L1759" s="36" t="n">
        <v>16.2</v>
      </c>
      <c r="M1759" s="204" t="n">
        <v>5</v>
      </c>
      <c r="N1759" s="177" t="n">
        <v>112</v>
      </c>
      <c r="O1759" s="13" t="n"/>
      <c r="P1759" s="139" t="inlineStr">
        <is>
          <t>grams</t>
        </is>
      </c>
      <c r="Q1759" s="2" t="n"/>
      <c r="R1759" s="1" t="n"/>
      <c r="S1759" s="229">
        <f>M1759*N1759</f>
        <v/>
      </c>
      <c r="T1759" s="230">
        <f>CONCATENATE(S1759,Q1759,P1759)</f>
        <v/>
      </c>
      <c r="U1759" s="206">
        <f>L1759*M1759</f>
        <v/>
      </c>
      <c r="V1759" s="4" t="n"/>
      <c r="W1759" s="4" t="n"/>
      <c r="X1759" s="4" t="n"/>
    </row>
    <row r="1760" ht="15.75" customHeight="1" thickBot="1">
      <c r="A1760" s="186" t="n">
        <v>321</v>
      </c>
      <c r="B1760" s="214" t="inlineStr">
        <is>
          <t>Pineapple Tidbits</t>
        </is>
      </c>
      <c r="C1760" s="124" t="n"/>
      <c r="D1760" s="115" t="n"/>
      <c r="E1760" s="124" t="n"/>
      <c r="F1760" s="124" t="n"/>
      <c r="G1760" s="124" t="n"/>
      <c r="H1760" s="84" t="n"/>
      <c r="I1760" s="7" t="n"/>
      <c r="J1760" s="32" t="inlineStr">
        <is>
          <t>Del Monte</t>
        </is>
      </c>
      <c r="K1760" s="24" t="n"/>
      <c r="L1760" s="36" t="n">
        <v>29.2</v>
      </c>
      <c r="M1760" s="204" t="n">
        <v>12</v>
      </c>
      <c r="N1760" s="177" t="n">
        <v>112</v>
      </c>
      <c r="O1760" s="13" t="n"/>
      <c r="P1760" s="139" t="inlineStr">
        <is>
          <t>drained weight grams</t>
        </is>
      </c>
      <c r="Q1760" s="2" t="n"/>
      <c r="R1760" s="1" t="n"/>
      <c r="S1760" s="229">
        <f>M1760*N1760</f>
        <v/>
      </c>
      <c r="T1760" s="230">
        <f>CONCATENATE(S1760,Q1760,P1760)</f>
        <v/>
      </c>
      <c r="U1760" s="206">
        <f>L1760*M1760</f>
        <v/>
      </c>
      <c r="V1760" s="4" t="n"/>
      <c r="W1760" s="4" t="n"/>
      <c r="X1760" s="4" t="n"/>
    </row>
    <row r="1761" ht="15.75" customHeight="1" thickBot="1">
      <c r="A1761" s="186" t="n">
        <v>321</v>
      </c>
      <c r="B1761" s="214" t="inlineStr">
        <is>
          <t>Pineapple Tidbits</t>
        </is>
      </c>
      <c r="C1761" s="124" t="n"/>
      <c r="D1761" s="115" t="n"/>
      <c r="E1761" s="124" t="n"/>
      <c r="F1761" s="124" t="n"/>
      <c r="G1761" s="124" t="n"/>
      <c r="H1761" s="84" t="n"/>
      <c r="I1761" s="7" t="n"/>
      <c r="J1761" s="32" t="inlineStr">
        <is>
          <t>Del Monte</t>
        </is>
      </c>
      <c r="K1761" s="24" t="n"/>
      <c r="L1761" s="36" t="n">
        <v>78</v>
      </c>
      <c r="M1761" s="204" t="n">
        <v>4</v>
      </c>
      <c r="N1761" s="177" t="n">
        <v>257</v>
      </c>
      <c r="O1761" s="13" t="n"/>
      <c r="P1761" s="139" t="inlineStr">
        <is>
          <t>grams</t>
        </is>
      </c>
      <c r="Q1761" s="2" t="n"/>
      <c r="R1761" s="1" t="n"/>
      <c r="S1761" s="229">
        <f>M1761*N1761</f>
        <v/>
      </c>
      <c r="T1761" s="230">
        <f>CONCATENATE(S1761,Q1761,P1761)</f>
        <v/>
      </c>
      <c r="U1761" s="206">
        <f>L1761*M1761</f>
        <v/>
      </c>
      <c r="V1761" s="4" t="n"/>
      <c r="W1761" s="4" t="n"/>
      <c r="X1761" s="4" t="n"/>
    </row>
    <row r="1762" ht="15.75" customHeight="1" thickBot="1">
      <c r="A1762" s="186" t="n">
        <v>321</v>
      </c>
      <c r="B1762" s="215" t="inlineStr">
        <is>
          <t>Pineapple Tidbits</t>
        </is>
      </c>
      <c r="C1762" s="124" t="n"/>
      <c r="D1762" s="115" t="n"/>
      <c r="E1762" s="124" t="n"/>
      <c r="F1762" s="124" t="n"/>
      <c r="G1762" s="124" t="n"/>
      <c r="H1762" s="84" t="n"/>
      <c r="I1762" s="7" t="n"/>
      <c r="J1762" s="32" t="inlineStr">
        <is>
          <t>Del Monte</t>
        </is>
      </c>
      <c r="K1762" s="24" t="n"/>
      <c r="L1762" s="36" t="n">
        <v>40.5</v>
      </c>
      <c r="M1762" s="204" t="n">
        <v>1</v>
      </c>
      <c r="N1762" s="177" t="n">
        <v>137</v>
      </c>
      <c r="O1762" s="13" t="n"/>
      <c r="P1762" s="139" t="inlineStr">
        <is>
          <t>drained weight grams</t>
        </is>
      </c>
      <c r="Q1762" s="2" t="n"/>
      <c r="R1762" s="1" t="n"/>
      <c r="S1762" s="229">
        <f>M1762*N1762</f>
        <v/>
      </c>
      <c r="T1762" s="230">
        <f>CONCATENATE(S1762,Q1762,P1762)</f>
        <v/>
      </c>
      <c r="U1762" s="206">
        <f>L1762*M1762</f>
        <v/>
      </c>
      <c r="V1762" s="4" t="n"/>
      <c r="W1762" s="4" t="n"/>
      <c r="X1762" s="4" t="n"/>
    </row>
    <row r="1763" ht="15.75" customHeight="1" thickBot="1">
      <c r="A1763" s="186" t="n">
        <v>760</v>
      </c>
      <c r="B1763" s="214" t="inlineStr">
        <is>
          <t>Pinipig</t>
        </is>
      </c>
      <c r="C1763" s="124" t="n"/>
      <c r="D1763" s="115" t="n"/>
      <c r="E1763" s="124" t="n"/>
      <c r="F1763" s="124" t="n"/>
      <c r="G1763" s="124" t="n"/>
      <c r="H1763" s="84" t="n"/>
      <c r="I1763" s="7" t="n"/>
      <c r="J1763" s="32" t="inlineStr">
        <is>
          <t>JMRL</t>
        </is>
      </c>
      <c r="K1763" s="24" t="n"/>
      <c r="L1763" s="36" t="n">
        <v>160</v>
      </c>
      <c r="M1763" s="204" t="n">
        <v>1</v>
      </c>
      <c r="N1763" s="177" t="n">
        <v>1</v>
      </c>
      <c r="O1763" s="13" t="n"/>
      <c r="P1763" s="139" t="inlineStr">
        <is>
          <t>liters</t>
        </is>
      </c>
      <c r="Q1763" s="2" t="n"/>
      <c r="R1763" s="1" t="n"/>
      <c r="S1763" s="229">
        <f>M1763*N1763</f>
        <v/>
      </c>
      <c r="T1763" s="230">
        <f>CONCATENATE(S1763,Q1763,P1763)</f>
        <v/>
      </c>
      <c r="U1763" s="206">
        <f>L1763*M1763</f>
        <v/>
      </c>
      <c r="V1763" s="4" t="n"/>
      <c r="W1763" s="4" t="n"/>
      <c r="X1763" s="4" t="n"/>
    </row>
    <row r="1764" ht="15.75" customHeight="1" thickBot="1">
      <c r="A1764" s="186" t="n">
        <v>322</v>
      </c>
      <c r="B1764" s="214" t="inlineStr">
        <is>
          <t>Pink Salmon</t>
        </is>
      </c>
      <c r="C1764" s="124" t="n"/>
      <c r="D1764" s="115" t="n"/>
      <c r="E1764" s="124" t="n"/>
      <c r="F1764" s="124" t="n"/>
      <c r="G1764" s="124" t="n"/>
      <c r="H1764" s="84" t="n"/>
      <c r="I1764" s="7" t="n"/>
      <c r="J1764" s="32" t="n"/>
      <c r="K1764" s="24" t="n"/>
      <c r="L1764" s="36" t="n">
        <v>700</v>
      </c>
      <c r="M1764" s="204" t="n">
        <v>3</v>
      </c>
      <c r="N1764" s="177" t="n">
        <v>1</v>
      </c>
      <c r="O1764" s="13" t="n"/>
      <c r="P1764" s="139" t="inlineStr">
        <is>
          <t>kilos</t>
        </is>
      </c>
      <c r="Q1764" s="2" t="n"/>
      <c r="R1764" s="1" t="n"/>
      <c r="S1764" s="229">
        <f>M1764*N1764</f>
        <v/>
      </c>
      <c r="T1764" s="230">
        <f>CONCATENATE(S1764,Q1764,P1764)</f>
        <v/>
      </c>
      <c r="U1764" s="206">
        <f>L1764*M1764</f>
        <v/>
      </c>
      <c r="V1764" s="4" t="n"/>
      <c r="W1764" s="4" t="n"/>
      <c r="X1764" s="4" t="n"/>
    </row>
    <row r="1765" ht="15.75" customHeight="1" thickBot="1">
      <c r="A1765" s="186" t="n">
        <v>322</v>
      </c>
      <c r="B1765" s="214" t="inlineStr">
        <is>
          <t>Pink Salmon</t>
        </is>
      </c>
      <c r="C1765" s="124" t="n"/>
      <c r="D1765" s="115" t="n"/>
      <c r="E1765" s="124" t="n"/>
      <c r="F1765" s="124" t="n"/>
      <c r="G1765" s="124" t="n"/>
      <c r="H1765" s="84" t="n"/>
      <c r="I1765" s="7" t="n"/>
      <c r="J1765" s="32" t="n"/>
      <c r="K1765" s="24" t="n"/>
      <c r="L1765" s="36" t="n">
        <v>600</v>
      </c>
      <c r="M1765" s="204" t="n">
        <v>2</v>
      </c>
      <c r="N1765" s="177" t="n">
        <v>1</v>
      </c>
      <c r="O1765" s="13" t="n"/>
      <c r="P1765" s="139" t="inlineStr">
        <is>
          <t>kilos</t>
        </is>
      </c>
      <c r="Q1765" s="2" t="n"/>
      <c r="R1765" s="1" t="n"/>
      <c r="S1765" s="229">
        <f>M1765*N1765</f>
        <v/>
      </c>
      <c r="T1765" s="230">
        <f>CONCATENATE(S1765,Q1765,P1765)</f>
        <v/>
      </c>
      <c r="U1765" s="206">
        <f>L1765*M1765</f>
        <v/>
      </c>
      <c r="V1765" s="4" t="n"/>
      <c r="W1765" s="4" t="n"/>
      <c r="X1765" s="4" t="n"/>
    </row>
    <row r="1766" ht="15.75" customHeight="1" thickBot="1">
      <c r="A1766" s="186" t="n">
        <v>322</v>
      </c>
      <c r="B1766" s="214" t="inlineStr">
        <is>
          <t>Pink Salmon</t>
        </is>
      </c>
      <c r="C1766" s="124" t="n"/>
      <c r="D1766" s="115" t="n"/>
      <c r="E1766" s="124" t="n"/>
      <c r="F1766" s="124" t="n"/>
      <c r="G1766" s="124" t="n"/>
      <c r="H1766" s="84" t="n"/>
      <c r="I1766" s="7" t="n"/>
      <c r="J1766" s="32" t="n"/>
      <c r="K1766" s="24" t="n"/>
      <c r="L1766" s="36" t="n">
        <v>700</v>
      </c>
      <c r="M1766" s="204" t="n">
        <v>1</v>
      </c>
      <c r="N1766" s="177" t="n">
        <v>1</v>
      </c>
      <c r="O1766" s="13" t="n"/>
      <c r="P1766" s="139" t="inlineStr">
        <is>
          <t>kilos</t>
        </is>
      </c>
      <c r="Q1766" s="2" t="n"/>
      <c r="R1766" s="1" t="n"/>
      <c r="S1766" s="229">
        <f>M1766*N1766</f>
        <v/>
      </c>
      <c r="T1766" s="230">
        <f>CONCATENATE(S1766,Q1766,P1766)</f>
        <v/>
      </c>
      <c r="U1766" s="206">
        <f>L1766*M1766</f>
        <v/>
      </c>
      <c r="V1766" s="4" t="n"/>
      <c r="W1766" s="4" t="n"/>
      <c r="X1766" s="4" t="n"/>
    </row>
    <row r="1767" ht="15.75" customHeight="1" thickBot="1">
      <c r="A1767" s="186" t="n">
        <v>761</v>
      </c>
      <c r="B1767" s="214" t="inlineStr">
        <is>
          <t>Pinto Beans</t>
        </is>
      </c>
      <c r="C1767" s="124" t="n"/>
      <c r="D1767" s="115" t="n"/>
      <c r="E1767" s="124" t="n"/>
      <c r="F1767" s="124" t="n"/>
      <c r="G1767" s="124" t="n"/>
      <c r="H1767" s="84" t="n"/>
      <c r="I1767" s="7" t="n"/>
      <c r="J1767" s="32" t="inlineStr">
        <is>
          <t>La Costera</t>
        </is>
      </c>
      <c r="K1767" s="24" t="n"/>
      <c r="L1767" s="36" t="n">
        <v>148</v>
      </c>
      <c r="M1767" s="204" t="n">
        <v>2</v>
      </c>
      <c r="N1767" s="177" t="n">
        <v>400</v>
      </c>
      <c r="O1767" s="13" t="n"/>
      <c r="P1767" s="139" t="inlineStr">
        <is>
          <t>grams</t>
        </is>
      </c>
      <c r="Q1767" s="2" t="n"/>
      <c r="R1767" s="1" t="n"/>
      <c r="S1767" s="229">
        <f>M1767*N1767</f>
        <v/>
      </c>
      <c r="T1767" s="230">
        <f>CONCATENATE(S1767,Q1767,P1767)</f>
        <v/>
      </c>
      <c r="U1767" s="206">
        <f>L1767*M1767</f>
        <v/>
      </c>
      <c r="V1767" s="4" t="n"/>
      <c r="W1767" s="4" t="n"/>
      <c r="X1767" s="4" t="n"/>
    </row>
    <row r="1768" ht="15.75" customHeight="1" thickBot="1">
      <c r="A1768" s="186" t="n">
        <v>762</v>
      </c>
      <c r="B1768" s="214" t="inlineStr">
        <is>
          <t>Pinya</t>
        </is>
      </c>
      <c r="C1768" s="124" t="n"/>
      <c r="D1768" s="115" t="n"/>
      <c r="E1768" s="124" t="n"/>
      <c r="F1768" s="124" t="n"/>
      <c r="G1768" s="124" t="n"/>
      <c r="H1768" s="84" t="n"/>
      <c r="I1768" s="7" t="n"/>
      <c r="J1768" s="32" t="n"/>
      <c r="K1768" s="24" t="n"/>
      <c r="L1768" s="36" t="n">
        <v>180</v>
      </c>
      <c r="M1768" s="204" t="n">
        <v>1</v>
      </c>
      <c r="N1768" s="177" t="n">
        <v>1</v>
      </c>
      <c r="O1768" s="13" t="n"/>
      <c r="P1768" s="139" t="inlineStr">
        <is>
          <t>kilos</t>
        </is>
      </c>
      <c r="Q1768" s="2" t="n"/>
      <c r="R1768" s="1" t="n"/>
      <c r="S1768" s="229">
        <f>M1768*N1768</f>
        <v/>
      </c>
      <c r="T1768" s="230">
        <f>CONCATENATE(S1768,Q1768,P1768)</f>
        <v/>
      </c>
      <c r="U1768" s="206">
        <f>L1768*M1768</f>
        <v/>
      </c>
      <c r="V1768" s="4" t="n"/>
      <c r="W1768" s="4" t="n"/>
      <c r="X1768" s="4" t="n"/>
    </row>
    <row r="1769" ht="15.75" customHeight="1" thickBot="1">
      <c r="A1769" s="186" t="n">
        <v>763</v>
      </c>
      <c r="B1769" s="215" t="inlineStr">
        <is>
          <t>Pipino</t>
        </is>
      </c>
      <c r="C1769" s="124" t="n"/>
      <c r="D1769" s="115" t="n"/>
      <c r="E1769" s="124" t="n"/>
      <c r="F1769" s="124" t="n"/>
      <c r="G1769" s="124" t="n"/>
      <c r="H1769" s="84" t="n"/>
      <c r="I1769" s="7" t="n"/>
      <c r="J1769" s="32" t="n"/>
      <c r="K1769" s="24" t="n"/>
      <c r="L1769" s="36" t="n">
        <v>100</v>
      </c>
      <c r="M1769" s="204" t="n">
        <v>1</v>
      </c>
      <c r="N1769" s="177" t="n">
        <v>1</v>
      </c>
      <c r="O1769" s="13" t="n"/>
      <c r="P1769" s="139" t="inlineStr">
        <is>
          <t>kilos</t>
        </is>
      </c>
      <c r="Q1769" s="2" t="n"/>
      <c r="R1769" s="1" t="n"/>
      <c r="S1769" s="229">
        <f>M1769*N1769</f>
        <v/>
      </c>
      <c r="T1769" s="230">
        <f>CONCATENATE(S1769,Q1769,P1769)</f>
        <v/>
      </c>
      <c r="U1769" s="206">
        <f>L1769*M1769</f>
        <v/>
      </c>
      <c r="V1769" s="4" t="n"/>
      <c r="W1769" s="4" t="n"/>
      <c r="X1769" s="4" t="n"/>
    </row>
    <row r="1770" ht="15.75" customHeight="1" thickBot="1">
      <c r="A1770" s="186" t="n">
        <v>763</v>
      </c>
      <c r="B1770" s="214" t="inlineStr">
        <is>
          <t>Pipino</t>
        </is>
      </c>
      <c r="C1770" s="124" t="n"/>
      <c r="D1770" s="115" t="n"/>
      <c r="E1770" s="124" t="n"/>
      <c r="F1770" s="124" t="n"/>
      <c r="G1770" s="124" t="n"/>
      <c r="H1770" s="84" t="n"/>
      <c r="I1770" s="7" t="n"/>
      <c r="J1770" s="32" t="inlineStr">
        <is>
          <t>Fresh</t>
        </is>
      </c>
      <c r="K1770" s="24" t="n"/>
      <c r="L1770" s="36" t="n">
        <v>80</v>
      </c>
      <c r="M1770" s="204" t="n">
        <v>1</v>
      </c>
      <c r="N1770" s="177" t="n">
        <v>1</v>
      </c>
      <c r="O1770" s="13" t="n"/>
      <c r="P1770" s="139" t="inlineStr">
        <is>
          <t>kilos</t>
        </is>
      </c>
      <c r="Q1770" s="2" t="n"/>
      <c r="R1770" s="1" t="n"/>
      <c r="S1770" s="229">
        <f>M1770*N1770</f>
        <v/>
      </c>
      <c r="T1770" s="230">
        <f>CONCATENATE(S1770,Q1770,P1770)</f>
        <v/>
      </c>
      <c r="U1770" s="206">
        <f>L1770*M1770</f>
        <v/>
      </c>
      <c r="V1770" s="4" t="n"/>
      <c r="W1770" s="4" t="n"/>
      <c r="X1770" s="4" t="n"/>
    </row>
    <row r="1771" ht="15.75" customHeight="1" thickBot="1">
      <c r="A1771" s="186" t="n">
        <v>764</v>
      </c>
      <c r="B1771" s="214" t="inlineStr">
        <is>
          <t>Pizza Seasoning</t>
        </is>
      </c>
      <c r="C1771" s="124" t="n"/>
      <c r="D1771" s="115" t="n"/>
      <c r="E1771" s="124" t="n"/>
      <c r="F1771" s="124" t="n"/>
      <c r="G1771" s="124" t="n"/>
      <c r="H1771" s="84" t="n"/>
      <c r="I1771" s="7" t="n"/>
      <c r="J1771" s="32" t="inlineStr">
        <is>
          <t>McCormick</t>
        </is>
      </c>
      <c r="K1771" s="24" t="n"/>
      <c r="L1771" s="36" t="n">
        <v>72</v>
      </c>
      <c r="M1771" s="204" t="n">
        <v>1</v>
      </c>
      <c r="N1771" s="177" t="n">
        <v>14</v>
      </c>
      <c r="O1771" s="13" t="n"/>
      <c r="P1771" s="139" t="inlineStr">
        <is>
          <t>grams</t>
        </is>
      </c>
      <c r="Q1771" s="2" t="n"/>
      <c r="R1771" s="1" t="n"/>
      <c r="S1771" s="229">
        <f>M1771*N1771</f>
        <v/>
      </c>
      <c r="T1771" s="230">
        <f>CONCATENATE(S1771,Q1771,P1771)</f>
        <v/>
      </c>
      <c r="U1771" s="206">
        <f>L1771*M1771</f>
        <v/>
      </c>
      <c r="V1771" s="4" t="n"/>
      <c r="W1771" s="4" t="n"/>
      <c r="X1771" s="4" t="n"/>
    </row>
    <row r="1772" ht="15.75" customHeight="1" thickBot="1">
      <c r="A1772" s="186" t="n">
        <v>765</v>
      </c>
      <c r="B1772" s="214" t="inlineStr">
        <is>
          <t>Plastic Cups</t>
        </is>
      </c>
      <c r="C1772" s="124" t="n"/>
      <c r="D1772" s="115" t="n"/>
      <c r="E1772" s="124" t="n"/>
      <c r="F1772" s="124" t="n"/>
      <c r="G1772" s="124" t="n"/>
      <c r="H1772" s="84" t="n"/>
      <c r="I1772" s="7" t="n"/>
      <c r="J1772" s="32" t="inlineStr">
        <is>
          <t>Carandang Merchandise - 16 0Z PP Clear Set</t>
        </is>
      </c>
      <c r="K1772" s="24" t="n"/>
      <c r="L1772" s="36" t="n">
        <v>264</v>
      </c>
      <c r="M1772" s="204" t="n">
        <v>1</v>
      </c>
      <c r="N1772" s="177" t="n">
        <v>100</v>
      </c>
      <c r="O1772" s="13" t="n"/>
      <c r="P1772" s="139" t="inlineStr">
        <is>
          <t>pieces</t>
        </is>
      </c>
      <c r="Q1772" s="2" t="n"/>
      <c r="R1772" s="1" t="n"/>
      <c r="S1772" s="229">
        <f>M1772*N1772</f>
        <v/>
      </c>
      <c r="T1772" s="230">
        <f>CONCATENATE(S1772,Q1772,P1772)</f>
        <v/>
      </c>
      <c r="U1772" s="206">
        <f>L1772*M1772</f>
        <v/>
      </c>
      <c r="V1772" s="4" t="n"/>
      <c r="W1772" s="4" t="n"/>
      <c r="X1772" s="4" t="n"/>
    </row>
    <row r="1773" ht="15.75" customHeight="1" thickBot="1">
      <c r="A1773" s="186" t="n">
        <v>765</v>
      </c>
      <c r="B1773" s="214" t="inlineStr">
        <is>
          <t>Plastic Cups</t>
        </is>
      </c>
      <c r="C1773" s="124" t="n"/>
      <c r="D1773" s="115" t="n"/>
      <c r="E1773" s="124" t="n"/>
      <c r="F1773" s="124" t="n"/>
      <c r="G1773" s="124" t="n"/>
      <c r="H1773" s="84" t="n"/>
      <c r="I1773" s="7" t="n"/>
      <c r="J1773" s="32" t="inlineStr">
        <is>
          <t>pack by 50's</t>
        </is>
      </c>
      <c r="K1773" s="24" t="n"/>
      <c r="L1773" s="36" t="n">
        <v>100</v>
      </c>
      <c r="M1773" s="204" t="n">
        <v>8</v>
      </c>
      <c r="N1773" s="177" t="n">
        <v>50</v>
      </c>
      <c r="O1773" s="13" t="n"/>
      <c r="P1773" s="139" t="inlineStr">
        <is>
          <t>pieces</t>
        </is>
      </c>
      <c r="Q1773" s="2" t="n"/>
      <c r="R1773" s="1" t="n"/>
      <c r="S1773" s="229">
        <f>M1773*N1773</f>
        <v/>
      </c>
      <c r="T1773" s="230">
        <f>CONCATENATE(S1773,Q1773,P1773)</f>
        <v/>
      </c>
      <c r="U1773" s="206">
        <f>L1773*M1773</f>
        <v/>
      </c>
      <c r="V1773" s="4" t="n"/>
      <c r="W1773" s="4" t="n"/>
      <c r="X1773" s="4" t="n"/>
    </row>
    <row r="1774" ht="15.75" customHeight="1" thickBot="1">
      <c r="A1774" s="186" t="n">
        <v>766</v>
      </c>
      <c r="B1774" s="215" t="inlineStr">
        <is>
          <t>Plastic Labo</t>
        </is>
      </c>
      <c r="C1774" s="124" t="n"/>
      <c r="D1774" s="115" t="n"/>
      <c r="E1774" s="124" t="n"/>
      <c r="F1774" s="124" t="n"/>
      <c r="G1774" s="124" t="n"/>
      <c r="H1774" s="84" t="n"/>
      <c r="I1774" s="7" t="n"/>
      <c r="J1774" s="32" t="inlineStr">
        <is>
          <t>Calypso - 8x11</t>
        </is>
      </c>
      <c r="K1774" s="24" t="n"/>
      <c r="L1774" s="36" t="n">
        <v>12</v>
      </c>
      <c r="M1774" s="204" t="n">
        <v>2</v>
      </c>
      <c r="N1774" s="177" t="n">
        <v>100</v>
      </c>
      <c r="O1774" s="13" t="n"/>
      <c r="P1774" s="139" t="inlineStr">
        <is>
          <t>pieces</t>
        </is>
      </c>
      <c r="Q1774" s="2" t="n"/>
      <c r="R1774" s="1" t="n"/>
      <c r="S1774" s="229">
        <f>M1774*N1774</f>
        <v/>
      </c>
      <c r="T1774" s="230">
        <f>CONCATENATE(S1774,Q1774,P1774)</f>
        <v/>
      </c>
      <c r="U1774" s="206">
        <f>L1774*M1774</f>
        <v/>
      </c>
      <c r="V1774" s="4" t="n"/>
      <c r="W1774" s="4" t="n"/>
      <c r="X1774" s="4" t="n"/>
    </row>
    <row r="1775" ht="15.75" customHeight="1" thickBot="1">
      <c r="A1775" s="186" t="n">
        <v>766</v>
      </c>
      <c r="B1775" s="214" t="inlineStr">
        <is>
          <t>Plastic Labo</t>
        </is>
      </c>
      <c r="C1775" s="124" t="n"/>
      <c r="D1775" s="115" t="n"/>
      <c r="E1775" s="124" t="n"/>
      <c r="F1775" s="124" t="n"/>
      <c r="G1775" s="124" t="n"/>
      <c r="H1775" s="84" t="n"/>
      <c r="I1775" s="7" t="n"/>
      <c r="J1775" s="32" t="inlineStr">
        <is>
          <t>Calypso - 8x11</t>
        </is>
      </c>
      <c r="K1775" s="24" t="n"/>
      <c r="L1775" s="36" t="n">
        <v>92.7</v>
      </c>
      <c r="M1775" s="204" t="n">
        <v>2</v>
      </c>
      <c r="N1775" s="177" t="n">
        <v>1</v>
      </c>
      <c r="O1775" s="13" t="n"/>
      <c r="P1775" s="139" t="inlineStr">
        <is>
          <t>packs</t>
        </is>
      </c>
      <c r="Q1775" s="2" t="n"/>
      <c r="R1775" s="1" t="n"/>
      <c r="S1775" s="229">
        <f>M1775*N1775</f>
        <v/>
      </c>
      <c r="T1775" s="230">
        <f>CONCATENATE(S1775,Q1775,P1775)</f>
        <v/>
      </c>
      <c r="U1775" s="206">
        <f>L1775*M1775</f>
        <v/>
      </c>
      <c r="V1775" s="4" t="n"/>
      <c r="W1775" s="4" t="n"/>
      <c r="X1775" s="4" t="n"/>
    </row>
    <row r="1776" ht="15.75" customHeight="1" thickBot="1">
      <c r="A1776" s="186" t="n">
        <v>766</v>
      </c>
      <c r="B1776" s="214" t="inlineStr">
        <is>
          <t>Plastic Labo</t>
        </is>
      </c>
      <c r="C1776" s="124" t="n"/>
      <c r="D1776" s="115" t="n"/>
      <c r="E1776" s="124" t="n"/>
      <c r="F1776" s="124" t="n"/>
      <c r="G1776" s="124" t="n"/>
      <c r="H1776" s="84" t="n"/>
      <c r="I1776" s="7" t="n"/>
      <c r="J1776" s="32" t="inlineStr">
        <is>
          <t>8x11</t>
        </is>
      </c>
      <c r="K1776" s="24" t="n"/>
      <c r="L1776" s="36" t="n">
        <v>9.02</v>
      </c>
      <c r="M1776" s="204" t="n">
        <v>32</v>
      </c>
      <c r="N1776" s="177" t="n">
        <v>1</v>
      </c>
      <c r="O1776" s="13" t="n"/>
      <c r="P1776" s="139" t="inlineStr">
        <is>
          <t>packs</t>
        </is>
      </c>
      <c r="Q1776" s="2" t="n"/>
      <c r="R1776" s="1" t="n"/>
      <c r="S1776" s="229">
        <f>M1776*N1776</f>
        <v/>
      </c>
      <c r="T1776" s="230">
        <f>CONCATENATE(S1776,Q1776,P1776)</f>
        <v/>
      </c>
      <c r="U1776" s="206">
        <f>L1776*M1776</f>
        <v/>
      </c>
      <c r="V1776" s="4" t="n"/>
      <c r="W1776" s="4" t="n"/>
      <c r="X1776" s="4" t="n"/>
    </row>
    <row r="1777" ht="15.75" customHeight="1" thickBot="1">
      <c r="A1777" s="186" t="n">
        <v>767</v>
      </c>
      <c r="B1777" s="215" t="inlineStr">
        <is>
          <t>Pork - BBQ on Stick</t>
        </is>
      </c>
      <c r="C1777" s="124" t="n"/>
      <c r="D1777" s="115" t="n"/>
      <c r="E1777" s="124" t="n"/>
      <c r="F1777" s="124" t="n"/>
      <c r="G1777" s="124" t="n"/>
      <c r="H1777" s="84" t="n"/>
      <c r="I1777" s="7" t="n"/>
      <c r="J1777" s="32" t="inlineStr">
        <is>
          <t>Richard/piece/</t>
        </is>
      </c>
      <c r="K1777" s="24" t="n"/>
      <c r="L1777" s="36" t="n">
        <v>30</v>
      </c>
      <c r="M1777" s="204" t="n">
        <v>50</v>
      </c>
      <c r="N1777" s="177" t="n">
        <v>1</v>
      </c>
      <c r="O1777" s="13" t="n"/>
      <c r="P1777" s="139" t="inlineStr">
        <is>
          <t>pieces</t>
        </is>
      </c>
      <c r="Q1777" s="2" t="n"/>
      <c r="R1777" s="1" t="n"/>
      <c r="S1777" s="229">
        <f>M1777*N1777</f>
        <v/>
      </c>
      <c r="T1777" s="230">
        <f>CONCATENATE(S1777,Q1777,P1777)</f>
        <v/>
      </c>
      <c r="U1777" s="206">
        <f>L1777*M1777</f>
        <v/>
      </c>
      <c r="V1777" s="4" t="n"/>
      <c r="W1777" s="4" t="n"/>
      <c r="X1777" s="4" t="n"/>
    </row>
    <row r="1778" ht="15.75" customHeight="1" thickBot="1">
      <c r="A1778" s="186" t="n">
        <v>768</v>
      </c>
      <c r="B1778" s="214" t="inlineStr">
        <is>
          <t>Pork - Frozen Jowls</t>
        </is>
      </c>
      <c r="C1778" s="124" t="n"/>
      <c r="D1778" s="115" t="n"/>
      <c r="E1778" s="124" t="n"/>
      <c r="F1778" s="124" t="n"/>
      <c r="G1778" s="124" t="n"/>
      <c r="H1778" s="84" t="n"/>
      <c r="I1778" s="7" t="n"/>
      <c r="J1778" s="32" t="n"/>
      <c r="K1778" s="24" t="n"/>
      <c r="L1778" s="36" t="n">
        <v>220</v>
      </c>
      <c r="M1778" s="204" t="n">
        <v>14</v>
      </c>
      <c r="N1778" s="177" t="n">
        <v>1</v>
      </c>
      <c r="O1778" s="13" t="n"/>
      <c r="P1778" s="139" t="inlineStr">
        <is>
          <t>kilos</t>
        </is>
      </c>
      <c r="Q1778" s="2" t="n"/>
      <c r="R1778" s="1" t="n"/>
      <c r="S1778" s="229">
        <f>M1778*N1778</f>
        <v/>
      </c>
      <c r="T1778" s="230">
        <f>CONCATENATE(S1778,Q1778,P1778)</f>
        <v/>
      </c>
      <c r="U1778" s="206">
        <f>L1778*M1778</f>
        <v/>
      </c>
      <c r="V1778" s="4" t="n"/>
      <c r="W1778" s="4" t="n"/>
      <c r="X1778" s="4" t="n"/>
    </row>
    <row r="1779" ht="15.75" customHeight="1" thickBot="1">
      <c r="A1779" s="186" t="n">
        <v>769</v>
      </c>
      <c r="B1779" s="214" t="inlineStr">
        <is>
          <t>Pork - Frozen Kasim</t>
        </is>
      </c>
      <c r="C1779" s="124" t="n"/>
      <c r="D1779" s="115" t="n"/>
      <c r="E1779" s="124" t="n"/>
      <c r="F1779" s="124" t="n"/>
      <c r="G1779" s="124" t="n"/>
      <c r="H1779" s="84" t="n"/>
      <c r="I1779" s="7" t="n"/>
      <c r="J1779" s="32" t="n"/>
      <c r="K1779" s="24" t="n"/>
      <c r="L1779" s="36" t="n">
        <v>275</v>
      </c>
      <c r="M1779" s="204" t="n">
        <v>87</v>
      </c>
      <c r="N1779" s="177" t="n">
        <v>1</v>
      </c>
      <c r="O1779" s="13" t="n"/>
      <c r="P1779" s="139" t="inlineStr">
        <is>
          <t>kilos</t>
        </is>
      </c>
      <c r="Q1779" s="2" t="n"/>
      <c r="R1779" s="1" t="n"/>
      <c r="S1779" s="229">
        <f>M1779*N1779</f>
        <v/>
      </c>
      <c r="T1779" s="230">
        <f>CONCATENATE(S1779,Q1779,P1779)</f>
        <v/>
      </c>
      <c r="U1779" s="206">
        <f>L1779*M1779</f>
        <v/>
      </c>
      <c r="V1779" s="4" t="n"/>
      <c r="W1779" s="4" t="n"/>
      <c r="X1779" s="4" t="n"/>
    </row>
    <row r="1780" ht="15.75" customHeight="1" thickBot="1">
      <c r="A1780" s="186" t="n">
        <v>770</v>
      </c>
      <c r="B1780" s="214" t="inlineStr">
        <is>
          <t>Pork - Frozen Liempo</t>
        </is>
      </c>
      <c r="C1780" s="124" t="n"/>
      <c r="D1780" s="115" t="n"/>
      <c r="E1780" s="124" t="n"/>
      <c r="F1780" s="124" t="n"/>
      <c r="G1780" s="124" t="n"/>
      <c r="H1780" s="84" t="n"/>
      <c r="I1780" s="7" t="n"/>
      <c r="J1780" s="32" t="n"/>
      <c r="K1780" s="24" t="n"/>
      <c r="L1780" s="36" t="n">
        <v>289</v>
      </c>
      <c r="M1780" s="204" t="n">
        <v>11</v>
      </c>
      <c r="N1780" s="177" t="n">
        <v>1</v>
      </c>
      <c r="O1780" s="13" t="n"/>
      <c r="P1780" s="139" t="inlineStr">
        <is>
          <t>kilos</t>
        </is>
      </c>
      <c r="Q1780" s="2" t="n"/>
      <c r="R1780" s="1" t="n"/>
      <c r="S1780" s="229">
        <f>M1780*N1780</f>
        <v/>
      </c>
      <c r="T1780" s="230">
        <f>CONCATENATE(S1780,Q1780,P1780)</f>
        <v/>
      </c>
      <c r="U1780" s="206">
        <f>L1780*M1780</f>
        <v/>
      </c>
      <c r="V1780" s="4" t="n"/>
      <c r="W1780" s="4" t="n"/>
      <c r="X1780" s="4" t="n"/>
    </row>
    <row r="1781" ht="15.75" customHeight="1" thickBot="1">
      <c r="A1781" s="186" t="n">
        <v>771</v>
      </c>
      <c r="B1781" s="214" t="inlineStr">
        <is>
          <t>Pork - Frozen Pata</t>
        </is>
      </c>
      <c r="C1781" s="124" t="n"/>
      <c r="D1781" s="115" t="n"/>
      <c r="E1781" s="124" t="n"/>
      <c r="F1781" s="124" t="n"/>
      <c r="G1781" s="124" t="n"/>
      <c r="H1781" s="84" t="n"/>
      <c r="I1781" s="7" t="n"/>
      <c r="J1781" s="32" t="n"/>
      <c r="K1781" s="24" t="n"/>
      <c r="L1781" s="36" t="n">
        <v>190</v>
      </c>
      <c r="M1781" s="204" t="n">
        <v>5</v>
      </c>
      <c r="N1781" s="177" t="n">
        <v>1</v>
      </c>
      <c r="O1781" s="13" t="n"/>
      <c r="P1781" s="139" t="inlineStr">
        <is>
          <t>kilos</t>
        </is>
      </c>
      <c r="Q1781" s="2" t="n"/>
      <c r="R1781" s="1" t="n"/>
      <c r="S1781" s="229">
        <f>M1781*N1781</f>
        <v/>
      </c>
      <c r="T1781" s="230">
        <f>CONCATENATE(S1781,Q1781,P1781)</f>
        <v/>
      </c>
      <c r="U1781" s="206">
        <f>L1781*M1781</f>
        <v/>
      </c>
      <c r="V1781" s="4" t="n"/>
      <c r="W1781" s="4" t="n"/>
      <c r="X1781" s="4" t="n"/>
    </row>
    <row r="1782" ht="15.75" customHeight="1" thickBot="1">
      <c r="A1782" s="186" t="n">
        <v>772</v>
      </c>
      <c r="B1782" s="215" t="inlineStr">
        <is>
          <t>Pork - Ground</t>
        </is>
      </c>
      <c r="C1782" s="124" t="n"/>
      <c r="D1782" s="115" t="n"/>
      <c r="E1782" s="124" t="n"/>
      <c r="F1782" s="124" t="n"/>
      <c r="G1782" s="124" t="n"/>
      <c r="H1782" s="84" t="n"/>
      <c r="I1782" s="7" t="n"/>
      <c r="J1782" s="32" t="n"/>
      <c r="K1782" s="24" t="n"/>
      <c r="L1782" s="36" t="n">
        <v>320</v>
      </c>
      <c r="M1782" s="204" t="n">
        <v>5</v>
      </c>
      <c r="N1782" s="177" t="n">
        <v>1000</v>
      </c>
      <c r="O1782" s="13" t="n"/>
      <c r="P1782" s="139" t="inlineStr">
        <is>
          <t>grams</t>
        </is>
      </c>
      <c r="Q1782" s="2" t="n"/>
      <c r="R1782" s="1" t="n"/>
      <c r="S1782" s="229">
        <f>M1782*N1782</f>
        <v/>
      </c>
      <c r="T1782" s="230">
        <f>CONCATENATE(S1782,Q1782,P1782)</f>
        <v/>
      </c>
      <c r="U1782" s="206">
        <f>L1782*M1782</f>
        <v/>
      </c>
      <c r="V1782" s="4" t="n"/>
      <c r="W1782" s="4" t="n"/>
      <c r="X1782" s="4" t="n"/>
    </row>
    <row r="1783" ht="15.75" customHeight="1" thickBot="1">
      <c r="A1783" s="186" t="n">
        <v>772</v>
      </c>
      <c r="B1783" s="215" t="inlineStr">
        <is>
          <t>Pork - Ground</t>
        </is>
      </c>
      <c r="C1783" s="124" t="n"/>
      <c r="D1783" s="115" t="n"/>
      <c r="E1783" s="124" t="n"/>
      <c r="F1783" s="124" t="n"/>
      <c r="G1783" s="124" t="n"/>
      <c r="H1783" s="84" t="n"/>
      <c r="I1783" s="7" t="n"/>
      <c r="J1783" s="32" t="n"/>
      <c r="K1783" s="24" t="n"/>
      <c r="L1783" s="36" t="n">
        <v>340</v>
      </c>
      <c r="M1783" s="204" t="n">
        <v>5</v>
      </c>
      <c r="N1783" s="177" t="n">
        <v>1000</v>
      </c>
      <c r="O1783" s="13" t="n"/>
      <c r="P1783" s="139" t="inlineStr">
        <is>
          <t>grams</t>
        </is>
      </c>
      <c r="Q1783" s="2" t="n"/>
      <c r="R1783" s="1" t="n"/>
      <c r="S1783" s="229">
        <f>M1783*N1783</f>
        <v/>
      </c>
      <c r="T1783" s="230">
        <f>CONCATENATE(S1783,Q1783,P1783)</f>
        <v/>
      </c>
      <c r="U1783" s="206">
        <f>L1783*M1783</f>
        <v/>
      </c>
      <c r="V1783" s="4" t="n"/>
      <c r="W1783" s="4" t="n"/>
      <c r="X1783" s="4" t="n"/>
    </row>
    <row r="1784" ht="15.75" customHeight="1" thickBot="1">
      <c r="A1784" s="186" t="n">
        <v>772</v>
      </c>
      <c r="B1784" s="215" t="inlineStr">
        <is>
          <t>Pork - Ground</t>
        </is>
      </c>
      <c r="C1784" s="124" t="n"/>
      <c r="D1784" s="115" t="n"/>
      <c r="E1784" s="124" t="n"/>
      <c r="F1784" s="124" t="n"/>
      <c r="G1784" s="124" t="n"/>
      <c r="H1784" s="84" t="n"/>
      <c r="I1784" s="7" t="n"/>
      <c r="J1784" s="32" t="n"/>
      <c r="K1784" s="24" t="n"/>
      <c r="L1784" s="36" t="n">
        <v>300</v>
      </c>
      <c r="M1784" s="204" t="n">
        <v>4</v>
      </c>
      <c r="N1784" s="177" t="n">
        <v>1</v>
      </c>
      <c r="O1784" s="13" t="n"/>
      <c r="P1784" s="139" t="inlineStr">
        <is>
          <t>kilos</t>
        </is>
      </c>
      <c r="Q1784" s="2" t="n"/>
      <c r="R1784" s="1" t="n"/>
      <c r="S1784" s="229">
        <f>M1784*N1784</f>
        <v/>
      </c>
      <c r="T1784" s="230">
        <f>CONCATENATE(S1784,Q1784,P1784)</f>
        <v/>
      </c>
      <c r="U1784" s="206">
        <f>L1784*M1784</f>
        <v/>
      </c>
      <c r="V1784" s="4" t="n"/>
      <c r="W1784" s="4" t="n"/>
      <c r="X1784" s="4" t="n"/>
    </row>
    <row r="1785" ht="15.75" customHeight="1" thickBot="1">
      <c r="A1785" s="186" t="n">
        <v>773</v>
      </c>
      <c r="B1785" s="214" t="inlineStr">
        <is>
          <t>Pork - Jowls</t>
        </is>
      </c>
      <c r="C1785" s="124" t="n"/>
      <c r="D1785" s="115" t="n"/>
      <c r="E1785" s="124" t="n"/>
      <c r="F1785" s="124" t="n"/>
      <c r="G1785" s="124" t="n"/>
      <c r="H1785" s="84" t="n"/>
      <c r="I1785" s="7" t="n"/>
      <c r="J1785" s="32" t="n"/>
      <c r="K1785" s="24" t="n"/>
      <c r="L1785" s="36" t="n">
        <v>175</v>
      </c>
      <c r="M1785" s="204" t="n">
        <v>20</v>
      </c>
      <c r="N1785" s="177" t="n">
        <v>1</v>
      </c>
      <c r="O1785" s="13" t="n"/>
      <c r="P1785" s="139" t="inlineStr">
        <is>
          <t>kilos</t>
        </is>
      </c>
      <c r="Q1785" s="2" t="n"/>
      <c r="R1785" s="1" t="n"/>
      <c r="S1785" s="229">
        <f>M1785*N1785</f>
        <v/>
      </c>
      <c r="T1785" s="230">
        <f>CONCATENATE(S1785,Q1785,P1785)</f>
        <v/>
      </c>
      <c r="U1785" s="206">
        <f>L1785*M1785</f>
        <v/>
      </c>
      <c r="V1785" s="4" t="n"/>
      <c r="W1785" s="4" t="n"/>
      <c r="X1785" s="4" t="n"/>
    </row>
    <row r="1786" ht="15.75" customHeight="1" thickBot="1">
      <c r="A1786" s="186" t="n">
        <v>774</v>
      </c>
      <c r="B1786" s="214" t="inlineStr">
        <is>
          <t>Pork - Kasim</t>
        </is>
      </c>
      <c r="C1786" s="124" t="n"/>
      <c r="D1786" s="115" t="n"/>
      <c r="E1786" s="124" t="n"/>
      <c r="F1786" s="124" t="n"/>
      <c r="G1786" s="124" t="n"/>
      <c r="H1786" s="84" t="n"/>
      <c r="I1786" s="7" t="n"/>
      <c r="J1786" s="32" t="n"/>
      <c r="K1786" s="24" t="n"/>
      <c r="L1786" s="36" t="n">
        <v>225</v>
      </c>
      <c r="M1786" s="204" t="n">
        <v>31</v>
      </c>
      <c r="N1786" s="177" t="n">
        <v>1</v>
      </c>
      <c r="O1786" s="13" t="n"/>
      <c r="P1786" s="139" t="inlineStr">
        <is>
          <t>kilos</t>
        </is>
      </c>
      <c r="Q1786" s="2" t="n"/>
      <c r="R1786" s="1" t="n"/>
      <c r="S1786" s="229">
        <f>M1786*N1786</f>
        <v/>
      </c>
      <c r="T1786" s="230">
        <f>CONCATENATE(S1786,Q1786,P1786)</f>
        <v/>
      </c>
      <c r="U1786" s="206">
        <f>L1786*M1786</f>
        <v/>
      </c>
      <c r="V1786" s="4" t="n"/>
      <c r="W1786" s="4" t="n"/>
      <c r="X1786" s="4" t="n"/>
    </row>
    <row r="1787" ht="15.75" customHeight="1" thickBot="1">
      <c r="A1787" s="186" t="n">
        <v>774</v>
      </c>
      <c r="B1787" s="214" t="inlineStr">
        <is>
          <t>Pork - Kasim</t>
        </is>
      </c>
      <c r="C1787" s="124" t="n"/>
      <c r="D1787" s="115" t="n"/>
      <c r="E1787" s="124" t="n"/>
      <c r="F1787" s="124" t="n"/>
      <c r="G1787" s="124" t="n"/>
      <c r="H1787" s="84" t="n"/>
      <c r="I1787" s="7" t="n"/>
      <c r="J1787" s="32" t="n"/>
      <c r="K1787" s="24" t="n"/>
      <c r="L1787" s="36" t="n">
        <v>215</v>
      </c>
      <c r="M1787" s="204" t="n">
        <v>76</v>
      </c>
      <c r="N1787" s="177" t="n">
        <v>1</v>
      </c>
      <c r="O1787" s="13" t="n"/>
      <c r="P1787" s="139" t="inlineStr">
        <is>
          <t>kilos</t>
        </is>
      </c>
      <c r="Q1787" s="2" t="n"/>
      <c r="R1787" s="1" t="n"/>
      <c r="S1787" s="229">
        <f>M1787*N1787</f>
        <v/>
      </c>
      <c r="T1787" s="230">
        <f>CONCATENATE(S1787,Q1787,P1787)</f>
        <v/>
      </c>
      <c r="U1787" s="206">
        <f>L1787*M1787</f>
        <v/>
      </c>
      <c r="V1787" s="4" t="n"/>
      <c r="W1787" s="4" t="n"/>
      <c r="X1787" s="4" t="n"/>
    </row>
    <row r="1788" ht="15.75" customHeight="1" thickBot="1">
      <c r="A1788" s="186" t="n">
        <v>774</v>
      </c>
      <c r="B1788" s="214" t="inlineStr">
        <is>
          <t>Pork - Kasim</t>
        </is>
      </c>
      <c r="C1788" s="124" t="n"/>
      <c r="D1788" s="115" t="n"/>
      <c r="E1788" s="124" t="n"/>
      <c r="F1788" s="124" t="n"/>
      <c r="G1788" s="124" t="n"/>
      <c r="H1788" s="84" t="n"/>
      <c r="I1788" s="7" t="n"/>
      <c r="J1788" s="32" t="n"/>
      <c r="K1788" s="24" t="n"/>
      <c r="L1788" s="36" t="n">
        <v>221</v>
      </c>
      <c r="M1788" s="204" t="n">
        <v>60</v>
      </c>
      <c r="N1788" s="177" t="n">
        <v>1</v>
      </c>
      <c r="O1788" s="13" t="n"/>
      <c r="P1788" s="139" t="inlineStr">
        <is>
          <t>kilos</t>
        </is>
      </c>
      <c r="Q1788" s="2" t="n"/>
      <c r="R1788" s="1" t="n"/>
      <c r="S1788" s="229">
        <f>M1788*N1788</f>
        <v/>
      </c>
      <c r="T1788" s="230">
        <f>CONCATENATE(S1788,Q1788,P1788)</f>
        <v/>
      </c>
      <c r="U1788" s="206">
        <f>L1788*M1788</f>
        <v/>
      </c>
      <c r="V1788" s="4" t="n"/>
      <c r="W1788" s="4" t="n"/>
      <c r="X1788" s="4" t="n"/>
    </row>
    <row r="1789" ht="15.75" customHeight="1" thickBot="1">
      <c r="A1789" s="186" t="n">
        <v>774</v>
      </c>
      <c r="B1789" s="214" t="inlineStr">
        <is>
          <t>Pork - Kasim</t>
        </is>
      </c>
      <c r="C1789" s="124" t="n"/>
      <c r="D1789" s="115" t="n"/>
      <c r="E1789" s="124" t="n"/>
      <c r="F1789" s="124" t="n"/>
      <c r="G1789" s="124" t="n"/>
      <c r="H1789" s="84" t="n"/>
      <c r="I1789" s="7" t="n"/>
      <c r="J1789" s="32" t="n"/>
      <c r="K1789" s="24" t="n"/>
      <c r="L1789" s="36" t="n">
        <v>218</v>
      </c>
      <c r="M1789" s="204" t="n">
        <v>49</v>
      </c>
      <c r="N1789" s="177" t="n">
        <v>1</v>
      </c>
      <c r="O1789" s="13" t="n"/>
      <c r="P1789" s="139" t="inlineStr">
        <is>
          <t>kilos</t>
        </is>
      </c>
      <c r="Q1789" s="2" t="n"/>
      <c r="R1789" s="1" t="n"/>
      <c r="S1789" s="229">
        <f>M1789*N1789</f>
        <v/>
      </c>
      <c r="T1789" s="230">
        <f>CONCATENATE(S1789,Q1789,P1789)</f>
        <v/>
      </c>
      <c r="U1789" s="206">
        <f>L1789*M1789</f>
        <v/>
      </c>
      <c r="V1789" s="4" t="n"/>
      <c r="W1789" s="4" t="n"/>
      <c r="X1789" s="4" t="n"/>
    </row>
    <row r="1790" ht="15.75" customHeight="1" thickBot="1">
      <c r="A1790" s="186" t="n">
        <v>774</v>
      </c>
      <c r="B1790" s="214" t="inlineStr">
        <is>
          <t>Pork - Kasim</t>
        </is>
      </c>
      <c r="C1790" s="124" t="n"/>
      <c r="D1790" s="115" t="n"/>
      <c r="E1790" s="124" t="n"/>
      <c r="F1790" s="124" t="n"/>
      <c r="G1790" s="124" t="n"/>
      <c r="H1790" s="84" t="n"/>
      <c r="I1790" s="7" t="n"/>
      <c r="J1790" s="32" t="n"/>
      <c r="K1790" s="24" t="n"/>
      <c r="L1790" s="36" t="n">
        <v>320</v>
      </c>
      <c r="M1790" s="204" t="n">
        <v>47</v>
      </c>
      <c r="N1790" s="177" t="n">
        <v>1000</v>
      </c>
      <c r="O1790" s="13" t="n"/>
      <c r="P1790" s="139" t="inlineStr">
        <is>
          <t>grams</t>
        </is>
      </c>
      <c r="Q1790" s="2" t="n"/>
      <c r="R1790" s="1" t="n"/>
      <c r="S1790" s="229">
        <f>M1790*N1790</f>
        <v/>
      </c>
      <c r="T1790" s="230">
        <f>CONCATENATE(S1790,Q1790,P1790)</f>
        <v/>
      </c>
      <c r="U1790" s="206">
        <f>L1790*M1790</f>
        <v/>
      </c>
      <c r="V1790" s="4" t="n"/>
      <c r="W1790" s="4" t="n"/>
      <c r="X1790" s="4" t="n"/>
    </row>
    <row r="1791" ht="15.75" customHeight="1" thickBot="1">
      <c r="A1791" s="186" t="n">
        <v>775</v>
      </c>
      <c r="B1791" s="214" t="inlineStr">
        <is>
          <t>Pork - Laman</t>
        </is>
      </c>
      <c r="C1791" s="124" t="n"/>
      <c r="D1791" s="115" t="n"/>
      <c r="E1791" s="124" t="n"/>
      <c r="F1791" s="124" t="n"/>
      <c r="G1791" s="124" t="n"/>
      <c r="H1791" s="84" t="n"/>
      <c r="I1791" s="7" t="n"/>
      <c r="J1791" s="32" t="n"/>
      <c r="K1791" s="24" t="n"/>
      <c r="L1791" s="36" t="n">
        <v>340</v>
      </c>
      <c r="M1791" s="204" t="n">
        <v>17</v>
      </c>
      <c r="N1791" s="177" t="n">
        <v>1000</v>
      </c>
      <c r="O1791" s="13" t="n"/>
      <c r="P1791" s="139" t="inlineStr">
        <is>
          <t>grams</t>
        </is>
      </c>
      <c r="Q1791" s="2" t="n"/>
      <c r="R1791" s="1" t="n"/>
      <c r="S1791" s="229">
        <f>M1791*N1791</f>
        <v/>
      </c>
      <c r="T1791" s="230">
        <f>CONCATENATE(S1791,Q1791,P1791)</f>
        <v/>
      </c>
      <c r="U1791" s="206">
        <f>L1791*M1791</f>
        <v/>
      </c>
      <c r="V1791" s="4" t="n"/>
      <c r="W1791" s="4" t="n"/>
      <c r="X1791" s="4" t="n"/>
    </row>
    <row r="1792" ht="15.75" customHeight="1" thickBot="1">
      <c r="A1792" s="186" t="n">
        <v>775</v>
      </c>
      <c r="B1792" s="214" t="inlineStr">
        <is>
          <t>Pork - Laman</t>
        </is>
      </c>
      <c r="C1792" s="124" t="n"/>
      <c r="D1792" s="115" t="n"/>
      <c r="E1792" s="124" t="n"/>
      <c r="F1792" s="124" t="n"/>
      <c r="G1792" s="124" t="n"/>
      <c r="H1792" s="84" t="n"/>
      <c r="I1792" s="7" t="n"/>
      <c r="J1792" s="32" t="inlineStr">
        <is>
          <t>Daisuke</t>
        </is>
      </c>
      <c r="K1792" s="24" t="n"/>
      <c r="L1792" s="36" t="n">
        <v>235</v>
      </c>
      <c r="M1792" s="204" t="n">
        <v>15</v>
      </c>
      <c r="N1792" s="177" t="n">
        <v>1000</v>
      </c>
      <c r="O1792" s="13" t="n"/>
      <c r="P1792" s="139" t="inlineStr">
        <is>
          <t>kilos</t>
        </is>
      </c>
      <c r="Q1792" s="2" t="n"/>
      <c r="R1792" s="1" t="n"/>
      <c r="S1792" s="229">
        <f>M1792*N1792</f>
        <v/>
      </c>
      <c r="T1792" s="230">
        <f>CONCATENATE(S1792,Q1792,P1792)</f>
        <v/>
      </c>
      <c r="U1792" s="206">
        <f>L1792*M1792</f>
        <v/>
      </c>
      <c r="V1792" s="4" t="n"/>
      <c r="W1792" s="4" t="n"/>
      <c r="X1792" s="4" t="n"/>
    </row>
    <row r="1793" ht="15.75" customHeight="1" thickBot="1">
      <c r="A1793" s="186" t="n">
        <v>776</v>
      </c>
      <c r="B1793" s="214" t="inlineStr">
        <is>
          <t>Pork - Liempo</t>
        </is>
      </c>
      <c r="C1793" s="124" t="n"/>
      <c r="D1793" s="115" t="n"/>
      <c r="E1793" s="124" t="n"/>
      <c r="F1793" s="124" t="n"/>
      <c r="G1793" s="124" t="n"/>
      <c r="H1793" s="84" t="n"/>
      <c r="I1793" s="7" t="n"/>
      <c r="J1793" s="32" t="n"/>
      <c r="K1793" s="24" t="n"/>
      <c r="L1793" s="36" t="n">
        <v>270</v>
      </c>
      <c r="M1793" s="204" t="n">
        <v>17</v>
      </c>
      <c r="N1793" s="177" t="n">
        <v>1</v>
      </c>
      <c r="O1793" s="13" t="n"/>
      <c r="P1793" s="139" t="inlineStr">
        <is>
          <t>kilos</t>
        </is>
      </c>
      <c r="Q1793" s="2" t="n"/>
      <c r="R1793" s="1" t="n"/>
      <c r="S1793" s="229">
        <f>M1793*N1793</f>
        <v/>
      </c>
      <c r="T1793" s="230">
        <f>CONCATENATE(S1793,Q1793,P1793)</f>
        <v/>
      </c>
      <c r="U1793" s="206">
        <f>L1793*M1793</f>
        <v/>
      </c>
      <c r="V1793" s="4" t="n"/>
      <c r="W1793" s="4" t="n"/>
      <c r="X1793" s="4" t="n"/>
    </row>
    <row r="1794" ht="15.75" customHeight="1" thickBot="1">
      <c r="A1794" s="186" t="n">
        <v>776</v>
      </c>
      <c r="B1794" s="214" t="inlineStr">
        <is>
          <t>Pork - Liempo</t>
        </is>
      </c>
      <c r="C1794" s="124" t="n"/>
      <c r="D1794" s="115" t="n"/>
      <c r="E1794" s="124" t="n"/>
      <c r="F1794" s="124" t="n"/>
      <c r="G1794" s="124" t="n"/>
      <c r="H1794" s="84" t="n"/>
      <c r="I1794" s="7" t="n"/>
      <c r="J1794" s="32" t="n"/>
      <c r="K1794" s="24" t="n"/>
      <c r="L1794" s="36" t="n">
        <v>270</v>
      </c>
      <c r="M1794" s="204" t="n">
        <v>25</v>
      </c>
      <c r="N1794" s="177" t="n">
        <v>1</v>
      </c>
      <c r="O1794" s="13" t="n"/>
      <c r="P1794" s="139" t="inlineStr">
        <is>
          <t>kilos</t>
        </is>
      </c>
      <c r="Q1794" s="2" t="n"/>
      <c r="R1794" s="1" t="n"/>
      <c r="S1794" s="229">
        <f>M1794*N1794</f>
        <v/>
      </c>
      <c r="T1794" s="230">
        <f>CONCATENATE(S1794,Q1794,P1794)</f>
        <v/>
      </c>
      <c r="U1794" s="206">
        <f>L1794*M1794</f>
        <v/>
      </c>
      <c r="V1794" s="4" t="n"/>
      <c r="W1794" s="4" t="n"/>
      <c r="X1794" s="4" t="n"/>
    </row>
    <row r="1795" ht="15.75" customHeight="1" thickBot="1">
      <c r="A1795" s="186" t="n">
        <v>776</v>
      </c>
      <c r="B1795" s="214" t="inlineStr">
        <is>
          <t>Pork - Liempo</t>
        </is>
      </c>
      <c r="C1795" s="124" t="n"/>
      <c r="D1795" s="115" t="n"/>
      <c r="E1795" s="124" t="n"/>
      <c r="F1795" s="124" t="n"/>
      <c r="G1795" s="124" t="n"/>
      <c r="H1795" s="84" t="n"/>
      <c r="I1795" s="7" t="n"/>
      <c r="J1795" s="32" t="n"/>
      <c r="K1795" s="24" t="n"/>
      <c r="L1795" s="36" t="n">
        <v>277</v>
      </c>
      <c r="M1795" s="204" t="n">
        <v>46</v>
      </c>
      <c r="N1795" s="177" t="n">
        <v>1</v>
      </c>
      <c r="O1795" s="13" t="n"/>
      <c r="P1795" s="139" t="inlineStr">
        <is>
          <t>kilos</t>
        </is>
      </c>
      <c r="Q1795" s="2" t="n"/>
      <c r="R1795" s="1" t="n"/>
      <c r="S1795" s="229">
        <f>M1795*N1795</f>
        <v/>
      </c>
      <c r="T1795" s="230">
        <f>CONCATENATE(S1795,Q1795,P1795)</f>
        <v/>
      </c>
      <c r="U1795" s="206">
        <f>L1795*M1795</f>
        <v/>
      </c>
      <c r="V1795" s="4" t="n"/>
      <c r="W1795" s="4" t="n"/>
      <c r="X1795" s="4" t="n"/>
    </row>
    <row r="1796" ht="15.75" customHeight="1" thickBot="1">
      <c r="A1796" s="186" t="n">
        <v>776</v>
      </c>
      <c r="B1796" s="214" t="inlineStr">
        <is>
          <t>Pork - Liempo</t>
        </is>
      </c>
      <c r="C1796" s="124" t="n"/>
      <c r="D1796" s="115" t="n"/>
      <c r="E1796" s="124" t="n"/>
      <c r="F1796" s="124" t="n"/>
      <c r="G1796" s="124" t="n"/>
      <c r="H1796" s="84" t="n"/>
      <c r="I1796" s="7" t="n"/>
      <c r="J1796" s="32" t="n"/>
      <c r="K1796" s="24" t="n"/>
      <c r="L1796" s="36" t="n">
        <v>300</v>
      </c>
      <c r="M1796" s="204" t="n">
        <v>5</v>
      </c>
      <c r="N1796" s="177" t="n">
        <v>1000</v>
      </c>
      <c r="O1796" s="13" t="n"/>
      <c r="P1796" s="139" t="inlineStr">
        <is>
          <t>grams</t>
        </is>
      </c>
      <c r="Q1796" s="2" t="n"/>
      <c r="R1796" s="1" t="n"/>
      <c r="S1796" s="229">
        <f>M1796*N1796</f>
        <v/>
      </c>
      <c r="T1796" s="230">
        <f>CONCATENATE(S1796,Q1796,P1796)</f>
        <v/>
      </c>
      <c r="U1796" s="206">
        <f>L1796*M1796</f>
        <v/>
      </c>
      <c r="V1796" s="4" t="n"/>
      <c r="W1796" s="4" t="n"/>
      <c r="X1796" s="4" t="n"/>
    </row>
    <row r="1797" ht="15.75" customHeight="1" thickBot="1">
      <c r="A1797" s="186" t="n">
        <v>776</v>
      </c>
      <c r="B1797" s="214" t="inlineStr">
        <is>
          <t>Pork - Liempo</t>
        </is>
      </c>
      <c r="C1797" s="124" t="n"/>
      <c r="D1797" s="115" t="n"/>
      <c r="E1797" s="124" t="n"/>
      <c r="F1797" s="124" t="n"/>
      <c r="G1797" s="124" t="n"/>
      <c r="H1797" s="84" t="n"/>
      <c r="I1797" s="7" t="n"/>
      <c r="J1797" s="32" t="n"/>
      <c r="K1797" s="24" t="n"/>
      <c r="L1797" s="36" t="n">
        <v>440</v>
      </c>
      <c r="M1797" s="204" t="n">
        <v>11</v>
      </c>
      <c r="N1797" s="177" t="n">
        <v>1000</v>
      </c>
      <c r="O1797" s="13" t="n"/>
      <c r="P1797" s="139" t="inlineStr">
        <is>
          <t>grams</t>
        </is>
      </c>
      <c r="Q1797" s="2" t="n"/>
      <c r="R1797" s="1" t="n"/>
      <c r="S1797" s="229">
        <f>M1797*N1797</f>
        <v/>
      </c>
      <c r="T1797" s="230">
        <f>CONCATENATE(S1797,Q1797,P1797)</f>
        <v/>
      </c>
      <c r="U1797" s="206">
        <f>L1797*M1797</f>
        <v/>
      </c>
      <c r="V1797" s="4" t="n"/>
      <c r="W1797" s="4" t="n"/>
      <c r="X1797" s="4" t="n"/>
    </row>
    <row r="1798" ht="15.75" customHeight="1" thickBot="1">
      <c r="A1798" s="186" t="n">
        <v>776</v>
      </c>
      <c r="B1798" s="214" t="inlineStr">
        <is>
          <t>Pork - Liempo</t>
        </is>
      </c>
      <c r="C1798" s="124" t="n"/>
      <c r="D1798" s="115" t="n"/>
      <c r="E1798" s="124" t="n"/>
      <c r="F1798" s="124" t="n"/>
      <c r="G1798" s="124" t="n"/>
      <c r="H1798" s="84" t="n"/>
      <c r="I1798" s="7" t="n"/>
      <c r="J1798" s="32" t="inlineStr">
        <is>
          <t>Daisuke</t>
        </is>
      </c>
      <c r="K1798" s="24" t="n"/>
      <c r="L1798" s="36" t="n">
        <v>289</v>
      </c>
      <c r="M1798" s="204" t="n">
        <v>25</v>
      </c>
      <c r="N1798" s="177" t="n">
        <v>1000</v>
      </c>
      <c r="O1798" s="13" t="n"/>
      <c r="P1798" s="139" t="inlineStr">
        <is>
          <t>kilos</t>
        </is>
      </c>
      <c r="Q1798" s="2" t="n"/>
      <c r="R1798" s="1" t="n"/>
      <c r="S1798" s="229">
        <f>M1798*N1798</f>
        <v/>
      </c>
      <c r="T1798" s="230">
        <f>CONCATENATE(S1798,Q1798,P1798)</f>
        <v/>
      </c>
      <c r="U1798" s="206">
        <f>L1798*M1798</f>
        <v/>
      </c>
      <c r="V1798" s="4" t="n"/>
      <c r="W1798" s="4" t="n"/>
      <c r="X1798" s="4" t="n"/>
    </row>
    <row r="1799" ht="15.75" customHeight="1" thickBot="1">
      <c r="A1799" s="186" t="n">
        <v>777</v>
      </c>
      <c r="B1799" s="214" t="inlineStr">
        <is>
          <t>Pork - Liver</t>
        </is>
      </c>
      <c r="C1799" s="124" t="n"/>
      <c r="D1799" s="115" t="n"/>
      <c r="E1799" s="124" t="n"/>
      <c r="F1799" s="124" t="n"/>
      <c r="G1799" s="124" t="n"/>
      <c r="H1799" s="84" t="n"/>
      <c r="I1799" s="7" t="n"/>
      <c r="J1799" s="32" t="n"/>
      <c r="K1799" s="24" t="n"/>
      <c r="L1799" s="36" t="n">
        <v>190</v>
      </c>
      <c r="M1799" s="204" t="n">
        <v>9</v>
      </c>
      <c r="N1799" s="177" t="n">
        <v>1000</v>
      </c>
      <c r="O1799" s="13" t="n"/>
      <c r="P1799" s="139" t="inlineStr">
        <is>
          <t>grams</t>
        </is>
      </c>
      <c r="Q1799" s="2" t="n"/>
      <c r="R1799" s="1" t="n"/>
      <c r="S1799" s="229">
        <f>M1799*N1799</f>
        <v/>
      </c>
      <c r="T1799" s="230">
        <f>CONCATENATE(S1799,Q1799,P1799)</f>
        <v/>
      </c>
      <c r="U1799" s="206">
        <f>L1799*M1799</f>
        <v/>
      </c>
      <c r="V1799" s="4" t="n"/>
      <c r="W1799" s="4" t="n"/>
      <c r="X1799" s="4" t="n"/>
    </row>
    <row r="1800" ht="15.75" customHeight="1" thickBot="1">
      <c r="A1800" s="186" t="n">
        <v>777</v>
      </c>
      <c r="B1800" s="214" t="inlineStr">
        <is>
          <t>Pork - Liver</t>
        </is>
      </c>
      <c r="C1800" s="124" t="n"/>
      <c r="D1800" s="115" t="n"/>
      <c r="E1800" s="124" t="n"/>
      <c r="F1800" s="124" t="n"/>
      <c r="G1800" s="124" t="n"/>
      <c r="H1800" s="84" t="n"/>
      <c r="I1800" s="7" t="n"/>
      <c r="J1800" s="32" t="n"/>
      <c r="K1800" s="24" t="n"/>
      <c r="L1800" s="36" t="n">
        <v>240</v>
      </c>
      <c r="M1800" s="204" t="n">
        <v>1</v>
      </c>
      <c r="N1800" s="177" t="n">
        <v>1000</v>
      </c>
      <c r="O1800" s="13" t="n"/>
      <c r="P1800" s="139" t="inlineStr">
        <is>
          <t>grams</t>
        </is>
      </c>
      <c r="Q1800" s="2" t="n"/>
      <c r="R1800" s="1" t="n"/>
      <c r="S1800" s="229">
        <f>M1800*N1800</f>
        <v/>
      </c>
      <c r="T1800" s="230">
        <f>CONCATENATE(S1800,Q1800,P1800)</f>
        <v/>
      </c>
      <c r="U1800" s="206">
        <f>L1800*M1800</f>
        <v/>
      </c>
      <c r="V1800" s="4" t="n"/>
      <c r="W1800" s="4" t="n"/>
      <c r="X1800" s="4" t="n"/>
    </row>
    <row r="1801" ht="15.75" customHeight="1" thickBot="1">
      <c r="A1801" s="186" t="n">
        <v>778</v>
      </c>
      <c r="B1801" s="214" t="inlineStr">
        <is>
          <t>Pork - Mask</t>
        </is>
      </c>
      <c r="C1801" s="124" t="n"/>
      <c r="D1801" s="115" t="n"/>
      <c r="E1801" s="124" t="n"/>
      <c r="F1801" s="124" t="n"/>
      <c r="G1801" s="124" t="n"/>
      <c r="H1801" s="84" t="n"/>
      <c r="I1801" s="7" t="n"/>
      <c r="J1801" s="32" t="n"/>
      <c r="K1801" s="24" t="n"/>
      <c r="L1801" s="36" t="n">
        <v>280</v>
      </c>
      <c r="M1801" s="204" t="n">
        <v>10</v>
      </c>
      <c r="N1801" s="177" t="n">
        <v>1000</v>
      </c>
      <c r="O1801" s="13" t="n"/>
      <c r="P1801" s="139" t="inlineStr">
        <is>
          <t>grams</t>
        </is>
      </c>
      <c r="Q1801" s="2" t="n"/>
      <c r="R1801" s="1" t="n"/>
      <c r="S1801" s="229">
        <f>M1801*N1801</f>
        <v/>
      </c>
      <c r="T1801" s="230">
        <f>CONCATENATE(S1801,Q1801,P1801)</f>
        <v/>
      </c>
      <c r="U1801" s="206">
        <f>L1801*M1801</f>
        <v/>
      </c>
      <c r="V1801" s="4" t="n"/>
      <c r="W1801" s="4" t="n"/>
      <c r="X1801" s="4" t="n"/>
    </row>
    <row r="1802" ht="15.75" customHeight="1" thickBot="1">
      <c r="A1802" s="186" t="n">
        <v>779</v>
      </c>
      <c r="B1802" s="214" t="inlineStr">
        <is>
          <t>Pork - Pata</t>
        </is>
      </c>
      <c r="C1802" s="124" t="n"/>
      <c r="D1802" s="115" t="n"/>
      <c r="E1802" s="124" t="n"/>
      <c r="F1802" s="124" t="n"/>
      <c r="G1802" s="124" t="n"/>
      <c r="H1802" s="84" t="n"/>
      <c r="I1802" s="7" t="n"/>
      <c r="J1802" s="32" t="n"/>
      <c r="K1802" s="24" t="n"/>
      <c r="L1802" s="36" t="n">
        <v>320</v>
      </c>
      <c r="M1802" s="204" t="n">
        <v>10</v>
      </c>
      <c r="N1802" s="177" t="n">
        <v>1000</v>
      </c>
      <c r="O1802" s="13" t="n"/>
      <c r="P1802" s="139" t="inlineStr">
        <is>
          <t>kilos</t>
        </is>
      </c>
      <c r="Q1802" s="2" t="n"/>
      <c r="R1802" s="1" t="n"/>
      <c r="S1802" s="229">
        <f>M1802*N1802</f>
        <v/>
      </c>
      <c r="T1802" s="230">
        <f>CONCATENATE(S1802,Q1802,P1802)</f>
        <v/>
      </c>
      <c r="U1802" s="206">
        <f>L1802*M1802</f>
        <v/>
      </c>
      <c r="V1802" s="4" t="n"/>
      <c r="W1802" s="4" t="n"/>
      <c r="X1802" s="4" t="n"/>
    </row>
    <row r="1803" ht="15.75" customHeight="1" thickBot="1">
      <c r="A1803" s="186" t="n">
        <v>779</v>
      </c>
      <c r="B1803" s="215" t="inlineStr">
        <is>
          <t>Pork - Pata</t>
        </is>
      </c>
      <c r="C1803" s="124" t="n"/>
      <c r="D1803" s="115" t="n"/>
      <c r="E1803" s="124" t="n"/>
      <c r="F1803" s="124" t="n"/>
      <c r="G1803" s="124" t="n"/>
      <c r="H1803" s="84" t="n"/>
      <c r="I1803" s="7" t="n"/>
      <c r="J1803" s="32" t="n"/>
      <c r="K1803" s="24" t="n"/>
      <c r="L1803" s="36" t="n">
        <v>290</v>
      </c>
      <c r="M1803" s="204" t="n">
        <v>5</v>
      </c>
      <c r="N1803" s="177" t="n">
        <v>1</v>
      </c>
      <c r="O1803" s="13" t="n"/>
      <c r="P1803" s="139" t="inlineStr">
        <is>
          <t>kilos</t>
        </is>
      </c>
      <c r="Q1803" s="2" t="n"/>
      <c r="R1803" s="1" t="n"/>
      <c r="S1803" s="229">
        <f>M1803*N1803</f>
        <v/>
      </c>
      <c r="T1803" s="230">
        <f>CONCATENATE(S1803,Q1803,P1803)</f>
        <v/>
      </c>
      <c r="U1803" s="206">
        <f>L1803*M1803</f>
        <v/>
      </c>
      <c r="V1803" s="4" t="n"/>
      <c r="W1803" s="4" t="n"/>
      <c r="X1803" s="4" t="n"/>
    </row>
    <row r="1804" ht="15.75" customHeight="1" thickBot="1">
      <c r="A1804" s="186" t="n">
        <v>780</v>
      </c>
      <c r="B1804" s="214" t="inlineStr">
        <is>
          <t>Pork - Porkchop</t>
        </is>
      </c>
      <c r="C1804" s="124" t="n"/>
      <c r="D1804" s="115" t="n"/>
      <c r="E1804" s="124" t="n"/>
      <c r="F1804" s="124" t="n"/>
      <c r="G1804" s="124" t="n"/>
      <c r="H1804" s="84" t="n"/>
      <c r="I1804" s="7" t="n"/>
      <c r="J1804" s="32" t="n"/>
      <c r="K1804" s="24" t="n"/>
      <c r="L1804" s="36" t="n">
        <v>340</v>
      </c>
      <c r="M1804" s="204" t="n">
        <v>10</v>
      </c>
      <c r="N1804" s="177" t="n">
        <v>1000</v>
      </c>
      <c r="O1804" s="13" t="n"/>
      <c r="P1804" s="139" t="inlineStr">
        <is>
          <t>grams</t>
        </is>
      </c>
      <c r="Q1804" s="2" t="n"/>
      <c r="R1804" s="1" t="n"/>
      <c r="S1804" s="229">
        <f>M1804*N1804</f>
        <v/>
      </c>
      <c r="T1804" s="230">
        <f>CONCATENATE(S1804,Q1804,P1804)</f>
        <v/>
      </c>
      <c r="U1804" s="206">
        <f>L1804*M1804</f>
        <v/>
      </c>
      <c r="V1804" s="4" t="n"/>
      <c r="W1804" s="4" t="n"/>
      <c r="X1804" s="4" t="n"/>
    </row>
    <row r="1805" ht="15.75" customHeight="1" thickBot="1">
      <c r="A1805" s="186" t="n">
        <v>781</v>
      </c>
      <c r="B1805" s="214" t="inlineStr">
        <is>
          <t>Pork Longanisa</t>
        </is>
      </c>
      <c r="C1805" s="124" t="n"/>
      <c r="D1805" s="115" t="n"/>
      <c r="E1805" s="124" t="n"/>
      <c r="F1805" s="124" t="n"/>
      <c r="G1805" s="124" t="n"/>
      <c r="H1805" s="84" t="n"/>
      <c r="I1805" s="7" t="n"/>
      <c r="J1805" s="32" t="n"/>
      <c r="K1805" s="24" t="n"/>
      <c r="L1805" s="36" t="n">
        <v>140</v>
      </c>
      <c r="M1805" s="204" t="n">
        <v>1</v>
      </c>
      <c r="N1805" s="177" t="n">
        <v>1000</v>
      </c>
      <c r="O1805" s="13" t="n"/>
      <c r="P1805" s="139" t="inlineStr">
        <is>
          <t>grams</t>
        </is>
      </c>
      <c r="Q1805" s="2" t="n"/>
      <c r="R1805" s="1" t="n"/>
      <c r="S1805" s="229">
        <f>M1805*N1805</f>
        <v/>
      </c>
      <c r="T1805" s="230">
        <f>CONCATENATE(S1805,Q1805,P1805)</f>
        <v/>
      </c>
      <c r="U1805" s="206">
        <f>L1805*M1805</f>
        <v/>
      </c>
      <c r="V1805" s="4" t="n"/>
      <c r="W1805" s="4" t="n"/>
      <c r="X1805" s="4" t="n"/>
    </row>
    <row r="1806" ht="15.75" customHeight="1" thickBot="1">
      <c r="A1806" s="186" t="n">
        <v>781</v>
      </c>
      <c r="B1806" s="215" t="inlineStr">
        <is>
          <t>Pork Longanisa</t>
        </is>
      </c>
      <c r="C1806" s="124" t="n"/>
      <c r="D1806" s="115" t="n"/>
      <c r="E1806" s="124" t="n"/>
      <c r="F1806" s="124" t="n"/>
      <c r="G1806" s="124" t="n"/>
      <c r="H1806" s="84" t="n"/>
      <c r="I1806" s="7" t="n"/>
      <c r="J1806" s="32" t="inlineStr">
        <is>
          <t>pack/1000g</t>
        </is>
      </c>
      <c r="K1806" s="24" t="n"/>
      <c r="L1806" s="36" t="n">
        <v>240</v>
      </c>
      <c r="M1806" s="204" t="n">
        <v>7</v>
      </c>
      <c r="N1806" s="177" t="n">
        <v>1000</v>
      </c>
      <c r="O1806" s="13" t="n"/>
      <c r="P1806" s="139" t="inlineStr">
        <is>
          <t>grams</t>
        </is>
      </c>
      <c r="Q1806" s="2" t="n"/>
      <c r="R1806" s="1" t="n"/>
      <c r="S1806" s="229">
        <f>M1806*N1806</f>
        <v/>
      </c>
      <c r="T1806" s="230">
        <f>CONCATENATE(S1806,Q1806,P1806)</f>
        <v/>
      </c>
      <c r="U1806" s="206">
        <f>L1806*M1806</f>
        <v/>
      </c>
      <c r="V1806" s="4" t="n"/>
      <c r="W1806" s="4" t="n"/>
      <c r="X1806" s="4" t="n"/>
    </row>
    <row r="1807" ht="15.75" customHeight="1" thickBot="1">
      <c r="A1807" s="186" t="n">
        <v>334</v>
      </c>
      <c r="B1807" s="215" t="inlineStr">
        <is>
          <t>Pork Longganisa</t>
        </is>
      </c>
      <c r="C1807" s="124" t="n"/>
      <c r="D1807" s="115" t="n"/>
      <c r="E1807" s="124" t="n"/>
      <c r="F1807" s="124" t="n"/>
      <c r="G1807" s="124" t="n"/>
      <c r="H1807" s="84" t="n"/>
      <c r="I1807" s="7" t="n"/>
      <c r="J1807" s="32" t="inlineStr">
        <is>
          <t>CDO/pack/250grams</t>
        </is>
      </c>
      <c r="K1807" s="24" t="n"/>
      <c r="L1807" s="36" t="n">
        <v>78</v>
      </c>
      <c r="M1807" s="204" t="n">
        <v>3</v>
      </c>
      <c r="N1807" s="177" t="n">
        <v>250</v>
      </c>
      <c r="O1807" s="13" t="n"/>
      <c r="P1807" s="139" t="inlineStr">
        <is>
          <t>grams</t>
        </is>
      </c>
      <c r="Q1807" s="2" t="n"/>
      <c r="R1807" s="1" t="n"/>
      <c r="S1807" s="229">
        <f>M1807*N1807</f>
        <v/>
      </c>
      <c r="T1807" s="230">
        <f>CONCATENATE(S1807,Q1807,P1807)</f>
        <v/>
      </c>
      <c r="U1807" s="206">
        <f>L1807*M1807</f>
        <v/>
      </c>
      <c r="V1807" s="4" t="n"/>
      <c r="W1807" s="4" t="n"/>
      <c r="X1807" s="4" t="n"/>
    </row>
    <row r="1808" ht="15.75" customHeight="1" thickBot="1">
      <c r="A1808" s="186" t="n">
        <v>334</v>
      </c>
      <c r="B1808" s="214" t="inlineStr">
        <is>
          <t>Pork Longganisa</t>
        </is>
      </c>
      <c r="C1808" s="124" t="n"/>
      <c r="D1808" s="115" t="n"/>
      <c r="E1808" s="124" t="n"/>
      <c r="F1808" s="124" t="n"/>
      <c r="G1808" s="124" t="n"/>
      <c r="H1808" s="84" t="n"/>
      <c r="I1808" s="7" t="n"/>
      <c r="J1808" s="32" t="inlineStr">
        <is>
          <t>Daisuke</t>
        </is>
      </c>
      <c r="K1808" s="24" t="n"/>
      <c r="L1808" s="36" t="n">
        <v>165</v>
      </c>
      <c r="M1808" s="204" t="n">
        <v>3</v>
      </c>
      <c r="N1808" s="177" t="n">
        <v>1000</v>
      </c>
      <c r="O1808" s="13" t="n"/>
      <c r="P1808" s="139" t="inlineStr">
        <is>
          <t>kilos</t>
        </is>
      </c>
      <c r="Q1808" s="2" t="n"/>
      <c r="R1808" s="1" t="n"/>
      <c r="S1808" s="229">
        <f>M1808*N1808</f>
        <v/>
      </c>
      <c r="T1808" s="230">
        <f>CONCATENATE(S1808,Q1808,P1808)</f>
        <v/>
      </c>
      <c r="U1808" s="206">
        <f>L1808*M1808</f>
        <v/>
      </c>
      <c r="V1808" s="4" t="n"/>
      <c r="W1808" s="4" t="n"/>
      <c r="X1808" s="4" t="n"/>
    </row>
    <row r="1809" ht="15.75" customHeight="1" thickBot="1">
      <c r="A1809" s="186" t="n">
        <v>337</v>
      </c>
      <c r="B1809" s="214" t="inlineStr">
        <is>
          <t>Potato</t>
        </is>
      </c>
      <c r="C1809" s="124" t="n"/>
      <c r="D1809" s="115" t="n"/>
      <c r="E1809" s="124" t="n"/>
      <c r="F1809" s="124" t="n"/>
      <c r="G1809" s="124" t="n"/>
      <c r="H1809" s="84" t="n"/>
      <c r="I1809" s="7" t="n"/>
      <c r="J1809" s="32" t="n"/>
      <c r="K1809" s="24" t="n"/>
      <c r="L1809" s="36" t="n">
        <v>120</v>
      </c>
      <c r="M1809" s="204" t="n">
        <v>2</v>
      </c>
      <c r="N1809" s="177" t="n">
        <v>1</v>
      </c>
      <c r="O1809" s="13" t="n"/>
      <c r="P1809" s="139" t="inlineStr">
        <is>
          <t>kilos</t>
        </is>
      </c>
      <c r="Q1809" s="2" t="n"/>
      <c r="R1809" s="1" t="n"/>
      <c r="S1809" s="229">
        <f>M1809*N1809</f>
        <v/>
      </c>
      <c r="T1809" s="230">
        <f>CONCATENATE(S1809,Q1809,P1809)</f>
        <v/>
      </c>
      <c r="U1809" s="206">
        <f>L1809*M1809</f>
        <v/>
      </c>
      <c r="V1809" s="4" t="n"/>
      <c r="W1809" s="4" t="n"/>
      <c r="X1809" s="4" t="n"/>
    </row>
    <row r="1810" ht="15.75" customHeight="1" thickBot="1">
      <c r="A1810" s="186" t="n">
        <v>337</v>
      </c>
      <c r="B1810" s="214" t="inlineStr">
        <is>
          <t>Potato</t>
        </is>
      </c>
      <c r="C1810" s="124" t="n"/>
      <c r="D1810" s="115" t="n"/>
      <c r="E1810" s="124" t="n"/>
      <c r="F1810" s="124" t="n"/>
      <c r="G1810" s="124" t="n"/>
      <c r="H1810" s="84" t="n"/>
      <c r="I1810" s="7" t="n"/>
      <c r="J1810" s="32" t="inlineStr">
        <is>
          <t>Fresh</t>
        </is>
      </c>
      <c r="K1810" s="24" t="n"/>
      <c r="L1810" s="36" t="n">
        <v>160</v>
      </c>
      <c r="M1810" s="204" t="n">
        <v>4</v>
      </c>
      <c r="N1810" s="177" t="n">
        <v>1</v>
      </c>
      <c r="O1810" s="13" t="n"/>
      <c r="P1810" s="139" t="inlineStr">
        <is>
          <t>kilos</t>
        </is>
      </c>
      <c r="Q1810" s="2" t="n"/>
      <c r="R1810" s="1" t="n"/>
      <c r="S1810" s="229">
        <f>M1810*N1810</f>
        <v/>
      </c>
      <c r="T1810" s="230">
        <f>CONCATENATE(S1810,Q1810,P1810)</f>
        <v/>
      </c>
      <c r="U1810" s="206">
        <f>L1810*M1810</f>
        <v/>
      </c>
      <c r="V1810" s="4" t="n"/>
      <c r="W1810" s="4" t="n"/>
      <c r="X1810" s="4" t="n"/>
    </row>
    <row r="1811" ht="15.75" customHeight="1" thickBot="1">
      <c r="A1811" s="186" t="n">
        <v>337</v>
      </c>
      <c r="B1811" s="214" t="inlineStr">
        <is>
          <t>Potato</t>
        </is>
      </c>
      <c r="C1811" s="124" t="n"/>
      <c r="D1811" s="115" t="n"/>
      <c r="E1811" s="124" t="n"/>
      <c r="F1811" s="124" t="n"/>
      <c r="G1811" s="124" t="n"/>
      <c r="H1811" s="84" t="n"/>
      <c r="I1811" s="7" t="n"/>
      <c r="J1811" s="32" t="inlineStr">
        <is>
          <t>Fresh</t>
        </is>
      </c>
      <c r="K1811" s="24" t="n"/>
      <c r="L1811" s="36" t="n">
        <v>140</v>
      </c>
      <c r="M1811" s="204" t="n">
        <v>3</v>
      </c>
      <c r="N1811" s="177" t="n">
        <v>1</v>
      </c>
      <c r="O1811" s="13" t="n"/>
      <c r="P1811" s="139" t="inlineStr">
        <is>
          <t>kilos</t>
        </is>
      </c>
      <c r="Q1811" s="2" t="n"/>
      <c r="R1811" s="1" t="n"/>
      <c r="S1811" s="229">
        <f>M1811*N1811</f>
        <v/>
      </c>
      <c r="T1811" s="230">
        <f>CONCATENATE(S1811,Q1811,P1811)</f>
        <v/>
      </c>
      <c r="U1811" s="206">
        <f>L1811*M1811</f>
        <v/>
      </c>
      <c r="V1811" s="4" t="n"/>
      <c r="W1811" s="4" t="n"/>
      <c r="X1811" s="4" t="n"/>
    </row>
    <row r="1812" ht="15.75" customHeight="1" thickBot="1">
      <c r="A1812" s="186" t="n">
        <v>337</v>
      </c>
      <c r="B1812" s="215" t="inlineStr">
        <is>
          <t>Potato</t>
        </is>
      </c>
      <c r="C1812" s="124" t="n"/>
      <c r="D1812" s="115" t="n"/>
      <c r="E1812" s="124" t="n"/>
      <c r="F1812" s="124" t="n"/>
      <c r="G1812" s="124" t="n"/>
      <c r="H1812" s="84" t="n"/>
      <c r="I1812" s="7" t="n"/>
      <c r="J1812" s="32" t="inlineStr">
        <is>
          <t>Fresh</t>
        </is>
      </c>
      <c r="K1812" s="24" t="n"/>
      <c r="L1812" s="36" t="n">
        <v>180</v>
      </c>
      <c r="M1812" s="204" t="n">
        <v>2</v>
      </c>
      <c r="N1812" s="177" t="n">
        <v>1</v>
      </c>
      <c r="O1812" s="13" t="n"/>
      <c r="P1812" s="139" t="inlineStr">
        <is>
          <t>kilos</t>
        </is>
      </c>
      <c r="Q1812" s="2" t="n"/>
      <c r="R1812" s="1" t="n"/>
      <c r="S1812" s="229">
        <f>M1812*N1812</f>
        <v/>
      </c>
      <c r="T1812" s="230">
        <f>CONCATENATE(S1812,Q1812,P1812)</f>
        <v/>
      </c>
      <c r="U1812" s="206">
        <f>L1812*M1812</f>
        <v/>
      </c>
      <c r="V1812" s="4" t="n"/>
      <c r="W1812" s="4" t="n"/>
      <c r="X1812" s="4" t="n"/>
    </row>
    <row r="1813" ht="15.75" customHeight="1" thickBot="1">
      <c r="A1813" s="186" t="n">
        <v>337</v>
      </c>
      <c r="B1813" s="214" t="inlineStr">
        <is>
          <t>Potato</t>
        </is>
      </c>
      <c r="C1813" s="124" t="n"/>
      <c r="D1813" s="115" t="n"/>
      <c r="E1813" s="124" t="n"/>
      <c r="F1813" s="124" t="n"/>
      <c r="G1813" s="124" t="n"/>
      <c r="H1813" s="84" t="n"/>
      <c r="I1813" s="7" t="n"/>
      <c r="J1813" s="32" t="inlineStr">
        <is>
          <t>Hernan Logmao</t>
        </is>
      </c>
      <c r="K1813" s="24" t="n"/>
      <c r="L1813" s="36" t="n">
        <v>160</v>
      </c>
      <c r="M1813" s="204" t="n">
        <v>1</v>
      </c>
      <c r="N1813" s="177" t="n">
        <v>1</v>
      </c>
      <c r="O1813" s="13" t="n"/>
      <c r="P1813" s="139" t="inlineStr">
        <is>
          <t>kilos</t>
        </is>
      </c>
      <c r="Q1813" s="2" t="n"/>
      <c r="R1813" s="1" t="n"/>
      <c r="S1813" s="229">
        <f>M1813*N1813</f>
        <v/>
      </c>
      <c r="T1813" s="230">
        <f>CONCATENATE(S1813,Q1813,P1813)</f>
        <v/>
      </c>
      <c r="U1813" s="206">
        <f>L1813*M1813</f>
        <v/>
      </c>
      <c r="V1813" s="4" t="n"/>
      <c r="W1813" s="4" t="n"/>
      <c r="X1813" s="4" t="n"/>
    </row>
    <row r="1814" ht="15.75" customHeight="1" thickBot="1">
      <c r="A1814" s="186" t="n">
        <v>782</v>
      </c>
      <c r="B1814" s="214" t="inlineStr">
        <is>
          <t>Powdered Juice</t>
        </is>
      </c>
      <c r="C1814" s="124" t="n"/>
      <c r="D1814" s="115" t="n"/>
      <c r="E1814" s="124" t="n"/>
      <c r="F1814" s="124" t="n"/>
      <c r="G1814" s="124" t="n"/>
      <c r="H1814" s="84" t="n"/>
      <c r="I1814" s="7" t="n"/>
      <c r="J1814" s="32" t="inlineStr">
        <is>
          <t>Nestle - Houseblend</t>
        </is>
      </c>
      <c r="K1814" s="24" t="n"/>
      <c r="L1814" s="36" t="n">
        <v>168.75</v>
      </c>
      <c r="M1814" s="204" t="n">
        <v>15</v>
      </c>
      <c r="N1814" s="177" t="n">
        <v>200</v>
      </c>
      <c r="O1814" s="13" t="n"/>
      <c r="P1814" s="139" t="inlineStr">
        <is>
          <t>grams</t>
        </is>
      </c>
      <c r="Q1814" s="2" t="n"/>
      <c r="R1814" s="1" t="n"/>
      <c r="S1814" s="229">
        <f>M1814*N1814</f>
        <v/>
      </c>
      <c r="T1814" s="230">
        <f>CONCATENATE(S1814,Q1814,P1814)</f>
        <v/>
      </c>
      <c r="U1814" s="206">
        <f>L1814*M1814</f>
        <v/>
      </c>
      <c r="V1814" s="4" t="n"/>
      <c r="W1814" s="4" t="n"/>
      <c r="X1814" s="4" t="n"/>
    </row>
    <row r="1815" ht="15.75" customHeight="1" thickBot="1">
      <c r="A1815" s="186" t="n">
        <v>782</v>
      </c>
      <c r="B1815" s="214" t="inlineStr">
        <is>
          <t>Powdered Juice</t>
        </is>
      </c>
      <c r="C1815" s="124" t="n"/>
      <c r="D1815" s="115" t="n"/>
      <c r="E1815" s="124" t="n"/>
      <c r="F1815" s="124" t="n"/>
      <c r="G1815" s="124" t="n"/>
      <c r="H1815" s="84" t="n"/>
      <c r="I1815" s="7" t="n"/>
      <c r="J1815" s="32" t="inlineStr">
        <is>
          <t>Nestle - Orange Juice</t>
        </is>
      </c>
      <c r="K1815" s="24" t="n"/>
      <c r="L1815" s="36" t="n">
        <v>162.32</v>
      </c>
      <c r="M1815" s="204" t="n">
        <v>8</v>
      </c>
      <c r="N1815" s="177" t="n">
        <v>200</v>
      </c>
      <c r="O1815" s="13" t="n"/>
      <c r="P1815" s="139" t="inlineStr">
        <is>
          <t>grams</t>
        </is>
      </c>
      <c r="Q1815" s="2" t="n"/>
      <c r="R1815" s="1" t="n"/>
      <c r="S1815" s="229">
        <f>M1815*N1815</f>
        <v/>
      </c>
      <c r="T1815" s="230">
        <f>CONCATENATE(S1815,Q1815,P1815)</f>
        <v/>
      </c>
      <c r="U1815" s="206">
        <f>L1815*M1815</f>
        <v/>
      </c>
      <c r="V1815" s="4" t="n"/>
      <c r="W1815" s="4" t="n"/>
      <c r="X1815" s="4" t="n"/>
    </row>
    <row r="1816" ht="15.75" customHeight="1" thickBot="1">
      <c r="A1816" s="186" t="n">
        <v>782</v>
      </c>
      <c r="B1816" s="214" t="inlineStr">
        <is>
          <t>Powdered Juice</t>
        </is>
      </c>
      <c r="C1816" s="124" t="n"/>
      <c r="D1816" s="115" t="n"/>
      <c r="E1816" s="124" t="n"/>
      <c r="F1816" s="124" t="n"/>
      <c r="G1816" s="124" t="n"/>
      <c r="H1816" s="84" t="n"/>
      <c r="I1816" s="7" t="n"/>
      <c r="J1816" s="32" t="inlineStr">
        <is>
          <t>Nestle - Pineapple Juice</t>
        </is>
      </c>
      <c r="K1816" s="24" t="n"/>
      <c r="L1816" s="36" t="n">
        <v>162.32</v>
      </c>
      <c r="M1816" s="204" t="n">
        <v>7</v>
      </c>
      <c r="N1816" s="177" t="n">
        <v>200</v>
      </c>
      <c r="O1816" s="13" t="n"/>
      <c r="P1816" s="139" t="inlineStr">
        <is>
          <t>grams</t>
        </is>
      </c>
      <c r="Q1816" s="2" t="n"/>
      <c r="R1816" s="1" t="n"/>
      <c r="S1816" s="229">
        <f>M1816*N1816</f>
        <v/>
      </c>
      <c r="T1816" s="230">
        <f>CONCATENATE(S1816,Q1816,P1816)</f>
        <v/>
      </c>
      <c r="U1816" s="206">
        <f>L1816*M1816</f>
        <v/>
      </c>
      <c r="V1816" s="4" t="n"/>
      <c r="W1816" s="4" t="n"/>
      <c r="X1816" s="4" t="n"/>
    </row>
    <row r="1817" ht="15.75" customHeight="1" thickBot="1">
      <c r="A1817" s="186" t="n">
        <v>782</v>
      </c>
      <c r="B1817" s="214" t="inlineStr">
        <is>
          <t>Powdered Juice</t>
        </is>
      </c>
      <c r="C1817" s="124" t="n"/>
      <c r="D1817" s="115" t="n"/>
      <c r="E1817" s="124" t="n"/>
      <c r="F1817" s="124" t="n"/>
      <c r="G1817" s="124" t="n"/>
      <c r="H1817" s="84" t="n"/>
      <c r="I1817" s="7" t="n"/>
      <c r="J1817" s="32" t="inlineStr">
        <is>
          <t>Nestle - Pink Lychee</t>
        </is>
      </c>
      <c r="K1817" s="24" t="n"/>
      <c r="L1817" s="36" t="n">
        <v>162.32</v>
      </c>
      <c r="M1817" s="204" t="n">
        <v>11</v>
      </c>
      <c r="N1817" s="177" t="n">
        <v>200</v>
      </c>
      <c r="O1817" s="13" t="n"/>
      <c r="P1817" s="139" t="inlineStr">
        <is>
          <t>grams</t>
        </is>
      </c>
      <c r="Q1817" s="2" t="n"/>
      <c r="R1817" s="1" t="n"/>
      <c r="S1817" s="229">
        <f>M1817*N1817</f>
        <v/>
      </c>
      <c r="T1817" s="230">
        <f>CONCATENATE(S1817,Q1817,P1817)</f>
        <v/>
      </c>
      <c r="U1817" s="206">
        <f>L1817*M1817</f>
        <v/>
      </c>
      <c r="V1817" s="4" t="n"/>
      <c r="W1817" s="4" t="n"/>
      <c r="X1817" s="4" t="n"/>
    </row>
    <row r="1818" ht="15.75" customHeight="1" thickBot="1">
      <c r="A1818" s="186" t="n">
        <v>782</v>
      </c>
      <c r="B1818" s="214" t="inlineStr">
        <is>
          <t>Powdered Juice</t>
        </is>
      </c>
      <c r="C1818" s="124" t="n"/>
      <c r="D1818" s="115" t="n"/>
      <c r="E1818" s="124" t="n"/>
      <c r="F1818" s="124" t="n"/>
      <c r="G1818" s="124" t="n"/>
      <c r="H1818" s="84" t="n"/>
      <c r="I1818" s="7" t="n"/>
      <c r="J1818" s="32" t="inlineStr">
        <is>
          <t>Nestle - Strawberry</t>
        </is>
      </c>
      <c r="K1818" s="24" t="n"/>
      <c r="L1818" s="36" t="n">
        <v>167.95</v>
      </c>
      <c r="M1818" s="204" t="n">
        <v>12</v>
      </c>
      <c r="N1818" s="177" t="n">
        <v>200</v>
      </c>
      <c r="O1818" s="13" t="n"/>
      <c r="P1818" s="139" t="inlineStr">
        <is>
          <t>grams</t>
        </is>
      </c>
      <c r="Q1818" s="2" t="n"/>
      <c r="R1818" s="1" t="n"/>
      <c r="S1818" s="229">
        <f>M1818*N1818</f>
        <v/>
      </c>
      <c r="T1818" s="230">
        <f>CONCATENATE(S1818,Q1818,P1818)</f>
        <v/>
      </c>
      <c r="U1818" s="206">
        <f>L1818*M1818</f>
        <v/>
      </c>
      <c r="V1818" s="4" t="n"/>
      <c r="W1818" s="4" t="n"/>
      <c r="X1818" s="4" t="n"/>
    </row>
    <row r="1819" ht="15.75" customHeight="1" thickBot="1">
      <c r="A1819" s="186" t="n">
        <v>783</v>
      </c>
      <c r="B1819" s="215" t="inlineStr">
        <is>
          <t>Powdered Juice - Dalandan</t>
        </is>
      </c>
      <c r="C1819" s="124" t="n"/>
      <c r="D1819" s="115" t="n"/>
      <c r="E1819" s="124" t="n"/>
      <c r="F1819" s="124" t="n"/>
      <c r="G1819" s="124" t="n"/>
      <c r="H1819" s="84" t="n"/>
      <c r="I1819" s="7" t="n"/>
      <c r="J1819" s="32" t="inlineStr">
        <is>
          <t>Mondelez - Tang</t>
        </is>
      </c>
      <c r="K1819" s="24" t="n"/>
      <c r="L1819" s="36" t="n">
        <v>20</v>
      </c>
      <c r="M1819" s="204" t="n">
        <v>2</v>
      </c>
      <c r="N1819" s="177" t="n">
        <v>19</v>
      </c>
      <c r="O1819" s="13" t="n"/>
      <c r="P1819" s="139" t="inlineStr">
        <is>
          <t>grams</t>
        </is>
      </c>
      <c r="Q1819" s="2" t="n"/>
      <c r="R1819" s="1" t="n"/>
      <c r="S1819" s="229">
        <f>M1819*N1819</f>
        <v/>
      </c>
      <c r="T1819" s="230">
        <f>CONCATENATE(S1819,Q1819,P1819)</f>
        <v/>
      </c>
      <c r="U1819" s="206">
        <f>L1819*M1819</f>
        <v/>
      </c>
      <c r="V1819" s="4" t="n"/>
      <c r="W1819" s="4" t="n"/>
      <c r="X1819" s="4" t="n"/>
    </row>
    <row r="1820" ht="15.75" customHeight="1" thickBot="1">
      <c r="A1820" s="186" t="n">
        <v>783</v>
      </c>
      <c r="B1820" s="215" t="inlineStr">
        <is>
          <t>Powdered Juice - Dalandan</t>
        </is>
      </c>
      <c r="C1820" s="124" t="n"/>
      <c r="D1820" s="115" t="n"/>
      <c r="E1820" s="124" t="n"/>
      <c r="F1820" s="124" t="n"/>
      <c r="G1820" s="124" t="n"/>
      <c r="H1820" s="84" t="n"/>
      <c r="I1820" s="7" t="n"/>
      <c r="J1820" s="32" t="inlineStr">
        <is>
          <t>Mondelez - Tang</t>
        </is>
      </c>
      <c r="K1820" s="24" t="n"/>
      <c r="L1820" s="36" t="n">
        <v>19</v>
      </c>
      <c r="M1820" s="204" t="n">
        <v>2</v>
      </c>
      <c r="N1820" s="177" t="n">
        <v>19</v>
      </c>
      <c r="O1820" s="13" t="n"/>
      <c r="P1820" s="139" t="inlineStr">
        <is>
          <t>grams</t>
        </is>
      </c>
      <c r="Q1820" s="2" t="n"/>
      <c r="R1820" s="1" t="n"/>
      <c r="S1820" s="229">
        <f>M1820*N1820</f>
        <v/>
      </c>
      <c r="T1820" s="230">
        <f>CONCATENATE(S1820,Q1820,P1820)</f>
        <v/>
      </c>
      <c r="U1820" s="206">
        <f>L1820*M1820</f>
        <v/>
      </c>
      <c r="V1820" s="4" t="n"/>
      <c r="W1820" s="4" t="n"/>
      <c r="X1820" s="4" t="n"/>
    </row>
    <row r="1821" ht="15.75" customHeight="1" thickBot="1">
      <c r="A1821" s="186" t="n">
        <v>784</v>
      </c>
      <c r="B1821" s="215" t="inlineStr">
        <is>
          <t>Powdered Juice - Four Seasons</t>
        </is>
      </c>
      <c r="C1821" s="124" t="n"/>
      <c r="D1821" s="115" t="n"/>
      <c r="E1821" s="124" t="n"/>
      <c r="F1821" s="124" t="n"/>
      <c r="G1821" s="124" t="n"/>
      <c r="H1821" s="84" t="n"/>
      <c r="I1821" s="7" t="n"/>
      <c r="J1821" s="32" t="inlineStr">
        <is>
          <t>Mondelez - Tang</t>
        </is>
      </c>
      <c r="K1821" s="24" t="n"/>
      <c r="L1821" s="36" t="n">
        <v>20.5</v>
      </c>
      <c r="M1821" s="204" t="n">
        <v>1</v>
      </c>
      <c r="N1821" s="177" t="n">
        <v>19</v>
      </c>
      <c r="O1821" s="13" t="n"/>
      <c r="P1821" s="139" t="inlineStr">
        <is>
          <t>grams</t>
        </is>
      </c>
      <c r="Q1821" s="2" t="n"/>
      <c r="R1821" s="1" t="n"/>
      <c r="S1821" s="229">
        <f>M1821*N1821</f>
        <v/>
      </c>
      <c r="T1821" s="230">
        <f>CONCATENATE(S1821,Q1821,P1821)</f>
        <v/>
      </c>
      <c r="U1821" s="206">
        <f>L1821*M1821</f>
        <v/>
      </c>
      <c r="V1821" s="4" t="n"/>
      <c r="W1821" s="4" t="n"/>
      <c r="X1821" s="4" t="n"/>
    </row>
    <row r="1822" ht="15.75" customHeight="1" thickBot="1">
      <c r="A1822" s="186" t="n">
        <v>785</v>
      </c>
      <c r="B1822" s="214" t="inlineStr">
        <is>
          <t>Powdered Juice - Honey Lemon</t>
        </is>
      </c>
      <c r="C1822" s="124" t="n"/>
      <c r="D1822" s="115" t="n"/>
      <c r="E1822" s="124" t="n"/>
      <c r="F1822" s="124" t="n"/>
      <c r="G1822" s="124" t="n"/>
      <c r="H1822" s="84" t="n"/>
      <c r="I1822" s="7" t="n"/>
      <c r="J1822" s="32" t="inlineStr">
        <is>
          <t>Mondelez - Tang</t>
        </is>
      </c>
      <c r="K1822" s="24" t="n"/>
      <c r="L1822" s="36" t="n">
        <v>20.3</v>
      </c>
      <c r="M1822" s="204" t="n">
        <v>56</v>
      </c>
      <c r="N1822" s="177" t="n">
        <v>19</v>
      </c>
      <c r="O1822" s="13" t="n"/>
      <c r="P1822" s="139" t="inlineStr">
        <is>
          <t>grams</t>
        </is>
      </c>
      <c r="Q1822" s="2" t="n"/>
      <c r="R1822" s="1" t="n"/>
      <c r="S1822" s="229">
        <f>M1822*N1822</f>
        <v/>
      </c>
      <c r="T1822" s="230">
        <f>CONCATENATE(S1822,Q1822,P1822)</f>
        <v/>
      </c>
      <c r="U1822" s="206">
        <f>L1822*M1822</f>
        <v/>
      </c>
      <c r="V1822" s="4" t="n"/>
      <c r="W1822" s="4" t="n"/>
      <c r="X1822" s="4" t="n"/>
    </row>
    <row r="1823" ht="15.75" customHeight="1" thickBot="1">
      <c r="A1823" s="186" t="n">
        <v>786</v>
      </c>
      <c r="B1823" s="214" t="inlineStr">
        <is>
          <t>Powdered Juice - Orange</t>
        </is>
      </c>
      <c r="C1823" s="124" t="n"/>
      <c r="D1823" s="115" t="n"/>
      <c r="E1823" s="124" t="n"/>
      <c r="F1823" s="124" t="n"/>
      <c r="G1823" s="124" t="n"/>
      <c r="H1823" s="84" t="n"/>
      <c r="I1823" s="7" t="n"/>
      <c r="J1823" s="32" t="inlineStr">
        <is>
          <t>Mondelez - Tang</t>
        </is>
      </c>
      <c r="K1823" s="24" t="n"/>
      <c r="L1823" s="36" t="n">
        <v>19</v>
      </c>
      <c r="M1823" s="204" t="n">
        <v>32</v>
      </c>
      <c r="N1823" s="177" t="n">
        <v>19</v>
      </c>
      <c r="O1823" s="13" t="n"/>
      <c r="P1823" s="139" t="inlineStr">
        <is>
          <t>grams</t>
        </is>
      </c>
      <c r="Q1823" s="2" t="n"/>
      <c r="R1823" s="1" t="n"/>
      <c r="S1823" s="229">
        <f>M1823*N1823</f>
        <v/>
      </c>
      <c r="T1823" s="230">
        <f>CONCATENATE(S1823,Q1823,P1823)</f>
        <v/>
      </c>
      <c r="U1823" s="206">
        <f>L1823*M1823</f>
        <v/>
      </c>
      <c r="V1823" s="4" t="n"/>
      <c r="W1823" s="4" t="n"/>
      <c r="X1823" s="4" t="n"/>
    </row>
    <row r="1824" ht="15.75" customHeight="1" thickBot="1">
      <c r="A1824" s="186" t="n">
        <v>787</v>
      </c>
      <c r="B1824" s="215" t="inlineStr">
        <is>
          <t>Powdered Juice - Pineapple</t>
        </is>
      </c>
      <c r="C1824" s="124" t="n"/>
      <c r="D1824" s="115" t="n"/>
      <c r="E1824" s="124" t="n"/>
      <c r="F1824" s="124" t="n"/>
      <c r="G1824" s="124" t="n"/>
      <c r="H1824" s="84" t="n"/>
      <c r="I1824" s="7" t="n"/>
      <c r="J1824" s="32" t="inlineStr">
        <is>
          <t>Mondelez - Tang</t>
        </is>
      </c>
      <c r="K1824" s="24" t="n"/>
      <c r="L1824" s="36" t="n">
        <v>20.5</v>
      </c>
      <c r="M1824" s="204" t="n">
        <v>4</v>
      </c>
      <c r="N1824" s="177" t="n">
        <v>19</v>
      </c>
      <c r="O1824" s="13" t="n"/>
      <c r="P1824" s="139" t="inlineStr">
        <is>
          <t>grams</t>
        </is>
      </c>
      <c r="Q1824" s="2" t="n"/>
      <c r="R1824" s="1" t="n"/>
      <c r="S1824" s="229">
        <f>M1824*N1824</f>
        <v/>
      </c>
      <c r="T1824" s="230">
        <f>CONCATENATE(S1824,Q1824,P1824)</f>
        <v/>
      </c>
      <c r="U1824" s="206">
        <f>L1824*M1824</f>
        <v/>
      </c>
      <c r="V1824" s="4" t="n"/>
      <c r="W1824" s="4" t="n"/>
      <c r="X1824" s="4" t="n"/>
    </row>
    <row r="1825" ht="15.75" customHeight="1" thickBot="1">
      <c r="A1825" s="186" t="n">
        <v>344</v>
      </c>
      <c r="B1825" s="214" t="inlineStr">
        <is>
          <t>Pusit Kalawang</t>
        </is>
      </c>
      <c r="C1825" s="124" t="n"/>
      <c r="D1825" s="115" t="n"/>
      <c r="E1825" s="124" t="n"/>
      <c r="F1825" s="124" t="n"/>
      <c r="G1825" s="124" t="n"/>
      <c r="H1825" s="84" t="n"/>
      <c r="I1825" s="7" t="n"/>
      <c r="J1825" s="32" t="n"/>
      <c r="K1825" s="24" t="n"/>
      <c r="L1825" s="36" t="n">
        <v>280</v>
      </c>
      <c r="M1825" s="204" t="n">
        <v>3</v>
      </c>
      <c r="N1825" s="177" t="n">
        <v>1</v>
      </c>
      <c r="O1825" s="13" t="n"/>
      <c r="P1825" s="139" t="inlineStr">
        <is>
          <t>kilos</t>
        </is>
      </c>
      <c r="Q1825" s="2" t="n"/>
      <c r="R1825" s="1" t="n"/>
      <c r="S1825" s="229">
        <f>M1825*N1825</f>
        <v/>
      </c>
      <c r="T1825" s="230">
        <f>CONCATENATE(S1825,Q1825,P1825)</f>
        <v/>
      </c>
      <c r="U1825" s="206">
        <f>L1825*M1825</f>
        <v/>
      </c>
      <c r="V1825" s="4" t="n"/>
      <c r="W1825" s="4" t="n"/>
      <c r="X1825" s="4" t="n"/>
    </row>
    <row r="1826" ht="15.75" customHeight="1" thickBot="1">
      <c r="A1826" s="186" t="n">
        <v>349</v>
      </c>
      <c r="B1826" s="214" t="inlineStr">
        <is>
          <t>Raisins</t>
        </is>
      </c>
      <c r="C1826" s="124" t="n"/>
      <c r="D1826" s="115" t="n"/>
      <c r="E1826" s="124" t="n"/>
      <c r="F1826" s="124" t="n"/>
      <c r="G1826" s="124" t="n"/>
      <c r="H1826" s="84" t="n"/>
      <c r="I1826" s="7" t="n"/>
      <c r="J1826" s="32" t="inlineStr">
        <is>
          <t>Sun Maid</t>
        </is>
      </c>
      <c r="K1826" s="24" t="n"/>
      <c r="L1826" s="36" t="n">
        <v>51.1</v>
      </c>
      <c r="M1826" s="204" t="n">
        <v>1</v>
      </c>
      <c r="N1826" s="177" t="n">
        <v>100</v>
      </c>
      <c r="O1826" s="13" t="n"/>
      <c r="P1826" s="139" t="inlineStr">
        <is>
          <t>grams</t>
        </is>
      </c>
      <c r="Q1826" s="2" t="n"/>
      <c r="R1826" s="1" t="n"/>
      <c r="S1826" s="229">
        <f>M1826*N1826</f>
        <v/>
      </c>
      <c r="T1826" s="230">
        <f>CONCATENATE(S1826,Q1826,P1826)</f>
        <v/>
      </c>
      <c r="U1826" s="206">
        <f>L1826*M1826</f>
        <v/>
      </c>
      <c r="V1826" s="4" t="n"/>
      <c r="W1826" s="4" t="n"/>
      <c r="X1826" s="4" t="n"/>
    </row>
    <row r="1827" ht="15.75" customHeight="1" thickBot="1">
      <c r="A1827" s="186" t="n">
        <v>349</v>
      </c>
      <c r="B1827" s="214" t="inlineStr">
        <is>
          <t>Raisins</t>
        </is>
      </c>
      <c r="C1827" s="124" t="n"/>
      <c r="D1827" s="115" t="n"/>
      <c r="E1827" s="124" t="n"/>
      <c r="F1827" s="124" t="n"/>
      <c r="G1827" s="124" t="n"/>
      <c r="H1827" s="84" t="n"/>
      <c r="I1827" s="7" t="n"/>
      <c r="J1827" s="32" t="inlineStr">
        <is>
          <t>Sun Maid</t>
        </is>
      </c>
      <c r="K1827" s="24" t="n"/>
      <c r="L1827" s="36" t="n">
        <v>51.1</v>
      </c>
      <c r="M1827" s="204" t="n">
        <v>2</v>
      </c>
      <c r="N1827" s="177" t="n">
        <v>100</v>
      </c>
      <c r="O1827" s="13" t="n"/>
      <c r="P1827" s="139" t="inlineStr">
        <is>
          <t>grams</t>
        </is>
      </c>
      <c r="Q1827" s="2" t="n"/>
      <c r="R1827" s="1" t="n"/>
      <c r="S1827" s="229">
        <f>M1827*N1827</f>
        <v/>
      </c>
      <c r="T1827" s="230">
        <f>CONCATENATE(S1827,Q1827,P1827)</f>
        <v/>
      </c>
      <c r="U1827" s="206">
        <f>L1827*M1827</f>
        <v/>
      </c>
      <c r="V1827" s="4" t="n"/>
      <c r="W1827" s="4" t="n"/>
      <c r="X1827" s="4" t="n"/>
    </row>
    <row r="1828" ht="15.75" customHeight="1" thickBot="1">
      <c r="A1828" s="186" t="n">
        <v>349</v>
      </c>
      <c r="B1828" s="214" t="inlineStr">
        <is>
          <t>Raisins</t>
        </is>
      </c>
      <c r="C1828" s="124" t="n"/>
      <c r="D1828" s="115" t="n"/>
      <c r="E1828" s="124" t="n"/>
      <c r="F1828" s="124" t="n"/>
      <c r="G1828" s="124" t="n"/>
      <c r="H1828" s="84" t="n"/>
      <c r="I1828" s="7" t="n"/>
      <c r="J1828" s="32" t="inlineStr">
        <is>
          <t>Ram</t>
        </is>
      </c>
      <c r="K1828" s="24" t="n"/>
      <c r="L1828" s="36" t="n">
        <v>49</v>
      </c>
      <c r="M1828" s="204" t="n">
        <v>2</v>
      </c>
      <c r="N1828" s="177" t="n">
        <v>100</v>
      </c>
      <c r="O1828" s="13" t="n"/>
      <c r="P1828" s="139" t="inlineStr">
        <is>
          <t>grams</t>
        </is>
      </c>
      <c r="Q1828" s="2" t="n"/>
      <c r="R1828" s="1" t="n"/>
      <c r="S1828" s="229">
        <f>M1828*N1828</f>
        <v/>
      </c>
      <c r="T1828" s="230">
        <f>CONCATENATE(S1828,Q1828,P1828)</f>
        <v/>
      </c>
      <c r="U1828" s="206">
        <f>L1828*M1828</f>
        <v/>
      </c>
      <c r="V1828" s="4" t="n"/>
      <c r="W1828" s="4" t="n"/>
      <c r="X1828" s="4" t="n"/>
    </row>
    <row r="1829" ht="15.75" customHeight="1" thickBot="1">
      <c r="A1829" s="186" t="n">
        <v>349</v>
      </c>
      <c r="B1829" s="214" t="inlineStr">
        <is>
          <t>Raisins</t>
        </is>
      </c>
      <c r="C1829" s="124" t="n"/>
      <c r="D1829" s="115" t="n"/>
      <c r="E1829" s="124" t="n"/>
      <c r="F1829" s="124" t="n"/>
      <c r="G1829" s="124" t="n"/>
      <c r="H1829" s="84" t="n"/>
      <c r="I1829" s="7" t="n"/>
      <c r="J1829" s="32" t="inlineStr">
        <is>
          <t>Mother's Best</t>
        </is>
      </c>
      <c r="K1829" s="24" t="n"/>
      <c r="L1829" s="36" t="n">
        <v>48</v>
      </c>
      <c r="M1829" s="204" t="n">
        <v>7</v>
      </c>
      <c r="N1829" s="177" t="n">
        <v>100</v>
      </c>
      <c r="O1829" s="13" t="n"/>
      <c r="P1829" s="139" t="inlineStr">
        <is>
          <t>grams</t>
        </is>
      </c>
      <c r="Q1829" s="2" t="n"/>
      <c r="R1829" s="1" t="n"/>
      <c r="S1829" s="229">
        <f>M1829*N1829</f>
        <v/>
      </c>
      <c r="T1829" s="230">
        <f>CONCATENATE(S1829,Q1829,P1829)</f>
        <v/>
      </c>
      <c r="U1829" s="206">
        <f>L1829*M1829</f>
        <v/>
      </c>
      <c r="V1829" s="4" t="n"/>
      <c r="W1829" s="4" t="n"/>
      <c r="X1829" s="4" t="n"/>
    </row>
    <row r="1830" ht="15.75" customHeight="1" thickBot="1">
      <c r="A1830" s="186" t="n">
        <v>349</v>
      </c>
      <c r="B1830" s="215" t="inlineStr">
        <is>
          <t>Raisins</t>
        </is>
      </c>
      <c r="C1830" s="124" t="n"/>
      <c r="D1830" s="115" t="n"/>
      <c r="E1830" s="124" t="n"/>
      <c r="F1830" s="124" t="n"/>
      <c r="G1830" s="124" t="n"/>
      <c r="H1830" s="84" t="n"/>
      <c r="I1830" s="7" t="n"/>
      <c r="J1830" s="32" t="inlineStr">
        <is>
          <t>Ram</t>
        </is>
      </c>
      <c r="K1830" s="24" t="n"/>
      <c r="L1830" s="36" t="n">
        <v>48.8</v>
      </c>
      <c r="M1830" s="204" t="n">
        <v>9</v>
      </c>
      <c r="N1830" s="177" t="n">
        <v>100</v>
      </c>
      <c r="O1830" s="13" t="n"/>
      <c r="P1830" s="139" t="inlineStr">
        <is>
          <t>grams</t>
        </is>
      </c>
      <c r="Q1830" s="2" t="n"/>
      <c r="R1830" s="1" t="n"/>
      <c r="S1830" s="229">
        <f>M1830*N1830</f>
        <v/>
      </c>
      <c r="T1830" s="230">
        <f>CONCATENATE(S1830,Q1830,P1830)</f>
        <v/>
      </c>
      <c r="U1830" s="206">
        <f>L1830*M1830</f>
        <v/>
      </c>
      <c r="V1830" s="4" t="n"/>
      <c r="W1830" s="4" t="n"/>
      <c r="X1830" s="4" t="n"/>
    </row>
    <row r="1831" ht="15.75" customHeight="1" thickBot="1">
      <c r="A1831" s="186" t="n">
        <v>350</v>
      </c>
      <c r="B1831" s="214" t="inlineStr">
        <is>
          <t>Raw Sago</t>
        </is>
      </c>
      <c r="C1831" s="124" t="n"/>
      <c r="D1831" s="115" t="n"/>
      <c r="E1831" s="124" t="n"/>
      <c r="F1831" s="124" t="n"/>
      <c r="G1831" s="124" t="n"/>
      <c r="H1831" s="84" t="n"/>
      <c r="I1831" s="7" t="n"/>
      <c r="J1831" s="32" t="n"/>
      <c r="K1831" s="24" t="n"/>
      <c r="L1831" s="36" t="n">
        <v>125</v>
      </c>
      <c r="M1831" s="204" t="n">
        <v>1</v>
      </c>
      <c r="N1831" s="177" t="n">
        <v>1</v>
      </c>
      <c r="O1831" s="13" t="n"/>
      <c r="P1831" s="139" t="inlineStr">
        <is>
          <t>kilos</t>
        </is>
      </c>
      <c r="Q1831" s="2" t="n"/>
      <c r="R1831" s="1" t="n"/>
      <c r="S1831" s="229">
        <f>M1831*N1831</f>
        <v/>
      </c>
      <c r="T1831" s="230">
        <f>CONCATENATE(S1831,Q1831,P1831)</f>
        <v/>
      </c>
      <c r="U1831" s="206">
        <f>L1831*M1831</f>
        <v/>
      </c>
      <c r="V1831" s="4" t="n"/>
      <c r="W1831" s="4" t="n"/>
      <c r="X1831" s="4" t="n"/>
    </row>
    <row r="1832" ht="15.75" customHeight="1" thickBot="1">
      <c r="A1832" s="186" t="n">
        <v>788</v>
      </c>
      <c r="B1832" s="214" t="inlineStr">
        <is>
          <t>Razor blade</t>
        </is>
      </c>
      <c r="C1832" s="124" t="n"/>
      <c r="D1832" s="115" t="n"/>
      <c r="E1832" s="124" t="n"/>
      <c r="F1832" s="124" t="n"/>
      <c r="G1832" s="124" t="n"/>
      <c r="H1832" s="84" t="n"/>
      <c r="I1832" s="7" t="n"/>
      <c r="J1832" s="32" t="inlineStr">
        <is>
          <t>Gillette</t>
        </is>
      </c>
      <c r="K1832" s="24" t="n"/>
      <c r="L1832" s="36" t="n">
        <v>25.8</v>
      </c>
      <c r="M1832" s="204" t="n">
        <v>8</v>
      </c>
      <c r="N1832" s="177" t="n">
        <v>1</v>
      </c>
      <c r="O1832" s="13" t="n"/>
      <c r="P1832" s="139" t="inlineStr">
        <is>
          <t>pieces</t>
        </is>
      </c>
      <c r="Q1832" s="2" t="n"/>
      <c r="R1832" s="1" t="n"/>
      <c r="S1832" s="229">
        <f>M1832*N1832</f>
        <v/>
      </c>
      <c r="T1832" s="230">
        <f>CONCATENATE(S1832,Q1832,P1832)</f>
        <v/>
      </c>
      <c r="U1832" s="206">
        <f>L1832*M1832</f>
        <v/>
      </c>
      <c r="V1832" s="4" t="n"/>
      <c r="W1832" s="4" t="n"/>
      <c r="X1832" s="4" t="n"/>
    </row>
    <row r="1833" ht="15.75" customHeight="1" thickBot="1">
      <c r="A1833" s="186" t="n">
        <v>354</v>
      </c>
      <c r="B1833" s="214" t="inlineStr">
        <is>
          <t>Red Cane Vinegar</t>
        </is>
      </c>
      <c r="C1833" s="124" t="n"/>
      <c r="D1833" s="115" t="n"/>
      <c r="E1833" s="124" t="n"/>
      <c r="F1833" s="124" t="n"/>
      <c r="G1833" s="124" t="n"/>
      <c r="H1833" s="84" t="n"/>
      <c r="I1833" s="7" t="n"/>
      <c r="J1833" s="32" t="n"/>
      <c r="K1833" s="24" t="n"/>
      <c r="L1833" s="36" t="n">
        <v>56.4</v>
      </c>
      <c r="M1833" s="204" t="n">
        <v>1</v>
      </c>
      <c r="N1833" s="177" t="n">
        <v>430</v>
      </c>
      <c r="O1833" s="13" t="n"/>
      <c r="P1833" s="139" t="inlineStr">
        <is>
          <t>ml</t>
        </is>
      </c>
      <c r="Q1833" s="2" t="n"/>
      <c r="R1833" s="1" t="n"/>
      <c r="S1833" s="229">
        <f>M1833*N1833</f>
        <v/>
      </c>
      <c r="T1833" s="230">
        <f>CONCATENATE(S1833,Q1833,P1833)</f>
        <v/>
      </c>
      <c r="U1833" s="206">
        <f>L1833*M1833</f>
        <v/>
      </c>
      <c r="V1833" s="4" t="n"/>
      <c r="W1833" s="4" t="n"/>
      <c r="X1833" s="4" t="n"/>
    </row>
    <row r="1834" ht="15.75" customHeight="1" thickBot="1">
      <c r="A1834" s="186" t="n">
        <v>354</v>
      </c>
      <c r="B1834" s="215" t="inlineStr">
        <is>
          <t>Red Cane Vinegar</t>
        </is>
      </c>
      <c r="C1834" s="124" t="n"/>
      <c r="D1834" s="115" t="n"/>
      <c r="E1834" s="124" t="n"/>
      <c r="F1834" s="124" t="n"/>
      <c r="G1834" s="124" t="n"/>
      <c r="H1834" s="84" t="n"/>
      <c r="I1834" s="7" t="n"/>
      <c r="J1834" s="32" t="n"/>
      <c r="K1834" s="24" t="n"/>
      <c r="L1834" s="36" t="n">
        <v>55.55</v>
      </c>
      <c r="M1834" s="204" t="n">
        <v>2</v>
      </c>
      <c r="N1834" s="177" t="n">
        <v>490</v>
      </c>
      <c r="O1834" s="13" t="n"/>
      <c r="P1834" s="139" t="inlineStr">
        <is>
          <t>ml</t>
        </is>
      </c>
      <c r="Q1834" s="2" t="n"/>
      <c r="R1834" s="1" t="n"/>
      <c r="S1834" s="229">
        <f>M1834*N1834</f>
        <v/>
      </c>
      <c r="T1834" s="230">
        <f>CONCATENATE(S1834,Q1834,P1834)</f>
        <v/>
      </c>
      <c r="U1834" s="206">
        <f>L1834*M1834</f>
        <v/>
      </c>
      <c r="V1834" s="4" t="n"/>
      <c r="W1834" s="4" t="n"/>
      <c r="X1834" s="4" t="n"/>
    </row>
    <row r="1835" ht="15.75" customHeight="1" thickBot="1">
      <c r="A1835" s="186" t="n">
        <v>355</v>
      </c>
      <c r="B1835" s="215" t="inlineStr">
        <is>
          <t>Red Pimiento</t>
        </is>
      </c>
      <c r="C1835" s="124" t="n"/>
      <c r="D1835" s="115" t="n"/>
      <c r="E1835" s="124" t="n"/>
      <c r="F1835" s="124" t="n"/>
      <c r="G1835" s="124" t="n"/>
      <c r="H1835" s="84" t="n"/>
      <c r="I1835" s="7" t="n"/>
      <c r="J1835" s="32" t="inlineStr">
        <is>
          <t>Capri</t>
        </is>
      </c>
      <c r="K1835" s="24" t="n"/>
      <c r="L1835" s="36" t="n">
        <v>139</v>
      </c>
      <c r="M1835" s="204" t="n">
        <v>1</v>
      </c>
      <c r="N1835" s="177" t="n">
        <v>185</v>
      </c>
      <c r="O1835" s="13" t="n"/>
      <c r="P1835" s="139" t="inlineStr">
        <is>
          <t>grams</t>
        </is>
      </c>
      <c r="Q1835" s="2" t="n"/>
      <c r="R1835" s="1" t="n"/>
      <c r="S1835" s="229">
        <f>M1835*N1835</f>
        <v/>
      </c>
      <c r="T1835" s="230">
        <f>CONCATENATE(S1835,Q1835,P1835)</f>
        <v/>
      </c>
      <c r="U1835" s="206">
        <f>L1835*M1835</f>
        <v/>
      </c>
      <c r="V1835" s="4" t="n"/>
      <c r="W1835" s="4" t="n"/>
      <c r="X1835" s="4" t="n"/>
    </row>
    <row r="1836" ht="15.75" customHeight="1" thickBot="1">
      <c r="A1836" s="186" t="n">
        <v>789</v>
      </c>
      <c r="B1836" s="215" t="inlineStr">
        <is>
          <t>Red Rice</t>
        </is>
      </c>
      <c r="C1836" s="124" t="n"/>
      <c r="D1836" s="115" t="n"/>
      <c r="E1836" s="124" t="n"/>
      <c r="F1836" s="124" t="n"/>
      <c r="G1836" s="124" t="n"/>
      <c r="H1836" s="84" t="n"/>
      <c r="I1836" s="7" t="n"/>
      <c r="J1836" s="32" t="inlineStr">
        <is>
          <t>MBN</t>
        </is>
      </c>
      <c r="K1836" s="24" t="n"/>
      <c r="L1836" s="36" t="n">
        <v>1700</v>
      </c>
      <c r="M1836" s="204" t="n">
        <v>1</v>
      </c>
      <c r="N1836" s="177" t="n">
        <v>5</v>
      </c>
      <c r="O1836" s="13" t="n"/>
      <c r="P1836" s="139" t="inlineStr">
        <is>
          <t>kilos</t>
        </is>
      </c>
      <c r="Q1836" s="2" t="n"/>
      <c r="R1836" s="1" t="n"/>
      <c r="S1836" s="229">
        <f>M1836*N1836</f>
        <v/>
      </c>
      <c r="T1836" s="230">
        <f>CONCATENATE(S1836,Q1836,P1836)</f>
        <v/>
      </c>
      <c r="U1836" s="206">
        <f>L1836*M1836</f>
        <v/>
      </c>
      <c r="V1836" s="4" t="n"/>
      <c r="W1836" s="4" t="n"/>
      <c r="X1836" s="4" t="n"/>
    </row>
    <row r="1837" ht="15.75" customHeight="1" thickBot="1">
      <c r="A1837" s="186" t="n">
        <v>790</v>
      </c>
      <c r="B1837" s="214" t="inlineStr">
        <is>
          <t>Red Wine</t>
        </is>
      </c>
      <c r="C1837" s="124" t="n"/>
      <c r="D1837" s="115" t="n"/>
      <c r="E1837" s="124" t="n"/>
      <c r="F1837" s="124" t="n"/>
      <c r="G1837" s="124" t="n"/>
      <c r="H1837" s="84" t="n"/>
      <c r="I1837" s="7" t="n"/>
      <c r="J1837" s="32" t="inlineStr">
        <is>
          <t>Carlo Rossi</t>
        </is>
      </c>
      <c r="K1837" s="24" t="n"/>
      <c r="L1837" s="36" t="n">
        <v>343</v>
      </c>
      <c r="M1837" s="204" t="n">
        <v>1</v>
      </c>
      <c r="N1837" s="177" t="n">
        <v>750</v>
      </c>
      <c r="O1837" s="13" t="n"/>
      <c r="P1837" s="139" t="inlineStr">
        <is>
          <t>ml</t>
        </is>
      </c>
      <c r="Q1837" s="2" t="n"/>
      <c r="R1837" s="1" t="n"/>
      <c r="S1837" s="229">
        <f>M1837*N1837</f>
        <v/>
      </c>
      <c r="T1837" s="230">
        <f>CONCATENATE(S1837,Q1837,P1837)</f>
        <v/>
      </c>
      <c r="U1837" s="206">
        <f>L1837*M1837</f>
        <v/>
      </c>
      <c r="V1837" s="4" t="n"/>
      <c r="W1837" s="4" t="n"/>
      <c r="X1837" s="4" t="n"/>
    </row>
    <row r="1838" ht="15.75" customHeight="1" thickBot="1">
      <c r="A1838" s="186" t="n">
        <v>790</v>
      </c>
      <c r="B1838" s="215" t="inlineStr">
        <is>
          <t>Red Wine</t>
        </is>
      </c>
      <c r="C1838" s="124" t="n"/>
      <c r="D1838" s="115" t="n"/>
      <c r="E1838" s="124" t="n"/>
      <c r="F1838" s="124" t="n"/>
      <c r="G1838" s="124" t="n"/>
      <c r="H1838" s="84" t="n"/>
      <c r="I1838" s="7" t="n"/>
      <c r="J1838" s="32" t="inlineStr">
        <is>
          <t>Carlo Rossi</t>
        </is>
      </c>
      <c r="K1838" s="24" t="n"/>
      <c r="L1838" s="36" t="n">
        <v>301.5</v>
      </c>
      <c r="M1838" s="204" t="n">
        <v>1</v>
      </c>
      <c r="N1838" s="177" t="n">
        <v>1</v>
      </c>
      <c r="O1838" s="13" t="n"/>
      <c r="P1838" s="139" t="inlineStr">
        <is>
          <t>liters</t>
        </is>
      </c>
      <c r="Q1838" s="2" t="n"/>
      <c r="R1838" s="1" t="n"/>
      <c r="S1838" s="229">
        <f>M1838*N1838</f>
        <v/>
      </c>
      <c r="T1838" s="230">
        <f>CONCATENATE(S1838,Q1838,P1838)</f>
        <v/>
      </c>
      <c r="U1838" s="206">
        <f>L1838*M1838</f>
        <v/>
      </c>
      <c r="V1838" s="4" t="n"/>
      <c r="W1838" s="4" t="n"/>
      <c r="X1838" s="4" t="n"/>
    </row>
    <row r="1839" ht="15.75" customHeight="1" thickBot="1">
      <c r="A1839" s="186" t="n">
        <v>357</v>
      </c>
      <c r="B1839" s="214" t="inlineStr">
        <is>
          <t>Rice</t>
        </is>
      </c>
      <c r="C1839" s="124" t="n"/>
      <c r="D1839" s="115" t="n"/>
      <c r="E1839" s="124" t="n"/>
      <c r="F1839" s="124" t="n"/>
      <c r="G1839" s="124" t="n"/>
      <c r="H1839" s="84" t="n"/>
      <c r="I1839" s="7" t="n"/>
      <c r="J1839" s="32" t="inlineStr">
        <is>
          <t>Premium</t>
        </is>
      </c>
      <c r="K1839" s="24" t="n"/>
      <c r="L1839" s="36" t="n">
        <v>48</v>
      </c>
      <c r="M1839" s="204" t="n">
        <v>150</v>
      </c>
      <c r="N1839" s="177" t="n">
        <v>1</v>
      </c>
      <c r="O1839" s="13" t="n"/>
      <c r="P1839" s="139" t="inlineStr">
        <is>
          <t>kilos</t>
        </is>
      </c>
      <c r="Q1839" s="2" t="n"/>
      <c r="R1839" s="1" t="n"/>
      <c r="S1839" s="229">
        <f>M1839*N1839</f>
        <v/>
      </c>
      <c r="T1839" s="230">
        <f>CONCATENATE(S1839,Q1839,P1839)</f>
        <v/>
      </c>
      <c r="U1839" s="206">
        <f>L1839*M1839</f>
        <v/>
      </c>
      <c r="V1839" s="4" t="n"/>
      <c r="W1839" s="4" t="n"/>
      <c r="X1839" s="4" t="n"/>
    </row>
    <row r="1840" ht="15.75" customHeight="1" thickBot="1">
      <c r="A1840" s="186" t="n">
        <v>357</v>
      </c>
      <c r="B1840" s="214" t="inlineStr">
        <is>
          <t>Rice</t>
        </is>
      </c>
      <c r="C1840" s="124" t="n"/>
      <c r="D1840" s="115" t="n"/>
      <c r="E1840" s="124" t="n"/>
      <c r="F1840" s="124" t="n"/>
      <c r="G1840" s="124" t="n"/>
      <c r="H1840" s="84" t="n"/>
      <c r="I1840" s="7" t="n"/>
      <c r="J1840" s="32" t="inlineStr">
        <is>
          <t>Sinandomeng</t>
        </is>
      </c>
      <c r="K1840" s="24" t="n"/>
      <c r="L1840" s="36" t="n">
        <v>1050</v>
      </c>
      <c r="M1840" s="204" t="n">
        <v>16</v>
      </c>
      <c r="N1840" s="177" t="n">
        <v>1</v>
      </c>
      <c r="O1840" s="13" t="n"/>
      <c r="P1840" s="139" t="inlineStr">
        <is>
          <t>sacks</t>
        </is>
      </c>
      <c r="Q1840" s="2" t="n"/>
      <c r="R1840" s="1" t="n"/>
      <c r="S1840" s="229">
        <f>M1840*N1840</f>
        <v/>
      </c>
      <c r="T1840" s="230">
        <f>CONCATENATE(S1840,Q1840,P1840)</f>
        <v/>
      </c>
      <c r="U1840" s="206">
        <f>L1840*M1840</f>
        <v/>
      </c>
      <c r="V1840" s="4" t="n"/>
      <c r="W1840" s="4" t="n"/>
      <c r="X1840" s="4" t="n"/>
    </row>
    <row r="1841" ht="15.75" customHeight="1" thickBot="1">
      <c r="A1841" s="186" t="n">
        <v>357</v>
      </c>
      <c r="B1841" s="214" t="inlineStr">
        <is>
          <t>Rice</t>
        </is>
      </c>
      <c r="C1841" s="124" t="n"/>
      <c r="D1841" s="115" t="n"/>
      <c r="E1841" s="124" t="n"/>
      <c r="F1841" s="124" t="n"/>
      <c r="G1841" s="124" t="n"/>
      <c r="H1841" s="84" t="n"/>
      <c r="I1841" s="7" t="n"/>
      <c r="J1841" s="32" t="inlineStr">
        <is>
          <t>MBN Rice</t>
        </is>
      </c>
      <c r="K1841" s="24" t="n"/>
      <c r="L1841" s="36" t="n">
        <v>1200</v>
      </c>
      <c r="M1841" s="204" t="n">
        <v>6</v>
      </c>
      <c r="N1841" s="177" t="n">
        <v>25</v>
      </c>
      <c r="O1841" s="13" t="n"/>
      <c r="P1841" s="139" t="inlineStr">
        <is>
          <t>kilos</t>
        </is>
      </c>
      <c r="Q1841" s="2" t="n"/>
      <c r="R1841" s="1" t="n"/>
      <c r="S1841" s="229">
        <f>M1841*N1841</f>
        <v/>
      </c>
      <c r="T1841" s="230">
        <f>CONCATENATE(S1841,Q1841,P1841)</f>
        <v/>
      </c>
      <c r="U1841" s="206">
        <f>L1841*M1841</f>
        <v/>
      </c>
      <c r="V1841" s="4" t="n"/>
      <c r="W1841" s="4" t="n"/>
      <c r="X1841" s="4" t="n"/>
    </row>
    <row r="1842" ht="15.75" customHeight="1" thickBot="1">
      <c r="A1842" s="186" t="n">
        <v>357</v>
      </c>
      <c r="B1842" s="214" t="inlineStr">
        <is>
          <t>Rice</t>
        </is>
      </c>
      <c r="C1842" s="124" t="n"/>
      <c r="D1842" s="115" t="n"/>
      <c r="E1842" s="124" t="n"/>
      <c r="F1842" s="124" t="n"/>
      <c r="G1842" s="124" t="n"/>
      <c r="H1842" s="84" t="n"/>
      <c r="I1842" s="7" t="n"/>
      <c r="J1842" s="32" t="inlineStr">
        <is>
          <t>Super Alsa</t>
        </is>
      </c>
      <c r="K1842" s="24" t="n"/>
      <c r="L1842" s="36" t="n">
        <v>43.6</v>
      </c>
      <c r="M1842" s="204" t="n">
        <v>88</v>
      </c>
      <c r="N1842" s="177" t="n">
        <v>25</v>
      </c>
      <c r="O1842" s="13" t="n"/>
      <c r="P1842" s="139" t="inlineStr">
        <is>
          <t>kilos</t>
        </is>
      </c>
      <c r="Q1842" s="2" t="n"/>
      <c r="R1842" s="1" t="n"/>
      <c r="S1842" s="229">
        <f>M1842*N1842</f>
        <v/>
      </c>
      <c r="T1842" s="230">
        <f>CONCATENATE(S1842,Q1842,P1842)</f>
        <v/>
      </c>
      <c r="U1842" s="206">
        <f>L1842*M1842</f>
        <v/>
      </c>
      <c r="V1842" s="4" t="n"/>
      <c r="W1842" s="4" t="n"/>
      <c r="X1842" s="4" t="n"/>
    </row>
    <row r="1843" ht="15.75" customHeight="1" thickBot="1">
      <c r="A1843" s="186" t="n">
        <v>357</v>
      </c>
      <c r="B1843" s="214" t="inlineStr">
        <is>
          <t>Rice</t>
        </is>
      </c>
      <c r="C1843" s="124" t="n"/>
      <c r="D1843" s="115" t="n"/>
      <c r="E1843" s="124" t="n"/>
      <c r="F1843" s="124" t="n"/>
      <c r="G1843" s="124" t="n"/>
      <c r="H1843" s="84" t="n"/>
      <c r="I1843" s="7" t="n"/>
      <c r="J1843" s="32" t="inlineStr">
        <is>
          <t>Edward Edit</t>
        </is>
      </c>
      <c r="K1843" s="24" t="n"/>
      <c r="L1843" s="36" t="n">
        <v>48</v>
      </c>
      <c r="M1843" s="204" t="n">
        <v>150</v>
      </c>
      <c r="N1843" s="177" t="n">
        <v>1</v>
      </c>
      <c r="O1843" s="13" t="n"/>
      <c r="P1843" s="139" t="inlineStr">
        <is>
          <t>kilos</t>
        </is>
      </c>
      <c r="Q1843" s="2" t="n"/>
      <c r="R1843" s="1" t="n"/>
      <c r="S1843" s="229">
        <f>M1843*N1843</f>
        <v/>
      </c>
      <c r="T1843" s="230">
        <f>CONCATENATE(S1843,Q1843,P1843)</f>
        <v/>
      </c>
      <c r="U1843" s="206">
        <f>L1843*M1843</f>
        <v/>
      </c>
      <c r="V1843" s="4" t="n"/>
      <c r="W1843" s="4" t="n"/>
      <c r="X1843" s="4" t="n"/>
    </row>
    <row r="1844" ht="15.75" customHeight="1" thickBot="1">
      <c r="A1844" s="186" t="n">
        <v>357</v>
      </c>
      <c r="B1844" s="215" t="inlineStr">
        <is>
          <t>Rice</t>
        </is>
      </c>
      <c r="C1844" s="124" t="n"/>
      <c r="D1844" s="115" t="n"/>
      <c r="E1844" s="124" t="n"/>
      <c r="F1844" s="124" t="n"/>
      <c r="G1844" s="124" t="n"/>
      <c r="H1844" s="84" t="n"/>
      <c r="I1844" s="7" t="n"/>
      <c r="J1844" s="32" t="inlineStr">
        <is>
          <t>Golden Cup</t>
        </is>
      </c>
      <c r="K1844" s="24" t="n"/>
      <c r="L1844" s="36" t="n">
        <v>2600</v>
      </c>
      <c r="M1844" s="204" t="n">
        <v>10</v>
      </c>
      <c r="N1844" s="177" t="n">
        <v>50</v>
      </c>
      <c r="O1844" s="13" t="n"/>
      <c r="P1844" s="139" t="inlineStr">
        <is>
          <t>kilos</t>
        </is>
      </c>
      <c r="Q1844" s="2" t="n"/>
      <c r="R1844" s="1" t="n"/>
      <c r="S1844" s="229">
        <f>M1844*N1844</f>
        <v/>
      </c>
      <c r="T1844" s="230">
        <f>CONCATENATE(S1844,Q1844,P1844)</f>
        <v/>
      </c>
      <c r="U1844" s="206">
        <f>L1844*M1844</f>
        <v/>
      </c>
      <c r="V1844" s="4" t="n"/>
      <c r="W1844" s="4" t="n"/>
      <c r="X1844" s="4" t="n"/>
    </row>
    <row r="1845" ht="15.75" customHeight="1" thickBot="1">
      <c r="A1845" s="186" t="n">
        <v>357</v>
      </c>
      <c r="B1845" s="215" t="inlineStr">
        <is>
          <t>Rice</t>
        </is>
      </c>
      <c r="C1845" s="124" t="n"/>
      <c r="D1845" s="115" t="n"/>
      <c r="E1845" s="124" t="n"/>
      <c r="F1845" s="124" t="n"/>
      <c r="G1845" s="124" t="n"/>
      <c r="H1845" s="84" t="n"/>
      <c r="I1845" s="7" t="n"/>
      <c r="J1845" s="32" t="inlineStr">
        <is>
          <t>Kohaku</t>
        </is>
      </c>
      <c r="K1845" s="24" t="n"/>
      <c r="L1845" s="36" t="n">
        <v>3000</v>
      </c>
      <c r="M1845" s="204" t="n">
        <v>10</v>
      </c>
      <c r="N1845" s="177" t="n">
        <v>50</v>
      </c>
      <c r="O1845" s="13" t="n"/>
      <c r="P1845" s="139" t="inlineStr">
        <is>
          <t>kilos</t>
        </is>
      </c>
      <c r="Q1845" s="2" t="n"/>
      <c r="R1845" s="1" t="n"/>
      <c r="S1845" s="229">
        <f>M1845*N1845</f>
        <v/>
      </c>
      <c r="T1845" s="230">
        <f>CONCATENATE(S1845,Q1845,P1845)</f>
        <v/>
      </c>
      <c r="U1845" s="206">
        <f>L1845*M1845</f>
        <v/>
      </c>
      <c r="V1845" s="4" t="n"/>
      <c r="W1845" s="4" t="n"/>
      <c r="X1845" s="4" t="n"/>
    </row>
    <row r="1846" ht="15.75" customHeight="1" thickBot="1">
      <c r="A1846" s="186" t="n">
        <v>357</v>
      </c>
      <c r="B1846" s="215" t="inlineStr">
        <is>
          <t>Rice</t>
        </is>
      </c>
      <c r="C1846" s="124" t="n"/>
      <c r="D1846" s="115" t="n"/>
      <c r="E1846" s="124" t="n"/>
      <c r="F1846" s="124" t="n"/>
      <c r="G1846" s="124" t="n"/>
      <c r="H1846" s="84" t="n"/>
      <c r="I1846" s="7" t="n"/>
      <c r="J1846" s="32" t="inlineStr">
        <is>
          <t>Orchids</t>
        </is>
      </c>
      <c r="K1846" s="24" t="n"/>
      <c r="L1846" s="36" t="n">
        <v>1275</v>
      </c>
      <c r="M1846" s="204" t="n">
        <v>35</v>
      </c>
      <c r="N1846" s="177" t="n">
        <v>25</v>
      </c>
      <c r="O1846" s="13" t="n"/>
      <c r="P1846" s="139" t="inlineStr">
        <is>
          <t>kilos</t>
        </is>
      </c>
      <c r="Q1846" s="2" t="n"/>
      <c r="R1846" s="1" t="n"/>
      <c r="S1846" s="229">
        <f>M1846*N1846</f>
        <v/>
      </c>
      <c r="T1846" s="230">
        <f>CONCATENATE(S1846,Q1846,P1846)</f>
        <v/>
      </c>
      <c r="U1846" s="206">
        <f>L1846*M1846</f>
        <v/>
      </c>
      <c r="V1846" s="4" t="n"/>
      <c r="W1846" s="4" t="n"/>
      <c r="X1846" s="4" t="n"/>
    </row>
    <row r="1847" ht="15.75" customHeight="1" thickBot="1">
      <c r="A1847" s="186" t="n">
        <v>791</v>
      </c>
      <c r="B1847" s="215" t="inlineStr">
        <is>
          <t>Rice Vinegar</t>
        </is>
      </c>
      <c r="C1847" s="124" t="n"/>
      <c r="D1847" s="115" t="n"/>
      <c r="E1847" s="124" t="n"/>
      <c r="F1847" s="124" t="n"/>
      <c r="G1847" s="124" t="n"/>
      <c r="H1847" s="84" t="n"/>
      <c r="I1847" s="7" t="n"/>
      <c r="J1847" s="32" t="inlineStr">
        <is>
          <t>Marukan</t>
        </is>
      </c>
      <c r="K1847" s="24" t="n"/>
      <c r="L1847" s="36" t="n">
        <v>365</v>
      </c>
      <c r="M1847" s="204" t="n">
        <v>3</v>
      </c>
      <c r="N1847" s="177" t="n">
        <v>355</v>
      </c>
      <c r="O1847" s="13" t="n"/>
      <c r="P1847" s="139" t="inlineStr">
        <is>
          <t>ml</t>
        </is>
      </c>
      <c r="Q1847" s="2" t="n"/>
      <c r="R1847" s="1" t="n"/>
      <c r="S1847" s="229">
        <f>M1847*N1847</f>
        <v/>
      </c>
      <c r="T1847" s="230">
        <f>CONCATENATE(S1847,Q1847,P1847)</f>
        <v/>
      </c>
      <c r="U1847" s="206">
        <f>L1847*M1847</f>
        <v/>
      </c>
      <c r="V1847" s="4" t="n"/>
      <c r="W1847" s="4" t="n"/>
      <c r="X1847" s="4" t="n"/>
    </row>
    <row r="1848" ht="15.75" customHeight="1" thickBot="1">
      <c r="A1848" s="186" t="n">
        <v>792</v>
      </c>
      <c r="B1848" s="214" t="inlineStr">
        <is>
          <t>Rice Wrapper</t>
        </is>
      </c>
      <c r="C1848" s="124" t="n"/>
      <c r="D1848" s="115" t="n"/>
      <c r="E1848" s="124" t="n"/>
      <c r="F1848" s="124" t="n"/>
      <c r="G1848" s="124" t="n"/>
      <c r="H1848" s="84" t="n"/>
      <c r="I1848" s="7" t="n"/>
      <c r="J1848" s="32" t="inlineStr">
        <is>
          <t>Carandang Merchandise</t>
        </is>
      </c>
      <c r="K1848" s="24" t="n"/>
      <c r="L1848" s="36" t="n">
        <v>420</v>
      </c>
      <c r="M1848" s="204" t="n">
        <v>1</v>
      </c>
      <c r="N1848" s="177" t="n">
        <v>1</v>
      </c>
      <c r="O1848" s="13" t="n"/>
      <c r="P1848" s="139" t="inlineStr">
        <is>
          <t>bundle</t>
        </is>
      </c>
      <c r="Q1848" s="2" t="n"/>
      <c r="R1848" s="1" t="n"/>
      <c r="S1848" s="229">
        <f>M1848*N1848</f>
        <v/>
      </c>
      <c r="T1848" s="230">
        <f>CONCATENATE(S1848,Q1848,P1848)</f>
        <v/>
      </c>
      <c r="U1848" s="206">
        <f>L1848*M1848</f>
        <v/>
      </c>
      <c r="V1848" s="4" t="n"/>
      <c r="W1848" s="4" t="n"/>
      <c r="X1848" s="4" t="n"/>
    </row>
    <row r="1849" ht="15.75" customHeight="1" thickBot="1">
      <c r="A1849" s="186" t="n">
        <v>793</v>
      </c>
      <c r="B1849" s="214" t="inlineStr">
        <is>
          <t>Rice Wrapper - Large</t>
        </is>
      </c>
      <c r="C1849" s="124" t="n"/>
      <c r="D1849" s="115" t="n"/>
      <c r="E1849" s="124" t="n"/>
      <c r="F1849" s="124" t="n"/>
      <c r="G1849" s="124" t="n"/>
      <c r="H1849" s="84" t="n"/>
      <c r="I1849" s="7" t="n"/>
      <c r="J1849" s="32" t="inlineStr">
        <is>
          <t>(1000pcs per bundle)</t>
        </is>
      </c>
      <c r="K1849" s="24" t="n"/>
      <c r="L1849" s="36" t="n">
        <v>550</v>
      </c>
      <c r="M1849" s="204" t="n">
        <v>2</v>
      </c>
      <c r="N1849" s="177" t="n">
        <v>1</v>
      </c>
      <c r="O1849" s="13" t="n"/>
      <c r="P1849" s="139" t="inlineStr">
        <is>
          <t>bundle</t>
        </is>
      </c>
      <c r="Q1849" s="2" t="n"/>
      <c r="R1849" s="1" t="n"/>
      <c r="S1849" s="229">
        <f>M1849*N1849</f>
        <v/>
      </c>
      <c r="T1849" s="230">
        <f>CONCATENATE(S1849,Q1849,P1849)</f>
        <v/>
      </c>
      <c r="U1849" s="206">
        <f>L1849*M1849</f>
        <v/>
      </c>
      <c r="V1849" s="4" t="n"/>
      <c r="W1849" s="4" t="n"/>
      <c r="X1849" s="4" t="n"/>
    </row>
    <row r="1850" ht="15.75" customHeight="1" thickBot="1">
      <c r="A1850" s="186" t="n">
        <v>794</v>
      </c>
      <c r="B1850" s="215" t="inlineStr">
        <is>
          <t>Rolled Oats</t>
        </is>
      </c>
      <c r="C1850" s="124" t="n"/>
      <c r="D1850" s="115" t="n"/>
      <c r="E1850" s="124" t="n"/>
      <c r="F1850" s="124" t="n"/>
      <c r="G1850" s="124" t="n"/>
      <c r="H1850" s="84" t="n"/>
      <c r="I1850" s="7" t="n"/>
      <c r="J1850" s="32" t="n"/>
      <c r="K1850" s="24" t="n"/>
      <c r="L1850" s="36" t="n">
        <v>70.5</v>
      </c>
      <c r="M1850" s="204" t="n">
        <v>1</v>
      </c>
      <c r="N1850" s="177" t="n">
        <v>500</v>
      </c>
      <c r="O1850" s="13" t="n"/>
      <c r="P1850" s="139" t="inlineStr">
        <is>
          <t>grams</t>
        </is>
      </c>
      <c r="Q1850" s="2" t="n"/>
      <c r="R1850" s="1" t="n"/>
      <c r="S1850" s="229">
        <f>M1850*N1850</f>
        <v/>
      </c>
      <c r="T1850" s="230">
        <f>CONCATENATE(S1850,Q1850,P1850)</f>
        <v/>
      </c>
      <c r="U1850" s="206">
        <f>L1850*M1850</f>
        <v/>
      </c>
      <c r="V1850" s="4" t="n"/>
      <c r="W1850" s="4" t="n"/>
      <c r="X1850" s="4" t="n"/>
    </row>
    <row r="1851" ht="15.75" customHeight="1" thickBot="1">
      <c r="A1851" s="186" t="n">
        <v>795</v>
      </c>
      <c r="B1851" s="215" t="inlineStr">
        <is>
          <t>RTD - Chocolate</t>
        </is>
      </c>
      <c r="C1851" s="124" t="n"/>
      <c r="D1851" s="115" t="n"/>
      <c r="E1851" s="124" t="n"/>
      <c r="F1851" s="124" t="n"/>
      <c r="G1851" s="124" t="n"/>
      <c r="H1851" s="84" t="n"/>
      <c r="I1851" s="7" t="n"/>
      <c r="J1851" s="32" t="inlineStr">
        <is>
          <t>Nestle - Chuckie</t>
        </is>
      </c>
      <c r="K1851" s="24" t="n"/>
      <c r="L1851" s="36" t="n">
        <v>28.56</v>
      </c>
      <c r="M1851" s="204" t="n">
        <v>3</v>
      </c>
      <c r="N1851" s="177" t="n">
        <v>250</v>
      </c>
      <c r="O1851" s="13" t="n"/>
      <c r="P1851" s="139" t="inlineStr">
        <is>
          <t>ml</t>
        </is>
      </c>
      <c r="Q1851" s="2" t="n"/>
      <c r="R1851" s="1" t="n"/>
      <c r="S1851" s="229">
        <f>M1851*N1851</f>
        <v/>
      </c>
      <c r="T1851" s="230">
        <f>CONCATENATE(S1851,Q1851,P1851)</f>
        <v/>
      </c>
      <c r="U1851" s="206">
        <f>L1851*M1851</f>
        <v/>
      </c>
      <c r="V1851" s="4" t="n"/>
      <c r="W1851" s="4" t="n"/>
      <c r="X1851" s="4" t="n"/>
    </row>
    <row r="1852" ht="15.75" customHeight="1" thickBot="1">
      <c r="A1852" s="186" t="n">
        <v>796</v>
      </c>
      <c r="B1852" s="214" t="inlineStr">
        <is>
          <t>RTD - Iced Tea</t>
        </is>
      </c>
      <c r="C1852" s="124" t="n"/>
      <c r="D1852" s="115" t="n"/>
      <c r="E1852" s="124" t="n"/>
      <c r="F1852" s="124" t="n"/>
      <c r="G1852" s="124" t="n"/>
      <c r="H1852" s="84" t="n"/>
      <c r="I1852" s="7" t="n"/>
      <c r="J1852" s="32" t="inlineStr">
        <is>
          <t>Universal Robina - C2 Solo Apple</t>
        </is>
      </c>
      <c r="K1852" s="24" t="n"/>
      <c r="L1852" s="36" t="n">
        <v>12.49</v>
      </c>
      <c r="M1852" s="204" t="n">
        <v>16</v>
      </c>
      <c r="N1852" s="177" t="n">
        <v>230</v>
      </c>
      <c r="O1852" s="13" t="n"/>
      <c r="P1852" s="139" t="inlineStr">
        <is>
          <t>ml</t>
        </is>
      </c>
      <c r="Q1852" s="2" t="n"/>
      <c r="R1852" s="1" t="n"/>
      <c r="S1852" s="229">
        <f>M1852*N1852</f>
        <v/>
      </c>
      <c r="T1852" s="230">
        <f>CONCATENATE(S1852,Q1852,P1852)</f>
        <v/>
      </c>
      <c r="U1852" s="206">
        <f>L1852*M1852</f>
        <v/>
      </c>
      <c r="V1852" s="4" t="n"/>
      <c r="W1852" s="4" t="n"/>
      <c r="X1852" s="4" t="n"/>
    </row>
    <row r="1853" ht="15.75" customHeight="1" thickBot="1">
      <c r="A1853" s="186" t="n">
        <v>796</v>
      </c>
      <c r="B1853" s="214" t="inlineStr">
        <is>
          <t>RTD - Iced Tea</t>
        </is>
      </c>
      <c r="C1853" s="124" t="n"/>
      <c r="D1853" s="115" t="n"/>
      <c r="E1853" s="124" t="n"/>
      <c r="F1853" s="124" t="n"/>
      <c r="G1853" s="124" t="n"/>
      <c r="H1853" s="84" t="n"/>
      <c r="I1853" s="7" t="n"/>
      <c r="J1853" s="32" t="inlineStr">
        <is>
          <t>Universal Robina - C2 Solo</t>
        </is>
      </c>
      <c r="K1853" s="24" t="n"/>
      <c r="L1853" s="36" t="n">
        <v>12.49</v>
      </c>
      <c r="M1853" s="204" t="n">
        <v>65</v>
      </c>
      <c r="N1853" s="177" t="n">
        <v>230</v>
      </c>
      <c r="O1853" s="13" t="n"/>
      <c r="P1853" s="139" t="inlineStr">
        <is>
          <t>ml</t>
        </is>
      </c>
      <c r="Q1853" s="2" t="n"/>
      <c r="R1853" s="1" t="n"/>
      <c r="S1853" s="229">
        <f>M1853*N1853</f>
        <v/>
      </c>
      <c r="T1853" s="230">
        <f>CONCATENATE(S1853,Q1853,P1853)</f>
        <v/>
      </c>
      <c r="U1853" s="206">
        <f>L1853*M1853</f>
        <v/>
      </c>
      <c r="V1853" s="4" t="n"/>
      <c r="W1853" s="4" t="n"/>
      <c r="X1853" s="4" t="n"/>
    </row>
    <row r="1854" ht="15.75" customHeight="1" thickBot="1">
      <c r="A1854" s="186" t="n">
        <v>796</v>
      </c>
      <c r="B1854" s="214" t="inlineStr">
        <is>
          <t>RTD - Iced Tea</t>
        </is>
      </c>
      <c r="C1854" s="124" t="n"/>
      <c r="D1854" s="115" t="n"/>
      <c r="E1854" s="124" t="n"/>
      <c r="F1854" s="124" t="n"/>
      <c r="G1854" s="124" t="n"/>
      <c r="H1854" s="84" t="n"/>
      <c r="I1854" s="7" t="n"/>
      <c r="J1854" s="32" t="inlineStr">
        <is>
          <t>Universal Robina - C2 Solo Lemon</t>
        </is>
      </c>
      <c r="K1854" s="24" t="n"/>
      <c r="L1854" s="36" t="n">
        <v>12.54</v>
      </c>
      <c r="M1854" s="204" t="n">
        <v>18</v>
      </c>
      <c r="N1854" s="177" t="n">
        <v>230</v>
      </c>
      <c r="O1854" s="13" t="n"/>
      <c r="P1854" s="139" t="inlineStr">
        <is>
          <t>ml</t>
        </is>
      </c>
      <c r="Q1854" s="2" t="n"/>
      <c r="R1854" s="1" t="n"/>
      <c r="S1854" s="229">
        <f>M1854*N1854</f>
        <v/>
      </c>
      <c r="T1854" s="230">
        <f>CONCATENATE(S1854,Q1854,P1854)</f>
        <v/>
      </c>
      <c r="U1854" s="206">
        <f>L1854*M1854</f>
        <v/>
      </c>
      <c r="V1854" s="4" t="n"/>
      <c r="W1854" s="4" t="n"/>
      <c r="X1854" s="4" t="n"/>
    </row>
    <row r="1855" ht="15.75" customHeight="1" thickBot="1">
      <c r="A1855" s="186" t="n">
        <v>797</v>
      </c>
      <c r="B1855" s="215" t="inlineStr">
        <is>
          <t>RTD - Juice</t>
        </is>
      </c>
      <c r="C1855" s="124" t="n"/>
      <c r="D1855" s="115" t="n"/>
      <c r="E1855" s="124" t="n"/>
      <c r="F1855" s="124" t="n"/>
      <c r="G1855" s="124" t="n"/>
      <c r="H1855" s="84" t="n"/>
      <c r="I1855" s="7" t="n"/>
      <c r="J1855" s="32" t="inlineStr">
        <is>
          <t>Coca-Cola - Minute Maid Fresh</t>
        </is>
      </c>
      <c r="K1855" s="24" t="n"/>
      <c r="L1855" s="36" t="n">
        <v>14.25</v>
      </c>
      <c r="M1855" s="204" t="n">
        <v>44</v>
      </c>
      <c r="N1855" s="177" t="n">
        <v>250</v>
      </c>
      <c r="O1855" s="13" t="n"/>
      <c r="P1855" s="139" t="inlineStr">
        <is>
          <t>ml</t>
        </is>
      </c>
      <c r="Q1855" s="2" t="n"/>
      <c r="R1855" s="1" t="n"/>
      <c r="S1855" s="229">
        <f>M1855*N1855</f>
        <v/>
      </c>
      <c r="T1855" s="230">
        <f>CONCATENATE(S1855,Q1855,P1855)</f>
        <v/>
      </c>
      <c r="U1855" s="206">
        <f>L1855*M1855</f>
        <v/>
      </c>
      <c r="V1855" s="4" t="n"/>
      <c r="W1855" s="4" t="n"/>
      <c r="X1855" s="4" t="n"/>
    </row>
    <row r="1856" ht="15.75" customHeight="1" thickBot="1">
      <c r="A1856" s="186" t="n">
        <v>797</v>
      </c>
      <c r="B1856" s="215" t="inlineStr">
        <is>
          <t>RTD - Juice</t>
        </is>
      </c>
      <c r="C1856" s="124" t="n"/>
      <c r="D1856" s="115" t="n"/>
      <c r="E1856" s="124" t="n"/>
      <c r="F1856" s="124" t="n"/>
      <c r="G1856" s="124" t="n"/>
      <c r="H1856" s="84" t="n"/>
      <c r="I1856" s="7" t="n"/>
      <c r="J1856" s="32" t="inlineStr">
        <is>
          <t>Coca-Cola - Minute Maid Fresh</t>
        </is>
      </c>
      <c r="K1856" s="24" t="n"/>
      <c r="L1856" s="36" t="n">
        <v>14.33</v>
      </c>
      <c r="M1856" s="204" t="n">
        <v>12</v>
      </c>
      <c r="N1856" s="177" t="n">
        <v>250</v>
      </c>
      <c r="O1856" s="13" t="n"/>
      <c r="P1856" s="139" t="inlineStr">
        <is>
          <t>ml</t>
        </is>
      </c>
      <c r="Q1856" s="2" t="n"/>
      <c r="R1856" s="1" t="n"/>
      <c r="S1856" s="229">
        <f>M1856*N1856</f>
        <v/>
      </c>
      <c r="T1856" s="230">
        <f>CONCATENATE(S1856,Q1856,P1856)</f>
        <v/>
      </c>
      <c r="U1856" s="206">
        <f>L1856*M1856</f>
        <v/>
      </c>
      <c r="V1856" s="4" t="n"/>
      <c r="W1856" s="4" t="n"/>
      <c r="X1856" s="4" t="n"/>
    </row>
    <row r="1857" ht="15.75" customHeight="1" thickBot="1">
      <c r="A1857" s="186" t="n">
        <v>797</v>
      </c>
      <c r="B1857" s="215" t="inlineStr">
        <is>
          <t>RTD - Juice</t>
        </is>
      </c>
      <c r="C1857" s="124" t="n"/>
      <c r="D1857" s="115" t="n"/>
      <c r="E1857" s="124" t="n"/>
      <c r="F1857" s="124" t="n"/>
      <c r="G1857" s="124" t="n"/>
      <c r="H1857" s="84" t="n"/>
      <c r="I1857" s="7" t="n"/>
      <c r="J1857" s="32" t="inlineStr">
        <is>
          <t>Coca-Cola - Minute Maid Fresh</t>
        </is>
      </c>
      <c r="K1857" s="24" t="n"/>
      <c r="L1857" s="36" t="n">
        <v>14.33</v>
      </c>
      <c r="M1857" s="204" t="n">
        <v>1</v>
      </c>
      <c r="N1857" s="177" t="n">
        <v>250</v>
      </c>
      <c r="O1857" s="13" t="n"/>
      <c r="P1857" s="139" t="inlineStr">
        <is>
          <t>ml</t>
        </is>
      </c>
      <c r="Q1857" s="2" t="n"/>
      <c r="R1857" s="1" t="n"/>
      <c r="S1857" s="229">
        <f>M1857*N1857</f>
        <v/>
      </c>
      <c r="T1857" s="230">
        <f>CONCATENATE(S1857,Q1857,P1857)</f>
        <v/>
      </c>
      <c r="U1857" s="206">
        <f>L1857*M1857</f>
        <v/>
      </c>
      <c r="V1857" s="4" t="n"/>
      <c r="W1857" s="4" t="n"/>
      <c r="X1857" s="4" t="n"/>
    </row>
    <row r="1858" ht="15.75" customHeight="1" thickBot="1">
      <c r="A1858" s="186" t="n">
        <v>797</v>
      </c>
      <c r="B1858" s="215" t="inlineStr">
        <is>
          <t>RTD - Juice</t>
        </is>
      </c>
      <c r="C1858" s="124" t="n"/>
      <c r="D1858" s="115" t="n"/>
      <c r="E1858" s="124" t="n"/>
      <c r="F1858" s="124" t="n"/>
      <c r="G1858" s="124" t="n"/>
      <c r="H1858" s="84" t="n"/>
      <c r="I1858" s="7" t="n"/>
      <c r="J1858" s="32" t="inlineStr">
        <is>
          <t>Coca-Cola - Minute Maid Mango</t>
        </is>
      </c>
      <c r="K1858" s="24" t="n"/>
      <c r="L1858" s="36" t="n">
        <v>25.83</v>
      </c>
      <c r="M1858" s="204" t="n">
        <v>26</v>
      </c>
      <c r="N1858" s="177" t="n">
        <v>240</v>
      </c>
      <c r="O1858" s="13" t="n"/>
      <c r="P1858" s="139" t="inlineStr">
        <is>
          <t>ml</t>
        </is>
      </c>
      <c r="Q1858" s="2" t="n"/>
      <c r="R1858" s="1" t="n"/>
      <c r="S1858" s="229">
        <f>M1858*N1858</f>
        <v/>
      </c>
      <c r="T1858" s="230">
        <f>CONCATENATE(S1858,Q1858,P1858)</f>
        <v/>
      </c>
      <c r="U1858" s="206">
        <f>L1858*M1858</f>
        <v/>
      </c>
      <c r="V1858" s="4" t="n"/>
      <c r="W1858" s="4" t="n"/>
      <c r="X1858" s="4" t="n"/>
    </row>
    <row r="1859" ht="15.75" customHeight="1" thickBot="1">
      <c r="A1859" s="186" t="n">
        <v>797</v>
      </c>
      <c r="B1859" s="215" t="inlineStr">
        <is>
          <t>RTD - Juice</t>
        </is>
      </c>
      <c r="C1859" s="124" t="n"/>
      <c r="D1859" s="115" t="n"/>
      <c r="E1859" s="124" t="n"/>
      <c r="F1859" s="124" t="n"/>
      <c r="G1859" s="124" t="n"/>
      <c r="H1859" s="84" t="n"/>
      <c r="I1859" s="7" t="n"/>
      <c r="J1859" s="32" t="inlineStr">
        <is>
          <t>Coca-Cola - Minute Maid Mango</t>
        </is>
      </c>
      <c r="K1859" s="24" t="n"/>
      <c r="L1859" s="36" t="n">
        <v>10</v>
      </c>
      <c r="M1859" s="204" t="n">
        <v>7</v>
      </c>
      <c r="N1859" s="177" t="n">
        <v>180</v>
      </c>
      <c r="O1859" s="13" t="n"/>
      <c r="P1859" s="139" t="inlineStr">
        <is>
          <t>ml</t>
        </is>
      </c>
      <c r="Q1859" s="2" t="n"/>
      <c r="R1859" s="1" t="n"/>
      <c r="S1859" s="229">
        <f>M1859*N1859</f>
        <v/>
      </c>
      <c r="T1859" s="230">
        <f>CONCATENATE(S1859,Q1859,P1859)</f>
        <v/>
      </c>
      <c r="U1859" s="206">
        <f>L1859*M1859</f>
        <v/>
      </c>
      <c r="V1859" s="4" t="n"/>
      <c r="W1859" s="4" t="n"/>
      <c r="X1859" s="4" t="n"/>
    </row>
    <row r="1860" ht="15.75" customHeight="1" thickBot="1">
      <c r="A1860" s="186" t="n">
        <v>797</v>
      </c>
      <c r="B1860" s="215" t="inlineStr">
        <is>
          <t>RTD - Juice</t>
        </is>
      </c>
      <c r="C1860" s="124" t="n"/>
      <c r="D1860" s="115" t="n"/>
      <c r="E1860" s="124" t="n"/>
      <c r="F1860" s="124" t="n"/>
      <c r="G1860" s="124" t="n"/>
      <c r="H1860" s="84" t="n"/>
      <c r="I1860" s="7" t="n"/>
      <c r="J1860" s="32" t="inlineStr">
        <is>
          <t>Coca-Cola - Minute Maid Orange</t>
        </is>
      </c>
      <c r="K1860" s="24" t="n"/>
      <c r="L1860" s="36" t="n">
        <v>25.83</v>
      </c>
      <c r="M1860" s="204" t="n">
        <v>27</v>
      </c>
      <c r="N1860" s="177" t="n">
        <v>240</v>
      </c>
      <c r="O1860" s="13" t="n"/>
      <c r="P1860" s="139" t="inlineStr">
        <is>
          <t>ml</t>
        </is>
      </c>
      <c r="Q1860" s="2" t="n"/>
      <c r="R1860" s="1" t="n"/>
      <c r="S1860" s="229">
        <f>M1860*N1860</f>
        <v/>
      </c>
      <c r="T1860" s="230">
        <f>CONCATENATE(S1860,Q1860,P1860)</f>
        <v/>
      </c>
      <c r="U1860" s="206">
        <f>L1860*M1860</f>
        <v/>
      </c>
      <c r="V1860" s="4" t="n"/>
      <c r="W1860" s="4" t="n"/>
      <c r="X1860" s="4" t="n"/>
    </row>
    <row r="1861" ht="15.75" customHeight="1" thickBot="1">
      <c r="A1861" s="186" t="n">
        <v>797</v>
      </c>
      <c r="B1861" s="214" t="inlineStr">
        <is>
          <t>RTD - Juice</t>
        </is>
      </c>
      <c r="C1861" s="124" t="n"/>
      <c r="D1861" s="115" t="n"/>
      <c r="E1861" s="124" t="n"/>
      <c r="F1861" s="124" t="n"/>
      <c r="G1861" s="124" t="n"/>
      <c r="H1861" s="84" t="n"/>
      <c r="I1861" s="7" t="n"/>
      <c r="J1861" s="32" t="inlineStr">
        <is>
          <t>Mogu-Mogu Melon</t>
        </is>
      </c>
      <c r="K1861" s="24" t="n"/>
      <c r="L1861" s="36" t="n">
        <v>42.32</v>
      </c>
      <c r="M1861" s="204" t="n">
        <v>24</v>
      </c>
      <c r="N1861" s="177" t="n">
        <v>320</v>
      </c>
      <c r="O1861" s="13" t="n"/>
      <c r="P1861" s="139" t="inlineStr">
        <is>
          <t>ml</t>
        </is>
      </c>
      <c r="Q1861" s="2" t="n"/>
      <c r="R1861" s="1" t="n"/>
      <c r="S1861" s="229">
        <f>M1861*N1861</f>
        <v/>
      </c>
      <c r="T1861" s="230">
        <f>CONCATENATE(S1861,Q1861,P1861)</f>
        <v/>
      </c>
      <c r="U1861" s="206">
        <f>L1861*M1861</f>
        <v/>
      </c>
      <c r="V1861" s="4" t="n"/>
      <c r="W1861" s="4" t="n"/>
      <c r="X1861" s="4" t="n"/>
    </row>
    <row r="1862" ht="15.75" customHeight="1" thickBot="1">
      <c r="A1862" s="186" t="n">
        <v>797</v>
      </c>
      <c r="B1862" s="214" t="inlineStr">
        <is>
          <t>RTD - Juice</t>
        </is>
      </c>
      <c r="C1862" s="124" t="n"/>
      <c r="D1862" s="115" t="n"/>
      <c r="E1862" s="124" t="n"/>
      <c r="F1862" s="124" t="n"/>
      <c r="G1862" s="124" t="n"/>
      <c r="H1862" s="84" t="n"/>
      <c r="I1862" s="7" t="n"/>
      <c r="J1862" s="32" t="inlineStr">
        <is>
          <t>Del Monte - Four Seasons</t>
        </is>
      </c>
      <c r="K1862" s="24" t="n"/>
      <c r="L1862" s="36" t="n">
        <v>28.02</v>
      </c>
      <c r="M1862" s="204" t="n">
        <v>28</v>
      </c>
      <c r="N1862" s="177" t="n">
        <v>220</v>
      </c>
      <c r="O1862" s="13" t="n"/>
      <c r="P1862" s="139" t="inlineStr">
        <is>
          <t>ml</t>
        </is>
      </c>
      <c r="Q1862" s="2" t="n"/>
      <c r="R1862" s="1" t="n"/>
      <c r="S1862" s="229">
        <f>M1862*N1862</f>
        <v/>
      </c>
      <c r="T1862" s="230">
        <f>CONCATENATE(S1862,Q1862,P1862)</f>
        <v/>
      </c>
      <c r="U1862" s="206">
        <f>L1862*M1862</f>
        <v/>
      </c>
      <c r="V1862" s="4" t="n"/>
      <c r="W1862" s="4" t="n"/>
      <c r="X1862" s="4" t="n"/>
    </row>
    <row r="1863" ht="15.75" customHeight="1" thickBot="1">
      <c r="A1863" s="186" t="n">
        <v>797</v>
      </c>
      <c r="B1863" s="214" t="inlineStr">
        <is>
          <t>RTD - Juice</t>
        </is>
      </c>
      <c r="C1863" s="124" t="n"/>
      <c r="D1863" s="115" t="n"/>
      <c r="E1863" s="124" t="n"/>
      <c r="F1863" s="124" t="n"/>
      <c r="G1863" s="124" t="n"/>
      <c r="H1863" s="84" t="n"/>
      <c r="I1863" s="7" t="n"/>
      <c r="J1863" s="32" t="inlineStr">
        <is>
          <t>Del Monte - Four Seasons</t>
        </is>
      </c>
      <c r="K1863" s="24" t="n"/>
      <c r="L1863" s="36" t="n">
        <v>29.43</v>
      </c>
      <c r="M1863" s="204" t="n">
        <v>53</v>
      </c>
      <c r="N1863" s="177" t="n">
        <v>220</v>
      </c>
      <c r="O1863" s="13" t="n"/>
      <c r="P1863" s="139" t="inlineStr">
        <is>
          <t>ml</t>
        </is>
      </c>
      <c r="Q1863" s="2" t="n"/>
      <c r="R1863" s="1" t="n"/>
      <c r="S1863" s="229">
        <f>M1863*N1863</f>
        <v/>
      </c>
      <c r="T1863" s="230">
        <f>CONCATENATE(S1863,Q1863,P1863)</f>
        <v/>
      </c>
      <c r="U1863" s="206">
        <f>L1863*M1863</f>
        <v/>
      </c>
      <c r="V1863" s="4" t="n"/>
      <c r="W1863" s="4" t="n"/>
      <c r="X1863" s="4" t="n"/>
    </row>
    <row r="1864" ht="15.75" customHeight="1" thickBot="1">
      <c r="A1864" s="186" t="n">
        <v>797</v>
      </c>
      <c r="B1864" s="214" t="inlineStr">
        <is>
          <t>RTD - Juice</t>
        </is>
      </c>
      <c r="C1864" s="124" t="n"/>
      <c r="D1864" s="115" t="n"/>
      <c r="E1864" s="124" t="n"/>
      <c r="F1864" s="124" t="n"/>
      <c r="G1864" s="124" t="n"/>
      <c r="H1864" s="84" t="n"/>
      <c r="I1864" s="7" t="n"/>
      <c r="J1864" s="32" t="inlineStr">
        <is>
          <t>Del Monte - Four Seasons</t>
        </is>
      </c>
      <c r="K1864" s="24" t="n"/>
      <c r="L1864" s="36" t="n">
        <v>672.55</v>
      </c>
      <c r="M1864" s="204" t="n">
        <v>1</v>
      </c>
      <c r="N1864" s="177" t="n">
        <v>24</v>
      </c>
      <c r="O1864" s="13" t="n"/>
      <c r="P1864" s="139" t="inlineStr">
        <is>
          <t>cans</t>
        </is>
      </c>
      <c r="Q1864" s="2" t="n"/>
      <c r="R1864" s="1" t="n"/>
      <c r="S1864" s="229">
        <f>M1864*N1864</f>
        <v/>
      </c>
      <c r="T1864" s="230">
        <f>CONCATENATE(S1864,Q1864,P1864)</f>
        <v/>
      </c>
      <c r="U1864" s="206">
        <f>L1864*M1864</f>
        <v/>
      </c>
      <c r="V1864" s="4" t="n"/>
      <c r="W1864" s="4" t="n"/>
      <c r="X1864" s="4" t="n"/>
    </row>
    <row r="1865" ht="15.75" customHeight="1" thickBot="1">
      <c r="A1865" s="186" t="n">
        <v>797</v>
      </c>
      <c r="B1865" s="214" t="inlineStr">
        <is>
          <t>RTD - Juice</t>
        </is>
      </c>
      <c r="C1865" s="124" t="n"/>
      <c r="D1865" s="115" t="n"/>
      <c r="E1865" s="124" t="n"/>
      <c r="F1865" s="124" t="n"/>
      <c r="G1865" s="124" t="n"/>
      <c r="H1865" s="84" t="n"/>
      <c r="I1865" s="7" t="n"/>
      <c r="J1865" s="32" t="inlineStr">
        <is>
          <t>Del Monte - Four Seasons</t>
        </is>
      </c>
      <c r="K1865" s="24" t="n"/>
      <c r="L1865" s="36" t="n">
        <v>97.2</v>
      </c>
      <c r="M1865" s="204" t="n">
        <v>4</v>
      </c>
      <c r="N1865" s="177" t="n">
        <v>1</v>
      </c>
      <c r="O1865" s="13" t="n"/>
      <c r="P1865" s="139" t="inlineStr">
        <is>
          <t>liters</t>
        </is>
      </c>
      <c r="Q1865" s="2" t="n"/>
      <c r="R1865" s="1" t="n"/>
      <c r="S1865" s="229">
        <f>M1865*N1865</f>
        <v/>
      </c>
      <c r="T1865" s="230">
        <f>CONCATENATE(S1865,Q1865,P1865)</f>
        <v/>
      </c>
      <c r="U1865" s="206">
        <f>L1865*M1865</f>
        <v/>
      </c>
      <c r="V1865" s="4" t="n"/>
      <c r="W1865" s="4" t="n"/>
      <c r="X1865" s="4" t="n"/>
    </row>
    <row r="1866" ht="15.75" customHeight="1" thickBot="1">
      <c r="A1866" s="186" t="n">
        <v>797</v>
      </c>
      <c r="B1866" s="214" t="inlineStr">
        <is>
          <t>RTD - Juice</t>
        </is>
      </c>
      <c r="C1866" s="124" t="n"/>
      <c r="D1866" s="115" t="n"/>
      <c r="E1866" s="124" t="n"/>
      <c r="F1866" s="124" t="n"/>
      <c r="G1866" s="124" t="n"/>
      <c r="H1866" s="84" t="n"/>
      <c r="I1866" s="7" t="n"/>
      <c r="J1866" s="32" t="inlineStr">
        <is>
          <t>Del Monte - Four Seasons</t>
        </is>
      </c>
      <c r="K1866" s="24" t="n"/>
      <c r="L1866" s="36" t="n">
        <v>29.5</v>
      </c>
      <c r="M1866" s="204" t="n">
        <v>31</v>
      </c>
      <c r="N1866" s="177" t="n">
        <v>220</v>
      </c>
      <c r="O1866" s="13" t="n"/>
      <c r="P1866" s="139" t="inlineStr">
        <is>
          <t>ml</t>
        </is>
      </c>
      <c r="Q1866" s="2" t="n"/>
      <c r="R1866" s="1" t="n"/>
      <c r="S1866" s="229">
        <f>M1866*N1866</f>
        <v/>
      </c>
      <c r="T1866" s="230">
        <f>CONCATENATE(S1866,Q1866,P1866)</f>
        <v/>
      </c>
      <c r="U1866" s="206">
        <f>L1866*M1866</f>
        <v/>
      </c>
      <c r="V1866" s="4" t="n"/>
      <c r="W1866" s="4" t="n"/>
      <c r="X1866" s="4" t="n"/>
    </row>
    <row r="1867" ht="15.75" customHeight="1" thickBot="1">
      <c r="A1867" s="186" t="n">
        <v>798</v>
      </c>
      <c r="B1867" s="214" t="inlineStr">
        <is>
          <t>RTD - Pineapple Juice</t>
        </is>
      </c>
      <c r="C1867" s="124" t="n"/>
      <c r="D1867" s="115" t="n"/>
      <c r="E1867" s="124" t="n"/>
      <c r="F1867" s="124" t="n"/>
      <c r="G1867" s="124" t="n"/>
      <c r="H1867" s="84" t="n"/>
      <c r="I1867" s="7" t="n"/>
      <c r="J1867" s="32" t="inlineStr">
        <is>
          <t>Del Monte</t>
        </is>
      </c>
      <c r="K1867" s="24" t="n"/>
      <c r="L1867" s="36" t="n">
        <v>27.7</v>
      </c>
      <c r="M1867" s="204" t="n">
        <v>72</v>
      </c>
      <c r="N1867" s="177" t="n">
        <v>220</v>
      </c>
      <c r="O1867" s="13" t="n"/>
      <c r="P1867" s="139" t="inlineStr">
        <is>
          <t>ml</t>
        </is>
      </c>
      <c r="Q1867" s="2" t="n"/>
      <c r="R1867" s="1" t="n"/>
      <c r="S1867" s="229">
        <f>M1867*N1867</f>
        <v/>
      </c>
      <c r="T1867" s="230">
        <f>CONCATENATE(S1867,Q1867,P1867)</f>
        <v/>
      </c>
      <c r="U1867" s="206">
        <f>L1867*M1867</f>
        <v/>
      </c>
      <c r="V1867" s="4" t="n"/>
      <c r="W1867" s="4" t="n"/>
      <c r="X1867" s="4" t="n"/>
    </row>
    <row r="1868" ht="15.75" customHeight="1" thickBot="1">
      <c r="A1868" s="186" t="n">
        <v>798</v>
      </c>
      <c r="B1868" s="214" t="inlineStr">
        <is>
          <t>RTD - Pineapple Juice</t>
        </is>
      </c>
      <c r="C1868" s="124" t="n"/>
      <c r="D1868" s="115" t="n"/>
      <c r="E1868" s="124" t="n"/>
      <c r="F1868" s="124" t="n"/>
      <c r="G1868" s="124" t="n"/>
      <c r="H1868" s="84" t="n"/>
      <c r="I1868" s="7" t="n"/>
      <c r="J1868" s="32" t="inlineStr">
        <is>
          <t>Del Monte</t>
        </is>
      </c>
      <c r="K1868" s="24" t="n"/>
      <c r="L1868" s="36" t="n">
        <v>43.88</v>
      </c>
      <c r="M1868" s="204" t="n">
        <v>10</v>
      </c>
      <c r="N1868" s="177" t="n">
        <v>220</v>
      </c>
      <c r="O1868" s="13" t="n"/>
      <c r="P1868" s="139" t="inlineStr">
        <is>
          <t>ml</t>
        </is>
      </c>
      <c r="Q1868" s="2" t="n"/>
      <c r="R1868" s="1" t="n"/>
      <c r="S1868" s="229">
        <f>M1868*N1868</f>
        <v/>
      </c>
      <c r="T1868" s="230">
        <f>CONCATENATE(S1868,Q1868,P1868)</f>
        <v/>
      </c>
      <c r="U1868" s="206">
        <f>L1868*M1868</f>
        <v/>
      </c>
      <c r="V1868" s="4" t="n"/>
      <c r="W1868" s="4" t="n"/>
      <c r="X1868" s="4" t="n"/>
    </row>
    <row r="1869" ht="15.75" customHeight="1" thickBot="1">
      <c r="A1869" s="186" t="n">
        <v>798</v>
      </c>
      <c r="B1869" s="214" t="inlineStr">
        <is>
          <t>RTD - Pineapple Juice</t>
        </is>
      </c>
      <c r="C1869" s="124" t="n"/>
      <c r="D1869" s="115" t="n"/>
      <c r="E1869" s="124" t="n"/>
      <c r="F1869" s="124" t="n"/>
      <c r="G1869" s="124" t="n"/>
      <c r="H1869" s="84" t="n"/>
      <c r="I1869" s="7" t="n"/>
      <c r="J1869" s="32" t="inlineStr">
        <is>
          <t>Del Monte</t>
        </is>
      </c>
      <c r="K1869" s="24" t="n"/>
      <c r="L1869" s="36" t="n">
        <v>29.41</v>
      </c>
      <c r="M1869" s="204" t="n">
        <v>160</v>
      </c>
      <c r="N1869" s="177" t="n">
        <v>220</v>
      </c>
      <c r="O1869" s="13" t="n"/>
      <c r="P1869" s="139" t="inlineStr">
        <is>
          <t>ml</t>
        </is>
      </c>
      <c r="Q1869" s="2" t="n"/>
      <c r="R1869" s="1" t="n"/>
      <c r="S1869" s="229">
        <f>M1869*N1869</f>
        <v/>
      </c>
      <c r="T1869" s="230">
        <f>CONCATENATE(S1869,Q1869,P1869)</f>
        <v/>
      </c>
      <c r="U1869" s="206">
        <f>L1869*M1869</f>
        <v/>
      </c>
      <c r="V1869" s="4" t="n"/>
      <c r="W1869" s="4" t="n"/>
      <c r="X1869" s="4" t="n"/>
    </row>
    <row r="1870" ht="15.75" customHeight="1" thickBot="1">
      <c r="A1870" s="186" t="n">
        <v>798</v>
      </c>
      <c r="B1870" s="214" t="inlineStr">
        <is>
          <t>RTD - Pineapple Juice</t>
        </is>
      </c>
      <c r="C1870" s="124" t="n"/>
      <c r="D1870" s="115" t="n"/>
      <c r="E1870" s="124" t="n"/>
      <c r="F1870" s="124" t="n"/>
      <c r="G1870" s="124" t="n"/>
      <c r="H1870" s="84" t="n"/>
      <c r="I1870" s="7" t="n"/>
      <c r="J1870" s="32" t="inlineStr">
        <is>
          <t>Del Monte</t>
        </is>
      </c>
      <c r="K1870" s="24" t="n"/>
      <c r="L1870" s="36" t="n">
        <v>29.5</v>
      </c>
      <c r="M1870" s="204" t="n">
        <v>15</v>
      </c>
      <c r="N1870" s="177" t="n">
        <v>1</v>
      </c>
      <c r="O1870" s="13" t="n"/>
      <c r="P1870" s="139" t="inlineStr">
        <is>
          <t>pieces</t>
        </is>
      </c>
      <c r="Q1870" s="2" t="n"/>
      <c r="R1870" s="1" t="n"/>
      <c r="S1870" s="229">
        <f>M1870*N1870</f>
        <v/>
      </c>
      <c r="T1870" s="230">
        <f>CONCATENATE(S1870,Q1870,P1870)</f>
        <v/>
      </c>
      <c r="U1870" s="206">
        <f>L1870*M1870</f>
        <v/>
      </c>
      <c r="V1870" s="4" t="n"/>
      <c r="W1870" s="4" t="n"/>
      <c r="X1870" s="4" t="n"/>
    </row>
    <row r="1871" ht="15.75" customHeight="1" thickBot="1">
      <c r="A1871" s="186" t="n">
        <v>798</v>
      </c>
      <c r="B1871" s="214" t="inlineStr">
        <is>
          <t>RTD - Pineapple Juice</t>
        </is>
      </c>
      <c r="C1871" s="124" t="n"/>
      <c r="D1871" s="115" t="n"/>
      <c r="E1871" s="124" t="n"/>
      <c r="F1871" s="124" t="n"/>
      <c r="G1871" s="124" t="n"/>
      <c r="H1871" s="84" t="n"/>
      <c r="I1871" s="7" t="n"/>
      <c r="J1871" s="32" t="inlineStr">
        <is>
          <t>Del Monte</t>
        </is>
      </c>
      <c r="K1871" s="24" t="n"/>
      <c r="L1871" s="36" t="n">
        <v>60</v>
      </c>
      <c r="M1871" s="204" t="n">
        <v>1</v>
      </c>
      <c r="N1871" s="177" t="n">
        <v>530</v>
      </c>
      <c r="O1871" s="13" t="n"/>
      <c r="P1871" s="139" t="inlineStr">
        <is>
          <t>ml</t>
        </is>
      </c>
      <c r="Q1871" s="2" t="n"/>
      <c r="R1871" s="1" t="n"/>
      <c r="S1871" s="229">
        <f>M1871*N1871</f>
        <v/>
      </c>
      <c r="T1871" s="230">
        <f>CONCATENATE(S1871,Q1871,P1871)</f>
        <v/>
      </c>
      <c r="U1871" s="206">
        <f>L1871*M1871</f>
        <v/>
      </c>
      <c r="V1871" s="4" t="n"/>
      <c r="W1871" s="4" t="n"/>
      <c r="X1871" s="4" t="n"/>
    </row>
    <row r="1872" ht="15.75" customHeight="1" thickBot="1">
      <c r="A1872" s="186" t="n">
        <v>798</v>
      </c>
      <c r="B1872" s="214" t="inlineStr">
        <is>
          <t>RTD - Pineapple Juice</t>
        </is>
      </c>
      <c r="C1872" s="124" t="n"/>
      <c r="D1872" s="115" t="n"/>
      <c r="E1872" s="124" t="n"/>
      <c r="F1872" s="124" t="n"/>
      <c r="G1872" s="124" t="n"/>
      <c r="H1872" s="84" t="n"/>
      <c r="I1872" s="7" t="n"/>
      <c r="J1872" s="32" t="inlineStr">
        <is>
          <t>Del Monte</t>
        </is>
      </c>
      <c r="K1872" s="24" t="n"/>
      <c r="L1872" s="36" t="n">
        <v>29.41</v>
      </c>
      <c r="M1872" s="204" t="n">
        <v>72</v>
      </c>
      <c r="N1872" s="177" t="n">
        <v>220</v>
      </c>
      <c r="O1872" s="13" t="n"/>
      <c r="P1872" s="139" t="inlineStr">
        <is>
          <t>ml</t>
        </is>
      </c>
      <c r="Q1872" s="2" t="n"/>
      <c r="R1872" s="1" t="n"/>
      <c r="S1872" s="229">
        <f>M1872*N1872</f>
        <v/>
      </c>
      <c r="T1872" s="230">
        <f>CONCATENATE(S1872,Q1872,P1872)</f>
        <v/>
      </c>
      <c r="U1872" s="206">
        <f>L1872*M1872</f>
        <v/>
      </c>
      <c r="V1872" s="4" t="n"/>
      <c r="W1872" s="4" t="n"/>
      <c r="X1872" s="4" t="n"/>
    </row>
    <row r="1873" ht="15.75" customHeight="1" thickBot="1">
      <c r="A1873" s="186" t="n">
        <v>799</v>
      </c>
      <c r="B1873" s="214" t="inlineStr">
        <is>
          <t>RTD - Pineapple Juice with ACE</t>
        </is>
      </c>
      <c r="C1873" s="124" t="n"/>
      <c r="D1873" s="115" t="n"/>
      <c r="E1873" s="124" t="n"/>
      <c r="F1873" s="124" t="n"/>
      <c r="G1873" s="124" t="n"/>
      <c r="H1873" s="84" t="n"/>
      <c r="I1873" s="7" t="n"/>
      <c r="J1873" s="32" t="inlineStr">
        <is>
          <t>Del Monte</t>
        </is>
      </c>
      <c r="K1873" s="24" t="n"/>
      <c r="L1873" s="36" t="n">
        <v>136</v>
      </c>
      <c r="M1873" s="204" t="n">
        <v>2</v>
      </c>
      <c r="N1873" s="177" t="n">
        <v>1</v>
      </c>
      <c r="O1873" s="13" t="n"/>
      <c r="P1873" s="139" t="inlineStr">
        <is>
          <t>liters</t>
        </is>
      </c>
      <c r="Q1873" s="2" t="n"/>
      <c r="R1873" s="1" t="n"/>
      <c r="S1873" s="229">
        <f>M1873*N1873</f>
        <v/>
      </c>
      <c r="T1873" s="230">
        <f>CONCATENATE(S1873,Q1873,P1873)</f>
        <v/>
      </c>
      <c r="U1873" s="206">
        <f>L1873*M1873</f>
        <v/>
      </c>
      <c r="V1873" s="4" t="n"/>
      <c r="W1873" s="4" t="n"/>
      <c r="X1873" s="4" t="n"/>
    </row>
    <row r="1874" ht="15.75" customHeight="1" thickBot="1">
      <c r="A1874" s="186" t="n">
        <v>799</v>
      </c>
      <c r="B1874" s="214" t="inlineStr">
        <is>
          <t>RTD - Pineapple Juice with ACE</t>
        </is>
      </c>
      <c r="C1874" s="124" t="n"/>
      <c r="D1874" s="115" t="n"/>
      <c r="E1874" s="124" t="n"/>
      <c r="F1874" s="124" t="n"/>
      <c r="G1874" s="124" t="n"/>
      <c r="H1874" s="84" t="n"/>
      <c r="I1874" s="7" t="n"/>
      <c r="J1874" s="32" t="inlineStr">
        <is>
          <t>Del Monte</t>
        </is>
      </c>
      <c r="K1874" s="24" t="n"/>
      <c r="L1874" s="36" t="n">
        <v>96.7</v>
      </c>
      <c r="M1874" s="204" t="n">
        <v>1</v>
      </c>
      <c r="N1874" s="177" t="n">
        <v>1</v>
      </c>
      <c r="O1874" s="13" t="n"/>
      <c r="P1874" s="139" t="inlineStr">
        <is>
          <t>liters</t>
        </is>
      </c>
      <c r="Q1874" s="2" t="n"/>
      <c r="R1874" s="1" t="n"/>
      <c r="S1874" s="229">
        <f>M1874*N1874</f>
        <v/>
      </c>
      <c r="T1874" s="230">
        <f>CONCATENATE(S1874,Q1874,P1874)</f>
        <v/>
      </c>
      <c r="U1874" s="206">
        <f>L1874*M1874</f>
        <v/>
      </c>
      <c r="V1874" s="4" t="n"/>
      <c r="W1874" s="4" t="n"/>
      <c r="X1874" s="4" t="n"/>
    </row>
    <row r="1875" ht="15.75" customHeight="1" thickBot="1">
      <c r="A1875" s="186" t="n">
        <v>800</v>
      </c>
      <c r="B1875" s="214" t="inlineStr">
        <is>
          <t>RTD - Pineapple Orange Juice</t>
        </is>
      </c>
      <c r="C1875" s="124" t="n"/>
      <c r="D1875" s="115" t="n"/>
      <c r="E1875" s="124" t="n"/>
      <c r="F1875" s="124" t="n"/>
      <c r="G1875" s="124" t="n"/>
      <c r="H1875" s="84" t="n"/>
      <c r="I1875" s="7" t="n"/>
      <c r="J1875" s="32" t="inlineStr">
        <is>
          <t>Del Monte</t>
        </is>
      </c>
      <c r="K1875" s="24" t="n"/>
      <c r="L1875" s="36" t="n">
        <v>97.2</v>
      </c>
      <c r="M1875" s="204" t="n">
        <v>1</v>
      </c>
      <c r="N1875" s="177" t="n">
        <v>1</v>
      </c>
      <c r="O1875" s="13" t="n"/>
      <c r="P1875" s="139" t="inlineStr">
        <is>
          <t>liters</t>
        </is>
      </c>
      <c r="Q1875" s="2" t="n"/>
      <c r="R1875" s="1" t="n"/>
      <c r="S1875" s="229">
        <f>M1875*N1875</f>
        <v/>
      </c>
      <c r="T1875" s="230">
        <f>CONCATENATE(S1875,Q1875,P1875)</f>
        <v/>
      </c>
      <c r="U1875" s="206">
        <f>L1875*M1875</f>
        <v/>
      </c>
      <c r="V1875" s="4" t="n"/>
      <c r="W1875" s="4" t="n"/>
      <c r="X1875" s="4" t="n"/>
    </row>
    <row r="1876" ht="15.75" customHeight="1" thickBot="1">
      <c r="A1876" s="186" t="n">
        <v>801</v>
      </c>
      <c r="B1876" s="215" t="inlineStr">
        <is>
          <t>RTD - Strawberry Drink</t>
        </is>
      </c>
      <c r="C1876" s="124" t="n"/>
      <c r="D1876" s="115" t="n"/>
      <c r="E1876" s="124" t="n"/>
      <c r="F1876" s="124" t="n"/>
      <c r="G1876" s="124" t="n"/>
      <c r="H1876" s="84" t="n"/>
      <c r="I1876" s="7" t="n"/>
      <c r="J1876" s="32" t="inlineStr">
        <is>
          <t>Nutriboost</t>
        </is>
      </c>
      <c r="K1876" s="24" t="n"/>
      <c r="L1876" s="36" t="n">
        <v>19.88</v>
      </c>
      <c r="M1876" s="204" t="n">
        <v>1</v>
      </c>
      <c r="N1876" s="177" t="n">
        <v>200</v>
      </c>
      <c r="O1876" s="13" t="n"/>
      <c r="P1876" s="139" t="inlineStr">
        <is>
          <t>ml</t>
        </is>
      </c>
      <c r="Q1876" s="2" t="n"/>
      <c r="R1876" s="1" t="n"/>
      <c r="S1876" s="229">
        <f>M1876*N1876</f>
        <v/>
      </c>
      <c r="T1876" s="230">
        <f>CONCATENATE(S1876,Q1876,P1876)</f>
        <v/>
      </c>
      <c r="U1876" s="206">
        <f>L1876*M1876</f>
        <v/>
      </c>
      <c r="V1876" s="4" t="n"/>
      <c r="W1876" s="4" t="n"/>
      <c r="X1876" s="4" t="n"/>
    </row>
    <row r="1877" ht="15.75" customHeight="1" thickBot="1">
      <c r="A1877" s="186" t="n">
        <v>802</v>
      </c>
      <c r="B1877" s="214" t="inlineStr">
        <is>
          <t>Saba</t>
        </is>
      </c>
      <c r="C1877" s="124" t="n"/>
      <c r="D1877" s="115" t="n"/>
      <c r="E1877" s="124" t="n"/>
      <c r="F1877" s="124" t="n"/>
      <c r="G1877" s="124" t="n"/>
      <c r="H1877" s="84" t="n"/>
      <c r="I1877" s="7" t="n"/>
      <c r="J1877" s="32" t="n"/>
      <c r="K1877" s="24" t="n"/>
      <c r="L1877" s="36" t="n">
        <v>5.1</v>
      </c>
      <c r="M1877" s="204" t="n">
        <v>56</v>
      </c>
      <c r="N1877" s="177" t="n">
        <v>1</v>
      </c>
      <c r="O1877" s="13" t="n"/>
      <c r="P1877" s="139" t="inlineStr">
        <is>
          <t>pieces</t>
        </is>
      </c>
      <c r="Q1877" s="2" t="n"/>
      <c r="R1877" s="1" t="n"/>
      <c r="S1877" s="229">
        <f>M1877*N1877</f>
        <v/>
      </c>
      <c r="T1877" s="230">
        <f>CONCATENATE(S1877,Q1877,P1877)</f>
        <v/>
      </c>
      <c r="U1877" s="206">
        <f>L1877*M1877</f>
        <v/>
      </c>
      <c r="V1877" s="4" t="n"/>
      <c r="W1877" s="4" t="n"/>
      <c r="X1877" s="4" t="n"/>
    </row>
    <row r="1878" ht="15.75" customHeight="1" thickBot="1">
      <c r="A1878" s="186" t="n">
        <v>802</v>
      </c>
      <c r="B1878" s="214" t="inlineStr">
        <is>
          <t>Saba</t>
        </is>
      </c>
      <c r="C1878" s="124" t="n"/>
      <c r="D1878" s="115" t="n"/>
      <c r="E1878" s="124" t="n"/>
      <c r="F1878" s="124" t="n"/>
      <c r="G1878" s="124" t="n"/>
      <c r="H1878" s="84" t="n"/>
      <c r="I1878" s="7" t="n"/>
      <c r="J1878" s="32" t="n"/>
      <c r="K1878" s="24" t="n"/>
      <c r="L1878" s="36" t="n">
        <v>20</v>
      </c>
      <c r="M1878" s="204" t="n">
        <v>5</v>
      </c>
      <c r="N1878" s="177" t="n">
        <v>1</v>
      </c>
      <c r="O1878" s="13" t="n"/>
      <c r="P1878" s="139" t="inlineStr">
        <is>
          <t>kilos</t>
        </is>
      </c>
      <c r="Q1878" s="2" t="n"/>
      <c r="R1878" s="1" t="n"/>
      <c r="S1878" s="229">
        <f>M1878*N1878</f>
        <v/>
      </c>
      <c r="T1878" s="230">
        <f>CONCATENATE(S1878,Q1878,P1878)</f>
        <v/>
      </c>
      <c r="U1878" s="206">
        <f>L1878*M1878</f>
        <v/>
      </c>
      <c r="V1878" s="4" t="n"/>
      <c r="W1878" s="4" t="n"/>
      <c r="X1878" s="4" t="n"/>
    </row>
    <row r="1879" ht="15.75" customHeight="1" thickBot="1">
      <c r="A1879" s="186" t="n">
        <v>803</v>
      </c>
      <c r="B1879" s="215" t="inlineStr">
        <is>
          <t>Sage</t>
        </is>
      </c>
      <c r="C1879" s="124" t="n"/>
      <c r="D1879" s="115" t="n"/>
      <c r="E1879" s="124" t="n"/>
      <c r="F1879" s="124" t="n"/>
      <c r="G1879" s="124" t="n"/>
      <c r="H1879" s="84" t="n"/>
      <c r="I1879" s="7" t="n"/>
      <c r="J1879" s="32" t="inlineStr">
        <is>
          <t>McCormick</t>
        </is>
      </c>
      <c r="K1879" s="24" t="n"/>
      <c r="L1879" s="36" t="n">
        <v>61.75</v>
      </c>
      <c r="M1879" s="204" t="n">
        <v>3</v>
      </c>
      <c r="N1879" s="177" t="n">
        <v>12</v>
      </c>
      <c r="O1879" s="13" t="n"/>
      <c r="P1879" s="139" t="inlineStr">
        <is>
          <t>grams</t>
        </is>
      </c>
      <c r="Q1879" s="2" t="n"/>
      <c r="R1879" s="1" t="n"/>
      <c r="S1879" s="229">
        <f>M1879*N1879</f>
        <v/>
      </c>
      <c r="T1879" s="230">
        <f>CONCATENATE(S1879,Q1879,P1879)</f>
        <v/>
      </c>
      <c r="U1879" s="206">
        <f>L1879*M1879</f>
        <v/>
      </c>
      <c r="V1879" s="4" t="n"/>
      <c r="W1879" s="4" t="n"/>
      <c r="X1879" s="4" t="n"/>
    </row>
    <row r="1880" ht="15.75" customHeight="1" thickBot="1">
      <c r="A1880" s="186" t="n">
        <v>803</v>
      </c>
      <c r="B1880" s="214" t="inlineStr">
        <is>
          <t>Sage</t>
        </is>
      </c>
      <c r="C1880" s="124" t="n"/>
      <c r="D1880" s="115" t="n"/>
      <c r="E1880" s="124" t="n"/>
      <c r="F1880" s="124" t="n"/>
      <c r="G1880" s="124" t="n"/>
      <c r="H1880" s="84" t="n"/>
      <c r="I1880" s="7" t="n"/>
      <c r="J1880" s="32" t="inlineStr">
        <is>
          <t>Mc Cormick</t>
        </is>
      </c>
      <c r="K1880" s="24" t="n"/>
      <c r="L1880" s="36" t="n">
        <v>37</v>
      </c>
      <c r="M1880" s="204" t="n">
        <v>0</v>
      </c>
      <c r="N1880" s="177" t="n">
        <v>5</v>
      </c>
      <c r="O1880" s="13" t="n"/>
      <c r="P1880" s="139" t="inlineStr">
        <is>
          <t>grams</t>
        </is>
      </c>
      <c r="Q1880" s="2" t="n"/>
      <c r="R1880" s="1" t="n"/>
      <c r="S1880" s="229">
        <f>M1880*N1880</f>
        <v/>
      </c>
      <c r="T1880" s="230">
        <f>CONCATENATE(S1880,Q1880,P1880)</f>
        <v/>
      </c>
      <c r="U1880" s="206">
        <f>L1880*M1880</f>
        <v/>
      </c>
      <c r="V1880" s="4" t="n"/>
      <c r="W1880" s="4" t="n"/>
      <c r="X1880" s="4" t="n"/>
    </row>
    <row r="1881" ht="15.75" customHeight="1" thickBot="1">
      <c r="A1881" s="186" t="n">
        <v>804</v>
      </c>
      <c r="B1881" s="214" t="inlineStr">
        <is>
          <t>Sago</t>
        </is>
      </c>
      <c r="C1881" s="124" t="n"/>
      <c r="D1881" s="115" t="n"/>
      <c r="E1881" s="124" t="n"/>
      <c r="F1881" s="124" t="n"/>
      <c r="G1881" s="124" t="n"/>
      <c r="H1881" s="84" t="n"/>
      <c r="I1881" s="7" t="n"/>
      <c r="J1881" s="32" t="inlineStr">
        <is>
          <t>JRS Vegetables and Sea foods</t>
        </is>
      </c>
      <c r="K1881" s="24" t="n"/>
      <c r="L1881" s="36" t="n">
        <v>100</v>
      </c>
      <c r="M1881" s="204" t="n">
        <v>1</v>
      </c>
      <c r="N1881" s="177" t="n">
        <v>1</v>
      </c>
      <c r="O1881" s="13" t="n"/>
      <c r="P1881" s="139" t="inlineStr">
        <is>
          <t>kilos</t>
        </is>
      </c>
      <c r="Q1881" s="2" t="n"/>
      <c r="R1881" s="1" t="n"/>
      <c r="S1881" s="229">
        <f>M1881*N1881</f>
        <v/>
      </c>
      <c r="T1881" s="230">
        <f>CONCATENATE(S1881,Q1881,P1881)</f>
        <v/>
      </c>
      <c r="U1881" s="206">
        <f>L1881*M1881</f>
        <v/>
      </c>
      <c r="V1881" s="4" t="n"/>
      <c r="W1881" s="4" t="n"/>
      <c r="X1881" s="4" t="n"/>
    </row>
    <row r="1882" ht="15.75" customHeight="1" thickBot="1">
      <c r="A1882" s="186" t="n">
        <v>363</v>
      </c>
      <c r="B1882" s="214" t="inlineStr">
        <is>
          <t>Salabat</t>
        </is>
      </c>
      <c r="C1882" s="124" t="n"/>
      <c r="D1882" s="115" t="n"/>
      <c r="E1882" s="124" t="n"/>
      <c r="F1882" s="124" t="n"/>
      <c r="G1882" s="124" t="n"/>
      <c r="H1882" s="84" t="n"/>
      <c r="I1882" s="7" t="n"/>
      <c r="J1882" s="32" t="inlineStr">
        <is>
          <t>Ludy's</t>
        </is>
      </c>
      <c r="K1882" s="24" t="n"/>
      <c r="L1882" s="36" t="n">
        <v>3.99</v>
      </c>
      <c r="M1882" s="204" t="n">
        <v>63</v>
      </c>
      <c r="N1882" s="177" t="n">
        <v>8</v>
      </c>
      <c r="O1882" s="13" t="n"/>
      <c r="P1882" s="139" t="inlineStr">
        <is>
          <t>grams</t>
        </is>
      </c>
      <c r="Q1882" s="2" t="n"/>
      <c r="R1882" s="1" t="n"/>
      <c r="S1882" s="229">
        <f>M1882*N1882</f>
        <v/>
      </c>
      <c r="T1882" s="230">
        <f>CONCATENATE(S1882,Q1882,P1882)</f>
        <v/>
      </c>
      <c r="U1882" s="206">
        <f>L1882*M1882</f>
        <v/>
      </c>
      <c r="V1882" s="4" t="n"/>
      <c r="W1882" s="4" t="n"/>
      <c r="X1882" s="4" t="n"/>
    </row>
    <row r="1883" ht="15.75" customHeight="1" thickBot="1">
      <c r="A1883" s="186" t="n">
        <v>363</v>
      </c>
      <c r="B1883" s="214" t="inlineStr">
        <is>
          <t>Salabat</t>
        </is>
      </c>
      <c r="C1883" s="124" t="n"/>
      <c r="D1883" s="115" t="n"/>
      <c r="E1883" s="124" t="n"/>
      <c r="F1883" s="124" t="n"/>
      <c r="G1883" s="124" t="n"/>
      <c r="H1883" s="84" t="n"/>
      <c r="I1883" s="7" t="n"/>
      <c r="J1883" s="32" t="inlineStr">
        <is>
          <t>Ludy's</t>
        </is>
      </c>
      <c r="K1883" s="24" t="n"/>
      <c r="L1883" s="36" t="n">
        <v>3.99</v>
      </c>
      <c r="M1883" s="204" t="n">
        <v>279</v>
      </c>
      <c r="N1883" s="177" t="n">
        <v>8</v>
      </c>
      <c r="O1883" s="13" t="n"/>
      <c r="P1883" s="139" t="inlineStr">
        <is>
          <t>grams</t>
        </is>
      </c>
      <c r="Q1883" s="2" t="n"/>
      <c r="R1883" s="1" t="n"/>
      <c r="S1883" s="229">
        <f>M1883*N1883</f>
        <v/>
      </c>
      <c r="T1883" s="230">
        <f>CONCATENATE(S1883,Q1883,P1883)</f>
        <v/>
      </c>
      <c r="U1883" s="206">
        <f>L1883*M1883</f>
        <v/>
      </c>
      <c r="V1883" s="4" t="n"/>
      <c r="W1883" s="4" t="n"/>
      <c r="X1883" s="4" t="n"/>
    </row>
    <row r="1884" ht="15.75" customHeight="1" thickBot="1">
      <c r="A1884" s="186" t="n">
        <v>805</v>
      </c>
      <c r="B1884" s="215" t="inlineStr">
        <is>
          <t>Salami</t>
        </is>
      </c>
      <c r="C1884" s="124" t="n"/>
      <c r="D1884" s="115" t="n"/>
      <c r="E1884" s="124" t="n"/>
      <c r="F1884" s="124" t="n"/>
      <c r="G1884" s="124" t="n"/>
      <c r="H1884" s="84" t="n"/>
      <c r="I1884" s="7" t="n"/>
      <c r="J1884" s="32" t="inlineStr">
        <is>
          <t>King Sue</t>
        </is>
      </c>
      <c r="K1884" s="24" t="n"/>
      <c r="L1884" s="36" t="n">
        <v>83</v>
      </c>
      <c r="M1884" s="204" t="n">
        <v>1</v>
      </c>
      <c r="N1884" s="177" t="n">
        <v>250</v>
      </c>
      <c r="O1884" s="13" t="n"/>
      <c r="P1884" s="139" t="inlineStr">
        <is>
          <t>grams</t>
        </is>
      </c>
      <c r="Q1884" s="2" t="n"/>
      <c r="R1884" s="1" t="n"/>
      <c r="S1884" s="229">
        <f>M1884*N1884</f>
        <v/>
      </c>
      <c r="T1884" s="230">
        <f>CONCATENATE(S1884,Q1884,P1884)</f>
        <v/>
      </c>
      <c r="U1884" s="206">
        <f>L1884*M1884</f>
        <v/>
      </c>
      <c r="V1884" s="4" t="n"/>
      <c r="W1884" s="4" t="n"/>
      <c r="X1884" s="4" t="n"/>
    </row>
    <row r="1885" ht="15.75" customHeight="1" thickBot="1">
      <c r="A1885" s="186" t="n">
        <v>806</v>
      </c>
      <c r="B1885" s="214" t="inlineStr">
        <is>
          <t>Salmon Head</t>
        </is>
      </c>
      <c r="C1885" s="124" t="n"/>
      <c r="D1885" s="115" t="n"/>
      <c r="E1885" s="124" t="n"/>
      <c r="F1885" s="124" t="n"/>
      <c r="G1885" s="124" t="n"/>
      <c r="H1885" s="84" t="n"/>
      <c r="I1885" s="7" t="n"/>
      <c r="J1885" s="32" t="n"/>
      <c r="K1885" s="24" t="n"/>
      <c r="L1885" s="36" t="n">
        <v>220</v>
      </c>
      <c r="M1885" s="204" t="n">
        <v>3</v>
      </c>
      <c r="N1885" s="177" t="n">
        <v>1</v>
      </c>
      <c r="O1885" s="13" t="n"/>
      <c r="P1885" s="139" t="inlineStr">
        <is>
          <t>kilos</t>
        </is>
      </c>
      <c r="Q1885" s="2" t="n"/>
      <c r="R1885" s="1" t="n"/>
      <c r="S1885" s="229">
        <f>M1885*N1885</f>
        <v/>
      </c>
      <c r="T1885" s="230">
        <f>CONCATENATE(S1885,Q1885,P1885)</f>
        <v/>
      </c>
      <c r="U1885" s="206">
        <f>L1885*M1885</f>
        <v/>
      </c>
      <c r="V1885" s="4" t="n"/>
      <c r="W1885" s="4" t="n"/>
      <c r="X1885" s="4" t="n"/>
    </row>
    <row r="1886" ht="15.75" customHeight="1" thickBot="1">
      <c r="A1886" s="186" t="n">
        <v>807</v>
      </c>
      <c r="B1886" s="215" t="inlineStr">
        <is>
          <t>Salsa</t>
        </is>
      </c>
      <c r="C1886" s="124" t="n"/>
      <c r="D1886" s="115" t="n"/>
      <c r="E1886" s="124" t="n"/>
      <c r="F1886" s="124" t="n"/>
      <c r="G1886" s="124" t="n"/>
      <c r="H1886" s="84" t="n"/>
      <c r="I1886" s="7" t="n"/>
      <c r="J1886" s="32" t="inlineStr">
        <is>
          <t>Tostitos - Chunky Salsa</t>
        </is>
      </c>
      <c r="K1886" s="24" t="n"/>
      <c r="L1886" s="36" t="n">
        <v>218</v>
      </c>
      <c r="M1886" s="204" t="n">
        <v>0</v>
      </c>
      <c r="N1886" s="177" t="n">
        <v>439</v>
      </c>
      <c r="O1886" s="13" t="n"/>
      <c r="P1886" s="139" t="inlineStr">
        <is>
          <t>grams</t>
        </is>
      </c>
      <c r="Q1886" s="2" t="n"/>
      <c r="R1886" s="1" t="n"/>
      <c r="S1886" s="229">
        <f>M1886*N1886</f>
        <v/>
      </c>
      <c r="T1886" s="230">
        <f>CONCATENATE(S1886,Q1886,P1886)</f>
        <v/>
      </c>
      <c r="U1886" s="206">
        <f>L1886*M1886</f>
        <v/>
      </c>
      <c r="V1886" s="4" t="n"/>
      <c r="W1886" s="4" t="n"/>
      <c r="X1886" s="4" t="n"/>
    </row>
    <row r="1887" ht="15.75" customHeight="1" thickBot="1">
      <c r="A1887" s="186" t="n">
        <v>364</v>
      </c>
      <c r="B1887" s="214" t="inlineStr">
        <is>
          <t>Salt</t>
        </is>
      </c>
      <c r="C1887" s="124" t="n"/>
      <c r="D1887" s="115" t="n"/>
      <c r="E1887" s="124" t="n"/>
      <c r="F1887" s="124" t="n"/>
      <c r="G1887" s="124" t="n"/>
      <c r="H1887" s="84" t="n"/>
      <c r="I1887" s="7" t="n"/>
      <c r="J1887" s="32" t="inlineStr">
        <is>
          <t>Crystal</t>
        </is>
      </c>
      <c r="K1887" s="24" t="n"/>
      <c r="L1887" s="36" t="n">
        <v>10</v>
      </c>
      <c r="M1887" s="204" t="n">
        <v>18</v>
      </c>
      <c r="N1887" s="177" t="n">
        <v>1</v>
      </c>
      <c r="O1887" s="13" t="n"/>
      <c r="P1887" s="139" t="inlineStr">
        <is>
          <t>kilos</t>
        </is>
      </c>
      <c r="Q1887" s="2" t="n"/>
      <c r="R1887" s="1" t="n"/>
      <c r="S1887" s="229">
        <f>M1887*N1887</f>
        <v/>
      </c>
      <c r="T1887" s="230">
        <f>CONCATENATE(S1887,Q1887,P1887)</f>
        <v/>
      </c>
      <c r="U1887" s="206">
        <f>L1887*M1887</f>
        <v/>
      </c>
      <c r="V1887" s="4" t="n"/>
      <c r="W1887" s="4" t="n"/>
      <c r="X1887" s="4" t="n"/>
    </row>
    <row r="1888" ht="15.75" customHeight="1" thickBot="1">
      <c r="A1888" s="186" t="n">
        <v>808</v>
      </c>
      <c r="B1888" s="214" t="inlineStr">
        <is>
          <t>Salt - Iodized</t>
        </is>
      </c>
      <c r="C1888" s="124" t="n"/>
      <c r="D1888" s="115" t="n"/>
      <c r="E1888" s="124" t="n"/>
      <c r="F1888" s="124" t="n"/>
      <c r="G1888" s="124" t="n"/>
      <c r="H1888" s="84" t="n"/>
      <c r="I1888" s="7" t="n"/>
      <c r="J1888" s="32" t="inlineStr">
        <is>
          <t>Fidel</t>
        </is>
      </c>
      <c r="K1888" s="24" t="n"/>
      <c r="L1888" s="36" t="n">
        <v>15</v>
      </c>
      <c r="M1888" s="204" t="n">
        <v>5</v>
      </c>
      <c r="N1888" s="177" t="n">
        <v>250</v>
      </c>
      <c r="O1888" s="13" t="n"/>
      <c r="P1888" s="139" t="inlineStr">
        <is>
          <t>grams</t>
        </is>
      </c>
      <c r="Q1888" s="2" t="n"/>
      <c r="R1888" s="1" t="n"/>
      <c r="S1888" s="229">
        <f>M1888*N1888</f>
        <v/>
      </c>
      <c r="T1888" s="230">
        <f>CONCATENATE(S1888,Q1888,P1888)</f>
        <v/>
      </c>
      <c r="U1888" s="206">
        <f>L1888*M1888</f>
        <v/>
      </c>
      <c r="V1888" s="4" t="n"/>
      <c r="W1888" s="4" t="n"/>
      <c r="X1888" s="4" t="n"/>
    </row>
    <row r="1889" ht="15.75" customHeight="1" thickBot="1">
      <c r="A1889" s="186" t="n">
        <v>808</v>
      </c>
      <c r="B1889" s="214" t="inlineStr">
        <is>
          <t>Salt - Iodized</t>
        </is>
      </c>
      <c r="C1889" s="124" t="n"/>
      <c r="D1889" s="115" t="n"/>
      <c r="E1889" s="124" t="n"/>
      <c r="F1889" s="124" t="n"/>
      <c r="G1889" s="124" t="n"/>
      <c r="H1889" s="84" t="n"/>
      <c r="I1889" s="7" t="n"/>
      <c r="J1889" s="32" t="inlineStr">
        <is>
          <t>Fidel</t>
        </is>
      </c>
      <c r="K1889" s="24" t="n"/>
      <c r="L1889" s="36" t="n">
        <v>32.3</v>
      </c>
      <c r="M1889" s="204" t="n">
        <v>1</v>
      </c>
      <c r="N1889" s="177" t="n">
        <v>1</v>
      </c>
      <c r="O1889" s="13" t="n"/>
      <c r="P1889" s="139" t="inlineStr">
        <is>
          <t>kilos</t>
        </is>
      </c>
      <c r="Q1889" s="2" t="n"/>
      <c r="R1889" s="1" t="n"/>
      <c r="S1889" s="229">
        <f>M1889*N1889</f>
        <v/>
      </c>
      <c r="T1889" s="230">
        <f>CONCATENATE(S1889,Q1889,P1889)</f>
        <v/>
      </c>
      <c r="U1889" s="206">
        <f>L1889*M1889</f>
        <v/>
      </c>
      <c r="V1889" s="4" t="n"/>
      <c r="W1889" s="4" t="n"/>
      <c r="X1889" s="4" t="n"/>
    </row>
    <row r="1890" ht="15.75" customHeight="1" thickBot="1">
      <c r="A1890" s="186" t="n">
        <v>808</v>
      </c>
      <c r="B1890" s="214" t="inlineStr">
        <is>
          <t>Salt - Iodized</t>
        </is>
      </c>
      <c r="C1890" s="124" t="n"/>
      <c r="D1890" s="115" t="n"/>
      <c r="E1890" s="124" t="n"/>
      <c r="F1890" s="124" t="n"/>
      <c r="G1890" s="124" t="n"/>
      <c r="H1890" s="84" t="n"/>
      <c r="I1890" s="7" t="n"/>
      <c r="J1890" s="32" t="inlineStr">
        <is>
          <t>Lasap</t>
        </is>
      </c>
      <c r="K1890" s="24" t="n"/>
      <c r="L1890" s="36" t="n">
        <v>25</v>
      </c>
      <c r="M1890" s="204" t="n">
        <v>30</v>
      </c>
      <c r="N1890" s="177" t="n">
        <v>500</v>
      </c>
      <c r="O1890" s="13" t="n"/>
      <c r="P1890" s="139" t="inlineStr">
        <is>
          <t>grams</t>
        </is>
      </c>
      <c r="Q1890" s="2" t="n"/>
      <c r="R1890" s="1" t="n"/>
      <c r="S1890" s="229">
        <f>M1890*N1890</f>
        <v/>
      </c>
      <c r="T1890" s="230">
        <f>CONCATENATE(S1890,Q1890,P1890)</f>
        <v/>
      </c>
      <c r="U1890" s="206">
        <f>L1890*M1890</f>
        <v/>
      </c>
      <c r="V1890" s="4" t="n"/>
      <c r="W1890" s="4" t="n"/>
      <c r="X1890" s="4" t="n"/>
    </row>
    <row r="1891" ht="15.75" customHeight="1" thickBot="1">
      <c r="A1891" s="186" t="n">
        <v>808</v>
      </c>
      <c r="B1891" s="214" t="inlineStr">
        <is>
          <t>Salt - Iodized</t>
        </is>
      </c>
      <c r="C1891" s="124" t="n"/>
      <c r="D1891" s="115" t="n"/>
      <c r="E1891" s="124" t="n"/>
      <c r="F1891" s="124" t="n"/>
      <c r="G1891" s="124" t="n"/>
      <c r="H1891" s="84" t="n"/>
      <c r="I1891" s="7" t="n"/>
      <c r="J1891" s="32" t="inlineStr">
        <is>
          <t>Lasap</t>
        </is>
      </c>
      <c r="K1891" s="24" t="n"/>
      <c r="L1891" s="36" t="n">
        <v>28</v>
      </c>
      <c r="M1891" s="204" t="n">
        <v>10</v>
      </c>
      <c r="N1891" s="177" t="n">
        <v>1</v>
      </c>
      <c r="O1891" s="13" t="n"/>
      <c r="P1891" s="139" t="inlineStr">
        <is>
          <t>kilos</t>
        </is>
      </c>
      <c r="Q1891" s="2" t="n"/>
      <c r="R1891" s="1" t="n"/>
      <c r="S1891" s="229">
        <f>M1891*N1891</f>
        <v/>
      </c>
      <c r="T1891" s="230">
        <f>CONCATENATE(S1891,Q1891,P1891)</f>
        <v/>
      </c>
      <c r="U1891" s="206">
        <f>L1891*M1891</f>
        <v/>
      </c>
      <c r="V1891" s="4" t="n"/>
      <c r="W1891" s="4" t="n"/>
      <c r="X1891" s="4" t="n"/>
    </row>
    <row r="1892" ht="15.75" customHeight="1" thickBot="1">
      <c r="A1892" s="186" t="n">
        <v>808</v>
      </c>
      <c r="B1892" s="214" t="inlineStr">
        <is>
          <t>Salt - Iodized</t>
        </is>
      </c>
      <c r="C1892" s="124" t="n"/>
      <c r="D1892" s="115" t="n"/>
      <c r="E1892" s="124" t="n"/>
      <c r="F1892" s="124" t="n"/>
      <c r="G1892" s="124" t="n"/>
      <c r="H1892" s="84" t="n"/>
      <c r="I1892" s="7" t="n"/>
      <c r="J1892" s="32" t="inlineStr">
        <is>
          <t>Fidel</t>
        </is>
      </c>
      <c r="K1892" s="24" t="n"/>
      <c r="L1892" s="36" t="n">
        <v>32</v>
      </c>
      <c r="M1892" s="204" t="n">
        <v>2</v>
      </c>
      <c r="N1892" s="177" t="n">
        <v>1</v>
      </c>
      <c r="O1892" s="13" t="n"/>
      <c r="P1892" s="139" t="inlineStr">
        <is>
          <t>kilos</t>
        </is>
      </c>
      <c r="Q1892" s="2" t="n"/>
      <c r="R1892" s="1" t="n"/>
      <c r="S1892" s="229">
        <f>M1892*N1892</f>
        <v/>
      </c>
      <c r="T1892" s="230">
        <f>CONCATENATE(S1892,Q1892,P1892)</f>
        <v/>
      </c>
      <c r="U1892" s="206">
        <f>L1892*M1892</f>
        <v/>
      </c>
      <c r="V1892" s="4" t="n"/>
      <c r="W1892" s="4" t="n"/>
      <c r="X1892" s="4" t="n"/>
    </row>
    <row r="1893" ht="15.75" customHeight="1" thickBot="1">
      <c r="A1893" s="186" t="n">
        <v>808</v>
      </c>
      <c r="B1893" s="215" t="inlineStr">
        <is>
          <t>Salt - Iodized</t>
        </is>
      </c>
      <c r="C1893" s="124" t="n"/>
      <c r="D1893" s="115" t="n"/>
      <c r="E1893" s="124" t="n"/>
      <c r="F1893" s="124" t="n"/>
      <c r="G1893" s="124" t="n"/>
      <c r="H1893" s="84" t="n"/>
      <c r="I1893" s="7" t="n"/>
      <c r="J1893" s="32" t="inlineStr">
        <is>
          <t>Fidel</t>
        </is>
      </c>
      <c r="K1893" s="24" t="n"/>
      <c r="L1893" s="36" t="n">
        <v>35.5</v>
      </c>
      <c r="M1893" s="204" t="n">
        <v>18</v>
      </c>
      <c r="N1893" s="177" t="n">
        <v>1</v>
      </c>
      <c r="O1893" s="13" t="n"/>
      <c r="P1893" s="139" t="inlineStr">
        <is>
          <t>kilos</t>
        </is>
      </c>
      <c r="Q1893" s="2" t="n"/>
      <c r="R1893" s="1" t="n"/>
      <c r="S1893" s="229">
        <f>M1893*N1893</f>
        <v/>
      </c>
      <c r="T1893" s="230">
        <f>CONCATENATE(S1893,Q1893,P1893)</f>
        <v/>
      </c>
      <c r="U1893" s="206">
        <f>L1893*M1893</f>
        <v/>
      </c>
      <c r="V1893" s="4" t="n"/>
      <c r="W1893" s="4" t="n"/>
      <c r="X1893" s="4" t="n"/>
    </row>
    <row r="1894" ht="15.75" customHeight="1" thickBot="1">
      <c r="A1894" s="186" t="n">
        <v>808</v>
      </c>
      <c r="B1894" s="214" t="inlineStr">
        <is>
          <t>Salt - Iodized</t>
        </is>
      </c>
      <c r="C1894" s="124" t="n"/>
      <c r="D1894" s="115" t="n"/>
      <c r="E1894" s="124" t="n"/>
      <c r="F1894" s="124" t="n"/>
      <c r="G1894" s="124" t="n"/>
      <c r="H1894" s="84" t="n"/>
      <c r="I1894" s="7" t="n"/>
      <c r="J1894" s="32" t="inlineStr">
        <is>
          <t>Fidel</t>
        </is>
      </c>
      <c r="K1894" s="24" t="n"/>
      <c r="L1894" s="36" t="n">
        <v>32.3</v>
      </c>
      <c r="M1894" s="204" t="n">
        <v>2</v>
      </c>
      <c r="N1894" s="177" t="n">
        <v>1</v>
      </c>
      <c r="O1894" s="13" t="n"/>
      <c r="P1894" s="139" t="inlineStr">
        <is>
          <t>kilos</t>
        </is>
      </c>
      <c r="Q1894" s="2" t="n"/>
      <c r="R1894" s="1" t="n"/>
      <c r="S1894" s="229">
        <f>M1894*N1894</f>
        <v/>
      </c>
      <c r="T1894" s="230">
        <f>CONCATENATE(S1894,Q1894,P1894)</f>
        <v/>
      </c>
      <c r="U1894" s="206">
        <f>L1894*M1894</f>
        <v/>
      </c>
      <c r="V1894" s="4" t="n"/>
      <c r="W1894" s="4" t="n"/>
      <c r="X1894" s="4" t="n"/>
    </row>
    <row r="1895" ht="15.75" customHeight="1" thickBot="1">
      <c r="A1895" s="186" t="n">
        <v>365</v>
      </c>
      <c r="B1895" s="214" t="inlineStr">
        <is>
          <t>Salt - Rock</t>
        </is>
      </c>
      <c r="C1895" s="124" t="n"/>
      <c r="D1895" s="115" t="n"/>
      <c r="E1895" s="124" t="n"/>
      <c r="F1895" s="124" t="n"/>
      <c r="G1895" s="124" t="n"/>
      <c r="H1895" s="84" t="n"/>
      <c r="I1895" s="7" t="n"/>
      <c r="J1895" s="32" t="n"/>
      <c r="K1895" s="24" t="n"/>
      <c r="L1895" s="36" t="n">
        <v>25</v>
      </c>
      <c r="M1895" s="204" t="n">
        <v>26</v>
      </c>
      <c r="N1895" s="177" t="n">
        <v>1</v>
      </c>
      <c r="O1895" s="13" t="n"/>
      <c r="P1895" s="139" t="inlineStr">
        <is>
          <t>kilos</t>
        </is>
      </c>
      <c r="Q1895" s="2" t="n"/>
      <c r="R1895" s="1" t="n"/>
      <c r="S1895" s="229">
        <f>M1895*N1895</f>
        <v/>
      </c>
      <c r="T1895" s="230">
        <f>CONCATENATE(S1895,Q1895,P1895)</f>
        <v/>
      </c>
      <c r="U1895" s="206">
        <f>L1895*M1895</f>
        <v/>
      </c>
      <c r="V1895" s="4" t="n"/>
      <c r="W1895" s="4" t="n"/>
      <c r="X1895" s="4" t="n"/>
    </row>
    <row r="1896" ht="15.75" customHeight="1" thickBot="1">
      <c r="A1896" s="186" t="n">
        <v>365</v>
      </c>
      <c r="B1896" s="215" t="inlineStr">
        <is>
          <t>Salt - Rock</t>
        </is>
      </c>
      <c r="C1896" s="124" t="n"/>
      <c r="D1896" s="115" t="n"/>
      <c r="E1896" s="124" t="n"/>
      <c r="F1896" s="124" t="n"/>
      <c r="G1896" s="124" t="n"/>
      <c r="H1896" s="84" t="n"/>
      <c r="I1896" s="7" t="n"/>
      <c r="J1896" s="32" t="n"/>
      <c r="K1896" s="24" t="n"/>
      <c r="L1896" s="36" t="n">
        <v>25</v>
      </c>
      <c r="M1896" s="204" t="n">
        <v>2</v>
      </c>
      <c r="N1896" s="177" t="n">
        <v>1</v>
      </c>
      <c r="O1896" s="13" t="n"/>
      <c r="P1896" s="139" t="inlineStr">
        <is>
          <t>kilos</t>
        </is>
      </c>
      <c r="Q1896" s="2" t="n"/>
      <c r="R1896" s="1" t="n"/>
      <c r="S1896" s="229">
        <f>M1896*N1896</f>
        <v/>
      </c>
      <c r="T1896" s="230">
        <f>CONCATENATE(S1896,Q1896,P1896)</f>
        <v/>
      </c>
      <c r="U1896" s="206">
        <f>L1896*M1896</f>
        <v/>
      </c>
      <c r="V1896" s="4" t="n"/>
      <c r="W1896" s="4" t="n"/>
      <c r="X1896" s="4" t="n"/>
    </row>
    <row r="1897" ht="15.75" customHeight="1" thickBot="1">
      <c r="A1897" s="186" t="n">
        <v>809</v>
      </c>
      <c r="B1897" s="214" t="inlineStr">
        <is>
          <t>Salted Egg</t>
        </is>
      </c>
      <c r="C1897" s="124" t="n"/>
      <c r="D1897" s="115" t="n"/>
      <c r="E1897" s="124" t="n"/>
      <c r="F1897" s="124" t="n"/>
      <c r="G1897" s="124" t="n"/>
      <c r="H1897" s="84" t="n"/>
      <c r="I1897" s="7" t="n"/>
      <c r="J1897" s="32" t="inlineStr">
        <is>
          <t>JRS Vegetables and Sea foods</t>
        </is>
      </c>
      <c r="K1897" s="24" t="n"/>
      <c r="L1897" s="36" t="n">
        <v>20</v>
      </c>
      <c r="M1897" s="204" t="n">
        <v>16</v>
      </c>
      <c r="N1897" s="177" t="n">
        <v>1</v>
      </c>
      <c r="O1897" s="13" t="n"/>
      <c r="P1897" s="139" t="inlineStr">
        <is>
          <t>pieces</t>
        </is>
      </c>
      <c r="Q1897" s="2" t="n"/>
      <c r="R1897" s="1" t="n"/>
      <c r="S1897" s="229">
        <f>M1897*N1897</f>
        <v/>
      </c>
      <c r="T1897" s="230">
        <f>CONCATENATE(S1897,Q1897,P1897)</f>
        <v/>
      </c>
      <c r="U1897" s="206">
        <f>L1897*M1897</f>
        <v/>
      </c>
      <c r="V1897" s="4" t="n"/>
      <c r="W1897" s="4" t="n"/>
      <c r="X1897" s="4" t="n"/>
    </row>
    <row r="1898" ht="15.75" customHeight="1" thickBot="1">
      <c r="A1898" s="186" t="n">
        <v>810</v>
      </c>
      <c r="B1898" s="214" t="inlineStr">
        <is>
          <t>Saluyot</t>
        </is>
      </c>
      <c r="C1898" s="124" t="n"/>
      <c r="D1898" s="115" t="n"/>
      <c r="E1898" s="124" t="n"/>
      <c r="F1898" s="124" t="n"/>
      <c r="G1898" s="124" t="n"/>
      <c r="H1898" s="84" t="n"/>
      <c r="I1898" s="7" t="n"/>
      <c r="J1898" s="32" t="n"/>
      <c r="K1898" s="24" t="n"/>
      <c r="L1898" s="36" t="n">
        <v>30</v>
      </c>
      <c r="M1898" s="204" t="n">
        <v>1</v>
      </c>
      <c r="N1898" s="177" t="n">
        <v>1</v>
      </c>
      <c r="O1898" s="13" t="n"/>
      <c r="P1898" s="139" t="inlineStr">
        <is>
          <t>kilos</t>
        </is>
      </c>
      <c r="Q1898" s="2" t="n"/>
      <c r="R1898" s="1" t="n"/>
      <c r="S1898" s="229">
        <f>M1898*N1898</f>
        <v/>
      </c>
      <c r="T1898" s="230">
        <f>CONCATENATE(S1898,Q1898,P1898)</f>
        <v/>
      </c>
      <c r="U1898" s="206">
        <f>L1898*M1898</f>
        <v/>
      </c>
      <c r="V1898" s="4" t="n"/>
      <c r="W1898" s="4" t="n"/>
      <c r="X1898" s="4" t="n"/>
    </row>
    <row r="1899" ht="15.75" customHeight="1" thickBot="1">
      <c r="A1899" s="186" t="n">
        <v>811</v>
      </c>
      <c r="B1899" s="214" t="inlineStr">
        <is>
          <t>Sandwich Bag</t>
        </is>
      </c>
      <c r="C1899" s="124" t="n"/>
      <c r="D1899" s="115" t="n"/>
      <c r="E1899" s="124" t="n"/>
      <c r="F1899" s="124" t="n"/>
      <c r="G1899" s="124" t="n"/>
      <c r="H1899" s="84" t="n"/>
      <c r="I1899" s="7" t="n"/>
      <c r="J1899" s="32" t="inlineStr">
        <is>
          <t>Cheers - box of 50's</t>
        </is>
      </c>
      <c r="K1899" s="24" t="n"/>
      <c r="L1899" s="36" t="n">
        <v>90.5</v>
      </c>
      <c r="M1899" s="204" t="n">
        <v>3</v>
      </c>
      <c r="N1899" s="177" t="n">
        <v>1</v>
      </c>
      <c r="O1899" s="13" t="n"/>
      <c r="P1899" s="139" t="inlineStr">
        <is>
          <t>box</t>
        </is>
      </c>
      <c r="Q1899" s="2" t="n"/>
      <c r="R1899" s="1" t="n"/>
      <c r="S1899" s="229">
        <f>M1899*N1899</f>
        <v/>
      </c>
      <c r="T1899" s="230">
        <f>CONCATENATE(S1899,Q1899,P1899)</f>
        <v/>
      </c>
      <c r="U1899" s="206">
        <f>L1899*M1899</f>
        <v/>
      </c>
      <c r="V1899" s="4" t="n"/>
      <c r="W1899" s="4" t="n"/>
      <c r="X1899" s="4" t="n"/>
    </row>
    <row r="1900" ht="15.75" customHeight="1" thickBot="1">
      <c r="A1900" s="186" t="n">
        <v>812</v>
      </c>
      <c r="B1900" s="215" t="inlineStr">
        <is>
          <t>Sanitary Pad</t>
        </is>
      </c>
      <c r="C1900" s="124" t="n"/>
      <c r="D1900" s="115" t="n"/>
      <c r="E1900" s="124" t="n"/>
      <c r="F1900" s="124" t="n"/>
      <c r="G1900" s="124" t="n"/>
      <c r="H1900" s="84" t="n"/>
      <c r="I1900" s="7" t="n"/>
      <c r="J1900" s="32" t="inlineStr">
        <is>
          <t>Charmee - All Night</t>
        </is>
      </c>
      <c r="K1900" s="24" t="n"/>
      <c r="L1900" s="36" t="n">
        <v>6.07</v>
      </c>
      <c r="M1900" s="204" t="n">
        <v>23</v>
      </c>
      <c r="N1900" s="177" t="n">
        <v>1</v>
      </c>
      <c r="O1900" s="13" t="n"/>
      <c r="P1900" s="139" t="inlineStr">
        <is>
          <t>pieces</t>
        </is>
      </c>
      <c r="Q1900" s="2" t="n"/>
      <c r="R1900" s="1" t="n"/>
      <c r="S1900" s="229">
        <f>M1900*N1900</f>
        <v/>
      </c>
      <c r="T1900" s="230">
        <f>CONCATENATE(S1900,Q1900,P1900)</f>
        <v/>
      </c>
      <c r="U1900" s="206">
        <f>L1900*M1900</f>
        <v/>
      </c>
      <c r="V1900" s="4" t="n"/>
      <c r="W1900" s="4" t="n"/>
      <c r="X1900" s="4" t="n"/>
    </row>
    <row r="1901" ht="15.75" customHeight="1" thickBot="1">
      <c r="A1901" s="186" t="n">
        <v>812</v>
      </c>
      <c r="B1901" s="214" t="inlineStr">
        <is>
          <t>Sanitary Pad</t>
        </is>
      </c>
      <c r="C1901" s="124" t="n"/>
      <c r="D1901" s="115" t="n"/>
      <c r="E1901" s="124" t="n"/>
      <c r="F1901" s="124" t="n"/>
      <c r="G1901" s="124" t="n"/>
      <c r="H1901" s="84" t="n"/>
      <c r="I1901" s="7" t="n"/>
      <c r="J1901" s="32" t="inlineStr">
        <is>
          <t>Modess</t>
        </is>
      </c>
      <c r="K1901" s="24" t="n"/>
      <c r="L1901" s="36" t="n">
        <v>155.5</v>
      </c>
      <c r="M1901" s="204" t="n">
        <v>1</v>
      </c>
      <c r="N1901" s="177" t="n">
        <v>1</v>
      </c>
      <c r="O1901" s="13" t="n"/>
      <c r="P1901" s="139" t="inlineStr">
        <is>
          <t>packs</t>
        </is>
      </c>
      <c r="Q1901" s="2" t="n"/>
      <c r="R1901" s="1" t="n"/>
      <c r="S1901" s="229">
        <f>M1901*N1901</f>
        <v/>
      </c>
      <c r="T1901" s="230">
        <f>CONCATENATE(S1901,Q1901,P1901)</f>
        <v/>
      </c>
      <c r="U1901" s="206">
        <f>L1901*M1901</f>
        <v/>
      </c>
      <c r="V1901" s="4" t="n"/>
      <c r="W1901" s="4" t="n"/>
      <c r="X1901" s="4" t="n"/>
    </row>
    <row r="1902" ht="15.75" customHeight="1" thickBot="1">
      <c r="A1902" s="186" t="n">
        <v>812</v>
      </c>
      <c r="B1902" s="214" t="inlineStr">
        <is>
          <t>Sanitary Pad</t>
        </is>
      </c>
      <c r="C1902" s="124" t="n"/>
      <c r="D1902" s="115" t="n"/>
      <c r="E1902" s="124" t="n"/>
      <c r="F1902" s="124" t="n"/>
      <c r="G1902" s="124" t="n"/>
      <c r="H1902" s="84" t="n"/>
      <c r="I1902" s="7" t="n"/>
      <c r="J1902" s="32" t="inlineStr">
        <is>
          <t>Modess</t>
        </is>
      </c>
      <c r="K1902" s="24" t="n"/>
      <c r="L1902" s="36" t="n">
        <v>55.8</v>
      </c>
      <c r="M1902" s="204" t="n">
        <v>4</v>
      </c>
      <c r="N1902" s="177" t="n">
        <v>1</v>
      </c>
      <c r="O1902" s="13" t="n"/>
      <c r="P1902" s="139" t="inlineStr">
        <is>
          <t>packs</t>
        </is>
      </c>
      <c r="Q1902" s="2" t="n"/>
      <c r="R1902" s="1" t="n"/>
      <c r="S1902" s="229">
        <f>M1902*N1902</f>
        <v/>
      </c>
      <c r="T1902" s="230">
        <f>CONCATENATE(S1902,Q1902,P1902)</f>
        <v/>
      </c>
      <c r="U1902" s="206">
        <f>L1902*M1902</f>
        <v/>
      </c>
      <c r="V1902" s="4" t="n"/>
      <c r="W1902" s="4" t="n"/>
      <c r="X1902" s="4" t="n"/>
    </row>
    <row r="1903" ht="15.75" customHeight="1" thickBot="1">
      <c r="A1903" s="186" t="n">
        <v>813</v>
      </c>
      <c r="B1903" s="214" t="inlineStr">
        <is>
          <t>Sanitary Pads</t>
        </is>
      </c>
      <c r="C1903" s="124" t="n"/>
      <c r="D1903" s="115" t="n"/>
      <c r="E1903" s="124" t="n"/>
      <c r="F1903" s="124" t="n"/>
      <c r="G1903" s="124" t="n"/>
      <c r="H1903" s="84" t="n"/>
      <c r="I1903" s="7" t="n"/>
      <c r="J1903" s="32" t="inlineStr">
        <is>
          <t>Modess - All Night</t>
        </is>
      </c>
      <c r="K1903" s="24" t="n"/>
      <c r="L1903" s="36" t="n">
        <v>12.8</v>
      </c>
      <c r="M1903" s="204" t="n">
        <v>16</v>
      </c>
      <c r="N1903" s="177" t="n">
        <v>1</v>
      </c>
      <c r="O1903" s="13" t="n"/>
      <c r="P1903" s="139" t="inlineStr">
        <is>
          <t>pieces</t>
        </is>
      </c>
      <c r="Q1903" s="2" t="n"/>
      <c r="R1903" s="1" t="n"/>
      <c r="S1903" s="229">
        <f>M1903*N1903</f>
        <v/>
      </c>
      <c r="T1903" s="230">
        <f>CONCATENATE(S1903,Q1903,P1903)</f>
        <v/>
      </c>
      <c r="U1903" s="206">
        <f>L1903*M1903</f>
        <v/>
      </c>
      <c r="V1903" s="4" t="n"/>
      <c r="W1903" s="4" t="n"/>
      <c r="X1903" s="4" t="n"/>
    </row>
    <row r="1904" ht="15.75" customHeight="1" thickBot="1">
      <c r="A1904" s="186" t="n">
        <v>814</v>
      </c>
      <c r="B1904" s="214" t="inlineStr">
        <is>
          <t>Sapsap</t>
        </is>
      </c>
      <c r="C1904" s="124" t="n"/>
      <c r="D1904" s="115" t="n"/>
      <c r="E1904" s="124" t="n"/>
      <c r="F1904" s="124" t="n"/>
      <c r="G1904" s="124" t="n"/>
      <c r="H1904" s="84" t="n"/>
      <c r="I1904" s="7" t="n"/>
      <c r="J1904" s="32" t="n"/>
      <c r="K1904" s="24" t="n"/>
      <c r="L1904" s="36" t="n">
        <v>320</v>
      </c>
      <c r="M1904" s="204" t="n">
        <v>1</v>
      </c>
      <c r="N1904" s="177" t="n">
        <v>1</v>
      </c>
      <c r="O1904" s="13" t="n"/>
      <c r="P1904" s="139" t="inlineStr">
        <is>
          <t>kilos</t>
        </is>
      </c>
      <c r="Q1904" s="2" t="n"/>
      <c r="R1904" s="1" t="n"/>
      <c r="S1904" s="229">
        <f>M1904*N1904</f>
        <v/>
      </c>
      <c r="T1904" s="230">
        <f>CONCATENATE(S1904,Q1904,P1904)</f>
        <v/>
      </c>
      <c r="U1904" s="206">
        <f>L1904*M1904</f>
        <v/>
      </c>
      <c r="V1904" s="4" t="n"/>
      <c r="W1904" s="4" t="n"/>
      <c r="X1904" s="4" t="n"/>
    </row>
    <row r="1905" ht="15.75" customHeight="1" thickBot="1">
      <c r="A1905" s="186" t="n">
        <v>815</v>
      </c>
      <c r="B1905" s="214" t="inlineStr">
        <is>
          <t>Sauce Cup - 30ml</t>
        </is>
      </c>
      <c r="C1905" s="124" t="n"/>
      <c r="D1905" s="115" t="n"/>
      <c r="E1905" s="124" t="n"/>
      <c r="F1905" s="124" t="n"/>
      <c r="G1905" s="124" t="n"/>
      <c r="H1905" s="84" t="n"/>
      <c r="I1905" s="7" t="n"/>
      <c r="J1905" s="32" t="inlineStr">
        <is>
          <t>Calypso - pack by 50's</t>
        </is>
      </c>
      <c r="K1905" s="24" t="n"/>
      <c r="L1905" s="36" t="n">
        <v>1</v>
      </c>
      <c r="M1905" s="204" t="n">
        <v>143</v>
      </c>
      <c r="N1905" s="177" t="n">
        <v>50</v>
      </c>
      <c r="O1905" s="13" t="n"/>
      <c r="P1905" s="139" t="inlineStr">
        <is>
          <t>pieces</t>
        </is>
      </c>
      <c r="Q1905" s="2" t="n"/>
      <c r="R1905" s="1" t="n"/>
      <c r="S1905" s="229">
        <f>M1905*N1905</f>
        <v/>
      </c>
      <c r="T1905" s="230">
        <f>CONCATENATE(S1905,Q1905,P1905)</f>
        <v/>
      </c>
      <c r="U1905" s="206">
        <f>L1905*M1905</f>
        <v/>
      </c>
      <c r="V1905" s="4" t="n"/>
      <c r="W1905" s="4" t="n"/>
      <c r="X1905" s="4" t="n"/>
    </row>
    <row r="1906" ht="15.75" customHeight="1" thickBot="1">
      <c r="A1906" s="186" t="n">
        <v>816</v>
      </c>
      <c r="B1906" s="214" t="inlineStr">
        <is>
          <t>Sauce Cup 1oz</t>
        </is>
      </c>
      <c r="C1906" s="124" t="n"/>
      <c r="D1906" s="115" t="n"/>
      <c r="E1906" s="124" t="n"/>
      <c r="F1906" s="124" t="n"/>
      <c r="G1906" s="124" t="n"/>
      <c r="H1906" s="84" t="n"/>
      <c r="I1906" s="7" t="n"/>
      <c r="J1906" s="32" t="n"/>
      <c r="K1906" s="24" t="n"/>
      <c r="L1906" s="36" t="n">
        <v>1</v>
      </c>
      <c r="M1906" s="204" t="n">
        <v>69</v>
      </c>
      <c r="N1906" s="177" t="n">
        <v>1</v>
      </c>
      <c r="O1906" s="13" t="n"/>
      <c r="P1906" s="139" t="inlineStr">
        <is>
          <t>pieces</t>
        </is>
      </c>
      <c r="Q1906" s="2" t="n"/>
      <c r="R1906" s="1" t="n"/>
      <c r="S1906" s="229">
        <f>M1906*N1906</f>
        <v/>
      </c>
      <c r="T1906" s="230">
        <f>CONCATENATE(S1906,Q1906,P1906)</f>
        <v/>
      </c>
      <c r="U1906" s="206">
        <f>L1906*M1906</f>
        <v/>
      </c>
      <c r="V1906" s="4" t="n"/>
      <c r="W1906" s="4" t="n"/>
      <c r="X1906" s="4" t="n"/>
    </row>
    <row r="1907" ht="15.75" customHeight="1" thickBot="1">
      <c r="A1907" s="186" t="n">
        <v>817</v>
      </c>
      <c r="B1907" s="214" t="inlineStr">
        <is>
          <t>Sauce Cup 4oz</t>
        </is>
      </c>
      <c r="C1907" s="124" t="n"/>
      <c r="D1907" s="115" t="n"/>
      <c r="E1907" s="124" t="n"/>
      <c r="F1907" s="124" t="n"/>
      <c r="G1907" s="124" t="n"/>
      <c r="H1907" s="84" t="n"/>
      <c r="I1907" s="7" t="n"/>
      <c r="J1907" s="32" t="n"/>
      <c r="K1907" s="24" t="n"/>
      <c r="L1907" s="36" t="n">
        <v>2</v>
      </c>
      <c r="M1907" s="204" t="n">
        <v>41</v>
      </c>
      <c r="N1907" s="177" t="n">
        <v>1</v>
      </c>
      <c r="O1907" s="13" t="n"/>
      <c r="P1907" s="139" t="inlineStr">
        <is>
          <t>pieces</t>
        </is>
      </c>
      <c r="Q1907" s="2" t="n"/>
      <c r="R1907" s="1" t="n"/>
      <c r="S1907" s="229">
        <f>M1907*N1907</f>
        <v/>
      </c>
      <c r="T1907" s="230">
        <f>CONCATENATE(S1907,Q1907,P1907)</f>
        <v/>
      </c>
      <c r="U1907" s="206">
        <f>L1907*M1907</f>
        <v/>
      </c>
      <c r="V1907" s="4" t="n"/>
      <c r="W1907" s="4" t="n"/>
      <c r="X1907" s="4" t="n"/>
    </row>
    <row r="1908" ht="15.75" customHeight="1" thickBot="1">
      <c r="A1908" s="186" t="n">
        <v>818</v>
      </c>
      <c r="B1908" s="214" t="inlineStr">
        <is>
          <t>Savor Classic</t>
        </is>
      </c>
      <c r="C1908" s="124" t="n"/>
      <c r="D1908" s="115" t="n"/>
      <c r="E1908" s="124" t="n"/>
      <c r="F1908" s="124" t="n"/>
      <c r="G1908" s="124" t="n"/>
      <c r="H1908" s="84" t="n"/>
      <c r="I1908" s="7" t="n"/>
      <c r="J1908" s="32" t="inlineStr">
        <is>
          <t>Nestle - Maggi</t>
        </is>
      </c>
      <c r="K1908" s="24" t="n"/>
      <c r="L1908" s="36" t="n">
        <v>48</v>
      </c>
      <c r="M1908" s="204" t="n">
        <v>2</v>
      </c>
      <c r="N1908" s="177" t="n">
        <v>130</v>
      </c>
      <c r="O1908" s="13" t="n"/>
      <c r="P1908" s="139" t="inlineStr">
        <is>
          <t>ml</t>
        </is>
      </c>
      <c r="Q1908" s="2" t="n"/>
      <c r="R1908" s="1" t="n"/>
      <c r="S1908" s="229">
        <f>M1908*N1908</f>
        <v/>
      </c>
      <c r="T1908" s="230">
        <f>CONCATENATE(S1908,Q1908,P1908)</f>
        <v/>
      </c>
      <c r="U1908" s="206">
        <f>L1908*M1908</f>
        <v/>
      </c>
      <c r="V1908" s="4" t="n"/>
      <c r="W1908" s="4" t="n"/>
      <c r="X1908" s="4" t="n"/>
    </row>
    <row r="1909" ht="15.75" customHeight="1" thickBot="1">
      <c r="A1909" s="186" t="n">
        <v>373</v>
      </c>
      <c r="B1909" s="214" t="inlineStr">
        <is>
          <t>Sayote</t>
        </is>
      </c>
      <c r="C1909" s="124" t="n"/>
      <c r="D1909" s="115" t="n"/>
      <c r="E1909" s="124" t="n"/>
      <c r="F1909" s="124" t="n"/>
      <c r="G1909" s="124" t="n"/>
      <c r="H1909" s="84" t="n"/>
      <c r="I1909" s="7" t="n"/>
      <c r="J1909" s="32" t="n"/>
      <c r="K1909" s="24" t="n"/>
      <c r="L1909" s="36" t="n">
        <v>50</v>
      </c>
      <c r="M1909" s="204" t="n">
        <v>0</v>
      </c>
      <c r="N1909" s="177" t="n">
        <v>1</v>
      </c>
      <c r="O1909" s="13" t="n"/>
      <c r="P1909" s="139" t="inlineStr">
        <is>
          <t>kilos</t>
        </is>
      </c>
      <c r="Q1909" s="2" t="n"/>
      <c r="R1909" s="1" t="n"/>
      <c r="S1909" s="229">
        <f>M1909*N1909</f>
        <v/>
      </c>
      <c r="T1909" s="230">
        <f>CONCATENATE(S1909,Q1909,P1909)</f>
        <v/>
      </c>
      <c r="U1909" s="206">
        <f>L1909*M1909</f>
        <v/>
      </c>
      <c r="V1909" s="4" t="n"/>
      <c r="W1909" s="4" t="n"/>
      <c r="X1909" s="4" t="n"/>
    </row>
    <row r="1910" ht="15.75" customHeight="1" thickBot="1">
      <c r="A1910" s="186" t="n">
        <v>373</v>
      </c>
      <c r="B1910" s="214" t="inlineStr">
        <is>
          <t>Sayote</t>
        </is>
      </c>
      <c r="C1910" s="124" t="n"/>
      <c r="D1910" s="115" t="n"/>
      <c r="E1910" s="124" t="n"/>
      <c r="F1910" s="124" t="n"/>
      <c r="G1910" s="124" t="n"/>
      <c r="H1910" s="84" t="n"/>
      <c r="I1910" s="7" t="n"/>
      <c r="J1910" s="32" t="n"/>
      <c r="K1910" s="24" t="n"/>
      <c r="L1910" s="36" t="n">
        <v>70</v>
      </c>
      <c r="M1910" s="204" t="n">
        <v>2</v>
      </c>
      <c r="N1910" s="177" t="n">
        <v>1</v>
      </c>
      <c r="O1910" s="13" t="n"/>
      <c r="P1910" s="139" t="inlineStr">
        <is>
          <t>kilos</t>
        </is>
      </c>
      <c r="Q1910" s="2" t="n"/>
      <c r="R1910" s="1" t="n"/>
      <c r="S1910" s="229">
        <f>M1910*N1910</f>
        <v/>
      </c>
      <c r="T1910" s="230">
        <f>CONCATENATE(S1910,Q1910,P1910)</f>
        <v/>
      </c>
      <c r="U1910" s="206">
        <f>L1910*M1910</f>
        <v/>
      </c>
      <c r="V1910" s="4" t="n"/>
      <c r="W1910" s="4" t="n"/>
      <c r="X1910" s="4" t="n"/>
    </row>
    <row r="1911" ht="15.75" customHeight="1" thickBot="1">
      <c r="A1911" s="186" t="n">
        <v>373</v>
      </c>
      <c r="B1911" s="214" t="inlineStr">
        <is>
          <t>Sayote</t>
        </is>
      </c>
      <c r="C1911" s="124" t="n"/>
      <c r="D1911" s="115" t="n"/>
      <c r="E1911" s="124" t="n"/>
      <c r="F1911" s="124" t="n"/>
      <c r="G1911" s="124" t="n"/>
      <c r="H1911" s="84" t="n"/>
      <c r="I1911" s="7" t="n"/>
      <c r="J1911" s="32" t="n"/>
      <c r="K1911" s="24" t="n"/>
      <c r="L1911" s="36" t="n">
        <v>30</v>
      </c>
      <c r="M1911" s="204" t="n">
        <v>26</v>
      </c>
      <c r="N1911" s="177" t="n">
        <v>1</v>
      </c>
      <c r="O1911" s="13" t="n"/>
      <c r="P1911" s="139" t="inlineStr">
        <is>
          <t>kilos</t>
        </is>
      </c>
      <c r="Q1911" s="2" t="n"/>
      <c r="R1911" s="1" t="n"/>
      <c r="S1911" s="229">
        <f>M1911*N1911</f>
        <v/>
      </c>
      <c r="T1911" s="230">
        <f>CONCATENATE(S1911,Q1911,P1911)</f>
        <v/>
      </c>
      <c r="U1911" s="206">
        <f>L1911*M1911</f>
        <v/>
      </c>
      <c r="V1911" s="4" t="n"/>
      <c r="W1911" s="4" t="n"/>
      <c r="X1911" s="4" t="n"/>
    </row>
    <row r="1912" ht="15.75" customHeight="1" thickBot="1">
      <c r="A1912" s="186" t="n">
        <v>373</v>
      </c>
      <c r="B1912" s="214" t="inlineStr">
        <is>
          <t>Sayote</t>
        </is>
      </c>
      <c r="C1912" s="124" t="n"/>
      <c r="D1912" s="115" t="n"/>
      <c r="E1912" s="124" t="n"/>
      <c r="F1912" s="124" t="n"/>
      <c r="G1912" s="124" t="n"/>
      <c r="H1912" s="84" t="n"/>
      <c r="I1912" s="7" t="n"/>
      <c r="J1912" s="32" t="n"/>
      <c r="K1912" s="24" t="n"/>
      <c r="L1912" s="36" t="n">
        <v>35</v>
      </c>
      <c r="M1912" s="204" t="n">
        <v>2</v>
      </c>
      <c r="N1912" s="177" t="n">
        <v>1</v>
      </c>
      <c r="O1912" s="13" t="n"/>
      <c r="P1912" s="139" t="inlineStr">
        <is>
          <t>kilos</t>
        </is>
      </c>
      <c r="Q1912" s="2" t="n"/>
      <c r="R1912" s="1" t="n"/>
      <c r="S1912" s="229">
        <f>M1912*N1912</f>
        <v/>
      </c>
      <c r="T1912" s="230">
        <f>CONCATENATE(S1912,Q1912,P1912)</f>
        <v/>
      </c>
      <c r="U1912" s="206">
        <f>L1912*M1912</f>
        <v/>
      </c>
      <c r="V1912" s="4" t="n"/>
      <c r="W1912" s="4" t="n"/>
      <c r="X1912" s="4" t="n"/>
    </row>
    <row r="1913" ht="15.75" customHeight="1" thickBot="1">
      <c r="A1913" s="186" t="n">
        <v>373</v>
      </c>
      <c r="B1913" s="214" t="inlineStr">
        <is>
          <t>Sayote</t>
        </is>
      </c>
      <c r="C1913" s="124" t="n"/>
      <c r="D1913" s="115" t="n"/>
      <c r="E1913" s="124" t="n"/>
      <c r="F1913" s="124" t="n"/>
      <c r="G1913" s="124" t="n"/>
      <c r="H1913" s="84" t="n"/>
      <c r="I1913" s="7" t="n"/>
      <c r="J1913" s="32" t="inlineStr">
        <is>
          <t>Louise Food and Beverage Trading</t>
        </is>
      </c>
      <c r="K1913" s="24" t="n"/>
      <c r="L1913" s="36" t="n">
        <v>90</v>
      </c>
      <c r="M1913" s="204" t="n">
        <v>8</v>
      </c>
      <c r="N1913" s="177" t="n">
        <v>1</v>
      </c>
      <c r="O1913" s="13" t="n"/>
      <c r="P1913" s="139" t="inlineStr">
        <is>
          <t>kilos</t>
        </is>
      </c>
      <c r="Q1913" s="2" t="n"/>
      <c r="R1913" s="1" t="n"/>
      <c r="S1913" s="229">
        <f>M1913*N1913</f>
        <v/>
      </c>
      <c r="T1913" s="230">
        <f>CONCATENATE(S1913,Q1913,P1913)</f>
        <v/>
      </c>
      <c r="U1913" s="206">
        <f>L1913*M1913</f>
        <v/>
      </c>
      <c r="V1913" s="4" t="n"/>
      <c r="W1913" s="4" t="n"/>
      <c r="X1913" s="4" t="n"/>
    </row>
    <row r="1914" ht="15.75" customHeight="1" thickBot="1">
      <c r="A1914" s="186" t="n">
        <v>819</v>
      </c>
      <c r="B1914" s="214" t="inlineStr">
        <is>
          <t>Scrubbing Pad</t>
        </is>
      </c>
      <c r="C1914" s="124" t="n"/>
      <c r="D1914" s="115" t="n"/>
      <c r="E1914" s="124" t="n"/>
      <c r="F1914" s="124" t="n"/>
      <c r="G1914" s="124" t="n"/>
      <c r="H1914" s="84" t="n"/>
      <c r="I1914" s="7" t="n"/>
      <c r="J1914" s="32" t="inlineStr">
        <is>
          <t>Scotch Brite</t>
        </is>
      </c>
      <c r="K1914" s="24" t="n"/>
      <c r="L1914" s="36" t="n">
        <v>14.55</v>
      </c>
      <c r="M1914" s="204" t="n">
        <v>7</v>
      </c>
      <c r="N1914" s="177" t="n">
        <v>1</v>
      </c>
      <c r="O1914" s="13" t="n"/>
      <c r="P1914" s="139" t="inlineStr">
        <is>
          <t>pieces</t>
        </is>
      </c>
      <c r="Q1914" s="2" t="n"/>
      <c r="R1914" s="1" t="n"/>
      <c r="S1914" s="229">
        <f>M1914*N1914</f>
        <v/>
      </c>
      <c r="T1914" s="230">
        <f>CONCATENATE(S1914,Q1914,P1914)</f>
        <v/>
      </c>
      <c r="U1914" s="206">
        <f>L1914*M1914</f>
        <v/>
      </c>
      <c r="V1914" s="4" t="n"/>
      <c r="W1914" s="4" t="n"/>
      <c r="X1914" s="4" t="n"/>
    </row>
    <row r="1915" ht="15.75" customHeight="1" thickBot="1">
      <c r="A1915" s="186" t="n">
        <v>819</v>
      </c>
      <c r="B1915" s="214" t="inlineStr">
        <is>
          <t>Scrubbing Pad</t>
        </is>
      </c>
      <c r="C1915" s="124" t="n"/>
      <c r="D1915" s="115" t="n"/>
      <c r="E1915" s="124" t="n"/>
      <c r="F1915" s="124" t="n"/>
      <c r="G1915" s="124" t="n"/>
      <c r="H1915" s="84" t="n"/>
      <c r="I1915" s="7" t="n"/>
      <c r="J1915" s="32" t="inlineStr">
        <is>
          <t>Scotch Brite</t>
        </is>
      </c>
      <c r="K1915" s="24" t="n"/>
      <c r="L1915" s="36" t="n">
        <v>49</v>
      </c>
      <c r="M1915" s="204" t="n">
        <v>12</v>
      </c>
      <c r="N1915" s="177" t="n">
        <v>1</v>
      </c>
      <c r="O1915" s="13" t="n"/>
      <c r="P1915" s="139" t="inlineStr">
        <is>
          <t>pieces</t>
        </is>
      </c>
      <c r="Q1915" s="2" t="n"/>
      <c r="R1915" s="1" t="n"/>
      <c r="S1915" s="229">
        <f>M1915*N1915</f>
        <v/>
      </c>
      <c r="T1915" s="230">
        <f>CONCATENATE(S1915,Q1915,P1915)</f>
        <v/>
      </c>
      <c r="U1915" s="206">
        <f>L1915*M1915</f>
        <v/>
      </c>
      <c r="V1915" s="4" t="n"/>
      <c r="W1915" s="4" t="n"/>
      <c r="X1915" s="4" t="n"/>
    </row>
    <row r="1916" ht="15.75" customHeight="1" thickBot="1">
      <c r="A1916" s="186" t="n">
        <v>819</v>
      </c>
      <c r="B1916" s="214" t="inlineStr">
        <is>
          <t>Scrubbing Pad</t>
        </is>
      </c>
      <c r="C1916" s="124" t="n"/>
      <c r="D1916" s="115" t="n"/>
      <c r="E1916" s="124" t="n"/>
      <c r="F1916" s="124" t="n"/>
      <c r="G1916" s="124" t="n"/>
      <c r="H1916" s="84" t="n"/>
      <c r="I1916" s="7" t="n"/>
      <c r="J1916" s="32" t="inlineStr">
        <is>
          <t>Scotch Brite</t>
        </is>
      </c>
      <c r="K1916" s="24" t="n"/>
      <c r="L1916" s="36" t="n">
        <v>14.55</v>
      </c>
      <c r="M1916" s="204" t="n">
        <v>12</v>
      </c>
      <c r="N1916" s="177" t="n">
        <v>1</v>
      </c>
      <c r="O1916" s="13" t="n"/>
      <c r="P1916" s="139" t="inlineStr">
        <is>
          <t>pieces</t>
        </is>
      </c>
      <c r="Q1916" s="2" t="n"/>
      <c r="R1916" s="1" t="n"/>
      <c r="S1916" s="229">
        <f>M1916*N1916</f>
        <v/>
      </c>
      <c r="T1916" s="230">
        <f>CONCATENATE(S1916,Q1916,P1916)</f>
        <v/>
      </c>
      <c r="U1916" s="206">
        <f>L1916*M1916</f>
        <v/>
      </c>
      <c r="V1916" s="4" t="n"/>
      <c r="W1916" s="4" t="n"/>
      <c r="X1916" s="4" t="n"/>
    </row>
    <row r="1917" ht="15.75" customHeight="1" thickBot="1">
      <c r="A1917" s="186" t="n">
        <v>819</v>
      </c>
      <c r="B1917" s="214" t="inlineStr">
        <is>
          <t>Scrubbing Pad</t>
        </is>
      </c>
      <c r="C1917" s="124" t="n"/>
      <c r="D1917" s="115" t="n"/>
      <c r="E1917" s="124" t="n"/>
      <c r="F1917" s="124" t="n"/>
      <c r="G1917" s="124" t="n"/>
      <c r="H1917" s="84" t="n"/>
      <c r="I1917" s="7" t="n"/>
      <c r="J1917" s="32" t="inlineStr">
        <is>
          <t>Scotch Brite</t>
        </is>
      </c>
      <c r="K1917" s="24" t="n"/>
      <c r="L1917" s="36" t="n">
        <v>32.5</v>
      </c>
      <c r="M1917" s="204" t="n">
        <v>8</v>
      </c>
      <c r="N1917" s="177" t="n">
        <v>1</v>
      </c>
      <c r="O1917" s="13" t="n"/>
      <c r="P1917" s="139" t="inlineStr">
        <is>
          <t>pieces</t>
        </is>
      </c>
      <c r="Q1917" s="2" t="n"/>
      <c r="R1917" s="1" t="n"/>
      <c r="S1917" s="229">
        <f>M1917*N1917</f>
        <v/>
      </c>
      <c r="T1917" s="230">
        <f>CONCATENATE(S1917,Q1917,P1917)</f>
        <v/>
      </c>
      <c r="U1917" s="206">
        <f>L1917*M1917</f>
        <v/>
      </c>
      <c r="V1917" s="4" t="n"/>
      <c r="W1917" s="4" t="n"/>
      <c r="X1917" s="4" t="n"/>
    </row>
    <row r="1918" ht="15.75" customHeight="1" thickBot="1">
      <c r="A1918" s="186" t="n">
        <v>820</v>
      </c>
      <c r="B1918" s="215" t="inlineStr">
        <is>
          <t>Seasoning Powder</t>
        </is>
      </c>
      <c r="C1918" s="124" t="n"/>
      <c r="D1918" s="115" t="n"/>
      <c r="E1918" s="124" t="n"/>
      <c r="F1918" s="124" t="n"/>
      <c r="G1918" s="124" t="n"/>
      <c r="H1918" s="84" t="n"/>
      <c r="I1918" s="7" t="n"/>
      <c r="J1918" s="32" t="inlineStr">
        <is>
          <t>Mc Cody</t>
        </is>
      </c>
      <c r="K1918" s="24" t="n"/>
      <c r="L1918" s="36" t="n">
        <v>85.5</v>
      </c>
      <c r="M1918" s="204" t="n">
        <v>1</v>
      </c>
      <c r="N1918" s="177" t="n">
        <v>250</v>
      </c>
      <c r="O1918" s="13" t="n"/>
      <c r="P1918" s="139" t="inlineStr">
        <is>
          <t>grams</t>
        </is>
      </c>
      <c r="Q1918" s="2" t="n"/>
      <c r="R1918" s="1" t="n"/>
      <c r="S1918" s="229">
        <f>M1918*N1918</f>
        <v/>
      </c>
      <c r="T1918" s="230">
        <f>CONCATENATE(S1918,Q1918,P1918)</f>
        <v/>
      </c>
      <c r="U1918" s="206">
        <f>L1918*M1918</f>
        <v/>
      </c>
      <c r="V1918" s="4" t="n"/>
      <c r="W1918" s="4" t="n"/>
      <c r="X1918" s="4" t="n"/>
    </row>
    <row r="1919" ht="15.75" customHeight="1" thickBot="1">
      <c r="A1919" s="186" t="n">
        <v>379</v>
      </c>
      <c r="B1919" s="215" t="inlineStr">
        <is>
          <t>Sesame Oil</t>
        </is>
      </c>
      <c r="C1919" s="124" t="n"/>
      <c r="D1919" s="115" t="n"/>
      <c r="E1919" s="124" t="n"/>
      <c r="F1919" s="124" t="n"/>
      <c r="G1919" s="124" t="n"/>
      <c r="H1919" s="84" t="n"/>
      <c r="I1919" s="7" t="n"/>
      <c r="J1919" s="32" t="inlineStr">
        <is>
          <t>Lee Kum Kee</t>
        </is>
      </c>
      <c r="K1919" s="24" t="n"/>
      <c r="L1919" s="36" t="n">
        <v>272</v>
      </c>
      <c r="M1919" s="204" t="n">
        <v>0</v>
      </c>
      <c r="N1919" s="177" t="n">
        <v>410</v>
      </c>
      <c r="O1919" s="13" t="n"/>
      <c r="P1919" s="139" t="inlineStr">
        <is>
          <t>ml</t>
        </is>
      </c>
      <c r="Q1919" s="2" t="n"/>
      <c r="R1919" s="1" t="n"/>
      <c r="S1919" s="229">
        <f>M1919*N1919</f>
        <v/>
      </c>
      <c r="T1919" s="230">
        <f>CONCATENATE(S1919,Q1919,P1919)</f>
        <v/>
      </c>
      <c r="U1919" s="206">
        <f>L1919*M1919</f>
        <v/>
      </c>
      <c r="V1919" s="4" t="n"/>
      <c r="W1919" s="4" t="n"/>
      <c r="X1919" s="4" t="n"/>
    </row>
    <row r="1920" ht="15.75" customHeight="1" thickBot="1">
      <c r="A1920" s="186" t="n">
        <v>379</v>
      </c>
      <c r="B1920" s="215" t="inlineStr">
        <is>
          <t>Sesame Oil</t>
        </is>
      </c>
      <c r="C1920" s="124" t="n"/>
      <c r="D1920" s="115" t="n"/>
      <c r="E1920" s="124" t="n"/>
      <c r="F1920" s="124" t="n"/>
      <c r="G1920" s="124" t="n"/>
      <c r="H1920" s="84" t="n"/>
      <c r="I1920" s="7" t="n"/>
      <c r="J1920" s="32" t="inlineStr">
        <is>
          <t>Good Life</t>
        </is>
      </c>
      <c r="K1920" s="24" t="n"/>
      <c r="L1920" s="36" t="n">
        <v>155</v>
      </c>
      <c r="M1920" s="204" t="n">
        <v>1</v>
      </c>
      <c r="N1920" s="177" t="n">
        <v>210</v>
      </c>
      <c r="O1920" s="13" t="n"/>
      <c r="P1920" s="139" t="inlineStr">
        <is>
          <t>ml</t>
        </is>
      </c>
      <c r="Q1920" s="2" t="n"/>
      <c r="R1920" s="1" t="n"/>
      <c r="S1920" s="229">
        <f>M1920*N1920</f>
        <v/>
      </c>
      <c r="T1920" s="230">
        <f>CONCATENATE(S1920,Q1920,P1920)</f>
        <v/>
      </c>
      <c r="U1920" s="206">
        <f>L1920*M1920</f>
        <v/>
      </c>
      <c r="V1920" s="4" t="n"/>
      <c r="W1920" s="4" t="n"/>
      <c r="X1920" s="4" t="n"/>
    </row>
    <row r="1921" ht="15.75" customHeight="1" thickBot="1">
      <c r="A1921" s="186" t="n">
        <v>821</v>
      </c>
      <c r="B1921" s="214" t="inlineStr">
        <is>
          <t>Sesame Seeds</t>
        </is>
      </c>
      <c r="C1921" s="124" t="n"/>
      <c r="D1921" s="115" t="n"/>
      <c r="E1921" s="124" t="n"/>
      <c r="F1921" s="124" t="n"/>
      <c r="G1921" s="124" t="n"/>
      <c r="H1921" s="84" t="n"/>
      <c r="I1921" s="7" t="n"/>
      <c r="J1921" s="32" t="inlineStr">
        <is>
          <t>Amparo's</t>
        </is>
      </c>
      <c r="K1921" s="24" t="n"/>
      <c r="L1921" s="36" t="n">
        <v>25</v>
      </c>
      <c r="M1921" s="204" t="n">
        <v>1</v>
      </c>
      <c r="N1921" s="177" t="n">
        <v>50</v>
      </c>
      <c r="O1921" s="13" t="n"/>
      <c r="P1921" s="139" t="inlineStr">
        <is>
          <t>grams</t>
        </is>
      </c>
      <c r="Q1921" s="2" t="n"/>
      <c r="R1921" s="1" t="n"/>
      <c r="S1921" s="229">
        <f>M1921*N1921</f>
        <v/>
      </c>
      <c r="T1921" s="230">
        <f>CONCATENATE(S1921,Q1921,P1921)</f>
        <v/>
      </c>
      <c r="U1921" s="206">
        <f>L1921*M1921</f>
        <v/>
      </c>
      <c r="V1921" s="4" t="n"/>
      <c r="W1921" s="4" t="n"/>
      <c r="X1921" s="4" t="n"/>
    </row>
    <row r="1922" ht="15.75" customHeight="1" thickBot="1">
      <c r="A1922" s="186" t="n">
        <v>821</v>
      </c>
      <c r="B1922" s="214" t="inlineStr">
        <is>
          <t>Sesame Seeds</t>
        </is>
      </c>
      <c r="C1922" s="124" t="n"/>
      <c r="D1922" s="115" t="n"/>
      <c r="E1922" s="124" t="n"/>
      <c r="F1922" s="124" t="n"/>
      <c r="G1922" s="124" t="n"/>
      <c r="H1922" s="84" t="n"/>
      <c r="I1922" s="7" t="n"/>
      <c r="J1922" s="32" t="inlineStr">
        <is>
          <t>Lipa Spices</t>
        </is>
      </c>
      <c r="K1922" s="24" t="n"/>
      <c r="L1922" s="36" t="n">
        <v>300</v>
      </c>
      <c r="M1922" s="204" t="n">
        <v>1</v>
      </c>
      <c r="N1922" s="177" t="n">
        <v>1</v>
      </c>
      <c r="O1922" s="13" t="n"/>
      <c r="P1922" s="139" t="inlineStr">
        <is>
          <t>kilos</t>
        </is>
      </c>
      <c r="Q1922" s="2" t="n"/>
      <c r="R1922" s="1" t="n"/>
      <c r="S1922" s="229">
        <f>M1922*N1922</f>
        <v/>
      </c>
      <c r="T1922" s="230">
        <f>CONCATENATE(S1922,Q1922,P1922)</f>
        <v/>
      </c>
      <c r="U1922" s="206">
        <f>L1922*M1922</f>
        <v/>
      </c>
      <c r="V1922" s="4" t="n"/>
      <c r="W1922" s="4" t="n"/>
      <c r="X1922" s="4" t="n"/>
    </row>
    <row r="1923" ht="15.75" customHeight="1" thickBot="1">
      <c r="A1923" s="186" t="n">
        <v>822</v>
      </c>
      <c r="B1923" s="214" t="inlineStr">
        <is>
          <t>Shampoo</t>
        </is>
      </c>
      <c r="C1923" s="124" t="n"/>
      <c r="D1923" s="115" t="n"/>
      <c r="E1923" s="124" t="n"/>
      <c r="F1923" s="124" t="n"/>
      <c r="G1923" s="124" t="n"/>
      <c r="H1923" s="84" t="n"/>
      <c r="I1923" s="7" t="n"/>
      <c r="J1923" s="32" t="inlineStr">
        <is>
          <t>Sunsilk</t>
        </is>
      </c>
      <c r="K1923" s="24" t="n"/>
      <c r="L1923" s="36" t="n">
        <v>6.58</v>
      </c>
      <c r="M1923" s="204" t="n">
        <v>12</v>
      </c>
      <c r="N1923" s="177" t="n">
        <v>13.5</v>
      </c>
      <c r="O1923" s="13" t="n"/>
      <c r="P1923" s="139" t="inlineStr">
        <is>
          <t>ml</t>
        </is>
      </c>
      <c r="Q1923" s="2" t="n"/>
      <c r="R1923" s="1" t="n"/>
      <c r="S1923" s="229">
        <f>M1923*N1923</f>
        <v/>
      </c>
      <c r="T1923" s="230">
        <f>CONCATENATE(S1923,Q1923,P1923)</f>
        <v/>
      </c>
      <c r="U1923" s="206">
        <f>L1923*M1923</f>
        <v/>
      </c>
      <c r="V1923" s="4" t="n"/>
      <c r="W1923" s="4" t="n"/>
      <c r="X1923" s="4" t="n"/>
    </row>
    <row r="1924" ht="15.75" customHeight="1" thickBot="1">
      <c r="A1924" s="186" t="n">
        <v>822</v>
      </c>
      <c r="B1924" s="214" t="inlineStr">
        <is>
          <t>Shampoo</t>
        </is>
      </c>
      <c r="C1924" s="124" t="n"/>
      <c r="D1924" s="115" t="n"/>
      <c r="E1924" s="124" t="n"/>
      <c r="F1924" s="124" t="n"/>
      <c r="G1924" s="124" t="n"/>
      <c r="H1924" s="84" t="n"/>
      <c r="I1924" s="7" t="n"/>
      <c r="J1924" s="32" t="inlineStr">
        <is>
          <t>Sunsilk</t>
        </is>
      </c>
      <c r="K1924" s="24" t="n"/>
      <c r="L1924" s="36" t="n">
        <v>5.9</v>
      </c>
      <c r="M1924" s="204" t="n">
        <v>20</v>
      </c>
      <c r="N1924" s="177" t="n">
        <v>13.5</v>
      </c>
      <c r="O1924" s="13" t="n"/>
      <c r="P1924" s="139" t="inlineStr">
        <is>
          <t>ml</t>
        </is>
      </c>
      <c r="Q1924" s="2" t="n"/>
      <c r="R1924" s="1" t="n"/>
      <c r="S1924" s="229">
        <f>M1924*N1924</f>
        <v/>
      </c>
      <c r="T1924" s="230">
        <f>CONCATENATE(S1924,Q1924,P1924)</f>
        <v/>
      </c>
      <c r="U1924" s="206">
        <f>L1924*M1924</f>
        <v/>
      </c>
      <c r="V1924" s="4" t="n"/>
      <c r="W1924" s="4" t="n"/>
      <c r="X1924" s="4" t="n"/>
    </row>
    <row r="1925" ht="15.75" customHeight="1" thickBot="1">
      <c r="A1925" s="186" t="n">
        <v>823</v>
      </c>
      <c r="B1925" s="214" t="inlineStr">
        <is>
          <t>Shiitake Mushroom</t>
        </is>
      </c>
      <c r="C1925" s="124" t="n"/>
      <c r="D1925" s="115" t="n"/>
      <c r="E1925" s="124" t="n"/>
      <c r="F1925" s="124" t="n"/>
      <c r="G1925" s="124" t="n"/>
      <c r="H1925" s="84" t="n"/>
      <c r="I1925" s="7" t="n"/>
      <c r="J1925" s="32" t="inlineStr">
        <is>
          <t>Sunbest</t>
        </is>
      </c>
      <c r="K1925" s="24" t="n"/>
      <c r="L1925" s="36" t="n">
        <v>39.95</v>
      </c>
      <c r="M1925" s="204" t="n">
        <v>2</v>
      </c>
      <c r="N1925" s="177" t="n">
        <v>156</v>
      </c>
      <c r="O1925" s="13" t="n"/>
      <c r="P1925" s="139" t="inlineStr">
        <is>
          <t>drained weight grams</t>
        </is>
      </c>
      <c r="Q1925" s="2" t="n"/>
      <c r="R1925" s="1" t="n"/>
      <c r="S1925" s="229">
        <f>M1925*N1925</f>
        <v/>
      </c>
      <c r="T1925" s="230">
        <f>CONCATENATE(S1925,Q1925,P1925)</f>
        <v/>
      </c>
      <c r="U1925" s="206">
        <f>L1925*M1925</f>
        <v/>
      </c>
      <c r="V1925" s="4" t="n"/>
      <c r="W1925" s="4" t="n"/>
      <c r="X1925" s="4" t="n"/>
    </row>
    <row r="1926" ht="15.75" customHeight="1" thickBot="1">
      <c r="A1926" s="186" t="n">
        <v>823</v>
      </c>
      <c r="B1926" s="214" t="inlineStr">
        <is>
          <t>Shiitake Mushroom</t>
        </is>
      </c>
      <c r="C1926" s="124" t="n"/>
      <c r="D1926" s="115" t="n"/>
      <c r="E1926" s="124" t="n"/>
      <c r="F1926" s="124" t="n"/>
      <c r="G1926" s="124" t="n"/>
      <c r="H1926" s="84" t="n"/>
      <c r="I1926" s="7" t="n"/>
      <c r="J1926" s="32" t="inlineStr">
        <is>
          <t>Sunbest</t>
        </is>
      </c>
      <c r="K1926" s="24" t="n"/>
      <c r="L1926" s="36" t="n">
        <v>54</v>
      </c>
      <c r="M1926" s="204" t="n">
        <v>1</v>
      </c>
      <c r="N1926" s="177" t="n">
        <v>156</v>
      </c>
      <c r="O1926" s="13" t="n"/>
      <c r="P1926" s="139" t="inlineStr">
        <is>
          <t>drained weight grams</t>
        </is>
      </c>
      <c r="Q1926" s="2" t="n"/>
      <c r="R1926" s="1" t="n"/>
      <c r="S1926" s="229">
        <f>M1926*N1926</f>
        <v/>
      </c>
      <c r="T1926" s="230">
        <f>CONCATENATE(S1926,Q1926,P1926)</f>
        <v/>
      </c>
      <c r="U1926" s="206">
        <f>L1926*M1926</f>
        <v/>
      </c>
      <c r="V1926" s="4" t="n"/>
      <c r="W1926" s="4" t="n"/>
      <c r="X1926" s="4" t="n"/>
    </row>
    <row r="1927" ht="15.75" customHeight="1" thickBot="1">
      <c r="A1927" s="186" t="n">
        <v>824</v>
      </c>
      <c r="B1927" s="215" t="inlineStr">
        <is>
          <t>Shiracha Catsup</t>
        </is>
      </c>
      <c r="C1927" s="124" t="n"/>
      <c r="D1927" s="115" t="n"/>
      <c r="E1927" s="124" t="n"/>
      <c r="F1927" s="124" t="n"/>
      <c r="G1927" s="124" t="n"/>
      <c r="H1927" s="84" t="n"/>
      <c r="I1927" s="7" t="n"/>
      <c r="J1927" s="32" t="inlineStr">
        <is>
          <t>Jufran</t>
        </is>
      </c>
      <c r="K1927" s="24" t="n"/>
      <c r="L1927" s="36" t="n">
        <v>57.25</v>
      </c>
      <c r="M1927" s="204" t="n">
        <v>2</v>
      </c>
      <c r="N1927" s="177" t="n">
        <v>285</v>
      </c>
      <c r="O1927" s="13" t="n"/>
      <c r="P1927" s="139" t="inlineStr">
        <is>
          <t>ml</t>
        </is>
      </c>
      <c r="Q1927" s="2" t="n"/>
      <c r="R1927" s="1" t="n"/>
      <c r="S1927" s="229">
        <f>M1927*N1927</f>
        <v/>
      </c>
      <c r="T1927" s="230">
        <f>CONCATENATE(S1927,Q1927,P1927)</f>
        <v/>
      </c>
      <c r="U1927" s="206">
        <f>L1927*M1927</f>
        <v/>
      </c>
      <c r="V1927" s="4" t="n"/>
      <c r="W1927" s="4" t="n"/>
      <c r="X1927" s="4" t="n"/>
    </row>
    <row r="1928" ht="15.75" customHeight="1" thickBot="1">
      <c r="A1928" s="186" t="n">
        <v>825</v>
      </c>
      <c r="B1928" s="214" t="inlineStr">
        <is>
          <t>Shrimp</t>
        </is>
      </c>
      <c r="C1928" s="124" t="n"/>
      <c r="D1928" s="115" t="n"/>
      <c r="E1928" s="124" t="n"/>
      <c r="F1928" s="124" t="n"/>
      <c r="G1928" s="124" t="n"/>
      <c r="H1928" s="84" t="n"/>
      <c r="I1928" s="7" t="n"/>
      <c r="J1928" s="32" t="n"/>
      <c r="K1928" s="24" t="n"/>
      <c r="L1928" s="36" t="n">
        <v>420</v>
      </c>
      <c r="M1928" s="204" t="n">
        <v>2</v>
      </c>
      <c r="N1928" s="177" t="n">
        <v>1</v>
      </c>
      <c r="O1928" s="13" t="n"/>
      <c r="P1928" s="139" t="inlineStr">
        <is>
          <t>kilos</t>
        </is>
      </c>
      <c r="Q1928" s="2" t="n"/>
      <c r="R1928" s="1" t="n"/>
      <c r="S1928" s="229">
        <f>M1928*N1928</f>
        <v/>
      </c>
      <c r="T1928" s="230">
        <f>CONCATENATE(S1928,Q1928,P1928)</f>
        <v/>
      </c>
      <c r="U1928" s="206">
        <f>L1928*M1928</f>
        <v/>
      </c>
      <c r="V1928" s="4" t="n"/>
      <c r="W1928" s="4" t="n"/>
      <c r="X1928" s="4" t="n"/>
    </row>
    <row r="1929" ht="15.75" customHeight="1" thickBot="1">
      <c r="A1929" s="186" t="n">
        <v>826</v>
      </c>
      <c r="B1929" s="214" t="inlineStr">
        <is>
          <t>Sibuyas</t>
        </is>
      </c>
      <c r="C1929" s="124" t="n"/>
      <c r="D1929" s="115" t="n"/>
      <c r="E1929" s="124" t="n"/>
      <c r="F1929" s="124" t="n"/>
      <c r="G1929" s="124" t="n"/>
      <c r="H1929" s="84" t="n"/>
      <c r="I1929" s="7" t="n"/>
      <c r="J1929" s="32" t="n"/>
      <c r="K1929" s="24" t="n"/>
      <c r="L1929" s="36" t="n">
        <v>130</v>
      </c>
      <c r="M1929" s="204" t="n">
        <v>0</v>
      </c>
      <c r="N1929" s="177" t="n">
        <v>1</v>
      </c>
      <c r="O1929" s="13" t="n"/>
      <c r="P1929" s="139" t="inlineStr">
        <is>
          <t>kilos</t>
        </is>
      </c>
      <c r="Q1929" s="2" t="n"/>
      <c r="R1929" s="1" t="n"/>
      <c r="S1929" s="229">
        <f>M1929*N1929</f>
        <v/>
      </c>
      <c r="T1929" s="230">
        <f>CONCATENATE(S1929,Q1929,P1929)</f>
        <v/>
      </c>
      <c r="U1929" s="206">
        <f>L1929*M1929</f>
        <v/>
      </c>
      <c r="V1929" s="4" t="n"/>
      <c r="W1929" s="4" t="n"/>
      <c r="X1929" s="4" t="n"/>
    </row>
    <row r="1930" ht="15.75" customHeight="1" thickBot="1">
      <c r="A1930" s="186" t="n">
        <v>827</v>
      </c>
      <c r="B1930" s="214" t="inlineStr">
        <is>
          <t>Sili Labuyo</t>
        </is>
      </c>
      <c r="C1930" s="124" t="n"/>
      <c r="D1930" s="115" t="n"/>
      <c r="E1930" s="124" t="n"/>
      <c r="F1930" s="124" t="n"/>
      <c r="G1930" s="124" t="n"/>
      <c r="H1930" s="84" t="n"/>
      <c r="I1930" s="7" t="n"/>
      <c r="J1930" s="32" t="inlineStr">
        <is>
          <t>HERNAN</t>
        </is>
      </c>
      <c r="K1930" s="24" t="n"/>
      <c r="L1930" s="36" t="n">
        <v>600</v>
      </c>
      <c r="M1930" s="204" t="n">
        <v>0</v>
      </c>
      <c r="N1930" s="177" t="n">
        <v>1000</v>
      </c>
      <c r="O1930" s="13" t="n"/>
      <c r="P1930" s="139" t="inlineStr">
        <is>
          <t>kilos</t>
        </is>
      </c>
      <c r="Q1930" s="2" t="n"/>
      <c r="R1930" s="1" t="n"/>
      <c r="S1930" s="229">
        <f>M1930*N1930</f>
        <v/>
      </c>
      <c r="T1930" s="230">
        <f>CONCATENATE(S1930,Q1930,P1930)</f>
        <v/>
      </c>
      <c r="U1930" s="206">
        <f>L1930*M1930</f>
        <v/>
      </c>
      <c r="V1930" s="4" t="n"/>
      <c r="W1930" s="4" t="n"/>
      <c r="X1930" s="4" t="n"/>
    </row>
    <row r="1931" ht="15.75" customHeight="1" thickBot="1">
      <c r="A1931" s="186" t="n">
        <v>827</v>
      </c>
      <c r="B1931" s="214" t="inlineStr">
        <is>
          <t>Sili Labuyo</t>
        </is>
      </c>
      <c r="C1931" s="124" t="n"/>
      <c r="D1931" s="115" t="n"/>
      <c r="E1931" s="124" t="n"/>
      <c r="F1931" s="124" t="n"/>
      <c r="G1931" s="124" t="n"/>
      <c r="H1931" s="84" t="n"/>
      <c r="I1931" s="7" t="n"/>
      <c r="J1931" s="32" t="n"/>
      <c r="K1931" s="24" t="n"/>
      <c r="L1931" s="36" t="n">
        <v>730</v>
      </c>
      <c r="M1931" s="204" t="n">
        <v>1</v>
      </c>
      <c r="N1931" s="177" t="n">
        <v>1</v>
      </c>
      <c r="O1931" s="13" t="n"/>
      <c r="P1931" s="139" t="inlineStr">
        <is>
          <t>kilos</t>
        </is>
      </c>
      <c r="Q1931" s="2" t="n"/>
      <c r="R1931" s="1" t="n"/>
      <c r="S1931" s="229">
        <f>M1931*N1931</f>
        <v/>
      </c>
      <c r="T1931" s="230">
        <f>CONCATENATE(S1931,Q1931,P1931)</f>
        <v/>
      </c>
      <c r="U1931" s="206">
        <f>L1931*M1931</f>
        <v/>
      </c>
      <c r="V1931" s="4" t="n"/>
      <c r="W1931" s="4" t="n"/>
      <c r="X1931" s="4" t="n"/>
    </row>
    <row r="1932" ht="15.75" customHeight="1" thickBot="1">
      <c r="A1932" s="186" t="n">
        <v>827</v>
      </c>
      <c r="B1932" s="214" t="inlineStr">
        <is>
          <t>Sili Labuyo</t>
        </is>
      </c>
      <c r="C1932" s="124" t="n"/>
      <c r="D1932" s="115" t="n"/>
      <c r="E1932" s="124" t="n"/>
      <c r="F1932" s="124" t="n"/>
      <c r="G1932" s="124" t="n"/>
      <c r="H1932" s="84" t="n"/>
      <c r="I1932" s="7" t="n"/>
      <c r="J1932" s="32" t="n"/>
      <c r="K1932" s="24" t="n"/>
      <c r="L1932" s="36" t="n">
        <v>1000</v>
      </c>
      <c r="M1932" s="204" t="n">
        <v>1</v>
      </c>
      <c r="N1932" s="177" t="n">
        <v>1</v>
      </c>
      <c r="O1932" s="13" t="n"/>
      <c r="P1932" s="139" t="inlineStr">
        <is>
          <t>kilos</t>
        </is>
      </c>
      <c r="Q1932" s="2" t="n"/>
      <c r="R1932" s="1" t="n"/>
      <c r="S1932" s="229">
        <f>M1932*N1932</f>
        <v/>
      </c>
      <c r="T1932" s="230">
        <f>CONCATENATE(S1932,Q1932,P1932)</f>
        <v/>
      </c>
      <c r="U1932" s="206">
        <f>L1932*M1932</f>
        <v/>
      </c>
      <c r="V1932" s="4" t="n"/>
      <c r="W1932" s="4" t="n"/>
      <c r="X1932" s="4" t="n"/>
    </row>
    <row r="1933" ht="15.75" customHeight="1" thickBot="1">
      <c r="A1933" s="186" t="n">
        <v>828</v>
      </c>
      <c r="B1933" s="214" t="inlineStr">
        <is>
          <t>Sili Sigang</t>
        </is>
      </c>
      <c r="C1933" s="124" t="n"/>
      <c r="D1933" s="115" t="n"/>
      <c r="E1933" s="124" t="n"/>
      <c r="F1933" s="124" t="n"/>
      <c r="G1933" s="124" t="n"/>
      <c r="H1933" s="84" t="n"/>
      <c r="I1933" s="7" t="n"/>
      <c r="J1933" s="32" t="n"/>
      <c r="K1933" s="24" t="n"/>
      <c r="L1933" s="36" t="n">
        <v>115</v>
      </c>
      <c r="M1933" s="204" t="n">
        <v>1</v>
      </c>
      <c r="N1933" s="177" t="n">
        <v>1</v>
      </c>
      <c r="O1933" s="13" t="n"/>
      <c r="P1933" s="139" t="inlineStr">
        <is>
          <t>kilos</t>
        </is>
      </c>
      <c r="Q1933" s="2" t="n"/>
      <c r="R1933" s="1" t="n"/>
      <c r="S1933" s="229">
        <f>M1933*N1933</f>
        <v/>
      </c>
      <c r="T1933" s="230">
        <f>CONCATENATE(S1933,Q1933,P1933)</f>
        <v/>
      </c>
      <c r="U1933" s="206">
        <f>L1933*M1933</f>
        <v/>
      </c>
      <c r="V1933" s="4" t="n"/>
      <c r="W1933" s="4" t="n"/>
      <c r="X1933" s="4" t="n"/>
    </row>
    <row r="1934" ht="15.75" customHeight="1" thickBot="1">
      <c r="A1934" s="186" t="n">
        <v>829</v>
      </c>
      <c r="B1934" s="214" t="inlineStr">
        <is>
          <t>Sinigang Mix sa Gabi</t>
        </is>
      </c>
      <c r="C1934" s="124" t="n"/>
      <c r="D1934" s="115" t="n"/>
      <c r="E1934" s="124" t="n"/>
      <c r="F1934" s="124" t="n"/>
      <c r="G1934" s="124" t="n"/>
      <c r="H1934" s="84" t="n"/>
      <c r="I1934" s="7" t="n"/>
      <c r="J1934" s="32" t="inlineStr">
        <is>
          <t>Nestle - Maggi</t>
        </is>
      </c>
      <c r="K1934" s="24" t="n"/>
      <c r="L1934" s="36" t="n">
        <v>14.4</v>
      </c>
      <c r="M1934" s="204" t="n">
        <v>13</v>
      </c>
      <c r="N1934" s="177" t="n">
        <v>25</v>
      </c>
      <c r="O1934" s="13" t="n"/>
      <c r="P1934" s="139" t="inlineStr">
        <is>
          <t>grams</t>
        </is>
      </c>
      <c r="Q1934" s="2" t="n"/>
      <c r="R1934" s="1" t="n"/>
      <c r="S1934" s="229">
        <f>M1934*N1934</f>
        <v/>
      </c>
      <c r="T1934" s="230">
        <f>CONCATENATE(S1934,Q1934,P1934)</f>
        <v/>
      </c>
      <c r="U1934" s="206">
        <f>L1934*M1934</f>
        <v/>
      </c>
      <c r="V1934" s="4" t="n"/>
      <c r="W1934" s="4" t="n"/>
      <c r="X1934" s="4" t="n"/>
    </row>
    <row r="1935" ht="15.75" customHeight="1" thickBot="1">
      <c r="A1935" s="186" t="n">
        <v>829</v>
      </c>
      <c r="B1935" s="214" t="inlineStr">
        <is>
          <t>Sinigang Mix sa Gabi</t>
        </is>
      </c>
      <c r="C1935" s="124" t="n"/>
      <c r="D1935" s="115" t="n"/>
      <c r="E1935" s="124" t="n"/>
      <c r="F1935" s="124" t="n"/>
      <c r="G1935" s="124" t="n"/>
      <c r="H1935" s="84" t="n"/>
      <c r="I1935" s="7" t="n"/>
      <c r="J1935" s="32" t="inlineStr">
        <is>
          <t>Unilever - Knorr</t>
        </is>
      </c>
      <c r="K1935" s="24" t="n"/>
      <c r="L1935" s="36" t="n">
        <v>14</v>
      </c>
      <c r="M1935" s="204" t="n">
        <v>12</v>
      </c>
      <c r="N1935" s="177" t="n">
        <v>25</v>
      </c>
      <c r="O1935" s="13" t="n"/>
      <c r="P1935" s="139" t="inlineStr">
        <is>
          <t>grams</t>
        </is>
      </c>
      <c r="Q1935" s="2" t="n"/>
      <c r="R1935" s="1" t="n"/>
      <c r="S1935" s="229">
        <f>M1935*N1935</f>
        <v/>
      </c>
      <c r="T1935" s="230">
        <f>CONCATENATE(S1935,Q1935,P1935)</f>
        <v/>
      </c>
      <c r="U1935" s="206">
        <f>L1935*M1935</f>
        <v/>
      </c>
      <c r="V1935" s="4" t="n"/>
      <c r="W1935" s="4" t="n"/>
      <c r="X1935" s="4" t="n"/>
    </row>
    <row r="1936" ht="15.75" customHeight="1" thickBot="1">
      <c r="A1936" s="186" t="n">
        <v>382</v>
      </c>
      <c r="B1936" s="214" t="inlineStr">
        <is>
          <t>Sinigang Mix sa Sampalok</t>
        </is>
      </c>
      <c r="C1936" s="124" t="n"/>
      <c r="D1936" s="115" t="n"/>
      <c r="E1936" s="124" t="n"/>
      <c r="F1936" s="124" t="n"/>
      <c r="G1936" s="124" t="n"/>
      <c r="H1936" s="84" t="n"/>
      <c r="I1936" s="7" t="n"/>
      <c r="J1936" s="32" t="inlineStr">
        <is>
          <t>Nestle - Maggi</t>
        </is>
      </c>
      <c r="K1936" s="24" t="n"/>
      <c r="L1936" s="36" t="n">
        <v>14.2</v>
      </c>
      <c r="M1936" s="204" t="n">
        <v>13</v>
      </c>
      <c r="N1936" s="177" t="n">
        <v>25</v>
      </c>
      <c r="O1936" s="13" t="n"/>
      <c r="P1936" s="139" t="inlineStr">
        <is>
          <t>grams</t>
        </is>
      </c>
      <c r="Q1936" s="2" t="n"/>
      <c r="R1936" s="1" t="n"/>
      <c r="S1936" s="229">
        <f>M1936*N1936</f>
        <v/>
      </c>
      <c r="T1936" s="230">
        <f>CONCATENATE(S1936,Q1936,P1936)</f>
        <v/>
      </c>
      <c r="U1936" s="206">
        <f>L1936*M1936</f>
        <v/>
      </c>
      <c r="V1936" s="4" t="n"/>
      <c r="W1936" s="4" t="n"/>
      <c r="X1936" s="4" t="n"/>
    </row>
    <row r="1937" ht="15.75" customHeight="1" thickBot="1">
      <c r="A1937" s="186" t="n">
        <v>382</v>
      </c>
      <c r="B1937" s="214" t="inlineStr">
        <is>
          <t>Sinigang Mix sa Sampalok</t>
        </is>
      </c>
      <c r="C1937" s="124" t="n"/>
      <c r="D1937" s="115" t="n"/>
      <c r="E1937" s="124" t="n"/>
      <c r="F1937" s="124" t="n"/>
      <c r="G1937" s="124" t="n"/>
      <c r="H1937" s="84" t="n"/>
      <c r="I1937" s="7" t="n"/>
      <c r="J1937" s="32" t="inlineStr">
        <is>
          <t>Nestle - Maggi</t>
        </is>
      </c>
      <c r="K1937" s="24" t="n"/>
      <c r="L1937" s="36" t="n">
        <v>14.8</v>
      </c>
      <c r="M1937" s="204" t="n">
        <v>12</v>
      </c>
      <c r="N1937" s="177" t="n">
        <v>25</v>
      </c>
      <c r="O1937" s="13" t="n"/>
      <c r="P1937" s="139" t="inlineStr">
        <is>
          <t>grams</t>
        </is>
      </c>
      <c r="Q1937" s="2" t="n"/>
      <c r="R1937" s="1" t="n"/>
      <c r="S1937" s="229">
        <f>M1937*N1937</f>
        <v/>
      </c>
      <c r="T1937" s="230">
        <f>CONCATENATE(S1937,Q1937,P1937)</f>
        <v/>
      </c>
      <c r="U1937" s="206">
        <f>L1937*M1937</f>
        <v/>
      </c>
      <c r="V1937" s="4" t="n"/>
      <c r="W1937" s="4" t="n"/>
      <c r="X1937" s="4" t="n"/>
    </row>
    <row r="1938" ht="15.75" customHeight="1" thickBot="1">
      <c r="A1938" s="186" t="n">
        <v>382</v>
      </c>
      <c r="B1938" s="214" t="inlineStr">
        <is>
          <t>Sinigang Mix sa Sampalok</t>
        </is>
      </c>
      <c r="C1938" s="124" t="n"/>
      <c r="D1938" s="115" t="n"/>
      <c r="E1938" s="124" t="n"/>
      <c r="F1938" s="124" t="n"/>
      <c r="G1938" s="124" t="n"/>
      <c r="H1938" s="84" t="n"/>
      <c r="I1938" s="7" t="n"/>
      <c r="J1938" s="32" t="inlineStr">
        <is>
          <t>Unilever - Knorr</t>
        </is>
      </c>
      <c r="K1938" s="24" t="n"/>
      <c r="L1938" s="36" t="n">
        <v>29</v>
      </c>
      <c r="M1938" s="204" t="n">
        <v>10</v>
      </c>
      <c r="N1938" s="177" t="n">
        <v>44</v>
      </c>
      <c r="O1938" s="13" t="n"/>
      <c r="P1938" s="139" t="inlineStr">
        <is>
          <t>grams</t>
        </is>
      </c>
      <c r="Q1938" s="2" t="n"/>
      <c r="R1938" s="1" t="n"/>
      <c r="S1938" s="229">
        <f>M1938*N1938</f>
        <v/>
      </c>
      <c r="T1938" s="230">
        <f>CONCATENATE(S1938,Q1938,P1938)</f>
        <v/>
      </c>
      <c r="U1938" s="206">
        <f>L1938*M1938</f>
        <v/>
      </c>
      <c r="V1938" s="4" t="n"/>
      <c r="W1938" s="4" t="n"/>
      <c r="X1938" s="4" t="n"/>
    </row>
    <row r="1939" ht="15.75" customHeight="1" thickBot="1">
      <c r="A1939" s="186" t="n">
        <v>382</v>
      </c>
      <c r="B1939" s="214" t="inlineStr">
        <is>
          <t>Sinigang Mix sa Sampalok</t>
        </is>
      </c>
      <c r="C1939" s="124" t="n"/>
      <c r="D1939" s="115" t="n"/>
      <c r="E1939" s="124" t="n"/>
      <c r="F1939" s="124" t="n"/>
      <c r="G1939" s="124" t="n"/>
      <c r="H1939" s="84" t="n"/>
      <c r="I1939" s="7" t="n"/>
      <c r="J1939" s="32" t="inlineStr">
        <is>
          <t>Nestle - Maggi</t>
        </is>
      </c>
      <c r="K1939" s="24" t="n"/>
      <c r="L1939" s="36" t="n">
        <v>11.84</v>
      </c>
      <c r="M1939" s="204" t="n">
        <v>27</v>
      </c>
      <c r="N1939" s="177" t="n">
        <v>25</v>
      </c>
      <c r="O1939" s="13" t="n"/>
      <c r="P1939" s="139" t="inlineStr">
        <is>
          <t>grams</t>
        </is>
      </c>
      <c r="Q1939" s="2" t="n"/>
      <c r="R1939" s="1" t="n"/>
      <c r="S1939" s="229">
        <f>M1939*N1939</f>
        <v/>
      </c>
      <c r="T1939" s="230">
        <f>CONCATENATE(S1939,Q1939,P1939)</f>
        <v/>
      </c>
      <c r="U1939" s="206">
        <f>L1939*M1939</f>
        <v/>
      </c>
      <c r="V1939" s="4" t="n"/>
      <c r="W1939" s="4" t="n"/>
      <c r="X1939" s="4" t="n"/>
    </row>
    <row r="1940" ht="15.75" customHeight="1" thickBot="1">
      <c r="A1940" s="186" t="n">
        <v>382</v>
      </c>
      <c r="B1940" s="214" t="inlineStr">
        <is>
          <t>Sinigang Mix sa Sampalok</t>
        </is>
      </c>
      <c r="C1940" s="124" t="n"/>
      <c r="D1940" s="115" t="n"/>
      <c r="E1940" s="124" t="n"/>
      <c r="F1940" s="124" t="n"/>
      <c r="G1940" s="124" t="n"/>
      <c r="H1940" s="84" t="n"/>
      <c r="I1940" s="7" t="n"/>
      <c r="J1940" s="32" t="inlineStr">
        <is>
          <t>Nestle - Maggi</t>
        </is>
      </c>
      <c r="K1940" s="24" t="n"/>
      <c r="L1940" s="36" t="n">
        <v>318</v>
      </c>
      <c r="M1940" s="204" t="n">
        <v>2</v>
      </c>
      <c r="N1940" s="177" t="n">
        <v>1000</v>
      </c>
      <c r="O1940" s="13" t="n"/>
      <c r="P1940" s="139" t="inlineStr">
        <is>
          <t>grams</t>
        </is>
      </c>
      <c r="Q1940" s="2" t="n"/>
      <c r="R1940" s="1" t="n"/>
      <c r="S1940" s="229">
        <f>M1940*N1940</f>
        <v/>
      </c>
      <c r="T1940" s="230">
        <f>CONCATENATE(S1940,Q1940,P1940)</f>
        <v/>
      </c>
      <c r="U1940" s="206">
        <f>L1940*M1940</f>
        <v/>
      </c>
      <c r="V1940" s="4" t="n"/>
      <c r="W1940" s="4" t="n"/>
      <c r="X1940" s="4" t="n"/>
    </row>
    <row r="1941" ht="15.75" customHeight="1" thickBot="1">
      <c r="A1941" s="186" t="n">
        <v>382</v>
      </c>
      <c r="B1941" s="214" t="inlineStr">
        <is>
          <t>Sinigang Mix sa Sampalok</t>
        </is>
      </c>
      <c r="C1941" s="124" t="n"/>
      <c r="D1941" s="115" t="n"/>
      <c r="E1941" s="124" t="n"/>
      <c r="F1941" s="124" t="n"/>
      <c r="G1941" s="124" t="n"/>
      <c r="H1941" s="84" t="n"/>
      <c r="I1941" s="7" t="n"/>
      <c r="J1941" s="32" t="inlineStr">
        <is>
          <t>Unilever - Knorr</t>
        </is>
      </c>
      <c r="K1941" s="24" t="n"/>
      <c r="L1941" s="36" t="n">
        <v>28</v>
      </c>
      <c r="M1941" s="204" t="n">
        <v>19</v>
      </c>
      <c r="N1941" s="177" t="n">
        <v>44</v>
      </c>
      <c r="O1941" s="13" t="n"/>
      <c r="P1941" s="139" t="inlineStr">
        <is>
          <t>grams</t>
        </is>
      </c>
      <c r="Q1941" s="2" t="n"/>
      <c r="R1941" s="1" t="n"/>
      <c r="S1941" s="229">
        <f>M1941*N1941</f>
        <v/>
      </c>
      <c r="T1941" s="230">
        <f>CONCATENATE(S1941,Q1941,P1941)</f>
        <v/>
      </c>
      <c r="U1941" s="206">
        <f>L1941*M1941</f>
        <v/>
      </c>
      <c r="V1941" s="4" t="n"/>
      <c r="W1941" s="4" t="n"/>
      <c r="X1941" s="4" t="n"/>
    </row>
    <row r="1942" ht="15.75" customHeight="1" thickBot="1">
      <c r="A1942" s="186" t="n">
        <v>382</v>
      </c>
      <c r="B1942" s="214" t="inlineStr">
        <is>
          <t>Sinigang Mix sa Sampalok</t>
        </is>
      </c>
      <c r="C1942" s="124" t="n"/>
      <c r="D1942" s="115" t="n"/>
      <c r="E1942" s="124" t="n"/>
      <c r="F1942" s="124" t="n"/>
      <c r="G1942" s="124" t="n"/>
      <c r="H1942" s="84" t="n"/>
      <c r="I1942" s="7" t="n"/>
      <c r="J1942" s="32" t="inlineStr">
        <is>
          <t>Unilever - Knorr</t>
        </is>
      </c>
      <c r="K1942" s="24" t="n"/>
      <c r="L1942" s="36" t="n">
        <v>28</v>
      </c>
      <c r="M1942" s="204" t="n">
        <v>12</v>
      </c>
      <c r="N1942" s="177" t="n">
        <v>44</v>
      </c>
      <c r="O1942" s="13" t="n"/>
      <c r="P1942" s="139" t="inlineStr">
        <is>
          <t>grams</t>
        </is>
      </c>
      <c r="Q1942" s="2" t="n"/>
      <c r="R1942" s="1" t="n"/>
      <c r="S1942" s="229">
        <f>M1942*N1942</f>
        <v/>
      </c>
      <c r="T1942" s="230">
        <f>CONCATENATE(S1942,Q1942,P1942)</f>
        <v/>
      </c>
      <c r="U1942" s="206">
        <f>L1942*M1942</f>
        <v/>
      </c>
      <c r="V1942" s="4" t="n"/>
      <c r="W1942" s="4" t="n"/>
      <c r="X1942" s="4" t="n"/>
    </row>
    <row r="1943" ht="15.75" customHeight="1" thickBot="1">
      <c r="A1943" s="186" t="n">
        <v>382</v>
      </c>
      <c r="B1943" s="214" t="inlineStr">
        <is>
          <t>Sinigang Mix sa Sampalok</t>
        </is>
      </c>
      <c r="C1943" s="124" t="n"/>
      <c r="D1943" s="115" t="n"/>
      <c r="E1943" s="124" t="n"/>
      <c r="F1943" s="124" t="n"/>
      <c r="G1943" s="124" t="n"/>
      <c r="H1943" s="84" t="n"/>
      <c r="I1943" s="7" t="n"/>
      <c r="J1943" s="32" t="inlineStr">
        <is>
          <t>Unilever - Knorr</t>
        </is>
      </c>
      <c r="K1943" s="24" t="n"/>
      <c r="L1943" s="36" t="n">
        <v>27.7</v>
      </c>
      <c r="M1943" s="204" t="n">
        <v>7</v>
      </c>
      <c r="N1943" s="177" t="n">
        <v>44</v>
      </c>
      <c r="O1943" s="13" t="n"/>
      <c r="P1943" s="139" t="inlineStr">
        <is>
          <t>grams</t>
        </is>
      </c>
      <c r="Q1943" s="2" t="n"/>
      <c r="R1943" s="1" t="n"/>
      <c r="S1943" s="229">
        <f>M1943*N1943</f>
        <v/>
      </c>
      <c r="T1943" s="230">
        <f>CONCATENATE(S1943,Q1943,P1943)</f>
        <v/>
      </c>
      <c r="U1943" s="206">
        <f>L1943*M1943</f>
        <v/>
      </c>
      <c r="V1943" s="4" t="n"/>
      <c r="W1943" s="4" t="n"/>
      <c r="X1943" s="4" t="n"/>
    </row>
    <row r="1944" ht="15.75" customHeight="1" thickBot="1">
      <c r="A1944" s="186" t="n">
        <v>382</v>
      </c>
      <c r="B1944" s="214" t="inlineStr">
        <is>
          <t>Sinigang Mix sa Sampalok</t>
        </is>
      </c>
      <c r="C1944" s="124" t="n"/>
      <c r="D1944" s="115" t="n"/>
      <c r="E1944" s="124" t="n"/>
      <c r="F1944" s="124" t="n"/>
      <c r="G1944" s="124" t="n"/>
      <c r="H1944" s="84" t="n"/>
      <c r="I1944" s="7" t="n"/>
      <c r="J1944" s="32" t="inlineStr">
        <is>
          <t>Unilever - Knorr</t>
        </is>
      </c>
      <c r="K1944" s="24" t="n"/>
      <c r="L1944" s="36" t="n">
        <v>27.7</v>
      </c>
      <c r="M1944" s="204" t="n">
        <v>12</v>
      </c>
      <c r="N1944" s="177" t="n">
        <v>44</v>
      </c>
      <c r="O1944" s="13" t="n"/>
      <c r="P1944" s="139" t="inlineStr">
        <is>
          <t>grams</t>
        </is>
      </c>
      <c r="Q1944" s="2" t="n"/>
      <c r="R1944" s="1" t="n"/>
      <c r="S1944" s="229">
        <f>M1944*N1944</f>
        <v/>
      </c>
      <c r="T1944" s="230">
        <f>CONCATENATE(S1944,Q1944,P1944)</f>
        <v/>
      </c>
      <c r="U1944" s="206">
        <f>L1944*M1944</f>
        <v/>
      </c>
      <c r="V1944" s="4" t="n"/>
      <c r="W1944" s="4" t="n"/>
      <c r="X1944" s="4" t="n"/>
    </row>
    <row r="1945" ht="15.75" customHeight="1" thickBot="1">
      <c r="A1945" s="186" t="n">
        <v>830</v>
      </c>
      <c r="B1945" s="214" t="inlineStr">
        <is>
          <t>Siomai - Pork</t>
        </is>
      </c>
      <c r="C1945" s="124" t="n"/>
      <c r="D1945" s="115" t="n"/>
      <c r="E1945" s="124" t="n"/>
      <c r="F1945" s="124" t="n"/>
      <c r="G1945" s="124" t="n"/>
      <c r="H1945" s="84" t="n"/>
      <c r="I1945" s="7" t="n"/>
      <c r="J1945" s="32" t="inlineStr">
        <is>
          <t>FC</t>
        </is>
      </c>
      <c r="K1945" s="24" t="n"/>
      <c r="L1945" s="36" t="n">
        <v>140</v>
      </c>
      <c r="M1945" s="204" t="n">
        <v>1</v>
      </c>
      <c r="N1945" s="177" t="n">
        <v>1</v>
      </c>
      <c r="O1945" s="13" t="n"/>
      <c r="P1945" s="139" t="inlineStr">
        <is>
          <t>kilos</t>
        </is>
      </c>
      <c r="Q1945" s="2" t="n"/>
      <c r="R1945" s="1" t="n"/>
      <c r="S1945" s="229">
        <f>M1945*N1945</f>
        <v/>
      </c>
      <c r="T1945" s="230">
        <f>CONCATENATE(S1945,Q1945,P1945)</f>
        <v/>
      </c>
      <c r="U1945" s="206">
        <f>L1945*M1945</f>
        <v/>
      </c>
      <c r="V1945" s="4" t="n"/>
      <c r="W1945" s="4" t="n"/>
      <c r="X1945" s="4" t="n"/>
    </row>
    <row r="1946" ht="15.75" customHeight="1" thickBot="1">
      <c r="A1946" s="186" t="n">
        <v>830</v>
      </c>
      <c r="B1946" s="214" t="inlineStr">
        <is>
          <t>Siomai - Pork</t>
        </is>
      </c>
      <c r="C1946" s="124" t="n"/>
      <c r="D1946" s="115" t="n"/>
      <c r="E1946" s="124" t="n"/>
      <c r="F1946" s="124" t="n"/>
      <c r="G1946" s="124" t="n"/>
      <c r="H1946" s="84" t="n"/>
      <c r="I1946" s="7" t="n"/>
      <c r="J1946" s="32" t="n"/>
      <c r="K1946" s="24" t="n"/>
      <c r="L1946" s="36" t="n">
        <v>250</v>
      </c>
      <c r="M1946" s="204" t="n">
        <v>4</v>
      </c>
      <c r="N1946" s="177" t="n">
        <v>60</v>
      </c>
      <c r="O1946" s="13" t="n"/>
      <c r="P1946" s="139" t="inlineStr">
        <is>
          <t>pieces</t>
        </is>
      </c>
      <c r="Q1946" s="2" t="n"/>
      <c r="R1946" s="1" t="n"/>
      <c r="S1946" s="229">
        <f>M1946*N1946</f>
        <v/>
      </c>
      <c r="T1946" s="230">
        <f>CONCATENATE(S1946,Q1946,P1946)</f>
        <v/>
      </c>
      <c r="U1946" s="206">
        <f>L1946*M1946</f>
        <v/>
      </c>
      <c r="V1946" s="4" t="n"/>
      <c r="W1946" s="4" t="n"/>
      <c r="X1946" s="4" t="n"/>
    </row>
    <row r="1947" ht="15.75" customHeight="1" thickBot="1">
      <c r="A1947" s="186" t="n">
        <v>831</v>
      </c>
      <c r="B1947" s="214" t="inlineStr">
        <is>
          <t>Sitaw</t>
        </is>
      </c>
      <c r="C1947" s="124" t="n"/>
      <c r="D1947" s="115" t="n"/>
      <c r="E1947" s="124" t="n"/>
      <c r="F1947" s="124" t="n"/>
      <c r="G1947" s="124" t="n"/>
      <c r="H1947" s="84" t="n"/>
      <c r="I1947" s="7" t="n"/>
      <c r="J1947" s="32" t="n"/>
      <c r="K1947" s="24" t="n"/>
      <c r="L1947" s="36" t="n">
        <v>40</v>
      </c>
      <c r="M1947" s="204" t="n">
        <v>10</v>
      </c>
      <c r="N1947" s="177" t="n">
        <v>1000</v>
      </c>
      <c r="O1947" s="13" t="n"/>
      <c r="P1947" s="139" t="inlineStr">
        <is>
          <t>grams</t>
        </is>
      </c>
      <c r="Q1947" s="2" t="n"/>
      <c r="R1947" s="1" t="n"/>
      <c r="S1947" s="229">
        <f>M1947*N1947</f>
        <v/>
      </c>
      <c r="T1947" s="230">
        <f>CONCATENATE(S1947,Q1947,P1947)</f>
        <v/>
      </c>
      <c r="U1947" s="206">
        <f>L1947*M1947</f>
        <v/>
      </c>
      <c r="V1947" s="4" t="n"/>
      <c r="W1947" s="4" t="n"/>
      <c r="X1947" s="4" t="n"/>
    </row>
    <row r="1948" ht="15.75" customHeight="1" thickBot="1">
      <c r="A1948" s="186" t="n">
        <v>832</v>
      </c>
      <c r="B1948" s="214" t="inlineStr">
        <is>
          <t>Skinless Longganisa</t>
        </is>
      </c>
      <c r="C1948" s="124" t="n"/>
      <c r="D1948" s="115" t="n"/>
      <c r="E1948" s="124" t="n"/>
      <c r="F1948" s="124" t="n"/>
      <c r="G1948" s="124" t="n"/>
      <c r="H1948" s="84" t="n"/>
      <c r="I1948" s="7" t="n"/>
      <c r="J1948" s="32" t="inlineStr">
        <is>
          <t>Gerabelle</t>
        </is>
      </c>
      <c r="K1948" s="24" t="n"/>
      <c r="L1948" s="36" t="n">
        <v>70</v>
      </c>
      <c r="M1948" s="204" t="n">
        <v>5</v>
      </c>
      <c r="N1948" s="177" t="n">
        <v>360</v>
      </c>
      <c r="O1948" s="13" t="n"/>
      <c r="P1948" s="139" t="inlineStr">
        <is>
          <t>grams</t>
        </is>
      </c>
      <c r="Q1948" s="2" t="n"/>
      <c r="R1948" s="1" t="n"/>
      <c r="S1948" s="229">
        <f>M1948*N1948</f>
        <v/>
      </c>
      <c r="T1948" s="230">
        <f>CONCATENATE(S1948,Q1948,P1948)</f>
        <v/>
      </c>
      <c r="U1948" s="206">
        <f>L1948*M1948</f>
        <v/>
      </c>
      <c r="V1948" s="4" t="n"/>
      <c r="W1948" s="4" t="n"/>
      <c r="X1948" s="4" t="n"/>
    </row>
    <row r="1949" ht="15.75" customHeight="1" thickBot="1">
      <c r="A1949" s="186" t="n">
        <v>832</v>
      </c>
      <c r="B1949" s="214" t="inlineStr">
        <is>
          <t>Skinless Longganisa</t>
        </is>
      </c>
      <c r="C1949" s="124" t="n"/>
      <c r="D1949" s="115" t="n"/>
      <c r="E1949" s="124" t="n"/>
      <c r="F1949" s="124" t="n"/>
      <c r="G1949" s="124" t="n"/>
      <c r="H1949" s="84" t="n"/>
      <c r="I1949" s="7" t="n"/>
      <c r="J1949" s="32" t="inlineStr">
        <is>
          <t>Chino's</t>
        </is>
      </c>
      <c r="K1949" s="24" t="n"/>
      <c r="L1949" s="36" t="n">
        <v>285</v>
      </c>
      <c r="M1949" s="204" t="n">
        <v>1</v>
      </c>
      <c r="N1949" s="177" t="n">
        <v>500</v>
      </c>
      <c r="O1949" s="13" t="n"/>
      <c r="P1949" s="139" t="inlineStr">
        <is>
          <t>grams</t>
        </is>
      </c>
      <c r="Q1949" s="2" t="n"/>
      <c r="R1949" s="1" t="n"/>
      <c r="S1949" s="229">
        <f>M1949*N1949</f>
        <v/>
      </c>
      <c r="T1949" s="230">
        <f>CONCATENATE(S1949,Q1949,P1949)</f>
        <v/>
      </c>
      <c r="U1949" s="206">
        <f>L1949*M1949</f>
        <v/>
      </c>
      <c r="V1949" s="4" t="n"/>
      <c r="W1949" s="4" t="n"/>
      <c r="X1949" s="4" t="n"/>
    </row>
    <row r="1950" ht="15.75" customHeight="1" thickBot="1">
      <c r="A1950" s="186" t="n">
        <v>832</v>
      </c>
      <c r="B1950" s="214" t="inlineStr">
        <is>
          <t>Skinless Longganisa</t>
        </is>
      </c>
      <c r="C1950" s="124" t="n"/>
      <c r="D1950" s="115" t="n"/>
      <c r="E1950" s="124" t="n"/>
      <c r="F1950" s="124" t="n"/>
      <c r="G1950" s="124" t="n"/>
      <c r="H1950" s="84" t="n"/>
      <c r="I1950" s="7" t="n"/>
      <c r="J1950" s="32" t="inlineStr">
        <is>
          <t>Daisuke</t>
        </is>
      </c>
      <c r="K1950" s="24" t="n"/>
      <c r="L1950" s="36" t="n">
        <v>70</v>
      </c>
      <c r="M1950" s="204" t="n">
        <v>1</v>
      </c>
      <c r="N1950" s="177" t="n">
        <v>400</v>
      </c>
      <c r="O1950" s="13" t="n"/>
      <c r="P1950" s="139" t="inlineStr">
        <is>
          <t>grams</t>
        </is>
      </c>
      <c r="Q1950" s="2" t="n"/>
      <c r="R1950" s="1" t="n"/>
      <c r="S1950" s="229">
        <f>M1950*N1950</f>
        <v/>
      </c>
      <c r="T1950" s="230">
        <f>CONCATENATE(S1950,Q1950,P1950)</f>
        <v/>
      </c>
      <c r="U1950" s="206">
        <f>L1950*M1950</f>
        <v/>
      </c>
      <c r="V1950" s="4" t="n"/>
      <c r="W1950" s="4" t="n"/>
      <c r="X1950" s="4" t="n"/>
    </row>
    <row r="1951" ht="15.75" customHeight="1" thickBot="1">
      <c r="A1951" s="186" t="n">
        <v>833</v>
      </c>
      <c r="B1951" s="214" t="inlineStr">
        <is>
          <t>Sliced Cheese</t>
        </is>
      </c>
      <c r="C1951" s="124" t="n"/>
      <c r="D1951" s="115" t="n"/>
      <c r="E1951" s="124" t="n"/>
      <c r="F1951" s="124" t="n"/>
      <c r="G1951" s="124" t="n"/>
      <c r="H1951" s="84" t="n"/>
      <c r="I1951" s="7" t="n"/>
      <c r="J1951" s="32" t="inlineStr">
        <is>
          <t>Danes</t>
        </is>
      </c>
      <c r="K1951" s="24" t="n"/>
      <c r="L1951" s="36" t="n">
        <v>82</v>
      </c>
      <c r="M1951" s="204" t="n">
        <v>2</v>
      </c>
      <c r="N1951" s="177" t="n">
        <v>250</v>
      </c>
      <c r="O1951" s="13" t="n"/>
      <c r="P1951" s="139" t="inlineStr">
        <is>
          <t>grams</t>
        </is>
      </c>
      <c r="Q1951" s="2" t="n"/>
      <c r="R1951" s="1" t="n"/>
      <c r="S1951" s="229">
        <f>M1951*N1951</f>
        <v/>
      </c>
      <c r="T1951" s="230">
        <f>CONCATENATE(S1951,Q1951,P1951)</f>
        <v/>
      </c>
      <c r="U1951" s="206">
        <f>L1951*M1951</f>
        <v/>
      </c>
      <c r="V1951" s="4" t="n"/>
      <c r="W1951" s="4" t="n"/>
      <c r="X1951" s="4" t="n"/>
    </row>
    <row r="1952" ht="15.75" customHeight="1" thickBot="1">
      <c r="A1952" s="186" t="n">
        <v>833</v>
      </c>
      <c r="B1952" s="214" t="inlineStr">
        <is>
          <t>Sliced Cheese</t>
        </is>
      </c>
      <c r="C1952" s="124" t="n"/>
      <c r="D1952" s="115" t="n"/>
      <c r="E1952" s="124" t="n"/>
      <c r="F1952" s="124" t="n"/>
      <c r="G1952" s="124" t="n"/>
      <c r="H1952" s="84" t="n"/>
      <c r="I1952" s="7" t="n"/>
      <c r="J1952" s="32" t="inlineStr">
        <is>
          <t>Mondelez - Eden</t>
        </is>
      </c>
      <c r="K1952" s="24" t="n"/>
      <c r="L1952" s="36" t="n">
        <v>65</v>
      </c>
      <c r="M1952" s="204" t="n">
        <v>24</v>
      </c>
      <c r="N1952" s="177" t="n">
        <v>100</v>
      </c>
      <c r="O1952" s="13" t="n"/>
      <c r="P1952" s="139" t="inlineStr">
        <is>
          <t>grams</t>
        </is>
      </c>
      <c r="Q1952" s="2" t="n"/>
      <c r="R1952" s="1" t="n"/>
      <c r="S1952" s="229">
        <f>M1952*N1952</f>
        <v/>
      </c>
      <c r="T1952" s="230">
        <f>CONCATENATE(S1952,Q1952,P1952)</f>
        <v/>
      </c>
      <c r="U1952" s="206">
        <f>L1952*M1952</f>
        <v/>
      </c>
      <c r="V1952" s="4" t="n"/>
      <c r="W1952" s="4" t="n"/>
      <c r="X1952" s="4" t="n"/>
    </row>
    <row r="1953" ht="15.75" customHeight="1" thickBot="1">
      <c r="A1953" s="186" t="n">
        <v>833</v>
      </c>
      <c r="B1953" s="215" t="inlineStr">
        <is>
          <t>Sliced Cheese</t>
        </is>
      </c>
      <c r="C1953" s="124" t="n"/>
      <c r="D1953" s="115" t="n"/>
      <c r="E1953" s="124" t="n"/>
      <c r="F1953" s="124" t="n"/>
      <c r="G1953" s="124" t="n"/>
      <c r="H1953" s="84" t="n"/>
      <c r="I1953" s="7" t="n"/>
      <c r="J1953" s="32" t="inlineStr">
        <is>
          <t>Danes</t>
        </is>
      </c>
      <c r="K1953" s="24" t="n"/>
      <c r="L1953" s="36" t="n">
        <v>75</v>
      </c>
      <c r="M1953" s="204" t="n">
        <v>5</v>
      </c>
      <c r="N1953" s="177" t="n">
        <v>105</v>
      </c>
      <c r="O1953" s="13" t="n"/>
      <c r="P1953" s="139" t="inlineStr">
        <is>
          <t>grams</t>
        </is>
      </c>
      <c r="Q1953" s="2" t="n"/>
      <c r="R1953" s="1" t="n"/>
      <c r="S1953" s="229">
        <f>M1953*N1953</f>
        <v/>
      </c>
      <c r="T1953" s="230">
        <f>CONCATENATE(S1953,Q1953,P1953)</f>
        <v/>
      </c>
      <c r="U1953" s="206">
        <f>L1953*M1953</f>
        <v/>
      </c>
      <c r="V1953" s="4" t="n"/>
      <c r="W1953" s="4" t="n"/>
      <c r="X1953" s="4" t="n"/>
    </row>
    <row r="1954" ht="15.75" customHeight="1" thickBot="1">
      <c r="A1954" s="186" t="n">
        <v>834</v>
      </c>
      <c r="B1954" s="214" t="inlineStr">
        <is>
          <t>Snack</t>
        </is>
      </c>
      <c r="C1954" s="124" t="n"/>
      <c r="D1954" s="115" t="n"/>
      <c r="E1954" s="124" t="n"/>
      <c r="F1954" s="124" t="n"/>
      <c r="G1954" s="124" t="n"/>
      <c r="H1954" s="84" t="n"/>
      <c r="I1954" s="7" t="n"/>
      <c r="J1954" s="32" t="inlineStr">
        <is>
          <t>Oishi - Potato Chips</t>
        </is>
      </c>
      <c r="K1954" s="24" t="n"/>
      <c r="L1954" s="36" t="n">
        <v>31.5</v>
      </c>
      <c r="M1954" s="204" t="n">
        <v>1</v>
      </c>
      <c r="N1954" s="177" t="n">
        <v>60</v>
      </c>
      <c r="O1954" s="13" t="n"/>
      <c r="P1954" s="139" t="inlineStr">
        <is>
          <t>grams</t>
        </is>
      </c>
      <c r="Q1954" s="2" t="n"/>
      <c r="R1954" s="1" t="n"/>
      <c r="S1954" s="229">
        <f>M1954*N1954</f>
        <v/>
      </c>
      <c r="T1954" s="230">
        <f>CONCATENATE(S1954,Q1954,P1954)</f>
        <v/>
      </c>
      <c r="U1954" s="206">
        <f>L1954*M1954</f>
        <v/>
      </c>
      <c r="V1954" s="4" t="n"/>
      <c r="W1954" s="4" t="n"/>
      <c r="X1954" s="4" t="n"/>
    </row>
    <row r="1955" ht="15.75" customHeight="1" thickBot="1">
      <c r="A1955" s="186" t="n">
        <v>834</v>
      </c>
      <c r="B1955" s="214" t="inlineStr">
        <is>
          <t>Snack</t>
        </is>
      </c>
      <c r="C1955" s="124" t="n"/>
      <c r="D1955" s="115" t="n"/>
      <c r="E1955" s="124" t="n"/>
      <c r="F1955" s="124" t="n"/>
      <c r="G1955" s="124" t="n"/>
      <c r="H1955" s="84" t="n"/>
      <c r="I1955" s="7" t="n"/>
      <c r="J1955" s="32" t="inlineStr">
        <is>
          <t>Oishi - Potato Chips - Sweet and Spicy</t>
        </is>
      </c>
      <c r="K1955" s="24" t="n"/>
      <c r="L1955" s="36" t="n">
        <v>30.68</v>
      </c>
      <c r="M1955" s="204" t="n">
        <v>30</v>
      </c>
      <c r="N1955" s="177" t="n">
        <v>60</v>
      </c>
      <c r="O1955" s="13" t="n"/>
      <c r="P1955" s="139" t="inlineStr">
        <is>
          <t>grams</t>
        </is>
      </c>
      <c r="Q1955" s="2" t="n"/>
      <c r="R1955" s="1" t="n"/>
      <c r="S1955" s="229">
        <f>M1955*N1955</f>
        <v/>
      </c>
      <c r="T1955" s="230">
        <f>CONCATENATE(S1955,Q1955,P1955)</f>
        <v/>
      </c>
      <c r="U1955" s="206">
        <f>L1955*M1955</f>
        <v/>
      </c>
      <c r="V1955" s="4" t="n"/>
      <c r="W1955" s="4" t="n"/>
      <c r="X1955" s="4" t="n"/>
    </row>
    <row r="1956" ht="15.75" customHeight="1" thickBot="1">
      <c r="A1956" s="186" t="n">
        <v>834</v>
      </c>
      <c r="B1956" s="214" t="inlineStr">
        <is>
          <t>Snack</t>
        </is>
      </c>
      <c r="C1956" s="124" t="n"/>
      <c r="D1956" s="115" t="n"/>
      <c r="E1956" s="124" t="n"/>
      <c r="F1956" s="124" t="n"/>
      <c r="G1956" s="124" t="n"/>
      <c r="H1956" s="84" t="n"/>
      <c r="I1956" s="7" t="n"/>
      <c r="J1956" s="32" t="inlineStr">
        <is>
          <t>Oishi - Potato Fries - Cheese</t>
        </is>
      </c>
      <c r="K1956" s="24" t="n"/>
      <c r="L1956" s="36" t="n">
        <v>13.69</v>
      </c>
      <c r="M1956" s="204" t="n">
        <v>50</v>
      </c>
      <c r="N1956" s="177" t="n">
        <v>50</v>
      </c>
      <c r="O1956" s="13" t="n"/>
      <c r="P1956" s="139" t="inlineStr">
        <is>
          <t>grams</t>
        </is>
      </c>
      <c r="Q1956" s="2" t="n"/>
      <c r="R1956" s="1" t="n"/>
      <c r="S1956" s="229">
        <f>M1956*N1956</f>
        <v/>
      </c>
      <c r="T1956" s="230">
        <f>CONCATENATE(S1956,Q1956,P1956)</f>
        <v/>
      </c>
      <c r="U1956" s="206">
        <f>L1956*M1956</f>
        <v/>
      </c>
      <c r="V1956" s="4" t="n"/>
      <c r="W1956" s="4" t="n"/>
      <c r="X1956" s="4" t="n"/>
    </row>
    <row r="1957" ht="15.75" customHeight="1" thickBot="1">
      <c r="A1957" s="186" t="n">
        <v>834</v>
      </c>
      <c r="B1957" s="214" t="inlineStr">
        <is>
          <t>Snack</t>
        </is>
      </c>
      <c r="C1957" s="124" t="n"/>
      <c r="D1957" s="115" t="n"/>
      <c r="E1957" s="124" t="n"/>
      <c r="F1957" s="124" t="n"/>
      <c r="G1957" s="124" t="n"/>
      <c r="H1957" s="84" t="n"/>
      <c r="I1957" s="7" t="n"/>
      <c r="J1957" s="32" t="inlineStr">
        <is>
          <t>Oishi - Potato Fries - Ketchup</t>
        </is>
      </c>
      <c r="K1957" s="24" t="n"/>
      <c r="L1957" s="36" t="n">
        <v>13.68</v>
      </c>
      <c r="M1957" s="204" t="n">
        <v>36</v>
      </c>
      <c r="N1957" s="177" t="n">
        <v>50</v>
      </c>
      <c r="O1957" s="13" t="n"/>
      <c r="P1957" s="139" t="inlineStr">
        <is>
          <t>grams</t>
        </is>
      </c>
      <c r="Q1957" s="2" t="n"/>
      <c r="R1957" s="1" t="n"/>
      <c r="S1957" s="229">
        <f>M1957*N1957</f>
        <v/>
      </c>
      <c r="T1957" s="230">
        <f>CONCATENATE(S1957,Q1957,P1957)</f>
        <v/>
      </c>
      <c r="U1957" s="206">
        <f>L1957*M1957</f>
        <v/>
      </c>
      <c r="V1957" s="4" t="n"/>
      <c r="W1957" s="4" t="n"/>
      <c r="X1957" s="4" t="n"/>
    </row>
    <row r="1958" ht="15.75" customHeight="1" thickBot="1">
      <c r="A1958" s="186" t="n">
        <v>834</v>
      </c>
      <c r="B1958" s="214" t="inlineStr">
        <is>
          <t>Snack</t>
        </is>
      </c>
      <c r="C1958" s="124" t="n"/>
      <c r="D1958" s="115" t="n"/>
      <c r="E1958" s="124" t="n"/>
      <c r="F1958" s="124" t="n"/>
      <c r="G1958" s="124" t="n"/>
      <c r="H1958" s="84" t="n"/>
      <c r="I1958" s="7" t="n"/>
      <c r="J1958" s="32" t="inlineStr">
        <is>
          <t>Oishi - Potato Fries</t>
        </is>
      </c>
      <c r="K1958" s="24" t="n"/>
      <c r="L1958" s="36" t="n">
        <v>13.68</v>
      </c>
      <c r="M1958" s="204" t="n">
        <v>7</v>
      </c>
      <c r="N1958" s="177" t="n">
        <v>50</v>
      </c>
      <c r="O1958" s="13" t="n"/>
      <c r="P1958" s="139" t="inlineStr">
        <is>
          <t>grams</t>
        </is>
      </c>
      <c r="Q1958" s="2" t="n"/>
      <c r="R1958" s="1" t="n"/>
      <c r="S1958" s="229">
        <f>M1958*N1958</f>
        <v/>
      </c>
      <c r="T1958" s="230">
        <f>CONCATENATE(S1958,Q1958,P1958)</f>
        <v/>
      </c>
      <c r="U1958" s="206">
        <f>L1958*M1958</f>
        <v/>
      </c>
      <c r="V1958" s="4" t="n"/>
      <c r="W1958" s="4" t="n"/>
      <c r="X1958" s="4" t="n"/>
    </row>
    <row r="1959" ht="15.75" customHeight="1" thickBot="1">
      <c r="A1959" s="186" t="n">
        <v>835</v>
      </c>
      <c r="B1959" s="215" t="inlineStr">
        <is>
          <t>Snack Bar</t>
        </is>
      </c>
      <c r="C1959" s="124" t="n"/>
      <c r="D1959" s="115" t="n"/>
      <c r="E1959" s="124" t="n"/>
      <c r="F1959" s="124" t="n"/>
      <c r="G1959" s="124" t="n"/>
      <c r="H1959" s="84" t="n"/>
      <c r="I1959" s="7" t="n"/>
      <c r="J1959" s="32" t="inlineStr">
        <is>
          <t>Multirich - Choco Mucho - Cookies &amp; Cream</t>
        </is>
      </c>
      <c r="K1959" s="24" t="n"/>
      <c r="L1959" s="36" t="n">
        <v>7.77</v>
      </c>
      <c r="M1959" s="204" t="n">
        <v>19</v>
      </c>
      <c r="N1959" s="177" t="n">
        <v>1</v>
      </c>
      <c r="O1959" s="13" t="n"/>
      <c r="P1959" s="139" t="inlineStr">
        <is>
          <t>pieces</t>
        </is>
      </c>
      <c r="Q1959" s="2" t="n"/>
      <c r="R1959" s="1" t="n"/>
      <c r="S1959" s="229">
        <f>M1959*N1959</f>
        <v/>
      </c>
      <c r="T1959" s="230">
        <f>CONCATENATE(S1959,Q1959,P1959)</f>
        <v/>
      </c>
      <c r="U1959" s="206">
        <f>L1959*M1959</f>
        <v/>
      </c>
      <c r="V1959" s="4" t="n"/>
      <c r="W1959" s="4" t="n"/>
      <c r="X1959" s="4" t="n"/>
    </row>
    <row r="1960" ht="15.75" customHeight="1" thickBot="1">
      <c r="A1960" s="186" t="n">
        <v>835</v>
      </c>
      <c r="B1960" s="215" t="inlineStr">
        <is>
          <t>Snack Bar</t>
        </is>
      </c>
      <c r="C1960" s="124" t="n"/>
      <c r="D1960" s="115" t="n"/>
      <c r="E1960" s="124" t="n"/>
      <c r="F1960" s="124" t="n"/>
      <c r="G1960" s="124" t="n"/>
      <c r="H1960" s="84" t="n"/>
      <c r="I1960" s="7" t="n"/>
      <c r="J1960" s="32" t="inlineStr">
        <is>
          <t>Multirich - Choco Mucho - Dark Choco Caramel</t>
        </is>
      </c>
      <c r="K1960" s="24" t="n"/>
      <c r="L1960" s="36" t="n">
        <v>7.77</v>
      </c>
      <c r="M1960" s="204" t="n">
        <v>13</v>
      </c>
      <c r="N1960" s="177" t="n">
        <v>1</v>
      </c>
      <c r="O1960" s="13" t="n"/>
      <c r="P1960" s="139" t="inlineStr">
        <is>
          <t>pieces</t>
        </is>
      </c>
      <c r="Q1960" s="2" t="n"/>
      <c r="R1960" s="1" t="n"/>
      <c r="S1960" s="229">
        <f>M1960*N1960</f>
        <v/>
      </c>
      <c r="T1960" s="230">
        <f>CONCATENATE(S1960,Q1960,P1960)</f>
        <v/>
      </c>
      <c r="U1960" s="206">
        <f>L1960*M1960</f>
        <v/>
      </c>
      <c r="V1960" s="4" t="n"/>
      <c r="W1960" s="4" t="n"/>
      <c r="X1960" s="4" t="n"/>
    </row>
    <row r="1961" ht="15.75" customHeight="1" thickBot="1">
      <c r="A1961" s="186" t="n">
        <v>835</v>
      </c>
      <c r="B1961" s="215" t="inlineStr">
        <is>
          <t>Snack Bar</t>
        </is>
      </c>
      <c r="C1961" s="124" t="n"/>
      <c r="D1961" s="115" t="n"/>
      <c r="E1961" s="124" t="n"/>
      <c r="F1961" s="124" t="n"/>
      <c r="G1961" s="124" t="n"/>
      <c r="H1961" s="84" t="n"/>
      <c r="I1961" s="7" t="n"/>
      <c r="J1961" s="32" t="inlineStr">
        <is>
          <t>Multirich - Choco Mucho - Peanut Butter</t>
        </is>
      </c>
      <c r="K1961" s="24" t="n"/>
      <c r="L1961" s="36" t="n">
        <v>7.84</v>
      </c>
      <c r="M1961" s="204" t="n">
        <v>16</v>
      </c>
      <c r="N1961" s="177" t="n">
        <v>1</v>
      </c>
      <c r="O1961" s="13" t="n"/>
      <c r="P1961" s="139" t="inlineStr">
        <is>
          <t>pieces</t>
        </is>
      </c>
      <c r="Q1961" s="2" t="n"/>
      <c r="R1961" s="1" t="n"/>
      <c r="S1961" s="229">
        <f>M1961*N1961</f>
        <v/>
      </c>
      <c r="T1961" s="230">
        <f>CONCATENATE(S1961,Q1961,P1961)</f>
        <v/>
      </c>
      <c r="U1961" s="206">
        <f>L1961*M1961</f>
        <v/>
      </c>
      <c r="V1961" s="4" t="n"/>
      <c r="W1961" s="4" t="n"/>
      <c r="X1961" s="4" t="n"/>
    </row>
    <row r="1962" ht="15.75" customHeight="1" thickBot="1">
      <c r="A1962" s="186" t="n">
        <v>835</v>
      </c>
      <c r="B1962" s="214" t="inlineStr">
        <is>
          <t>Snack Bar</t>
        </is>
      </c>
      <c r="C1962" s="124" t="n"/>
      <c r="D1962" s="115" t="n"/>
      <c r="E1962" s="124" t="n"/>
      <c r="F1962" s="124" t="n"/>
      <c r="G1962" s="124" t="n"/>
      <c r="H1962" s="84" t="n"/>
      <c r="I1962" s="7" t="n"/>
      <c r="J1962" s="32" t="inlineStr">
        <is>
          <t>Mayora - Beng-Beng Choco Caramel</t>
        </is>
      </c>
      <c r="K1962" s="24" t="n"/>
      <c r="L1962" s="36" t="n">
        <v>8.65</v>
      </c>
      <c r="M1962" s="204" t="n">
        <v>30</v>
      </c>
      <c r="N1962" s="177" t="n">
        <v>27</v>
      </c>
      <c r="O1962" s="13" t="n"/>
      <c r="P1962" s="139" t="inlineStr">
        <is>
          <t>grams</t>
        </is>
      </c>
      <c r="Q1962" s="2" t="n"/>
      <c r="R1962" s="1" t="n"/>
      <c r="S1962" s="229">
        <f>M1962*N1962</f>
        <v/>
      </c>
      <c r="T1962" s="230">
        <f>CONCATENATE(S1962,Q1962,P1962)</f>
        <v/>
      </c>
      <c r="U1962" s="206">
        <f>L1962*M1962</f>
        <v/>
      </c>
      <c r="V1962" s="4" t="n"/>
      <c r="W1962" s="4" t="n"/>
      <c r="X1962" s="4" t="n"/>
    </row>
    <row r="1963" ht="15.75" customHeight="1" thickBot="1">
      <c r="A1963" s="186" t="n">
        <v>835</v>
      </c>
      <c r="B1963" s="214" t="inlineStr">
        <is>
          <t>Snack Bar</t>
        </is>
      </c>
      <c r="C1963" s="124" t="n"/>
      <c r="D1963" s="115" t="n"/>
      <c r="E1963" s="124" t="n"/>
      <c r="F1963" s="124" t="n"/>
      <c r="G1963" s="124" t="n"/>
      <c r="H1963" s="84" t="n"/>
      <c r="I1963" s="7" t="n"/>
      <c r="J1963" s="32" t="inlineStr">
        <is>
          <t>Jack n Jill - Cloud 9 Classic</t>
        </is>
      </c>
      <c r="K1963" s="24" t="n"/>
      <c r="L1963" s="36" t="n">
        <v>9.529999999999999</v>
      </c>
      <c r="M1963" s="204" t="n">
        <v>36</v>
      </c>
      <c r="N1963" s="177" t="n">
        <v>28</v>
      </c>
      <c r="O1963" s="13" t="n"/>
      <c r="P1963" s="139" t="inlineStr">
        <is>
          <t>grams</t>
        </is>
      </c>
      <c r="Q1963" s="2" t="n"/>
      <c r="R1963" s="1" t="n"/>
      <c r="S1963" s="229">
        <f>M1963*N1963</f>
        <v/>
      </c>
      <c r="T1963" s="230">
        <f>CONCATENATE(S1963,Q1963,P1963)</f>
        <v/>
      </c>
      <c r="U1963" s="206">
        <f>L1963*M1963</f>
        <v/>
      </c>
      <c r="V1963" s="4" t="n"/>
      <c r="W1963" s="4" t="n"/>
      <c r="X1963" s="4" t="n"/>
    </row>
    <row r="1964" ht="15.75" customHeight="1" thickBot="1">
      <c r="A1964" s="186" t="n">
        <v>835</v>
      </c>
      <c r="B1964" s="214" t="inlineStr">
        <is>
          <t>Snack Bar</t>
        </is>
      </c>
      <c r="C1964" s="124" t="n"/>
      <c r="D1964" s="115" t="n"/>
      <c r="E1964" s="124" t="n"/>
      <c r="F1964" s="124" t="n"/>
      <c r="G1964" s="124" t="n"/>
      <c r="H1964" s="84" t="n"/>
      <c r="I1964" s="7" t="n"/>
      <c r="J1964" s="32" t="inlineStr">
        <is>
          <t>Jack n Jill - Cloud 9 Classic</t>
        </is>
      </c>
      <c r="K1964" s="24" t="n"/>
      <c r="L1964" s="36" t="n">
        <v>7.94</v>
      </c>
      <c r="M1964" s="204" t="n">
        <v>15</v>
      </c>
      <c r="N1964" s="177" t="n">
        <v>28</v>
      </c>
      <c r="O1964" s="13" t="n"/>
      <c r="P1964" s="139" t="inlineStr">
        <is>
          <t>grams</t>
        </is>
      </c>
      <c r="Q1964" s="2" t="n"/>
      <c r="R1964" s="1" t="n"/>
      <c r="S1964" s="229">
        <f>M1964*N1964</f>
        <v/>
      </c>
      <c r="T1964" s="230">
        <f>CONCATENATE(S1964,Q1964,P1964)</f>
        <v/>
      </c>
      <c r="U1964" s="206">
        <f>L1964*M1964</f>
        <v/>
      </c>
      <c r="V1964" s="4" t="n"/>
      <c r="W1964" s="4" t="n"/>
      <c r="X1964" s="4" t="n"/>
    </row>
    <row r="1965" ht="15.75" customHeight="1" thickBot="1">
      <c r="A1965" s="186" t="n">
        <v>835</v>
      </c>
      <c r="B1965" s="214" t="inlineStr">
        <is>
          <t>Snack Bar</t>
        </is>
      </c>
      <c r="C1965" s="124" t="n"/>
      <c r="D1965" s="115" t="n"/>
      <c r="E1965" s="124" t="n"/>
      <c r="F1965" s="124" t="n"/>
      <c r="G1965" s="124" t="n"/>
      <c r="H1965" s="84" t="n"/>
      <c r="I1965" s="7" t="n"/>
      <c r="J1965" s="32" t="inlineStr">
        <is>
          <t>Jack n Jill - Cloud 9 Overload</t>
        </is>
      </c>
      <c r="K1965" s="24" t="n"/>
      <c r="L1965" s="36" t="n">
        <v>15.1</v>
      </c>
      <c r="M1965" s="204" t="n">
        <v>1</v>
      </c>
      <c r="N1965" s="177" t="n">
        <v>50</v>
      </c>
      <c r="O1965" s="13" t="n"/>
      <c r="P1965" s="139" t="inlineStr">
        <is>
          <t>grams</t>
        </is>
      </c>
      <c r="Q1965" s="2" t="n"/>
      <c r="R1965" s="1" t="n"/>
      <c r="S1965" s="229">
        <f>M1965*N1965</f>
        <v/>
      </c>
      <c r="T1965" s="230">
        <f>CONCATENATE(S1965,Q1965,P1965)</f>
        <v/>
      </c>
      <c r="U1965" s="206">
        <f>L1965*M1965</f>
        <v/>
      </c>
      <c r="V1965" s="4" t="n"/>
      <c r="W1965" s="4" t="n"/>
      <c r="X1965" s="4" t="n"/>
    </row>
    <row r="1966" ht="15.75" customHeight="1" thickBot="1">
      <c r="A1966" s="186" t="n">
        <v>835</v>
      </c>
      <c r="B1966" s="214" t="inlineStr">
        <is>
          <t>Snack Bar</t>
        </is>
      </c>
      <c r="C1966" s="124" t="n"/>
      <c r="D1966" s="115" t="n"/>
      <c r="E1966" s="124" t="n"/>
      <c r="F1966" s="124" t="n"/>
      <c r="G1966" s="124" t="n"/>
      <c r="H1966" s="84" t="n"/>
      <c r="I1966" s="7" t="n"/>
      <c r="J1966" s="32" t="inlineStr">
        <is>
          <t>Jack n Jill - Cloud 9 Peanut Butter</t>
        </is>
      </c>
      <c r="K1966" s="24" t="n"/>
      <c r="L1966" s="36" t="n">
        <v>16.65</v>
      </c>
      <c r="M1966" s="204" t="n">
        <v>36</v>
      </c>
      <c r="N1966" s="177" t="n">
        <v>50</v>
      </c>
      <c r="O1966" s="13" t="n"/>
      <c r="P1966" s="139" t="inlineStr">
        <is>
          <t>grams</t>
        </is>
      </c>
      <c r="Q1966" s="2" t="n"/>
      <c r="R1966" s="1" t="n"/>
      <c r="S1966" s="229">
        <f>M1966*N1966</f>
        <v/>
      </c>
      <c r="T1966" s="230">
        <f>CONCATENATE(S1966,Q1966,P1966)</f>
        <v/>
      </c>
      <c r="U1966" s="206">
        <f>L1966*M1966</f>
        <v/>
      </c>
      <c r="V1966" s="4" t="n"/>
      <c r="W1966" s="4" t="n"/>
      <c r="X1966" s="4" t="n"/>
    </row>
    <row r="1967" ht="15.75" customHeight="1" thickBot="1">
      <c r="A1967" s="186" t="n">
        <v>835</v>
      </c>
      <c r="B1967" s="214" t="inlineStr">
        <is>
          <t>Snack Bar</t>
        </is>
      </c>
      <c r="C1967" s="124" t="n"/>
      <c r="D1967" s="115" t="n"/>
      <c r="E1967" s="124" t="n"/>
      <c r="F1967" s="124" t="n"/>
      <c r="G1967" s="124" t="n"/>
      <c r="H1967" s="84" t="n"/>
      <c r="I1967" s="7" t="n"/>
      <c r="J1967" s="32" t="inlineStr">
        <is>
          <t>Jack n Jill - Cloud 9 White</t>
        </is>
      </c>
      <c r="K1967" s="24" t="n"/>
      <c r="L1967" s="36" t="n">
        <v>8.279999999999999</v>
      </c>
      <c r="M1967" s="204" t="n">
        <v>3</v>
      </c>
      <c r="N1967" s="177" t="n">
        <v>28</v>
      </c>
      <c r="O1967" s="13" t="n"/>
      <c r="P1967" s="139" t="inlineStr">
        <is>
          <t>grams</t>
        </is>
      </c>
      <c r="Q1967" s="2" t="n"/>
      <c r="R1967" s="1" t="n"/>
      <c r="S1967" s="229">
        <f>M1967*N1967</f>
        <v/>
      </c>
      <c r="T1967" s="230">
        <f>CONCATENATE(S1967,Q1967,P1967)</f>
        <v/>
      </c>
      <c r="U1967" s="206">
        <f>L1967*M1967</f>
        <v/>
      </c>
      <c r="V1967" s="4" t="n"/>
      <c r="W1967" s="4" t="n"/>
      <c r="X1967" s="4" t="n"/>
    </row>
    <row r="1968" ht="15.75" customHeight="1" thickBot="1">
      <c r="A1968" s="186" t="n">
        <v>836</v>
      </c>
      <c r="B1968" s="215" t="inlineStr">
        <is>
          <t>Snacks</t>
        </is>
      </c>
      <c r="C1968" s="124" t="n"/>
      <c r="D1968" s="115" t="n"/>
      <c r="E1968" s="124" t="n"/>
      <c r="F1968" s="124" t="n"/>
      <c r="G1968" s="124" t="n"/>
      <c r="H1968" s="84" t="n"/>
      <c r="I1968" s="7" t="n"/>
      <c r="J1968" s="32" t="inlineStr">
        <is>
          <t>Oishi - Kirei</t>
        </is>
      </c>
      <c r="K1968" s="24" t="n"/>
      <c r="L1968" s="36" t="n">
        <v>23.2</v>
      </c>
      <c r="M1968" s="204" t="n">
        <v>11</v>
      </c>
      <c r="N1968" s="177" t="n">
        <v>60</v>
      </c>
      <c r="O1968" s="13" t="n"/>
      <c r="P1968" s="139" t="inlineStr">
        <is>
          <t>grams</t>
        </is>
      </c>
      <c r="Q1968" s="2" t="n"/>
      <c r="R1968" s="1" t="n"/>
      <c r="S1968" s="229">
        <f>M1968*N1968</f>
        <v/>
      </c>
      <c r="T1968" s="230">
        <f>CONCATENATE(S1968,Q1968,P1968)</f>
        <v/>
      </c>
      <c r="U1968" s="206">
        <f>L1968*M1968</f>
        <v/>
      </c>
      <c r="V1968" s="4" t="n"/>
      <c r="W1968" s="4" t="n"/>
      <c r="X1968" s="4" t="n"/>
    </row>
    <row r="1969" ht="15.75" customHeight="1" thickBot="1">
      <c r="A1969" s="186" t="n">
        <v>836</v>
      </c>
      <c r="B1969" s="215" t="inlineStr">
        <is>
          <t>Snacks</t>
        </is>
      </c>
      <c r="C1969" s="124" t="n"/>
      <c r="D1969" s="115" t="n"/>
      <c r="E1969" s="124" t="n"/>
      <c r="F1969" s="124" t="n"/>
      <c r="G1969" s="124" t="n"/>
      <c r="H1969" s="84" t="n"/>
      <c r="I1969" s="7" t="n"/>
      <c r="J1969" s="32" t="inlineStr">
        <is>
          <t>Oishi - Kirei 45g</t>
        </is>
      </c>
      <c r="K1969" s="24" t="n"/>
      <c r="L1969" s="36" t="n">
        <v>24.25</v>
      </c>
      <c r="M1969" s="204" t="n">
        <v>60</v>
      </c>
      <c r="N1969" s="177" t="n">
        <v>45</v>
      </c>
      <c r="O1969" s="13" t="n"/>
      <c r="P1969" s="139" t="inlineStr">
        <is>
          <t>grams</t>
        </is>
      </c>
      <c r="Q1969" s="2" t="n"/>
      <c r="R1969" s="1" t="n"/>
      <c r="S1969" s="229">
        <f>M1969*N1969</f>
        <v/>
      </c>
      <c r="T1969" s="230">
        <f>CONCATENATE(S1969,Q1969,P1969)</f>
        <v/>
      </c>
      <c r="U1969" s="206">
        <f>L1969*M1969</f>
        <v/>
      </c>
      <c r="V1969" s="4" t="n"/>
      <c r="W1969" s="4" t="n"/>
      <c r="X1969" s="4" t="n"/>
    </row>
    <row r="1970" ht="15.75" customHeight="1" thickBot="1">
      <c r="A1970" s="186" t="n">
        <v>836</v>
      </c>
      <c r="B1970" s="214" t="inlineStr">
        <is>
          <t>Snacks</t>
        </is>
      </c>
      <c r="C1970" s="124" t="n"/>
      <c r="D1970" s="115" t="n"/>
      <c r="E1970" s="124" t="n"/>
      <c r="F1970" s="124" t="n"/>
      <c r="G1970" s="124" t="n"/>
      <c r="H1970" s="84" t="n"/>
      <c r="I1970" s="7" t="n"/>
      <c r="J1970" s="32" t="inlineStr">
        <is>
          <t>Jack n Jill - Magic Chips - Cheese (pcsx28grams)</t>
        </is>
      </c>
      <c r="K1970" s="24" t="n"/>
      <c r="L1970" s="36" t="n">
        <v>7.1</v>
      </c>
      <c r="M1970" s="204" t="n">
        <v>24</v>
      </c>
      <c r="N1970" s="177" t="n">
        <v>1</v>
      </c>
      <c r="O1970" s="13" t="n"/>
      <c r="P1970" s="139" t="inlineStr">
        <is>
          <t>pieces</t>
        </is>
      </c>
      <c r="Q1970" s="2" t="n"/>
      <c r="R1970" s="1" t="n"/>
      <c r="S1970" s="229">
        <f>M1970*N1970</f>
        <v/>
      </c>
      <c r="T1970" s="230">
        <f>CONCATENATE(S1970,Q1970,P1970)</f>
        <v/>
      </c>
      <c r="U1970" s="206">
        <f>L1970*M1970</f>
        <v/>
      </c>
      <c r="V1970" s="4" t="n"/>
      <c r="W1970" s="4" t="n"/>
      <c r="X1970" s="4" t="n"/>
    </row>
    <row r="1971" ht="15.75" customHeight="1" thickBot="1">
      <c r="A1971" s="186" t="n">
        <v>836</v>
      </c>
      <c r="B1971" s="214" t="inlineStr">
        <is>
          <t>Snacks</t>
        </is>
      </c>
      <c r="C1971" s="124" t="n"/>
      <c r="D1971" s="115" t="n"/>
      <c r="E1971" s="124" t="n"/>
      <c r="F1971" s="124" t="n"/>
      <c r="G1971" s="124" t="n"/>
      <c r="H1971" s="84" t="n"/>
      <c r="I1971" s="7" t="n"/>
      <c r="J1971" s="32" t="inlineStr">
        <is>
          <t>Jack n Jill - Magic Chips - Sourcream&amp;Onion/box (pcsx28grams)</t>
        </is>
      </c>
      <c r="K1971" s="24" t="n"/>
      <c r="L1971" s="36" t="n">
        <v>7.2</v>
      </c>
      <c r="M1971" s="204" t="n">
        <v>9</v>
      </c>
      <c r="N1971" s="177" t="n">
        <v>1</v>
      </c>
      <c r="O1971" s="13" t="n"/>
      <c r="P1971" s="139" t="inlineStr">
        <is>
          <t>pieces</t>
        </is>
      </c>
      <c r="Q1971" s="2" t="n"/>
      <c r="R1971" s="1" t="n"/>
      <c r="S1971" s="229">
        <f>M1971*N1971</f>
        <v/>
      </c>
      <c r="T1971" s="230">
        <f>CONCATENATE(S1971,Q1971,P1971)</f>
        <v/>
      </c>
      <c r="U1971" s="206">
        <f>L1971*M1971</f>
        <v/>
      </c>
      <c r="V1971" s="4" t="n"/>
      <c r="W1971" s="4" t="n"/>
      <c r="X1971" s="4" t="n"/>
    </row>
    <row r="1972" ht="15.75" customHeight="1" thickBot="1">
      <c r="A1972" s="186" t="n">
        <v>836</v>
      </c>
      <c r="B1972" s="215" t="inlineStr">
        <is>
          <t>Snacks</t>
        </is>
      </c>
      <c r="C1972" s="124" t="n"/>
      <c r="D1972" s="115" t="n"/>
      <c r="E1972" s="124" t="n"/>
      <c r="F1972" s="124" t="n"/>
      <c r="G1972" s="124" t="n"/>
      <c r="H1972" s="84" t="n"/>
      <c r="I1972" s="7" t="n"/>
      <c r="J1972" s="32" t="inlineStr">
        <is>
          <t>Jack n Jill - Mang Juan Chik'n Skin/70g</t>
        </is>
      </c>
      <c r="K1972" s="24" t="n"/>
      <c r="L1972" s="36" t="n">
        <v>18.8</v>
      </c>
      <c r="M1972" s="204" t="n">
        <v>10</v>
      </c>
      <c r="N1972" s="177" t="n">
        <v>1</v>
      </c>
      <c r="O1972" s="13" t="n"/>
      <c r="P1972" s="139" t="inlineStr">
        <is>
          <t>packs</t>
        </is>
      </c>
      <c r="Q1972" s="2" t="n"/>
      <c r="R1972" s="1" t="n"/>
      <c r="S1972" s="229">
        <f>M1972*N1972</f>
        <v/>
      </c>
      <c r="T1972" s="230">
        <f>CONCATENATE(S1972,Q1972,P1972)</f>
        <v/>
      </c>
      <c r="U1972" s="206">
        <f>L1972*M1972</f>
        <v/>
      </c>
      <c r="V1972" s="4" t="n"/>
      <c r="W1972" s="4" t="n"/>
      <c r="X1972" s="4" t="n"/>
    </row>
    <row r="1973" ht="15.75" customHeight="1" thickBot="1">
      <c r="A1973" s="186" t="n">
        <v>836</v>
      </c>
      <c r="B1973" s="215" t="inlineStr">
        <is>
          <t>Snacks</t>
        </is>
      </c>
      <c r="C1973" s="124" t="n"/>
      <c r="D1973" s="115" t="n"/>
      <c r="E1973" s="124" t="n"/>
      <c r="F1973" s="124" t="n"/>
      <c r="G1973" s="124" t="n"/>
      <c r="H1973" s="84" t="n"/>
      <c r="I1973" s="7" t="n"/>
      <c r="J1973" s="32" t="inlineStr">
        <is>
          <t>Jack n Jill - Mang Juan Sukang Paombong/bundle (18x90grams)</t>
        </is>
      </c>
      <c r="K1973" s="24" t="n"/>
      <c r="L1973" s="36" t="n">
        <v>21.68</v>
      </c>
      <c r="M1973" s="204" t="n">
        <v>33</v>
      </c>
      <c r="N1973" s="177" t="n">
        <v>18</v>
      </c>
      <c r="O1973" s="13" t="n"/>
      <c r="P1973" s="139" t="inlineStr">
        <is>
          <t>pieces</t>
        </is>
      </c>
      <c r="Q1973" s="2" t="n"/>
      <c r="R1973" s="1" t="n"/>
      <c r="S1973" s="229">
        <f>M1973*N1973</f>
        <v/>
      </c>
      <c r="T1973" s="230">
        <f>CONCATENATE(S1973,Q1973,P1973)</f>
        <v/>
      </c>
      <c r="U1973" s="206">
        <f>L1973*M1973</f>
        <v/>
      </c>
      <c r="V1973" s="4" t="n"/>
      <c r="W1973" s="4" t="n"/>
      <c r="X1973" s="4" t="n"/>
    </row>
    <row r="1974" ht="15.75" customHeight="1" thickBot="1">
      <c r="A1974" s="186" t="n">
        <v>836</v>
      </c>
      <c r="B1974" s="214" t="inlineStr">
        <is>
          <t>Snacks</t>
        </is>
      </c>
      <c r="C1974" s="124" t="n"/>
      <c r="D1974" s="115" t="n"/>
      <c r="E1974" s="124" t="n"/>
      <c r="F1974" s="124" t="n"/>
      <c r="G1974" s="124" t="n"/>
      <c r="H1974" s="84" t="n"/>
      <c r="I1974" s="7" t="n"/>
      <c r="J1974" s="32" t="inlineStr">
        <is>
          <t>Oishi - Marty's Cracklin' Chicken Inasal</t>
        </is>
      </c>
      <c r="K1974" s="24" t="n"/>
      <c r="L1974" s="36" t="n">
        <v>19.32</v>
      </c>
      <c r="M1974" s="204" t="n">
        <v>30</v>
      </c>
      <c r="N1974" s="177" t="n">
        <v>90</v>
      </c>
      <c r="O1974" s="13" t="n"/>
      <c r="P1974" s="139" t="inlineStr">
        <is>
          <t>grams</t>
        </is>
      </c>
      <c r="Q1974" s="2" t="n"/>
      <c r="R1974" s="1" t="n"/>
      <c r="S1974" s="229">
        <f>M1974*N1974</f>
        <v/>
      </c>
      <c r="T1974" s="230">
        <f>CONCATENATE(S1974,Q1974,P1974)</f>
        <v/>
      </c>
      <c r="U1974" s="206">
        <f>L1974*M1974</f>
        <v/>
      </c>
      <c r="V1974" s="4" t="n"/>
      <c r="W1974" s="4" t="n"/>
      <c r="X1974" s="4" t="n"/>
    </row>
    <row r="1975" ht="15.75" customHeight="1" thickBot="1">
      <c r="A1975" s="186" t="n">
        <v>836</v>
      </c>
      <c r="B1975" s="214" t="inlineStr">
        <is>
          <t>Snacks</t>
        </is>
      </c>
      <c r="C1975" s="124" t="n"/>
      <c r="D1975" s="115" t="n"/>
      <c r="E1975" s="124" t="n"/>
      <c r="F1975" s="124" t="n"/>
      <c r="G1975" s="124" t="n"/>
      <c r="H1975" s="84" t="n"/>
      <c r="I1975" s="7" t="n"/>
      <c r="J1975" s="32" t="inlineStr">
        <is>
          <t>Oishi - Marty's Cracklin' Spicy</t>
        </is>
      </c>
      <c r="K1975" s="24" t="n"/>
      <c r="L1975" s="36" t="n">
        <v>21.12</v>
      </c>
      <c r="M1975" s="204" t="n">
        <v>19</v>
      </c>
      <c r="N1975" s="177" t="n">
        <v>90</v>
      </c>
      <c r="O1975" s="13" t="n"/>
      <c r="P1975" s="139" t="inlineStr">
        <is>
          <t>grams</t>
        </is>
      </c>
      <c r="Q1975" s="2" t="n"/>
      <c r="R1975" s="1" t="n"/>
      <c r="S1975" s="229">
        <f>M1975*N1975</f>
        <v/>
      </c>
      <c r="T1975" s="230">
        <f>CONCATENATE(S1975,Q1975,P1975)</f>
        <v/>
      </c>
      <c r="U1975" s="206">
        <f>L1975*M1975</f>
        <v/>
      </c>
      <c r="V1975" s="4" t="n"/>
      <c r="W1975" s="4" t="n"/>
      <c r="X1975" s="4" t="n"/>
    </row>
    <row r="1976" ht="15.75" customHeight="1" thickBot="1">
      <c r="A1976" s="186" t="n">
        <v>836</v>
      </c>
      <c r="B1976" s="214" t="inlineStr">
        <is>
          <t>Snacks</t>
        </is>
      </c>
      <c r="C1976" s="124" t="n"/>
      <c r="D1976" s="115" t="n"/>
      <c r="E1976" s="124" t="n"/>
      <c r="F1976" s="124" t="n"/>
      <c r="G1976" s="124" t="n"/>
      <c r="H1976" s="84" t="n"/>
      <c r="I1976" s="7" t="n"/>
      <c r="J1976" s="32" t="inlineStr">
        <is>
          <t>Oishi - Marty's Cracklin' Spicy</t>
        </is>
      </c>
      <c r="K1976" s="24" t="n"/>
      <c r="L1976" s="36" t="n">
        <v>19.9</v>
      </c>
      <c r="M1976" s="204" t="n">
        <v>20</v>
      </c>
      <c r="N1976" s="177" t="n">
        <v>90</v>
      </c>
      <c r="O1976" s="13" t="n"/>
      <c r="P1976" s="139" t="inlineStr">
        <is>
          <t>grams</t>
        </is>
      </c>
      <c r="Q1976" s="2" t="n"/>
      <c r="R1976" s="1" t="n"/>
      <c r="S1976" s="229">
        <f>M1976*N1976</f>
        <v/>
      </c>
      <c r="T1976" s="230">
        <f>CONCATENATE(S1976,Q1976,P1976)</f>
        <v/>
      </c>
      <c r="U1976" s="206">
        <f>L1976*M1976</f>
        <v/>
      </c>
      <c r="V1976" s="4" t="n"/>
      <c r="W1976" s="4" t="n"/>
      <c r="X1976" s="4" t="n"/>
    </row>
    <row r="1977" ht="15.75" customHeight="1" thickBot="1">
      <c r="A1977" s="186" t="n">
        <v>836</v>
      </c>
      <c r="B1977" s="214" t="inlineStr">
        <is>
          <t>Snacks</t>
        </is>
      </c>
      <c r="C1977" s="124" t="n"/>
      <c r="D1977" s="115" t="n"/>
      <c r="E1977" s="124" t="n"/>
      <c r="F1977" s="124" t="n"/>
      <c r="G1977" s="124" t="n"/>
      <c r="H1977" s="84" t="n"/>
      <c r="I1977" s="7" t="n"/>
      <c r="J1977" s="32" t="inlineStr">
        <is>
          <t>Oishi - Miggos</t>
        </is>
      </c>
      <c r="K1977" s="24" t="n"/>
      <c r="L1977" s="36" t="n">
        <v>22.45</v>
      </c>
      <c r="M1977" s="204" t="n">
        <v>24</v>
      </c>
      <c r="N1977" s="177" t="n">
        <v>105</v>
      </c>
      <c r="O1977" s="13" t="n"/>
      <c r="P1977" s="139" t="inlineStr">
        <is>
          <t>grams</t>
        </is>
      </c>
      <c r="Q1977" s="2" t="n"/>
      <c r="R1977" s="1" t="n"/>
      <c r="S1977" s="229">
        <f>M1977*N1977</f>
        <v/>
      </c>
      <c r="T1977" s="230">
        <f>CONCATENATE(S1977,Q1977,P1977)</f>
        <v/>
      </c>
      <c r="U1977" s="206">
        <f>L1977*M1977</f>
        <v/>
      </c>
      <c r="V1977" s="4" t="n"/>
      <c r="W1977" s="4" t="n"/>
      <c r="X1977" s="4" t="n"/>
    </row>
    <row r="1978" ht="15.75" customHeight="1" thickBot="1">
      <c r="A1978" s="186" t="n">
        <v>836</v>
      </c>
      <c r="B1978" s="214" t="inlineStr">
        <is>
          <t>Snacks</t>
        </is>
      </c>
      <c r="C1978" s="124" t="n"/>
      <c r="D1978" s="115" t="n"/>
      <c r="E1978" s="124" t="n"/>
      <c r="F1978" s="124" t="n"/>
      <c r="G1978" s="124" t="n"/>
      <c r="H1978" s="84" t="n"/>
      <c r="I1978" s="7" t="n"/>
      <c r="J1978" s="32" t="inlineStr">
        <is>
          <t>Nutri Snack - Moby</t>
        </is>
      </c>
      <c r="K1978" s="24" t="n"/>
      <c r="L1978" s="36" t="n">
        <v>16.7</v>
      </c>
      <c r="M1978" s="204" t="n">
        <v>9</v>
      </c>
      <c r="N1978" s="177" t="n">
        <v>60</v>
      </c>
      <c r="O1978" s="13" t="n"/>
      <c r="P1978" s="139" t="inlineStr">
        <is>
          <t>pieces</t>
        </is>
      </c>
      <c r="Q1978" s="2" t="n"/>
      <c r="R1978" s="1" t="n"/>
      <c r="S1978" s="229">
        <f>M1978*N1978</f>
        <v/>
      </c>
      <c r="T1978" s="230">
        <f>CONCATENATE(S1978,Q1978,P1978)</f>
        <v/>
      </c>
      <c r="U1978" s="206">
        <f>L1978*M1978</f>
        <v/>
      </c>
      <c r="V1978" s="4" t="n"/>
      <c r="W1978" s="4" t="n"/>
      <c r="X1978" s="4" t="n"/>
    </row>
    <row r="1979" ht="15.75" customHeight="1" thickBot="1">
      <c r="A1979" s="186" t="n">
        <v>836</v>
      </c>
      <c r="B1979" s="214" t="inlineStr">
        <is>
          <t>Snacks</t>
        </is>
      </c>
      <c r="C1979" s="124" t="n"/>
      <c r="D1979" s="115" t="n"/>
      <c r="E1979" s="124" t="n"/>
      <c r="F1979" s="124" t="n"/>
      <c r="G1979" s="124" t="n"/>
      <c r="H1979" s="84" t="n"/>
      <c r="I1979" s="7" t="n"/>
      <c r="J1979" s="32" t="inlineStr">
        <is>
          <t>Monde - Mamon Classic</t>
        </is>
      </c>
      <c r="K1979" s="24" t="n"/>
      <c r="L1979" s="36" t="n">
        <v>15</v>
      </c>
      <c r="M1979" s="204" t="n">
        <v>58</v>
      </c>
      <c r="N1979" s="177" t="n">
        <v>23</v>
      </c>
      <c r="O1979" s="13" t="n"/>
      <c r="P1979" s="139" t="inlineStr">
        <is>
          <t>grams</t>
        </is>
      </c>
      <c r="Q1979" s="2" t="n"/>
      <c r="R1979" s="1" t="n"/>
      <c r="S1979" s="229">
        <f>M1979*N1979</f>
        <v/>
      </c>
      <c r="T1979" s="230">
        <f>CONCATENATE(S1979,Q1979,P1979)</f>
        <v/>
      </c>
      <c r="U1979" s="206">
        <f>L1979*M1979</f>
        <v/>
      </c>
      <c r="V1979" s="4" t="n"/>
      <c r="W1979" s="4" t="n"/>
      <c r="X1979" s="4" t="n"/>
    </row>
    <row r="1980" ht="15.75" customHeight="1" thickBot="1">
      <c r="A1980" s="186" t="n">
        <v>836</v>
      </c>
      <c r="B1980" s="214" t="inlineStr">
        <is>
          <t>Snacks</t>
        </is>
      </c>
      <c r="C1980" s="124" t="n"/>
      <c r="D1980" s="115" t="n"/>
      <c r="E1980" s="124" t="n"/>
      <c r="F1980" s="124" t="n"/>
      <c r="G1980" s="124" t="n"/>
      <c r="H1980" s="84" t="n"/>
      <c r="I1980" s="7" t="n"/>
      <c r="J1980" s="32" t="inlineStr">
        <is>
          <t>Jack n Jill - Mr. Chips Manamis Mais</t>
        </is>
      </c>
      <c r="K1980" s="24" t="n"/>
      <c r="L1980" s="36" t="n">
        <v>16.95</v>
      </c>
      <c r="M1980" s="204" t="n">
        <v>47</v>
      </c>
      <c r="N1980" s="177" t="n">
        <v>110</v>
      </c>
      <c r="O1980" s="13" t="n"/>
      <c r="P1980" s="139" t="inlineStr">
        <is>
          <t>grams</t>
        </is>
      </c>
      <c r="Q1980" s="2" t="n"/>
      <c r="R1980" s="1" t="n"/>
      <c r="S1980" s="229">
        <f>M1980*N1980</f>
        <v/>
      </c>
      <c r="T1980" s="230">
        <f>CONCATENATE(S1980,Q1980,P1980)</f>
        <v/>
      </c>
      <c r="U1980" s="206">
        <f>L1980*M1980</f>
        <v/>
      </c>
      <c r="V1980" s="4" t="n"/>
      <c r="W1980" s="4" t="n"/>
      <c r="X1980" s="4" t="n"/>
    </row>
    <row r="1981" ht="15.75" customHeight="1" thickBot="1">
      <c r="A1981" s="186" t="n">
        <v>836</v>
      </c>
      <c r="B1981" s="214" t="inlineStr">
        <is>
          <t>Snacks</t>
        </is>
      </c>
      <c r="C1981" s="124" t="n"/>
      <c r="D1981" s="115" t="n"/>
      <c r="E1981" s="124" t="n"/>
      <c r="F1981" s="124" t="n"/>
      <c r="G1981" s="124" t="n"/>
      <c r="H1981" s="84" t="n"/>
      <c r="I1981" s="7" t="n"/>
      <c r="J1981" s="32" t="inlineStr">
        <is>
          <t>Jack n Jill - Mr. Chips Cheese</t>
        </is>
      </c>
      <c r="K1981" s="24" t="n"/>
      <c r="L1981" s="36" t="n">
        <v>23.5</v>
      </c>
      <c r="M1981" s="204" t="n">
        <v>19</v>
      </c>
      <c r="N1981" s="177" t="n">
        <v>100</v>
      </c>
      <c r="O1981" s="13" t="n"/>
      <c r="P1981" s="139" t="inlineStr">
        <is>
          <t>grams</t>
        </is>
      </c>
      <c r="Q1981" s="2" t="n"/>
      <c r="R1981" s="1" t="n"/>
      <c r="S1981" s="229">
        <f>M1981*N1981</f>
        <v/>
      </c>
      <c r="T1981" s="230">
        <f>CONCATENATE(S1981,Q1981,P1981)</f>
        <v/>
      </c>
      <c r="U1981" s="206">
        <f>L1981*M1981</f>
        <v/>
      </c>
      <c r="V1981" s="4" t="n"/>
      <c r="W1981" s="4" t="n"/>
      <c r="X1981" s="4" t="n"/>
    </row>
    <row r="1982" ht="15.75" customHeight="1" thickBot="1">
      <c r="A1982" s="186" t="n">
        <v>836</v>
      </c>
      <c r="B1982" s="214" t="inlineStr">
        <is>
          <t>Snacks</t>
        </is>
      </c>
      <c r="C1982" s="124" t="n"/>
      <c r="D1982" s="115" t="n"/>
      <c r="E1982" s="124" t="n"/>
      <c r="F1982" s="124" t="n"/>
      <c r="G1982" s="124" t="n"/>
      <c r="H1982" s="84" t="n"/>
      <c r="I1982" s="7" t="n"/>
      <c r="J1982" s="32" t="inlineStr">
        <is>
          <t>Jack n Jill - Mr. Chips Cheese</t>
        </is>
      </c>
      <c r="K1982" s="24" t="n"/>
      <c r="L1982" s="36" t="n">
        <v>21.66</v>
      </c>
      <c r="M1982" s="204" t="n">
        <v>50</v>
      </c>
      <c r="N1982" s="177" t="n">
        <v>98</v>
      </c>
      <c r="O1982" s="13" t="n"/>
      <c r="P1982" s="139" t="inlineStr">
        <is>
          <t>grams</t>
        </is>
      </c>
      <c r="Q1982" s="2" t="n"/>
      <c r="R1982" s="1" t="n"/>
      <c r="S1982" s="229">
        <f>M1982*N1982</f>
        <v/>
      </c>
      <c r="T1982" s="230">
        <f>CONCATENATE(S1982,Q1982,P1982)</f>
        <v/>
      </c>
      <c r="U1982" s="206">
        <f>L1982*M1982</f>
        <v/>
      </c>
      <c r="V1982" s="4" t="n"/>
      <c r="W1982" s="4" t="n"/>
      <c r="X1982" s="4" t="n"/>
    </row>
    <row r="1983" ht="15.75" customHeight="1" thickBot="1">
      <c r="A1983" s="186" t="n">
        <v>836</v>
      </c>
      <c r="B1983" s="214" t="inlineStr">
        <is>
          <t>Snacks</t>
        </is>
      </c>
      <c r="C1983" s="124" t="n"/>
      <c r="D1983" s="115" t="n"/>
      <c r="E1983" s="124" t="n"/>
      <c r="F1983" s="124" t="n"/>
      <c r="G1983" s="124" t="n"/>
      <c r="H1983" s="84" t="n"/>
      <c r="I1983" s="7" t="n"/>
      <c r="J1983" s="32" t="inlineStr">
        <is>
          <t>Jack n Jill - Nova</t>
        </is>
      </c>
      <c r="K1983" s="24" t="n"/>
      <c r="L1983" s="36" t="n">
        <v>35.15</v>
      </c>
      <c r="M1983" s="204" t="n">
        <v>17</v>
      </c>
      <c r="N1983" s="177" t="n">
        <v>78</v>
      </c>
      <c r="O1983" s="13" t="n"/>
      <c r="P1983" s="139" t="inlineStr">
        <is>
          <t>grams</t>
        </is>
      </c>
      <c r="Q1983" s="2" t="n"/>
      <c r="R1983" s="1" t="n"/>
      <c r="S1983" s="229">
        <f>M1983*N1983</f>
        <v/>
      </c>
      <c r="T1983" s="230">
        <f>CONCATENATE(S1983,Q1983,P1983)</f>
        <v/>
      </c>
      <c r="U1983" s="206">
        <f>L1983*M1983</f>
        <v/>
      </c>
      <c r="V1983" s="4" t="n"/>
      <c r="W1983" s="4" t="n"/>
      <c r="X1983" s="4" t="n"/>
    </row>
    <row r="1984" ht="15.75" customHeight="1" thickBot="1">
      <c r="A1984" s="186" t="n">
        <v>836</v>
      </c>
      <c r="B1984" s="214" t="inlineStr">
        <is>
          <t>Snacks</t>
        </is>
      </c>
      <c r="C1984" s="124" t="n"/>
      <c r="D1984" s="115" t="n"/>
      <c r="E1984" s="124" t="n"/>
      <c r="F1984" s="124" t="n"/>
      <c r="G1984" s="124" t="n"/>
      <c r="H1984" s="84" t="n"/>
      <c r="I1984" s="7" t="n"/>
      <c r="J1984" s="32" t="inlineStr">
        <is>
          <t>Jack n Jill - Nova Cheddar</t>
        </is>
      </c>
      <c r="K1984" s="24" t="n"/>
      <c r="L1984" s="36" t="n">
        <v>33.5</v>
      </c>
      <c r="M1984" s="204" t="n">
        <v>100</v>
      </c>
      <c r="N1984" s="177" t="n">
        <v>78</v>
      </c>
      <c r="O1984" s="13" t="n"/>
      <c r="P1984" s="139" t="inlineStr">
        <is>
          <t>grams</t>
        </is>
      </c>
      <c r="Q1984" s="2" t="n"/>
      <c r="R1984" s="1" t="n"/>
      <c r="S1984" s="229">
        <f>M1984*N1984</f>
        <v/>
      </c>
      <c r="T1984" s="230">
        <f>CONCATENATE(S1984,Q1984,P1984)</f>
        <v/>
      </c>
      <c r="U1984" s="206">
        <f>L1984*M1984</f>
        <v/>
      </c>
      <c r="V1984" s="4" t="n"/>
      <c r="W1984" s="4" t="n"/>
      <c r="X1984" s="4" t="n"/>
    </row>
    <row r="1985" ht="15.75" customHeight="1" thickBot="1">
      <c r="A1985" s="186" t="n">
        <v>836</v>
      </c>
      <c r="B1985" s="214" t="inlineStr">
        <is>
          <t>Snacks</t>
        </is>
      </c>
      <c r="C1985" s="124" t="n"/>
      <c r="D1985" s="115" t="n"/>
      <c r="E1985" s="124" t="n"/>
      <c r="F1985" s="124" t="n"/>
      <c r="G1985" s="124" t="n"/>
      <c r="H1985" s="84" t="n"/>
      <c r="I1985" s="7" t="n"/>
      <c r="J1985" s="32" t="inlineStr">
        <is>
          <t>Jack n Jill - Nova Cheddar</t>
        </is>
      </c>
      <c r="K1985" s="24" t="n"/>
      <c r="L1985" s="36" t="n">
        <v>33.5</v>
      </c>
      <c r="M1985" s="204" t="n">
        <v>150</v>
      </c>
      <c r="N1985" s="177" t="n">
        <v>78</v>
      </c>
      <c r="O1985" s="13" t="n"/>
      <c r="P1985" s="139" t="inlineStr">
        <is>
          <t>grams</t>
        </is>
      </c>
      <c r="Q1985" s="2" t="n"/>
      <c r="R1985" s="1" t="n"/>
      <c r="S1985" s="229">
        <f>M1985*N1985</f>
        <v/>
      </c>
      <c r="T1985" s="230">
        <f>CONCATENATE(S1985,Q1985,P1985)</f>
        <v/>
      </c>
      <c r="U1985" s="206">
        <f>L1985*M1985</f>
        <v/>
      </c>
      <c r="V1985" s="4" t="n"/>
      <c r="W1985" s="4" t="n"/>
      <c r="X1985" s="4" t="n"/>
    </row>
    <row r="1986" ht="15.75" customHeight="1" thickBot="1">
      <c r="A1986" s="186" t="n">
        <v>836</v>
      </c>
      <c r="B1986" s="214" t="inlineStr">
        <is>
          <t>Snacks</t>
        </is>
      </c>
      <c r="C1986" s="124" t="n"/>
      <c r="D1986" s="115" t="n"/>
      <c r="E1986" s="124" t="n"/>
      <c r="F1986" s="124" t="n"/>
      <c r="G1986" s="124" t="n"/>
      <c r="H1986" s="84" t="n"/>
      <c r="I1986" s="7" t="n"/>
      <c r="J1986" s="32" t="inlineStr">
        <is>
          <t>Nutri Snacks - Okejie Tempura</t>
        </is>
      </c>
      <c r="K1986" s="24" t="n"/>
      <c r="L1986" s="36" t="n">
        <v>34.9</v>
      </c>
      <c r="M1986" s="204" t="n">
        <v>25</v>
      </c>
      <c r="N1986" s="177" t="n">
        <v>100</v>
      </c>
      <c r="O1986" s="13" t="n"/>
      <c r="P1986" s="139" t="inlineStr">
        <is>
          <t>grams</t>
        </is>
      </c>
      <c r="Q1986" s="2" t="n"/>
      <c r="R1986" s="1" t="n"/>
      <c r="S1986" s="229">
        <f>M1986*N1986</f>
        <v/>
      </c>
      <c r="T1986" s="230">
        <f>CONCATENATE(S1986,Q1986,P1986)</f>
        <v/>
      </c>
      <c r="U1986" s="206">
        <f>L1986*M1986</f>
        <v/>
      </c>
      <c r="V1986" s="4" t="n"/>
      <c r="W1986" s="4" t="n"/>
      <c r="X1986" s="4" t="n"/>
    </row>
    <row r="1987" ht="15.75" customHeight="1" thickBot="1">
      <c r="A1987" s="186" t="n">
        <v>836</v>
      </c>
      <c r="B1987" s="214" t="inlineStr">
        <is>
          <t>Snacks</t>
        </is>
      </c>
      <c r="C1987" s="124" t="n"/>
      <c r="D1987" s="115" t="n"/>
      <c r="E1987" s="124" t="n"/>
      <c r="F1987" s="124" t="n"/>
      <c r="G1987" s="124" t="n"/>
      <c r="H1987" s="84" t="n"/>
      <c r="I1987" s="7" t="n"/>
      <c r="J1987" s="32" t="inlineStr">
        <is>
          <t>Oishi - Onion Rings</t>
        </is>
      </c>
      <c r="K1987" s="24" t="n"/>
      <c r="L1987" s="36" t="n">
        <v>22.38</v>
      </c>
      <c r="M1987" s="204" t="n">
        <v>30</v>
      </c>
      <c r="N1987" s="177" t="n">
        <v>75</v>
      </c>
      <c r="O1987" s="13" t="n"/>
      <c r="P1987" s="139" t="inlineStr">
        <is>
          <t>grams</t>
        </is>
      </c>
      <c r="Q1987" s="2" t="n"/>
      <c r="R1987" s="1" t="n"/>
      <c r="S1987" s="229">
        <f>M1987*N1987</f>
        <v/>
      </c>
      <c r="T1987" s="230">
        <f>CONCATENATE(S1987,Q1987,P1987)</f>
        <v/>
      </c>
      <c r="U1987" s="206">
        <f>L1987*M1987</f>
        <v/>
      </c>
      <c r="V1987" s="4" t="n"/>
      <c r="W1987" s="4" t="n"/>
      <c r="X1987" s="4" t="n"/>
    </row>
    <row r="1988" ht="15.75" customHeight="1" thickBot="1">
      <c r="A1988" s="186" t="n">
        <v>836</v>
      </c>
      <c r="B1988" s="214" t="inlineStr">
        <is>
          <t>Snacks</t>
        </is>
      </c>
      <c r="C1988" s="124" t="n"/>
      <c r="D1988" s="115" t="n"/>
      <c r="E1988" s="124" t="n"/>
      <c r="F1988" s="124" t="n"/>
      <c r="G1988" s="124" t="n"/>
      <c r="H1988" s="84" t="n"/>
      <c r="I1988" s="7" t="n"/>
      <c r="J1988" s="32" t="inlineStr">
        <is>
          <t>W.L. Foods - Panda 3D Biscuits</t>
        </is>
      </c>
      <c r="K1988" s="24" t="n"/>
      <c r="L1988" s="36" t="n">
        <v>12.54</v>
      </c>
      <c r="M1988" s="204" t="n">
        <v>18</v>
      </c>
      <c r="N1988" s="177" t="n">
        <v>56</v>
      </c>
      <c r="O1988" s="13" t="n"/>
      <c r="P1988" s="139" t="inlineStr">
        <is>
          <t>grams</t>
        </is>
      </c>
      <c r="Q1988" s="2" t="n"/>
      <c r="R1988" s="1" t="n"/>
      <c r="S1988" s="229">
        <f>M1988*N1988</f>
        <v/>
      </c>
      <c r="T1988" s="230">
        <f>CONCATENATE(S1988,Q1988,P1988)</f>
        <v/>
      </c>
      <c r="U1988" s="206">
        <f>L1988*M1988</f>
        <v/>
      </c>
      <c r="V1988" s="4" t="n"/>
      <c r="W1988" s="4" t="n"/>
      <c r="X1988" s="4" t="n"/>
    </row>
    <row r="1989" ht="15.75" customHeight="1" thickBot="1">
      <c r="A1989" s="186" t="n">
        <v>836</v>
      </c>
      <c r="B1989" s="215" t="inlineStr">
        <is>
          <t>Snacks</t>
        </is>
      </c>
      <c r="C1989" s="124" t="n"/>
      <c r="D1989" s="115" t="n"/>
      <c r="E1989" s="124" t="n"/>
      <c r="F1989" s="124" t="n"/>
      <c r="G1989" s="124" t="n"/>
      <c r="H1989" s="84" t="n"/>
      <c r="I1989" s="7" t="n"/>
      <c r="J1989" s="32" t="inlineStr">
        <is>
          <t>Oishi - Crispy Patata</t>
        </is>
      </c>
      <c r="K1989" s="24" t="n"/>
      <c r="L1989" s="36" t="n">
        <v>23.1</v>
      </c>
      <c r="M1989" s="204" t="n">
        <v>2</v>
      </c>
      <c r="N1989" s="177" t="n">
        <v>85</v>
      </c>
      <c r="O1989" s="13" t="n"/>
      <c r="P1989" s="139" t="inlineStr">
        <is>
          <t>grams</t>
        </is>
      </c>
      <c r="Q1989" s="2" t="n"/>
      <c r="R1989" s="1" t="n"/>
      <c r="S1989" s="229">
        <f>M1989*N1989</f>
        <v/>
      </c>
      <c r="T1989" s="230">
        <f>CONCATENATE(S1989,Q1989,P1989)</f>
        <v/>
      </c>
      <c r="U1989" s="206">
        <f>L1989*M1989</f>
        <v/>
      </c>
      <c r="V1989" s="4" t="n"/>
      <c r="W1989" s="4" t="n"/>
      <c r="X1989" s="4" t="n"/>
    </row>
    <row r="1990" ht="15.75" customHeight="1" thickBot="1">
      <c r="A1990" s="186" t="n">
        <v>836</v>
      </c>
      <c r="B1990" s="215" t="inlineStr">
        <is>
          <t>Snacks</t>
        </is>
      </c>
      <c r="C1990" s="124" t="n"/>
      <c r="D1990" s="115" t="n"/>
      <c r="E1990" s="124" t="n"/>
      <c r="F1990" s="124" t="n"/>
      <c r="G1990" s="124" t="n"/>
      <c r="H1990" s="84" t="n"/>
      <c r="I1990" s="7" t="n"/>
      <c r="J1990" s="32" t="inlineStr">
        <is>
          <t>Oishi - Crispy Patata</t>
        </is>
      </c>
      <c r="K1990" s="24" t="n"/>
      <c r="L1990" s="36" t="n">
        <v>22.45</v>
      </c>
      <c r="M1990" s="204" t="n">
        <v>1</v>
      </c>
      <c r="N1990" s="177" t="n">
        <v>85</v>
      </c>
      <c r="O1990" s="13" t="n"/>
      <c r="P1990" s="139" t="inlineStr">
        <is>
          <t>grams</t>
        </is>
      </c>
      <c r="Q1990" s="2" t="n"/>
      <c r="R1990" s="1" t="n"/>
      <c r="S1990" s="229">
        <f>M1990*N1990</f>
        <v/>
      </c>
      <c r="T1990" s="230">
        <f>CONCATENATE(S1990,Q1990,P1990)</f>
        <v/>
      </c>
      <c r="U1990" s="206">
        <f>L1990*M1990</f>
        <v/>
      </c>
      <c r="V1990" s="4" t="n"/>
      <c r="W1990" s="4" t="n"/>
      <c r="X1990" s="4" t="n"/>
    </row>
    <row r="1991" ht="15.75" customHeight="1" thickBot="1">
      <c r="A1991" s="186" t="n">
        <v>836</v>
      </c>
      <c r="B1991" s="214" t="inlineStr">
        <is>
          <t>Snacks</t>
        </is>
      </c>
      <c r="C1991" s="124" t="n"/>
      <c r="D1991" s="115" t="n"/>
      <c r="E1991" s="124" t="n"/>
      <c r="F1991" s="124" t="n"/>
      <c r="G1991" s="124" t="n"/>
      <c r="H1991" s="84" t="n"/>
      <c r="I1991" s="7" t="n"/>
      <c r="J1991" s="32" t="inlineStr">
        <is>
          <t>Perrier</t>
        </is>
      </c>
      <c r="K1991" s="24" t="n"/>
      <c r="L1991" s="36" t="n">
        <v>85</v>
      </c>
      <c r="M1991" s="204" t="n">
        <v>15</v>
      </c>
      <c r="N1991" s="177" t="n">
        <v>350</v>
      </c>
      <c r="O1991" s="13" t="n"/>
      <c r="P1991" s="139" t="inlineStr">
        <is>
          <t>ml</t>
        </is>
      </c>
      <c r="Q1991" s="2" t="n"/>
      <c r="R1991" s="1" t="n"/>
      <c r="S1991" s="229">
        <f>M1991*N1991</f>
        <v/>
      </c>
      <c r="T1991" s="230">
        <f>CONCATENATE(S1991,Q1991,P1991)</f>
        <v/>
      </c>
      <c r="U1991" s="206">
        <f>L1991*M1991</f>
        <v/>
      </c>
      <c r="V1991" s="4" t="n"/>
      <c r="W1991" s="4" t="n"/>
      <c r="X1991" s="4" t="n"/>
    </row>
    <row r="1992" ht="15.75" customHeight="1" thickBot="1">
      <c r="A1992" s="186" t="n">
        <v>836</v>
      </c>
      <c r="B1992" s="214" t="inlineStr">
        <is>
          <t>Snacks</t>
        </is>
      </c>
      <c r="C1992" s="124" t="n"/>
      <c r="D1992" s="115" t="n"/>
      <c r="E1992" s="124" t="n"/>
      <c r="F1992" s="124" t="n"/>
      <c r="G1992" s="124" t="n"/>
      <c r="H1992" s="84" t="n"/>
      <c r="I1992" s="7" t="n"/>
      <c r="J1992" s="32" t="inlineStr">
        <is>
          <t>Perrier</t>
        </is>
      </c>
      <c r="K1992" s="24" t="n"/>
      <c r="L1992" s="36" t="n">
        <v>120</v>
      </c>
      <c r="M1992" s="204" t="n">
        <v>7</v>
      </c>
      <c r="N1992" s="177" t="n">
        <v>750</v>
      </c>
      <c r="O1992" s="13" t="n"/>
      <c r="P1992" s="139" t="inlineStr">
        <is>
          <t>ml</t>
        </is>
      </c>
      <c r="Q1992" s="2" t="n"/>
      <c r="R1992" s="1" t="n"/>
      <c r="S1992" s="229">
        <f>M1992*N1992</f>
        <v/>
      </c>
      <c r="T1992" s="230">
        <f>CONCATENATE(S1992,Q1992,P1992)</f>
        <v/>
      </c>
      <c r="U1992" s="206">
        <f>L1992*M1992</f>
        <v/>
      </c>
      <c r="V1992" s="4" t="n"/>
      <c r="W1992" s="4" t="n"/>
      <c r="X1992" s="4" t="n"/>
    </row>
    <row r="1993" ht="15.75" customHeight="1" thickBot="1">
      <c r="A1993" s="186" t="n">
        <v>836</v>
      </c>
      <c r="B1993" s="214" t="inlineStr">
        <is>
          <t>Snacks</t>
        </is>
      </c>
      <c r="C1993" s="124" t="n"/>
      <c r="D1993" s="115" t="n"/>
      <c r="E1993" s="124" t="n"/>
      <c r="F1993" s="124" t="n"/>
      <c r="G1993" s="124" t="n"/>
      <c r="H1993" s="84" t="n"/>
      <c r="I1993" s="7" t="n"/>
      <c r="J1993" s="32" t="inlineStr">
        <is>
          <t>Jack n Jill - Piattos</t>
        </is>
      </c>
      <c r="K1993" s="24" t="n"/>
      <c r="L1993" s="36" t="n">
        <v>34.2</v>
      </c>
      <c r="M1993" s="204" t="n">
        <v>20</v>
      </c>
      <c r="N1993" s="177" t="n">
        <v>85</v>
      </c>
      <c r="O1993" s="13" t="n"/>
      <c r="P1993" s="139" t="inlineStr">
        <is>
          <t>grams</t>
        </is>
      </c>
      <c r="Q1993" s="2" t="n"/>
      <c r="R1993" s="1" t="n"/>
      <c r="S1993" s="229">
        <f>M1993*N1993</f>
        <v/>
      </c>
      <c r="T1993" s="230">
        <f>CONCATENATE(S1993,Q1993,P1993)</f>
        <v/>
      </c>
      <c r="U1993" s="206">
        <f>L1993*M1993</f>
        <v/>
      </c>
      <c r="V1993" s="4" t="n"/>
      <c r="W1993" s="4" t="n"/>
      <c r="X1993" s="4" t="n"/>
    </row>
    <row r="1994" ht="15.75" customHeight="1" thickBot="1">
      <c r="A1994" s="186" t="n">
        <v>836</v>
      </c>
      <c r="B1994" s="214" t="inlineStr">
        <is>
          <t>Snacks</t>
        </is>
      </c>
      <c r="C1994" s="124" t="n"/>
      <c r="D1994" s="115" t="n"/>
      <c r="E1994" s="124" t="n"/>
      <c r="F1994" s="124" t="n"/>
      <c r="G1994" s="124" t="n"/>
      <c r="H1994" s="84" t="n"/>
      <c r="I1994" s="7" t="n"/>
      <c r="J1994" s="32" t="inlineStr">
        <is>
          <t>Jack n Jill - Pic-A BBQ Overload</t>
        </is>
      </c>
      <c r="K1994" s="24" t="n"/>
      <c r="L1994" s="36" t="n">
        <v>56.45</v>
      </c>
      <c r="M1994" s="204" t="n">
        <v>18</v>
      </c>
      <c r="N1994" s="177" t="n">
        <v>180</v>
      </c>
      <c r="O1994" s="13" t="n"/>
      <c r="P1994" s="139" t="inlineStr">
        <is>
          <t>grams</t>
        </is>
      </c>
      <c r="Q1994" s="2" t="n"/>
      <c r="R1994" s="1" t="n"/>
      <c r="S1994" s="229">
        <f>M1994*N1994</f>
        <v/>
      </c>
      <c r="T1994" s="230">
        <f>CONCATENATE(S1994,Q1994,P1994)</f>
        <v/>
      </c>
      <c r="U1994" s="206">
        <f>L1994*M1994</f>
        <v/>
      </c>
      <c r="V1994" s="4" t="n"/>
      <c r="W1994" s="4" t="n"/>
      <c r="X1994" s="4" t="n"/>
    </row>
    <row r="1995" ht="15.75" customHeight="1" thickBot="1">
      <c r="A1995" s="186" t="n">
        <v>836</v>
      </c>
      <c r="B1995" s="214" t="inlineStr">
        <is>
          <t>Snacks</t>
        </is>
      </c>
      <c r="C1995" s="124" t="n"/>
      <c r="D1995" s="115" t="n"/>
      <c r="E1995" s="124" t="n"/>
      <c r="F1995" s="124" t="n"/>
      <c r="G1995" s="124" t="n"/>
      <c r="H1995" s="84" t="n"/>
      <c r="I1995" s="7" t="n"/>
      <c r="J1995" s="32" t="inlineStr">
        <is>
          <t>Oishi - Pillows Ube</t>
        </is>
      </c>
      <c r="K1995" s="24" t="n"/>
      <c r="L1995" s="36" t="n">
        <v>40.1</v>
      </c>
      <c r="M1995" s="204" t="n">
        <v>3</v>
      </c>
      <c r="N1995" s="177" t="n">
        <v>150</v>
      </c>
      <c r="O1995" s="13" t="n"/>
      <c r="P1995" s="139" t="inlineStr">
        <is>
          <t>grams</t>
        </is>
      </c>
      <c r="Q1995" s="2" t="n"/>
      <c r="R1995" s="1" t="n"/>
      <c r="S1995" s="229">
        <f>M1995*N1995</f>
        <v/>
      </c>
      <c r="T1995" s="230">
        <f>CONCATENATE(S1995,Q1995,P1995)</f>
        <v/>
      </c>
      <c r="U1995" s="206">
        <f>L1995*M1995</f>
        <v/>
      </c>
      <c r="V1995" s="4" t="n"/>
      <c r="W1995" s="4" t="n"/>
      <c r="X1995" s="4" t="n"/>
    </row>
    <row r="1996" ht="15.75" customHeight="1" thickBot="1">
      <c r="A1996" s="186" t="n">
        <v>836</v>
      </c>
      <c r="B1996" s="214" t="inlineStr">
        <is>
          <t>Snacks</t>
        </is>
      </c>
      <c r="C1996" s="124" t="n"/>
      <c r="D1996" s="115" t="n"/>
      <c r="E1996" s="124" t="n"/>
      <c r="F1996" s="124" t="n"/>
      <c r="G1996" s="124" t="n"/>
      <c r="H1996" s="84" t="n"/>
      <c r="I1996" s="7" t="n"/>
      <c r="J1996" s="32" t="inlineStr">
        <is>
          <t>Oishi - Pods Pea Snacks</t>
        </is>
      </c>
      <c r="K1996" s="24" t="n"/>
      <c r="L1996" s="36" t="n">
        <v>15.8</v>
      </c>
      <c r="M1996" s="204" t="n">
        <v>250</v>
      </c>
      <c r="N1996" s="177" t="n">
        <v>60</v>
      </c>
      <c r="O1996" s="13" t="n"/>
      <c r="P1996" s="139" t="inlineStr">
        <is>
          <t>grams</t>
        </is>
      </c>
      <c r="Q1996" s="2" t="n"/>
      <c r="R1996" s="1" t="n"/>
      <c r="S1996" s="229">
        <f>M1996*N1996</f>
        <v/>
      </c>
      <c r="T1996" s="230">
        <f>CONCATENATE(S1996,Q1996,P1996)</f>
        <v/>
      </c>
      <c r="U1996" s="206">
        <f>L1996*M1996</f>
        <v/>
      </c>
      <c r="V1996" s="4" t="n"/>
      <c r="W1996" s="4" t="n"/>
      <c r="X1996" s="4" t="n"/>
    </row>
    <row r="1997" ht="15.75" customHeight="1" thickBot="1">
      <c r="A1997" s="186" t="n">
        <v>836</v>
      </c>
      <c r="B1997" s="214" t="inlineStr">
        <is>
          <t>Snacks</t>
        </is>
      </c>
      <c r="C1997" s="124" t="n"/>
      <c r="D1997" s="115" t="n"/>
      <c r="E1997" s="124" t="n"/>
      <c r="F1997" s="124" t="n"/>
      <c r="G1997" s="124" t="n"/>
      <c r="H1997" s="84" t="n"/>
      <c r="I1997" s="7" t="n"/>
      <c r="J1997" s="32" t="inlineStr">
        <is>
          <t>Oishi - Pods Pea Snacks</t>
        </is>
      </c>
      <c r="K1997" s="24" t="n"/>
      <c r="L1997" s="36" t="n">
        <v>16</v>
      </c>
      <c r="M1997" s="204" t="n">
        <v>200</v>
      </c>
      <c r="N1997" s="177" t="n">
        <v>60</v>
      </c>
      <c r="O1997" s="13" t="n"/>
      <c r="P1997" s="139" t="inlineStr">
        <is>
          <t>grams</t>
        </is>
      </c>
      <c r="Q1997" s="2" t="n"/>
      <c r="R1997" s="1" t="n"/>
      <c r="S1997" s="229">
        <f>M1997*N1997</f>
        <v/>
      </c>
      <c r="T1997" s="230">
        <f>CONCATENATE(S1997,Q1997,P1997)</f>
        <v/>
      </c>
      <c r="U1997" s="206">
        <f>L1997*M1997</f>
        <v/>
      </c>
      <c r="V1997" s="4" t="n"/>
      <c r="W1997" s="4" t="n"/>
      <c r="X1997" s="4" t="n"/>
    </row>
    <row r="1998" ht="15.75" customHeight="1" thickBot="1">
      <c r="A1998" s="186" t="n">
        <v>836</v>
      </c>
      <c r="B1998" s="214" t="inlineStr">
        <is>
          <t>Snacks</t>
        </is>
      </c>
      <c r="C1998" s="124" t="n"/>
      <c r="D1998" s="115" t="n"/>
      <c r="E1998" s="124" t="n"/>
      <c r="F1998" s="124" t="n"/>
      <c r="G1998" s="124" t="n"/>
      <c r="H1998" s="84" t="n"/>
      <c r="I1998" s="7" t="n"/>
      <c r="J1998" s="32" t="inlineStr">
        <is>
          <t>Lobster - Prawn Crackers</t>
        </is>
      </c>
      <c r="K1998" s="24" t="n"/>
      <c r="L1998" s="36" t="n">
        <v>48.8</v>
      </c>
      <c r="M1998" s="204" t="n">
        <v>2</v>
      </c>
      <c r="N1998" s="177" t="n">
        <v>200</v>
      </c>
      <c r="O1998" s="13" t="n"/>
      <c r="P1998" s="139" t="inlineStr">
        <is>
          <t>grams</t>
        </is>
      </c>
      <c r="Q1998" s="2" t="n"/>
      <c r="R1998" s="1" t="n"/>
      <c r="S1998" s="229">
        <f>M1998*N1998</f>
        <v/>
      </c>
      <c r="T1998" s="230">
        <f>CONCATENATE(S1998,Q1998,P1998)</f>
        <v/>
      </c>
      <c r="U1998" s="206">
        <f>L1998*M1998</f>
        <v/>
      </c>
      <c r="V1998" s="4" t="n"/>
      <c r="W1998" s="4" t="n"/>
      <c r="X1998" s="4" t="n"/>
    </row>
    <row r="1999" ht="15.75" customHeight="1" thickBot="1">
      <c r="A1999" s="186" t="n">
        <v>836</v>
      </c>
      <c r="B1999" s="214" t="inlineStr">
        <is>
          <t>Snacks</t>
        </is>
      </c>
      <c r="C1999" s="124" t="n"/>
      <c r="D1999" s="115" t="n"/>
      <c r="E1999" s="124" t="n"/>
      <c r="F1999" s="124" t="n"/>
      <c r="G1999" s="124" t="n"/>
      <c r="H1999" s="84" t="n"/>
      <c r="I1999" s="7" t="n"/>
      <c r="J1999" s="32" t="inlineStr">
        <is>
          <t>Besuto - Onion &amp; Garlic</t>
        </is>
      </c>
      <c r="K1999" s="24" t="n"/>
      <c r="L1999" s="36" t="n">
        <v>65.25</v>
      </c>
      <c r="M1999" s="204" t="n">
        <v>2</v>
      </c>
      <c r="N1999" s="177" t="n">
        <v>250</v>
      </c>
      <c r="O1999" s="13" t="n"/>
      <c r="P1999" s="139" t="inlineStr">
        <is>
          <t>grams</t>
        </is>
      </c>
      <c r="Q1999" s="2" t="n"/>
      <c r="R1999" s="1" t="n"/>
      <c r="S1999" s="229">
        <f>M1999*N1999</f>
        <v/>
      </c>
      <c r="T1999" s="230">
        <f>CONCATENATE(S1999,Q1999,P1999)</f>
        <v/>
      </c>
      <c r="U1999" s="206">
        <f>L1999*M1999</f>
        <v/>
      </c>
      <c r="V1999" s="4" t="n"/>
      <c r="W1999" s="4" t="n"/>
      <c r="X1999" s="4" t="n"/>
    </row>
    <row r="2000" ht="15.75" customHeight="1" thickBot="1">
      <c r="A2000" s="186" t="n">
        <v>836</v>
      </c>
      <c r="B2000" s="214" t="inlineStr">
        <is>
          <t>Snacks</t>
        </is>
      </c>
      <c r="C2000" s="124" t="n"/>
      <c r="D2000" s="115" t="n"/>
      <c r="E2000" s="124" t="n"/>
      <c r="F2000" s="124" t="n"/>
      <c r="G2000" s="124" t="n"/>
      <c r="H2000" s="84" t="n"/>
      <c r="I2000" s="7" t="n"/>
      <c r="J2000" s="32" t="inlineStr">
        <is>
          <t>Oishi - Prawn Crackers Spicy</t>
        </is>
      </c>
      <c r="K2000" s="24" t="n"/>
      <c r="L2000" s="36" t="n">
        <v>6.03</v>
      </c>
      <c r="M2000" s="204" t="n">
        <v>100</v>
      </c>
      <c r="N2000" s="177" t="n">
        <v>24</v>
      </c>
      <c r="O2000" s="13" t="n"/>
      <c r="P2000" s="139" t="inlineStr">
        <is>
          <t>grams</t>
        </is>
      </c>
      <c r="Q2000" s="2" t="n"/>
      <c r="R2000" s="1" t="n"/>
      <c r="S2000" s="229">
        <f>M2000*N2000</f>
        <v/>
      </c>
      <c r="T2000" s="230">
        <f>CONCATENATE(S2000,Q2000,P2000)</f>
        <v/>
      </c>
      <c r="U2000" s="206">
        <f>L2000*M2000</f>
        <v/>
      </c>
      <c r="V2000" s="4" t="n"/>
      <c r="W2000" s="4" t="n"/>
      <c r="X2000" s="4" t="n"/>
    </row>
    <row r="2001" ht="15.75" customHeight="1" thickBot="1">
      <c r="A2001" s="186" t="n">
        <v>836</v>
      </c>
      <c r="B2001" s="214" t="inlineStr">
        <is>
          <t>Snacks</t>
        </is>
      </c>
      <c r="C2001" s="124" t="n"/>
      <c r="D2001" s="115" t="n"/>
      <c r="E2001" s="124" t="n"/>
      <c r="F2001" s="124" t="n"/>
      <c r="G2001" s="124" t="n"/>
      <c r="H2001" s="84" t="n"/>
      <c r="I2001" s="7" t="n"/>
      <c r="J2001" s="32" t="inlineStr">
        <is>
          <t>Oishi - Pillows Choco</t>
        </is>
      </c>
      <c r="K2001" s="24" t="n"/>
      <c r="L2001" s="36" t="n">
        <v>40.1</v>
      </c>
      <c r="M2001" s="204" t="n">
        <v>10</v>
      </c>
      <c r="N2001" s="177" t="n">
        <v>150</v>
      </c>
      <c r="O2001" s="13" t="n"/>
      <c r="P2001" s="139" t="inlineStr">
        <is>
          <t>grams</t>
        </is>
      </c>
      <c r="Q2001" s="2" t="n"/>
      <c r="R2001" s="1" t="n"/>
      <c r="S2001" s="229">
        <f>M2001*N2001</f>
        <v/>
      </c>
      <c r="T2001" s="230">
        <f>CONCATENATE(S2001,Q2001,P2001)</f>
        <v/>
      </c>
      <c r="U2001" s="206">
        <f>L2001*M2001</f>
        <v/>
      </c>
      <c r="V2001" s="4" t="n"/>
      <c r="W2001" s="4" t="n"/>
      <c r="X2001" s="4" t="n"/>
    </row>
    <row r="2002" ht="15.75" customHeight="1" thickBot="1">
      <c r="A2002" s="186" t="n">
        <v>836</v>
      </c>
      <c r="B2002" s="214" t="inlineStr">
        <is>
          <t>Snacks</t>
        </is>
      </c>
      <c r="C2002" s="124" t="n"/>
      <c r="D2002" s="115" t="n"/>
      <c r="E2002" s="124" t="n"/>
      <c r="F2002" s="124" t="n"/>
      <c r="G2002" s="124" t="n"/>
      <c r="H2002" s="84" t="n"/>
      <c r="I2002" s="7" t="n"/>
      <c r="J2002" s="32" t="inlineStr">
        <is>
          <t>Jack n Jill - Pretzels Chocolate Mini</t>
        </is>
      </c>
      <c r="K2002" s="24" t="n"/>
      <c r="L2002" s="36" t="n">
        <v>12.1</v>
      </c>
      <c r="M2002" s="204" t="n">
        <v>31</v>
      </c>
      <c r="N2002" s="177" t="n">
        <v>40</v>
      </c>
      <c r="O2002" s="13" t="n"/>
      <c r="P2002" s="139" t="inlineStr">
        <is>
          <t>grams</t>
        </is>
      </c>
      <c r="Q2002" s="2" t="n"/>
      <c r="R2002" s="1" t="n"/>
      <c r="S2002" s="229">
        <f>M2002*N2002</f>
        <v/>
      </c>
      <c r="T2002" s="230">
        <f>CONCATENATE(S2002,Q2002,P2002)</f>
        <v/>
      </c>
      <c r="U2002" s="206">
        <f>L2002*M2002</f>
        <v/>
      </c>
      <c r="V2002" s="4" t="n"/>
      <c r="W2002" s="4" t="n"/>
      <c r="X2002" s="4" t="n"/>
    </row>
    <row r="2003" ht="15.75" customHeight="1" thickBot="1">
      <c r="A2003" s="186" t="n">
        <v>836</v>
      </c>
      <c r="B2003" s="214" t="inlineStr">
        <is>
          <t>Snacks</t>
        </is>
      </c>
      <c r="C2003" s="124" t="n"/>
      <c r="D2003" s="115" t="n"/>
      <c r="E2003" s="124" t="n"/>
      <c r="F2003" s="124" t="n"/>
      <c r="G2003" s="124" t="n"/>
      <c r="H2003" s="84" t="n"/>
      <c r="I2003" s="7" t="n"/>
      <c r="J2003" s="32" t="inlineStr">
        <is>
          <t>Stateline - Tomi Sweet Corn</t>
        </is>
      </c>
      <c r="K2003" s="24" t="n"/>
      <c r="L2003" s="36" t="n">
        <v>24.23</v>
      </c>
      <c r="M2003" s="204" t="n">
        <v>50</v>
      </c>
      <c r="N2003" s="177" t="n">
        <v>110</v>
      </c>
      <c r="O2003" s="13" t="n"/>
      <c r="P2003" s="139" t="inlineStr">
        <is>
          <t>grams</t>
        </is>
      </c>
      <c r="Q2003" s="2" t="n"/>
      <c r="R2003" s="1" t="n"/>
      <c r="S2003" s="229">
        <f>M2003*N2003</f>
        <v/>
      </c>
      <c r="T2003" s="230">
        <f>CONCATENATE(S2003,Q2003,P2003)</f>
        <v/>
      </c>
      <c r="U2003" s="206">
        <f>L2003*M2003</f>
        <v/>
      </c>
      <c r="V2003" s="4" t="n"/>
      <c r="W2003" s="4" t="n"/>
      <c r="X2003" s="4" t="n"/>
    </row>
    <row r="2004" ht="15.75" customHeight="1" thickBot="1">
      <c r="A2004" s="186" t="n">
        <v>836</v>
      </c>
      <c r="B2004" s="215" t="inlineStr">
        <is>
          <t>Snacks</t>
        </is>
      </c>
      <c r="C2004" s="124" t="n"/>
      <c r="D2004" s="115" t="n"/>
      <c r="E2004" s="124" t="n"/>
      <c r="F2004" s="124" t="n"/>
      <c r="G2004" s="124" t="n"/>
      <c r="H2004" s="84" t="n"/>
      <c r="I2004" s="7" t="n"/>
      <c r="J2004" s="32" t="inlineStr">
        <is>
          <t>Oishi - Bread Pan Butter Toast</t>
        </is>
      </c>
      <c r="K2004" s="24" t="n"/>
      <c r="L2004" s="36" t="n">
        <v>11.2</v>
      </c>
      <c r="M2004" s="204" t="n">
        <v>81</v>
      </c>
      <c r="N2004" s="177" t="n">
        <v>42</v>
      </c>
      <c r="O2004" s="13" t="n"/>
      <c r="P2004" s="139" t="inlineStr">
        <is>
          <t>pieces</t>
        </is>
      </c>
      <c r="Q2004" s="2" t="n"/>
      <c r="R2004" s="1" t="n"/>
      <c r="S2004" s="229">
        <f>M2004*N2004</f>
        <v/>
      </c>
      <c r="T2004" s="230">
        <f>CONCATENATE(S2004,Q2004,P2004)</f>
        <v/>
      </c>
      <c r="U2004" s="206">
        <f>L2004*M2004</f>
        <v/>
      </c>
      <c r="V2004" s="4" t="n"/>
      <c r="W2004" s="4" t="n"/>
      <c r="X2004" s="4" t="n"/>
    </row>
    <row r="2005" ht="15.75" customHeight="1" thickBot="1">
      <c r="A2005" s="186" t="n">
        <v>836</v>
      </c>
      <c r="B2005" s="215" t="inlineStr">
        <is>
          <t>Snacks</t>
        </is>
      </c>
      <c r="C2005" s="124" t="n"/>
      <c r="D2005" s="115" t="n"/>
      <c r="E2005" s="124" t="n"/>
      <c r="F2005" s="124" t="n"/>
      <c r="G2005" s="124" t="n"/>
      <c r="H2005" s="84" t="n"/>
      <c r="I2005" s="7" t="n"/>
      <c r="J2005" s="32" t="inlineStr">
        <is>
          <t>Oishi - Bread Pan White Cheddar</t>
        </is>
      </c>
      <c r="K2005" s="24" t="n"/>
      <c r="L2005" s="36" t="n">
        <v>11.3</v>
      </c>
      <c r="M2005" s="204" t="n">
        <v>4</v>
      </c>
      <c r="N2005" s="177" t="n">
        <v>42</v>
      </c>
      <c r="O2005" s="13" t="n"/>
      <c r="P2005" s="139" t="inlineStr">
        <is>
          <t>pieces</t>
        </is>
      </c>
      <c r="Q2005" s="2" t="n"/>
      <c r="R2005" s="1" t="n"/>
      <c r="S2005" s="229">
        <f>M2005*N2005</f>
        <v/>
      </c>
      <c r="T2005" s="230">
        <f>CONCATENATE(S2005,Q2005,P2005)</f>
        <v/>
      </c>
      <c r="U2005" s="206">
        <f>L2005*M2005</f>
        <v/>
      </c>
      <c r="V2005" s="4" t="n"/>
      <c r="W2005" s="4" t="n"/>
      <c r="X2005" s="4" t="n"/>
    </row>
    <row r="2006" ht="15.75" customHeight="1" thickBot="1">
      <c r="A2006" s="186" t="n">
        <v>836</v>
      </c>
      <c r="B2006" s="214" t="inlineStr">
        <is>
          <t>Snacks</t>
        </is>
      </c>
      <c r="C2006" s="124" t="n"/>
      <c r="D2006" s="115" t="n"/>
      <c r="E2006" s="124" t="n"/>
      <c r="F2006" s="124" t="n"/>
      <c r="G2006" s="124" t="n"/>
      <c r="H2006" s="84" t="n"/>
      <c r="I2006" s="7" t="n"/>
      <c r="J2006" s="32" t="inlineStr">
        <is>
          <t>Nissin - Bread Stixx</t>
        </is>
      </c>
      <c r="K2006" s="24" t="n"/>
      <c r="L2006" s="36" t="n">
        <v>36</v>
      </c>
      <c r="M2006" s="204" t="n">
        <v>360</v>
      </c>
      <c r="N2006" s="177" t="n">
        <v>130</v>
      </c>
      <c r="O2006" s="13" t="n"/>
      <c r="P2006" s="139" t="inlineStr">
        <is>
          <t>grams</t>
        </is>
      </c>
      <c r="Q2006" s="2" t="n"/>
      <c r="R2006" s="1" t="n"/>
      <c r="S2006" s="229">
        <f>M2006*N2006</f>
        <v/>
      </c>
      <c r="T2006" s="230">
        <f>CONCATENATE(S2006,Q2006,P2006)</f>
        <v/>
      </c>
      <c r="U2006" s="206">
        <f>L2006*M2006</f>
        <v/>
      </c>
      <c r="V2006" s="4" t="n"/>
      <c r="W2006" s="4" t="n"/>
      <c r="X2006" s="4" t="n"/>
    </row>
    <row r="2007" ht="15.75" customHeight="1" thickBot="1">
      <c r="A2007" s="186" t="n">
        <v>836</v>
      </c>
      <c r="B2007" s="214" t="inlineStr">
        <is>
          <t>Snacks</t>
        </is>
      </c>
      <c r="C2007" s="124" t="n"/>
      <c r="D2007" s="115" t="n"/>
      <c r="E2007" s="124" t="n"/>
      <c r="F2007" s="124" t="n"/>
      <c r="G2007" s="124" t="n"/>
      <c r="H2007" s="84" t="n"/>
      <c r="I2007" s="7" t="n"/>
      <c r="J2007" s="32" t="inlineStr">
        <is>
          <t>Oishi - Baconette Strips</t>
        </is>
      </c>
      <c r="K2007" s="24" t="n"/>
      <c r="L2007" s="36" t="n">
        <v>24.8</v>
      </c>
      <c r="M2007" s="204" t="n">
        <v>39</v>
      </c>
      <c r="N2007" s="177" t="n">
        <v>90</v>
      </c>
      <c r="O2007" s="13" t="n"/>
      <c r="P2007" s="139" t="inlineStr">
        <is>
          <t>grams</t>
        </is>
      </c>
      <c r="Q2007" s="2" t="n"/>
      <c r="R2007" s="1" t="n"/>
      <c r="S2007" s="229">
        <f>M2007*N2007</f>
        <v/>
      </c>
      <c r="T2007" s="230">
        <f>CONCATENATE(S2007,Q2007,P2007)</f>
        <v/>
      </c>
      <c r="U2007" s="206">
        <f>L2007*M2007</f>
        <v/>
      </c>
      <c r="V2007" s="4" t="n"/>
      <c r="W2007" s="4" t="n"/>
      <c r="X2007" s="4" t="n"/>
    </row>
    <row r="2008" ht="15.75" customHeight="1" thickBot="1">
      <c r="A2008" s="186" t="n">
        <v>836</v>
      </c>
      <c r="B2008" s="214" t="inlineStr">
        <is>
          <t>Snacks</t>
        </is>
      </c>
      <c r="C2008" s="124" t="n"/>
      <c r="D2008" s="115" t="n"/>
      <c r="E2008" s="124" t="n"/>
      <c r="F2008" s="124" t="n"/>
      <c r="G2008" s="124" t="n"/>
      <c r="H2008" s="84" t="n"/>
      <c r="I2008" s="7" t="n"/>
      <c r="J2008" s="32" t="inlineStr">
        <is>
          <t>WL Foods - Cheepee</t>
        </is>
      </c>
      <c r="K2008" s="24" t="n"/>
      <c r="L2008" s="36" t="n">
        <v>19.16</v>
      </c>
      <c r="M2008" s="204" t="n">
        <v>30</v>
      </c>
      <c r="N2008" s="177" t="n">
        <v>1</v>
      </c>
      <c r="O2008" s="13" t="n"/>
      <c r="P2008" s="139" t="inlineStr">
        <is>
          <t>pieces</t>
        </is>
      </c>
      <c r="Q2008" s="2" t="n"/>
      <c r="R2008" s="1" t="n"/>
      <c r="S2008" s="229">
        <f>M2008*N2008</f>
        <v/>
      </c>
      <c r="T2008" s="230">
        <f>CONCATENATE(S2008,Q2008,P2008)</f>
        <v/>
      </c>
      <c r="U2008" s="206">
        <f>L2008*M2008</f>
        <v/>
      </c>
      <c r="V2008" s="4" t="n"/>
      <c r="W2008" s="4" t="n"/>
      <c r="X2008" s="4" t="n"/>
    </row>
    <row r="2009" ht="15.75" customHeight="1" thickBot="1">
      <c r="A2009" s="186" t="n">
        <v>836</v>
      </c>
      <c r="B2009" s="214" t="inlineStr">
        <is>
          <t>Snacks</t>
        </is>
      </c>
      <c r="C2009" s="124" t="n"/>
      <c r="D2009" s="115" t="n"/>
      <c r="E2009" s="124" t="n"/>
      <c r="F2009" s="124" t="n"/>
      <c r="G2009" s="124" t="n"/>
      <c r="H2009" s="84" t="n"/>
      <c r="I2009" s="7" t="n"/>
      <c r="J2009" s="32" t="inlineStr">
        <is>
          <t>Nutri-Snack - Cheez-it Cheese</t>
        </is>
      </c>
      <c r="K2009" s="24" t="n"/>
      <c r="L2009" s="36" t="n">
        <v>16.33</v>
      </c>
      <c r="M2009" s="204" t="n">
        <v>50</v>
      </c>
      <c r="N2009" s="177" t="n">
        <v>60</v>
      </c>
      <c r="O2009" s="13" t="n"/>
      <c r="P2009" s="139" t="inlineStr">
        <is>
          <t>grams</t>
        </is>
      </c>
      <c r="Q2009" s="2" t="n"/>
      <c r="R2009" s="1" t="n"/>
      <c r="S2009" s="229">
        <f>M2009*N2009</f>
        <v/>
      </c>
      <c r="T2009" s="230">
        <f>CONCATENATE(S2009,Q2009,P2009)</f>
        <v/>
      </c>
      <c r="U2009" s="206">
        <f>L2009*M2009</f>
        <v/>
      </c>
      <c r="V2009" s="4" t="n"/>
      <c r="W2009" s="4" t="n"/>
      <c r="X2009" s="4" t="n"/>
    </row>
    <row r="2010" ht="15.75" customHeight="1" thickBot="1">
      <c r="A2010" s="186" t="n">
        <v>836</v>
      </c>
      <c r="B2010" s="214" t="inlineStr">
        <is>
          <t>Snacks</t>
        </is>
      </c>
      <c r="C2010" s="124" t="n"/>
      <c r="D2010" s="115" t="n"/>
      <c r="E2010" s="124" t="n"/>
      <c r="F2010" s="124" t="n"/>
      <c r="G2010" s="124" t="n"/>
      <c r="H2010" s="84" t="n"/>
      <c r="I2010" s="7" t="n"/>
      <c r="J2010" s="32" t="inlineStr">
        <is>
          <t>Jack n Jill - Chippy</t>
        </is>
      </c>
      <c r="K2010" s="24" t="n"/>
      <c r="L2010" s="36" t="n">
        <v>25.25</v>
      </c>
      <c r="M2010" s="204" t="n">
        <v>35</v>
      </c>
      <c r="N2010" s="177" t="n">
        <v>110</v>
      </c>
      <c r="O2010" s="13" t="n"/>
      <c r="P2010" s="139" t="inlineStr">
        <is>
          <t>grams</t>
        </is>
      </c>
      <c r="Q2010" s="2" t="n"/>
      <c r="R2010" s="1" t="n"/>
      <c r="S2010" s="229">
        <f>M2010*N2010</f>
        <v/>
      </c>
      <c r="T2010" s="230">
        <f>CONCATENATE(S2010,Q2010,P2010)</f>
        <v/>
      </c>
      <c r="U2010" s="206">
        <f>L2010*M2010</f>
        <v/>
      </c>
      <c r="V2010" s="4" t="n"/>
      <c r="W2010" s="4" t="n"/>
      <c r="X2010" s="4" t="n"/>
    </row>
    <row r="2011" ht="15.75" customHeight="1" thickBot="1">
      <c r="A2011" s="186" t="n">
        <v>836</v>
      </c>
      <c r="B2011" s="214" t="inlineStr">
        <is>
          <t>Snacks</t>
        </is>
      </c>
      <c r="C2011" s="124" t="n"/>
      <c r="D2011" s="115" t="n"/>
      <c r="E2011" s="124" t="n"/>
      <c r="F2011" s="124" t="n"/>
      <c r="G2011" s="124" t="n"/>
      <c r="H2011" s="84" t="n"/>
      <c r="I2011" s="7" t="n"/>
      <c r="J2011" s="32" t="inlineStr">
        <is>
          <t>Jack n Jill - Nova</t>
        </is>
      </c>
      <c r="K2011" s="24" t="n"/>
      <c r="L2011" s="36" t="n">
        <v>35</v>
      </c>
      <c r="M2011" s="204" t="n">
        <v>1</v>
      </c>
      <c r="N2011" s="177" t="n">
        <v>78</v>
      </c>
      <c r="O2011" s="13" t="n"/>
      <c r="P2011" s="139" t="inlineStr">
        <is>
          <t>grams</t>
        </is>
      </c>
      <c r="Q2011" s="2" t="n"/>
      <c r="R2011" s="1" t="n"/>
      <c r="S2011" s="229">
        <f>M2011*N2011</f>
        <v/>
      </c>
      <c r="T2011" s="230">
        <f>CONCATENATE(S2011,Q2011,P2011)</f>
        <v/>
      </c>
      <c r="U2011" s="206">
        <f>L2011*M2011</f>
        <v/>
      </c>
      <c r="V2011" s="4" t="n"/>
      <c r="W2011" s="4" t="n"/>
      <c r="X2011" s="4" t="n"/>
    </row>
    <row r="2012" ht="15.75" customHeight="1" thickBot="1">
      <c r="A2012" s="186" t="n">
        <v>836</v>
      </c>
      <c r="B2012" s="214" t="inlineStr">
        <is>
          <t>Snacks</t>
        </is>
      </c>
      <c r="C2012" s="124" t="n"/>
      <c r="D2012" s="115" t="n"/>
      <c r="E2012" s="124" t="n"/>
      <c r="F2012" s="124" t="n"/>
      <c r="G2012" s="124" t="n"/>
      <c r="H2012" s="84" t="n"/>
      <c r="I2012" s="7" t="n"/>
      <c r="J2012" s="32" t="inlineStr">
        <is>
          <t>Leslie's - Clover Chips - Cheese</t>
        </is>
      </c>
      <c r="K2012" s="24" t="n"/>
      <c r="L2012" s="36" t="n">
        <v>7.07</v>
      </c>
      <c r="M2012" s="204" t="n">
        <v>105</v>
      </c>
      <c r="N2012" s="177" t="n">
        <v>24</v>
      </c>
      <c r="O2012" s="13" t="n"/>
      <c r="P2012" s="139" t="inlineStr">
        <is>
          <t>grams</t>
        </is>
      </c>
      <c r="Q2012" s="2" t="n"/>
      <c r="R2012" s="1" t="n"/>
      <c r="S2012" s="229">
        <f>M2012*N2012</f>
        <v/>
      </c>
      <c r="T2012" s="230">
        <f>CONCATENATE(S2012,Q2012,P2012)</f>
        <v/>
      </c>
      <c r="U2012" s="206">
        <f>L2012*M2012</f>
        <v/>
      </c>
      <c r="V2012" s="4" t="n"/>
      <c r="W2012" s="4" t="n"/>
      <c r="X2012" s="4" t="n"/>
    </row>
    <row r="2013" ht="15.75" customHeight="1" thickBot="1">
      <c r="A2013" s="186" t="n">
        <v>836</v>
      </c>
      <c r="B2013" s="214" t="inlineStr">
        <is>
          <t>Snacks</t>
        </is>
      </c>
      <c r="C2013" s="124" t="n"/>
      <c r="D2013" s="115" t="n"/>
      <c r="E2013" s="124" t="n"/>
      <c r="F2013" s="124" t="n"/>
      <c r="G2013" s="124" t="n"/>
      <c r="H2013" s="84" t="n"/>
      <c r="I2013" s="7" t="n"/>
      <c r="J2013" s="32" t="inlineStr">
        <is>
          <t>Oishi - Cracklings</t>
        </is>
      </c>
      <c r="K2013" s="24" t="n"/>
      <c r="L2013" s="36" t="n">
        <v>22.1</v>
      </c>
      <c r="M2013" s="204" t="n">
        <v>17</v>
      </c>
      <c r="N2013" s="177" t="n">
        <v>90</v>
      </c>
      <c r="O2013" s="13" t="n"/>
      <c r="P2013" s="139" t="inlineStr">
        <is>
          <t>grams</t>
        </is>
      </c>
      <c r="Q2013" s="2" t="n"/>
      <c r="R2013" s="1" t="n"/>
      <c r="S2013" s="229">
        <f>M2013*N2013</f>
        <v/>
      </c>
      <c r="T2013" s="230">
        <f>CONCATENATE(S2013,Q2013,P2013)</f>
        <v/>
      </c>
      <c r="U2013" s="206">
        <f>L2013*M2013</f>
        <v/>
      </c>
      <c r="V2013" s="4" t="n"/>
      <c r="W2013" s="4" t="n"/>
      <c r="X2013" s="4" t="n"/>
    </row>
    <row r="2014" ht="15.75" customHeight="1" thickBot="1">
      <c r="A2014" s="186" t="n">
        <v>836</v>
      </c>
      <c r="B2014" s="214" t="inlineStr">
        <is>
          <t>Snacks</t>
        </is>
      </c>
      <c r="C2014" s="124" t="n"/>
      <c r="D2014" s="115" t="n"/>
      <c r="E2014" s="124" t="n"/>
      <c r="F2014" s="124" t="n"/>
      <c r="G2014" s="124" t="n"/>
      <c r="H2014" s="84" t="n"/>
      <c r="I2014" s="7" t="n"/>
      <c r="J2014" s="32" t="inlineStr">
        <is>
          <t>Oishi - Cracklings</t>
        </is>
      </c>
      <c r="K2014" s="24" t="n"/>
      <c r="L2014" s="36" t="n">
        <v>14.1</v>
      </c>
      <c r="M2014" s="204" t="n">
        <v>1</v>
      </c>
      <c r="N2014" s="177" t="n">
        <v>50</v>
      </c>
      <c r="O2014" s="13" t="n"/>
      <c r="P2014" s="139" t="inlineStr">
        <is>
          <t>grams</t>
        </is>
      </c>
      <c r="Q2014" s="2" t="n"/>
      <c r="R2014" s="1" t="n"/>
      <c r="S2014" s="229">
        <f>M2014*N2014</f>
        <v/>
      </c>
      <c r="T2014" s="230">
        <f>CONCATENATE(S2014,Q2014,P2014)</f>
        <v/>
      </c>
      <c r="U2014" s="206">
        <f>L2014*M2014</f>
        <v/>
      </c>
      <c r="V2014" s="4" t="n"/>
      <c r="W2014" s="4" t="n"/>
      <c r="X2014" s="4" t="n"/>
    </row>
    <row r="2015" ht="15.75" customHeight="1" thickBot="1">
      <c r="A2015" s="186" t="n">
        <v>836</v>
      </c>
      <c r="B2015" s="214" t="inlineStr">
        <is>
          <t>Snacks</t>
        </is>
      </c>
      <c r="C2015" s="124" t="n"/>
      <c r="D2015" s="115" t="n"/>
      <c r="E2015" s="124" t="n"/>
      <c r="F2015" s="124" t="n"/>
      <c r="G2015" s="124" t="n"/>
      <c r="H2015" s="84" t="n"/>
      <c r="I2015" s="7" t="n"/>
      <c r="J2015" s="32" t="inlineStr">
        <is>
          <t>Oishi - Baconette Strips</t>
        </is>
      </c>
      <c r="K2015" s="24" t="n"/>
      <c r="L2015" s="36" t="n">
        <v>23</v>
      </c>
      <c r="M2015" s="204" t="n">
        <v>1</v>
      </c>
      <c r="N2015" s="177" t="n">
        <v>90</v>
      </c>
      <c r="O2015" s="13" t="n"/>
      <c r="P2015" s="139" t="inlineStr">
        <is>
          <t>grams</t>
        </is>
      </c>
      <c r="Q2015" s="2" t="n"/>
      <c r="R2015" s="1" t="n"/>
      <c r="S2015" s="229">
        <f>M2015*N2015</f>
        <v/>
      </c>
      <c r="T2015" s="230">
        <f>CONCATENATE(S2015,Q2015,P2015)</f>
        <v/>
      </c>
      <c r="U2015" s="206">
        <f>L2015*M2015</f>
        <v/>
      </c>
      <c r="V2015" s="4" t="n"/>
      <c r="W2015" s="4" t="n"/>
      <c r="X2015" s="4" t="n"/>
    </row>
    <row r="2016" ht="15.75" customHeight="1" thickBot="1">
      <c r="A2016" s="186" t="n">
        <v>836</v>
      </c>
      <c r="B2016" s="214" t="inlineStr">
        <is>
          <t>Snacks</t>
        </is>
      </c>
      <c r="C2016" s="124" t="n"/>
      <c r="D2016" s="115" t="n"/>
      <c r="E2016" s="124" t="n"/>
      <c r="F2016" s="124" t="n"/>
      <c r="G2016" s="124" t="n"/>
      <c r="H2016" s="84" t="n"/>
      <c r="I2016" s="7" t="n"/>
      <c r="J2016" s="32" t="inlineStr">
        <is>
          <t>Oishi - Cracklings</t>
        </is>
      </c>
      <c r="K2016" s="24" t="n"/>
      <c r="L2016" s="36" t="n">
        <v>13.56</v>
      </c>
      <c r="M2016" s="204" t="n">
        <v>50</v>
      </c>
      <c r="N2016" s="177" t="n">
        <v>50</v>
      </c>
      <c r="O2016" s="13" t="n"/>
      <c r="P2016" s="139" t="inlineStr">
        <is>
          <t>grams</t>
        </is>
      </c>
      <c r="Q2016" s="2" t="n"/>
      <c r="R2016" s="1" t="n"/>
      <c r="S2016" s="229">
        <f>M2016*N2016</f>
        <v/>
      </c>
      <c r="T2016" s="230">
        <f>CONCATENATE(S2016,Q2016,P2016)</f>
        <v/>
      </c>
      <c r="U2016" s="206">
        <f>L2016*M2016</f>
        <v/>
      </c>
      <c r="V2016" s="4" t="n"/>
      <c r="W2016" s="4" t="n"/>
      <c r="X2016" s="4" t="n"/>
    </row>
    <row r="2017" ht="15.75" customHeight="1" thickBot="1">
      <c r="A2017" s="186" t="n">
        <v>836</v>
      </c>
      <c r="B2017" s="214" t="inlineStr">
        <is>
          <t>Snacks</t>
        </is>
      </c>
      <c r="C2017" s="124" t="n"/>
      <c r="D2017" s="115" t="n"/>
      <c r="E2017" s="124" t="n"/>
      <c r="F2017" s="124" t="n"/>
      <c r="G2017" s="124" t="n"/>
      <c r="H2017" s="84" t="n"/>
      <c r="I2017" s="7" t="n"/>
      <c r="J2017" s="32" t="inlineStr">
        <is>
          <t>Suncrest Food - Dowee Donut Choco</t>
        </is>
      </c>
      <c r="K2017" s="24" t="n"/>
      <c r="L2017" s="36" t="n">
        <v>7</v>
      </c>
      <c r="M2017" s="204" t="n">
        <v>11</v>
      </c>
      <c r="N2017" s="177" t="n">
        <v>42</v>
      </c>
      <c r="O2017" s="13" t="n"/>
      <c r="P2017" s="139" t="inlineStr">
        <is>
          <t>grams</t>
        </is>
      </c>
      <c r="Q2017" s="2" t="n"/>
      <c r="R2017" s="1" t="n"/>
      <c r="S2017" s="229">
        <f>M2017*N2017</f>
        <v/>
      </c>
      <c r="T2017" s="230">
        <f>CONCATENATE(S2017,Q2017,P2017)</f>
        <v/>
      </c>
      <c r="U2017" s="206">
        <f>L2017*M2017</f>
        <v/>
      </c>
      <c r="V2017" s="4" t="n"/>
      <c r="W2017" s="4" t="n"/>
      <c r="X2017" s="4" t="n"/>
    </row>
    <row r="2018" ht="15.75" customHeight="1" thickBot="1">
      <c r="A2018" s="186" t="n">
        <v>836</v>
      </c>
      <c r="B2018" s="214" t="inlineStr">
        <is>
          <t>Snacks</t>
        </is>
      </c>
      <c r="C2018" s="124" t="n"/>
      <c r="D2018" s="115" t="n"/>
      <c r="E2018" s="124" t="n"/>
      <c r="F2018" s="124" t="n"/>
      <c r="G2018" s="124" t="n"/>
      <c r="H2018" s="84" t="n"/>
      <c r="I2018" s="7" t="n"/>
      <c r="J2018" s="32" t="inlineStr">
        <is>
          <t>Oishi - Crispy Patata</t>
        </is>
      </c>
      <c r="K2018" s="24" t="n"/>
      <c r="L2018" s="36" t="n">
        <v>23.1</v>
      </c>
      <c r="M2018" s="204" t="n">
        <v>8</v>
      </c>
      <c r="N2018" s="177" t="n">
        <v>85</v>
      </c>
      <c r="O2018" s="13" t="n"/>
      <c r="P2018" s="139" t="inlineStr">
        <is>
          <t>grams</t>
        </is>
      </c>
      <c r="Q2018" s="2" t="n"/>
      <c r="R2018" s="1" t="n"/>
      <c r="S2018" s="229">
        <f>M2018*N2018</f>
        <v/>
      </c>
      <c r="T2018" s="230">
        <f>CONCATENATE(S2018,Q2018,P2018)</f>
        <v/>
      </c>
      <c r="U2018" s="206">
        <f>L2018*M2018</f>
        <v/>
      </c>
      <c r="V2018" s="4" t="n"/>
      <c r="W2018" s="4" t="n"/>
      <c r="X2018" s="4" t="n"/>
    </row>
    <row r="2019" ht="15.75" customHeight="1" thickBot="1">
      <c r="A2019" s="186" t="n">
        <v>836</v>
      </c>
      <c r="B2019" s="214" t="inlineStr">
        <is>
          <t>Snacks</t>
        </is>
      </c>
      <c r="C2019" s="124" t="n"/>
      <c r="D2019" s="115" t="n"/>
      <c r="E2019" s="124" t="n"/>
      <c r="F2019" s="124" t="n"/>
      <c r="G2019" s="124" t="n"/>
      <c r="H2019" s="84" t="n"/>
      <c r="I2019" s="7" t="n"/>
      <c r="J2019" s="32" t="inlineStr">
        <is>
          <t>Oishi - Spicy Seafood Curls</t>
        </is>
      </c>
      <c r="K2019" s="24" t="n"/>
      <c r="L2019" s="36" t="n">
        <v>22.45</v>
      </c>
      <c r="M2019" s="204" t="n">
        <v>7</v>
      </c>
      <c r="N2019" s="177" t="n">
        <v>90</v>
      </c>
      <c r="O2019" s="13" t="n"/>
      <c r="P2019" s="139" t="inlineStr">
        <is>
          <t>grams</t>
        </is>
      </c>
      <c r="Q2019" s="2" t="n"/>
      <c r="R2019" s="1" t="n"/>
      <c r="S2019" s="229">
        <f>M2019*N2019</f>
        <v/>
      </c>
      <c r="T2019" s="230">
        <f>CONCATENATE(S2019,Q2019,P2019)</f>
        <v/>
      </c>
      <c r="U2019" s="206">
        <f>L2019*M2019</f>
        <v/>
      </c>
      <c r="V2019" s="4" t="n"/>
      <c r="W2019" s="4" t="n"/>
      <c r="X2019" s="4" t="n"/>
    </row>
    <row r="2020" ht="15.75" customHeight="1" thickBot="1">
      <c r="A2020" s="186" t="n">
        <v>836</v>
      </c>
      <c r="B2020" s="214" t="inlineStr">
        <is>
          <t>Snacks</t>
        </is>
      </c>
      <c r="C2020" s="124" t="n"/>
      <c r="D2020" s="115" t="n"/>
      <c r="E2020" s="124" t="n"/>
      <c r="F2020" s="124" t="n"/>
      <c r="G2020" s="124" t="n"/>
      <c r="H2020" s="84" t="n"/>
      <c r="I2020" s="7" t="n"/>
      <c r="J2020" s="32" t="inlineStr">
        <is>
          <t>Regent - Sweet Corn</t>
        </is>
      </c>
      <c r="K2020" s="24" t="n"/>
      <c r="L2020" s="36" t="n">
        <v>15.72</v>
      </c>
      <c r="M2020" s="204" t="n">
        <v>17</v>
      </c>
      <c r="N2020" s="177" t="n">
        <v>60</v>
      </c>
      <c r="O2020" s="13" t="n"/>
      <c r="P2020" s="139" t="inlineStr">
        <is>
          <t>grams</t>
        </is>
      </c>
      <c r="Q2020" s="2" t="n"/>
      <c r="R2020" s="1" t="n"/>
      <c r="S2020" s="229">
        <f>M2020*N2020</f>
        <v/>
      </c>
      <c r="T2020" s="230">
        <f>CONCATENATE(S2020,Q2020,P2020)</f>
        <v/>
      </c>
      <c r="U2020" s="206">
        <f>L2020*M2020</f>
        <v/>
      </c>
      <c r="V2020" s="4" t="n"/>
      <c r="W2020" s="4" t="n"/>
      <c r="X2020" s="4" t="n"/>
    </row>
    <row r="2021" ht="15.75" customHeight="1" thickBot="1">
      <c r="A2021" s="186" t="n">
        <v>836</v>
      </c>
      <c r="B2021" s="214" t="inlineStr">
        <is>
          <t>Snacks</t>
        </is>
      </c>
      <c r="C2021" s="124" t="n"/>
      <c r="D2021" s="115" t="n"/>
      <c r="E2021" s="124" t="n"/>
      <c r="F2021" s="124" t="n"/>
      <c r="G2021" s="124" t="n"/>
      <c r="H2021" s="84" t="n"/>
      <c r="I2021" s="7" t="n"/>
      <c r="J2021" s="32" t="inlineStr">
        <is>
          <t>Oishi - Tater Thins Cucumber Snacks</t>
        </is>
      </c>
      <c r="K2021" s="24" t="n"/>
      <c r="L2021" s="36" t="n">
        <v>22.37</v>
      </c>
      <c r="M2021" s="204" t="n">
        <v>30</v>
      </c>
      <c r="N2021" s="177" t="n">
        <v>75</v>
      </c>
      <c r="O2021" s="13" t="n"/>
      <c r="P2021" s="139" t="inlineStr">
        <is>
          <t>grams</t>
        </is>
      </c>
      <c r="Q2021" s="2" t="n"/>
      <c r="R2021" s="1" t="n"/>
      <c r="S2021" s="229">
        <f>M2021*N2021</f>
        <v/>
      </c>
      <c r="T2021" s="230">
        <f>CONCATENATE(S2021,Q2021,P2021)</f>
        <v/>
      </c>
      <c r="U2021" s="206">
        <f>L2021*M2021</f>
        <v/>
      </c>
      <c r="V2021" s="4" t="n"/>
      <c r="W2021" s="4" t="n"/>
      <c r="X2021" s="4" t="n"/>
    </row>
    <row r="2022" ht="15.75" customHeight="1" thickBot="1">
      <c r="A2022" s="186" t="n">
        <v>836</v>
      </c>
      <c r="B2022" s="214" t="inlineStr">
        <is>
          <t>Snacks</t>
        </is>
      </c>
      <c r="C2022" s="124" t="n"/>
      <c r="D2022" s="115" t="n"/>
      <c r="E2022" s="124" t="n"/>
      <c r="F2022" s="124" t="n"/>
      <c r="G2022" s="124" t="n"/>
      <c r="H2022" s="84" t="n"/>
      <c r="I2022" s="7" t="n"/>
      <c r="J2022" s="32" t="inlineStr">
        <is>
          <t>Oishi - Tater Thins Cucumber Snacks</t>
        </is>
      </c>
      <c r="K2022" s="24" t="n"/>
      <c r="L2022" s="36" t="n">
        <v>671.35</v>
      </c>
      <c r="M2022" s="204" t="n">
        <v>90</v>
      </c>
      <c r="N2022" s="177" t="n">
        <v>75</v>
      </c>
      <c r="O2022" s="13" t="n"/>
      <c r="P2022" s="139" t="inlineStr">
        <is>
          <t>grams</t>
        </is>
      </c>
      <c r="Q2022" s="2" t="n"/>
      <c r="R2022" s="1" t="n"/>
      <c r="S2022" s="229">
        <f>M2022*N2022</f>
        <v/>
      </c>
      <c r="T2022" s="230">
        <f>CONCATENATE(S2022,Q2022,P2022)</f>
        <v/>
      </c>
      <c r="U2022" s="206">
        <f>L2022*M2022</f>
        <v/>
      </c>
      <c r="V2022" s="4" t="n"/>
      <c r="W2022" s="4" t="n"/>
      <c r="X2022" s="4" t="n"/>
    </row>
    <row r="2023" ht="15.75" customHeight="1" thickBot="1">
      <c r="A2023" s="186" t="n">
        <v>836</v>
      </c>
      <c r="B2023" s="214" t="inlineStr">
        <is>
          <t>Snacks</t>
        </is>
      </c>
      <c r="C2023" s="124" t="n"/>
      <c r="D2023" s="115" t="n"/>
      <c r="E2023" s="124" t="n"/>
      <c r="F2023" s="124" t="n"/>
      <c r="G2023" s="124" t="n"/>
      <c r="H2023" s="84" t="n"/>
      <c r="I2023" s="7" t="n"/>
      <c r="J2023" s="32" t="inlineStr">
        <is>
          <t>Oishi - Tater Thins Cucumber Snacks</t>
        </is>
      </c>
      <c r="K2023" s="24" t="n"/>
      <c r="L2023" s="36" t="n">
        <v>22.38</v>
      </c>
      <c r="M2023" s="204" t="n">
        <v>60</v>
      </c>
      <c r="N2023" s="177" t="n">
        <v>75</v>
      </c>
      <c r="O2023" s="13" t="n"/>
      <c r="P2023" s="139" t="inlineStr">
        <is>
          <t>grams</t>
        </is>
      </c>
      <c r="Q2023" s="2" t="n"/>
      <c r="R2023" s="1" t="n"/>
      <c r="S2023" s="229">
        <f>M2023*N2023</f>
        <v/>
      </c>
      <c r="T2023" s="230">
        <f>CONCATENATE(S2023,Q2023,P2023)</f>
        <v/>
      </c>
      <c r="U2023" s="206">
        <f>L2023*M2023</f>
        <v/>
      </c>
      <c r="V2023" s="4" t="n"/>
      <c r="W2023" s="4" t="n"/>
      <c r="X2023" s="4" t="n"/>
    </row>
    <row r="2024" ht="15.75" customHeight="1" thickBot="1">
      <c r="A2024" s="186" t="n">
        <v>836</v>
      </c>
      <c r="B2024" s="214" t="inlineStr">
        <is>
          <t>Snacks</t>
        </is>
      </c>
      <c r="C2024" s="124" t="n"/>
      <c r="D2024" s="115" t="n"/>
      <c r="E2024" s="124" t="n"/>
      <c r="F2024" s="124" t="n"/>
      <c r="G2024" s="124" t="n"/>
      <c r="H2024" s="84" t="n"/>
      <c r="I2024" s="7" t="n"/>
      <c r="J2024" s="32" t="inlineStr">
        <is>
          <t>Oishi - Tater Thins Cucumber Snacks</t>
        </is>
      </c>
      <c r="K2024" s="24" t="n"/>
      <c r="L2024" s="36" t="n">
        <v>22.37</v>
      </c>
      <c r="M2024" s="204" t="n">
        <v>30</v>
      </c>
      <c r="N2024" s="177" t="n">
        <v>75</v>
      </c>
      <c r="O2024" s="13" t="n"/>
      <c r="P2024" s="139" t="inlineStr">
        <is>
          <t>grams</t>
        </is>
      </c>
      <c r="Q2024" s="2" t="n"/>
      <c r="R2024" s="1" t="n"/>
      <c r="S2024" s="229">
        <f>M2024*N2024</f>
        <v/>
      </c>
      <c r="T2024" s="230">
        <f>CONCATENATE(S2024,Q2024,P2024)</f>
        <v/>
      </c>
      <c r="U2024" s="206">
        <f>L2024*M2024</f>
        <v/>
      </c>
      <c r="V2024" s="4" t="n"/>
      <c r="W2024" s="4" t="n"/>
      <c r="X2024" s="4" t="n"/>
    </row>
    <row r="2025" ht="15.75" customHeight="1" thickBot="1">
      <c r="A2025" s="186" t="n">
        <v>836</v>
      </c>
      <c r="B2025" s="214" t="inlineStr">
        <is>
          <t>Snacks</t>
        </is>
      </c>
      <c r="C2025" s="124" t="n"/>
      <c r="D2025" s="115" t="n"/>
      <c r="E2025" s="124" t="n"/>
      <c r="F2025" s="124" t="n"/>
      <c r="G2025" s="124" t="n"/>
      <c r="H2025" s="84" t="n"/>
      <c r="I2025" s="7" t="n"/>
      <c r="J2025" s="32" t="inlineStr">
        <is>
          <t>WL Foods - Tattoos</t>
        </is>
      </c>
      <c r="K2025" s="24" t="n"/>
      <c r="L2025" s="36" t="n">
        <v>19.16</v>
      </c>
      <c r="M2025" s="204" t="n">
        <v>53</v>
      </c>
      <c r="N2025" s="177" t="n">
        <v>120</v>
      </c>
      <c r="O2025" s="13" t="n"/>
      <c r="P2025" s="139" t="inlineStr">
        <is>
          <t>grams</t>
        </is>
      </c>
      <c r="Q2025" s="2" t="n"/>
      <c r="R2025" s="1" t="n"/>
      <c r="S2025" s="229">
        <f>M2025*N2025</f>
        <v/>
      </c>
      <c r="T2025" s="230">
        <f>CONCATENATE(S2025,Q2025,P2025)</f>
        <v/>
      </c>
      <c r="U2025" s="206">
        <f>L2025*M2025</f>
        <v/>
      </c>
      <c r="V2025" s="4" t="n"/>
      <c r="W2025" s="4" t="n"/>
      <c r="X2025" s="4" t="n"/>
    </row>
    <row r="2026" ht="15.75" customHeight="1" thickBot="1">
      <c r="A2026" s="186" t="n">
        <v>836</v>
      </c>
      <c r="B2026" s="214" t="inlineStr">
        <is>
          <t>Snacks</t>
        </is>
      </c>
      <c r="C2026" s="124" t="n"/>
      <c r="D2026" s="115" t="n"/>
      <c r="E2026" s="124" t="n"/>
      <c r="F2026" s="124" t="n"/>
      <c r="G2026" s="124" t="n"/>
      <c r="H2026" s="84" t="n"/>
      <c r="I2026" s="7" t="n"/>
      <c r="J2026" s="32" t="inlineStr">
        <is>
          <t>Regent - Tempura</t>
        </is>
      </c>
      <c r="K2026" s="24" t="n"/>
      <c r="L2026" s="36" t="n">
        <v>19.61</v>
      </c>
      <c r="M2026" s="204" t="n">
        <v>25</v>
      </c>
      <c r="N2026" s="177" t="n">
        <v>100</v>
      </c>
      <c r="O2026" s="13" t="n"/>
      <c r="P2026" s="139" t="inlineStr">
        <is>
          <t>grams</t>
        </is>
      </c>
      <c r="Q2026" s="2" t="n"/>
      <c r="R2026" s="1" t="n"/>
      <c r="S2026" s="229">
        <f>M2026*N2026</f>
        <v/>
      </c>
      <c r="T2026" s="230">
        <f>CONCATENATE(S2026,Q2026,P2026)</f>
        <v/>
      </c>
      <c r="U2026" s="206">
        <f>L2026*M2026</f>
        <v/>
      </c>
      <c r="V2026" s="4" t="n"/>
      <c r="W2026" s="4" t="n"/>
      <c r="X2026" s="4" t="n"/>
    </row>
    <row r="2027" ht="15.75" customHeight="1" thickBot="1">
      <c r="A2027" s="186" t="n">
        <v>836</v>
      </c>
      <c r="B2027" s="214" t="inlineStr">
        <is>
          <t>Snacks</t>
        </is>
      </c>
      <c r="C2027" s="124" t="n"/>
      <c r="D2027" s="115" t="n"/>
      <c r="E2027" s="124" t="n"/>
      <c r="F2027" s="124" t="n"/>
      <c r="G2027" s="124" t="n"/>
      <c r="H2027" s="84" t="n"/>
      <c r="I2027" s="7" t="n"/>
      <c r="J2027" s="32" t="inlineStr">
        <is>
          <t>Regent - Tempura</t>
        </is>
      </c>
      <c r="K2027" s="24" t="n"/>
      <c r="L2027" s="36" t="n">
        <v>21.45</v>
      </c>
      <c r="M2027" s="204" t="n">
        <v>13</v>
      </c>
      <c r="N2027" s="177" t="n">
        <v>100</v>
      </c>
      <c r="O2027" s="13" t="n"/>
      <c r="P2027" s="139" t="inlineStr">
        <is>
          <t>grams</t>
        </is>
      </c>
      <c r="Q2027" s="2" t="n"/>
      <c r="R2027" s="1" t="n"/>
      <c r="S2027" s="229">
        <f>M2027*N2027</f>
        <v/>
      </c>
      <c r="T2027" s="230">
        <f>CONCATENATE(S2027,Q2027,P2027)</f>
        <v/>
      </c>
      <c r="U2027" s="206">
        <f>L2027*M2027</f>
        <v/>
      </c>
      <c r="V2027" s="4" t="n"/>
      <c r="W2027" s="4" t="n"/>
      <c r="X2027" s="4" t="n"/>
    </row>
    <row r="2028" ht="15.75" customHeight="1" thickBot="1">
      <c r="A2028" s="186" t="n">
        <v>836</v>
      </c>
      <c r="B2028" s="214" t="inlineStr">
        <is>
          <t>Snacks</t>
        </is>
      </c>
      <c r="C2028" s="124" t="n"/>
      <c r="D2028" s="115" t="n"/>
      <c r="E2028" s="124" t="n"/>
      <c r="F2028" s="124" t="n"/>
      <c r="G2028" s="124" t="n"/>
      <c r="H2028" s="84" t="n"/>
      <c r="I2028" s="7" t="n"/>
      <c r="J2028" s="32" t="inlineStr">
        <is>
          <t>Regent - Snacku</t>
        </is>
      </c>
      <c r="K2028" s="24" t="n"/>
      <c r="L2028" s="36" t="n">
        <v>7.74</v>
      </c>
      <c r="M2028" s="204" t="n">
        <v>25</v>
      </c>
      <c r="N2028" s="177" t="n">
        <v>60</v>
      </c>
      <c r="O2028" s="13" t="n"/>
      <c r="P2028" s="139" t="inlineStr">
        <is>
          <t>grams</t>
        </is>
      </c>
      <c r="Q2028" s="2" t="n"/>
      <c r="R2028" s="1" t="n"/>
      <c r="S2028" s="229">
        <f>M2028*N2028</f>
        <v/>
      </c>
      <c r="T2028" s="230">
        <f>CONCATENATE(S2028,Q2028,P2028)</f>
        <v/>
      </c>
      <c r="U2028" s="206">
        <f>L2028*M2028</f>
        <v/>
      </c>
      <c r="V2028" s="4" t="n"/>
      <c r="W2028" s="4" t="n"/>
      <c r="X2028" s="4" t="n"/>
    </row>
    <row r="2029" ht="15.75" customHeight="1" thickBot="1">
      <c r="A2029" s="186" t="n">
        <v>836</v>
      </c>
      <c r="B2029" s="214" t="inlineStr">
        <is>
          <t>Snacks</t>
        </is>
      </c>
      <c r="C2029" s="124" t="n"/>
      <c r="D2029" s="115" t="n"/>
      <c r="E2029" s="124" t="n"/>
      <c r="F2029" s="124" t="n"/>
      <c r="G2029" s="124" t="n"/>
      <c r="H2029" s="84" t="n"/>
      <c r="I2029" s="7" t="n"/>
      <c r="J2029" s="32" t="inlineStr">
        <is>
          <t>Regent - Snacku</t>
        </is>
      </c>
      <c r="K2029" s="24" t="n"/>
      <c r="L2029" s="36" t="n">
        <v>15.45</v>
      </c>
      <c r="M2029" s="204" t="n">
        <v>19</v>
      </c>
      <c r="N2029" s="177" t="n">
        <v>60</v>
      </c>
      <c r="O2029" s="13" t="n"/>
      <c r="P2029" s="139" t="inlineStr">
        <is>
          <t>grams</t>
        </is>
      </c>
      <c r="Q2029" s="2" t="n"/>
      <c r="R2029" s="1" t="n"/>
      <c r="S2029" s="229">
        <f>M2029*N2029</f>
        <v/>
      </c>
      <c r="T2029" s="230">
        <f>CONCATENATE(S2029,Q2029,P2029)</f>
        <v/>
      </c>
      <c r="U2029" s="206">
        <f>L2029*M2029</f>
        <v/>
      </c>
      <c r="V2029" s="4" t="n"/>
      <c r="W2029" s="4" t="n"/>
      <c r="X2029" s="4" t="n"/>
    </row>
    <row r="2030" ht="15.75" customHeight="1" thickBot="1">
      <c r="A2030" s="186" t="n">
        <v>837</v>
      </c>
      <c r="B2030" s="214" t="inlineStr">
        <is>
          <t>Socks</t>
        </is>
      </c>
      <c r="C2030" s="124" t="n"/>
      <c r="D2030" s="115" t="n"/>
      <c r="E2030" s="124" t="n"/>
      <c r="F2030" s="124" t="n"/>
      <c r="G2030" s="124" t="n"/>
      <c r="H2030" s="84" t="n"/>
      <c r="I2030" s="7" t="n"/>
      <c r="J2030" s="32" t="n"/>
      <c r="K2030" s="24" t="n"/>
      <c r="L2030" s="36" t="n">
        <v>12</v>
      </c>
      <c r="M2030" s="204" t="n">
        <v>65</v>
      </c>
      <c r="N2030" s="177" t="n">
        <v>1</v>
      </c>
      <c r="O2030" s="13" t="n"/>
      <c r="P2030" s="139" t="inlineStr">
        <is>
          <t>pair</t>
        </is>
      </c>
      <c r="Q2030" s="2" t="n"/>
      <c r="R2030" s="1" t="n"/>
      <c r="S2030" s="229">
        <f>M2030*N2030</f>
        <v/>
      </c>
      <c r="T2030" s="230">
        <f>CONCATENATE(S2030,Q2030,P2030)</f>
        <v/>
      </c>
      <c r="U2030" s="206">
        <f>L2030*M2030</f>
        <v/>
      </c>
      <c r="V2030" s="4" t="n"/>
      <c r="W2030" s="4" t="n"/>
      <c r="X2030" s="4" t="n"/>
    </row>
    <row r="2031" ht="15.75" customHeight="1" thickBot="1">
      <c r="A2031" s="186" t="n">
        <v>838</v>
      </c>
      <c r="B2031" s="216" t="inlineStr">
        <is>
          <t>Softdrinks</t>
        </is>
      </c>
      <c r="C2031" s="124" t="n"/>
      <c r="D2031" s="115" t="n"/>
      <c r="E2031" s="124" t="n"/>
      <c r="F2031" s="124" t="n"/>
      <c r="G2031" s="124" t="n"/>
      <c r="H2031" s="84" t="n"/>
      <c r="I2031" s="7" t="n"/>
      <c r="J2031" s="32" t="inlineStr">
        <is>
          <t>Pepsi - Mountain Dew</t>
        </is>
      </c>
      <c r="K2031" s="24" t="n"/>
      <c r="L2031" s="36" t="n">
        <v>16.08</v>
      </c>
      <c r="M2031" s="204" t="n">
        <v>12</v>
      </c>
      <c r="N2031" s="177" t="n">
        <v>290</v>
      </c>
      <c r="O2031" s="13" t="n"/>
      <c r="P2031" s="139" t="inlineStr">
        <is>
          <t>ml</t>
        </is>
      </c>
      <c r="Q2031" s="2" t="n"/>
      <c r="R2031" s="1" t="n"/>
      <c r="S2031" s="229">
        <f>M2031*N2031</f>
        <v/>
      </c>
      <c r="T2031" s="230">
        <f>CONCATENATE(S2031,Q2031,P2031)</f>
        <v/>
      </c>
      <c r="U2031" s="206">
        <f>L2031*M2031</f>
        <v/>
      </c>
      <c r="V2031" s="4" t="n"/>
      <c r="W2031" s="4" t="n"/>
      <c r="X2031" s="4" t="n"/>
    </row>
    <row r="2032" ht="15.75" customHeight="1" thickBot="1">
      <c r="A2032" s="186" t="n">
        <v>838</v>
      </c>
      <c r="B2032" s="216" t="inlineStr">
        <is>
          <t>Softdrinks</t>
        </is>
      </c>
      <c r="C2032" s="124" t="n"/>
      <c r="D2032" s="115" t="n"/>
      <c r="E2032" s="124" t="n"/>
      <c r="F2032" s="124" t="n"/>
      <c r="G2032" s="124" t="n"/>
      <c r="H2032" s="84" t="n"/>
      <c r="I2032" s="7" t="n"/>
      <c r="J2032" s="32" t="inlineStr">
        <is>
          <t>Pepsi - Mountain Dew</t>
        </is>
      </c>
      <c r="K2032" s="24" t="n"/>
      <c r="L2032" s="36" t="n">
        <v>33</v>
      </c>
      <c r="M2032" s="204" t="n">
        <v>7</v>
      </c>
      <c r="N2032" s="177" t="n">
        <v>1</v>
      </c>
      <c r="O2032" s="13" t="n"/>
      <c r="P2032" s="139" t="inlineStr">
        <is>
          <t>pieces</t>
        </is>
      </c>
      <c r="Q2032" s="2" t="n"/>
      <c r="R2032" s="1" t="n"/>
      <c r="S2032" s="229">
        <f>M2032*N2032</f>
        <v/>
      </c>
      <c r="T2032" s="230">
        <f>CONCATENATE(S2032,Q2032,P2032)</f>
        <v/>
      </c>
      <c r="U2032" s="206">
        <f>L2032*M2032</f>
        <v/>
      </c>
      <c r="V2032" s="4" t="n"/>
      <c r="W2032" s="4" t="n"/>
      <c r="X2032" s="4" t="n"/>
    </row>
    <row r="2033" ht="15.75" customHeight="1" thickBot="1">
      <c r="A2033" s="186" t="n">
        <v>838</v>
      </c>
      <c r="B2033" s="214" t="inlineStr">
        <is>
          <t>Softdrinks</t>
        </is>
      </c>
      <c r="C2033" s="124" t="n"/>
      <c r="D2033" s="115" t="n"/>
      <c r="E2033" s="124" t="n"/>
      <c r="F2033" s="124" t="n"/>
      <c r="G2033" s="124" t="n"/>
      <c r="H2033" s="84" t="n"/>
      <c r="I2033" s="7" t="n"/>
      <c r="J2033" s="32" t="inlineStr">
        <is>
          <t>Pepsi - Mountain Dew</t>
        </is>
      </c>
      <c r="K2033" s="24" t="n"/>
      <c r="L2033" s="36" t="n">
        <v>27.64</v>
      </c>
      <c r="M2033" s="204" t="n">
        <v>26</v>
      </c>
      <c r="N2033" s="177" t="n">
        <v>320</v>
      </c>
      <c r="O2033" s="13" t="n"/>
      <c r="P2033" s="139" t="inlineStr">
        <is>
          <t>ml</t>
        </is>
      </c>
      <c r="Q2033" s="2" t="n"/>
      <c r="R2033" s="1" t="n"/>
      <c r="S2033" s="229">
        <f>M2033*N2033</f>
        <v/>
      </c>
      <c r="T2033" s="230">
        <f>CONCATENATE(S2033,Q2033,P2033)</f>
        <v/>
      </c>
      <c r="U2033" s="206">
        <f>L2033*M2033</f>
        <v/>
      </c>
      <c r="V2033" s="4" t="n"/>
      <c r="W2033" s="4" t="n"/>
      <c r="X2033" s="4" t="n"/>
    </row>
    <row r="2034" ht="15.75" customHeight="1" thickBot="1">
      <c r="A2034" s="186" t="n">
        <v>838</v>
      </c>
      <c r="B2034" s="214" t="inlineStr">
        <is>
          <t>Softdrinks</t>
        </is>
      </c>
      <c r="C2034" s="124" t="n"/>
      <c r="D2034" s="115" t="n"/>
      <c r="E2034" s="124" t="n"/>
      <c r="F2034" s="124" t="n"/>
      <c r="G2034" s="124" t="n"/>
      <c r="H2034" s="84" t="n"/>
      <c r="I2034" s="7" t="n"/>
      <c r="J2034" s="32" t="inlineStr">
        <is>
          <t>Pepsi - Mug Root Beer</t>
        </is>
      </c>
      <c r="K2034" s="24" t="n"/>
      <c r="L2034" s="36" t="n">
        <v>30.07</v>
      </c>
      <c r="M2034" s="204" t="n">
        <v>24</v>
      </c>
      <c r="N2034" s="177" t="n">
        <v>320</v>
      </c>
      <c r="O2034" s="13" t="n"/>
      <c r="P2034" s="139" t="inlineStr">
        <is>
          <t>ml</t>
        </is>
      </c>
      <c r="Q2034" s="2" t="n"/>
      <c r="R2034" s="1" t="n"/>
      <c r="S2034" s="229">
        <f>M2034*N2034</f>
        <v/>
      </c>
      <c r="T2034" s="230">
        <f>CONCATENATE(S2034,Q2034,P2034)</f>
        <v/>
      </c>
      <c r="U2034" s="206">
        <f>L2034*M2034</f>
        <v/>
      </c>
      <c r="V2034" s="4" t="n"/>
      <c r="W2034" s="4" t="n"/>
      <c r="X2034" s="4" t="n"/>
    </row>
    <row r="2035" ht="15.75" customHeight="1" thickBot="1">
      <c r="A2035" s="186" t="n">
        <v>838</v>
      </c>
      <c r="B2035" s="216" t="inlineStr">
        <is>
          <t>Softdrinks</t>
        </is>
      </c>
      <c r="C2035" s="124" t="n"/>
      <c r="D2035" s="115" t="n"/>
      <c r="E2035" s="124" t="n"/>
      <c r="F2035" s="124" t="n"/>
      <c r="G2035" s="124" t="n"/>
      <c r="H2035" s="84" t="n"/>
      <c r="I2035" s="7" t="n"/>
      <c r="J2035" s="32" t="inlineStr">
        <is>
          <t>Pepsi</t>
        </is>
      </c>
      <c r="K2035" s="24" t="n"/>
      <c r="L2035" s="36" t="n">
        <v>32.6</v>
      </c>
      <c r="M2035" s="204" t="n">
        <v>22</v>
      </c>
      <c r="N2035" s="177" t="n">
        <v>320</v>
      </c>
      <c r="O2035" s="13" t="n"/>
      <c r="P2035" s="139" t="inlineStr">
        <is>
          <t>ml</t>
        </is>
      </c>
      <c r="Q2035" s="2" t="n"/>
      <c r="R2035" s="1" t="n"/>
      <c r="S2035" s="229">
        <f>M2035*N2035</f>
        <v/>
      </c>
      <c r="T2035" s="230">
        <f>CONCATENATE(S2035,Q2035,P2035)</f>
        <v/>
      </c>
      <c r="U2035" s="206">
        <f>L2035*M2035</f>
        <v/>
      </c>
      <c r="V2035" s="4" t="n"/>
      <c r="W2035" s="4" t="n"/>
      <c r="X2035" s="4" t="n"/>
    </row>
    <row r="2036" ht="15.75" customHeight="1" thickBot="1">
      <c r="A2036" s="186" t="n">
        <v>838</v>
      </c>
      <c r="B2036" s="216" t="inlineStr">
        <is>
          <t>Softdrinks</t>
        </is>
      </c>
      <c r="C2036" s="124" t="n"/>
      <c r="D2036" s="115" t="n"/>
      <c r="E2036" s="124" t="n"/>
      <c r="F2036" s="124" t="n"/>
      <c r="G2036" s="124" t="n"/>
      <c r="H2036" s="84" t="n"/>
      <c r="I2036" s="7" t="n"/>
      <c r="J2036" s="32" t="inlineStr">
        <is>
          <t>ARC - Rite 'N Lite Cucumber</t>
        </is>
      </c>
      <c r="K2036" s="24" t="n"/>
      <c r="L2036" s="36" t="n">
        <v>25.63</v>
      </c>
      <c r="M2036" s="204" t="n">
        <v>24</v>
      </c>
      <c r="N2036" s="177" t="n">
        <v>250</v>
      </c>
      <c r="O2036" s="13" t="n"/>
      <c r="P2036" s="139" t="inlineStr">
        <is>
          <t>ml</t>
        </is>
      </c>
      <c r="Q2036" s="2" t="n"/>
      <c r="R2036" s="1" t="n"/>
      <c r="S2036" s="229">
        <f>M2036*N2036</f>
        <v/>
      </c>
      <c r="T2036" s="230">
        <f>CONCATENATE(S2036,Q2036,P2036)</f>
        <v/>
      </c>
      <c r="U2036" s="206">
        <f>L2036*M2036</f>
        <v/>
      </c>
      <c r="V2036" s="4" t="n"/>
      <c r="W2036" s="4" t="n"/>
      <c r="X2036" s="4" t="n"/>
    </row>
    <row r="2037" ht="15.75" customHeight="1" thickBot="1">
      <c r="A2037" s="186" t="n">
        <v>838</v>
      </c>
      <c r="B2037" s="216" t="inlineStr">
        <is>
          <t>Softdrinks</t>
        </is>
      </c>
      <c r="C2037" s="124" t="n"/>
      <c r="D2037" s="115" t="n"/>
      <c r="E2037" s="124" t="n"/>
      <c r="F2037" s="124" t="n"/>
      <c r="G2037" s="124" t="n"/>
      <c r="H2037" s="84" t="n"/>
      <c r="I2037" s="7" t="n"/>
      <c r="J2037" s="32" t="inlineStr">
        <is>
          <t>ARC - Rite 'N Lite Lemon</t>
        </is>
      </c>
      <c r="K2037" s="24" t="n"/>
      <c r="L2037" s="36" t="n">
        <v>25.63</v>
      </c>
      <c r="M2037" s="204" t="n">
        <v>40</v>
      </c>
      <c r="N2037" s="177" t="n">
        <v>250</v>
      </c>
      <c r="O2037" s="13" t="n"/>
      <c r="P2037" s="139" t="inlineStr">
        <is>
          <t>ml</t>
        </is>
      </c>
      <c r="Q2037" s="2" t="n"/>
      <c r="R2037" s="1" t="n"/>
      <c r="S2037" s="229">
        <f>M2037*N2037</f>
        <v/>
      </c>
      <c r="T2037" s="230">
        <f>CONCATENATE(S2037,Q2037,P2037)</f>
        <v/>
      </c>
      <c r="U2037" s="206">
        <f>L2037*M2037</f>
        <v/>
      </c>
      <c r="V2037" s="4" t="n"/>
      <c r="W2037" s="4" t="n"/>
      <c r="X2037" s="4" t="n"/>
    </row>
    <row r="2038" ht="15.75" customHeight="1" thickBot="1">
      <c r="A2038" s="186" t="n">
        <v>838</v>
      </c>
      <c r="B2038" s="216" t="inlineStr">
        <is>
          <t>Softdrinks</t>
        </is>
      </c>
      <c r="C2038" s="124" t="n"/>
      <c r="D2038" s="115" t="n"/>
      <c r="E2038" s="124" t="n"/>
      <c r="F2038" s="124" t="n"/>
      <c r="G2038" s="124" t="n"/>
      <c r="H2038" s="84" t="n"/>
      <c r="I2038" s="7" t="n"/>
      <c r="J2038" s="32" t="inlineStr">
        <is>
          <t>ARC - Rite 'N Lite Lemon</t>
        </is>
      </c>
      <c r="K2038" s="24" t="n"/>
      <c r="L2038" s="36" t="n">
        <v>25.63</v>
      </c>
      <c r="M2038" s="204" t="n">
        <v>24</v>
      </c>
      <c r="N2038" s="177" t="n">
        <v>250</v>
      </c>
      <c r="O2038" s="13" t="n"/>
      <c r="P2038" s="139" t="inlineStr">
        <is>
          <t>ml</t>
        </is>
      </c>
      <c r="Q2038" s="2" t="n"/>
      <c r="R2038" s="1" t="n"/>
      <c r="S2038" s="229">
        <f>M2038*N2038</f>
        <v/>
      </c>
      <c r="T2038" s="230">
        <f>CONCATENATE(S2038,Q2038,P2038)</f>
        <v/>
      </c>
      <c r="U2038" s="206">
        <f>L2038*M2038</f>
        <v/>
      </c>
      <c r="V2038" s="4" t="n"/>
      <c r="W2038" s="4" t="n"/>
      <c r="X2038" s="4" t="n"/>
    </row>
    <row r="2039" ht="15.75" customHeight="1" thickBot="1">
      <c r="A2039" s="186" t="n">
        <v>838</v>
      </c>
      <c r="B2039" s="216" t="inlineStr">
        <is>
          <t>Softdrinks</t>
        </is>
      </c>
      <c r="C2039" s="124" t="n"/>
      <c r="D2039" s="115" t="n"/>
      <c r="E2039" s="124" t="n"/>
      <c r="F2039" s="124" t="n"/>
      <c r="G2039" s="124" t="n"/>
      <c r="H2039" s="84" t="n"/>
      <c r="I2039" s="7" t="n"/>
      <c r="J2039" s="32" t="inlineStr">
        <is>
          <t>ARC - Rite 'N Lite Cucumber</t>
        </is>
      </c>
      <c r="K2039" s="24" t="n"/>
      <c r="L2039" s="36" t="n">
        <v>24</v>
      </c>
      <c r="M2039" s="204" t="n">
        <v>35</v>
      </c>
      <c r="N2039" s="177" t="n">
        <v>250</v>
      </c>
      <c r="O2039" s="13" t="n"/>
      <c r="P2039" s="139" t="inlineStr">
        <is>
          <t>ml</t>
        </is>
      </c>
      <c r="Q2039" s="2" t="n"/>
      <c r="R2039" s="1" t="n"/>
      <c r="S2039" s="229">
        <f>M2039*N2039</f>
        <v/>
      </c>
      <c r="T2039" s="230">
        <f>CONCATENATE(S2039,Q2039,P2039)</f>
        <v/>
      </c>
      <c r="U2039" s="206">
        <f>L2039*M2039</f>
        <v/>
      </c>
      <c r="V2039" s="4" t="n"/>
      <c r="W2039" s="4" t="n"/>
      <c r="X2039" s="4" t="n"/>
    </row>
    <row r="2040" ht="15.75" customHeight="1" thickBot="1">
      <c r="A2040" s="186" t="n">
        <v>838</v>
      </c>
      <c r="B2040" s="216" t="inlineStr">
        <is>
          <t>Softdrinks</t>
        </is>
      </c>
      <c r="C2040" s="124" t="n"/>
      <c r="D2040" s="115" t="n"/>
      <c r="E2040" s="124" t="n"/>
      <c r="F2040" s="124" t="n"/>
      <c r="G2040" s="124" t="n"/>
      <c r="H2040" s="84" t="n"/>
      <c r="I2040" s="7" t="n"/>
      <c r="J2040" s="32" t="inlineStr">
        <is>
          <t>ARC - Rite 'N Lite Lemon and Lime</t>
        </is>
      </c>
      <c r="K2040" s="24" t="n"/>
      <c r="L2040" s="36" t="n">
        <v>24</v>
      </c>
      <c r="M2040" s="204" t="n">
        <v>11</v>
      </c>
      <c r="N2040" s="177" t="n">
        <v>250</v>
      </c>
      <c r="O2040" s="13" t="n"/>
      <c r="P2040" s="139" t="inlineStr">
        <is>
          <t>ml</t>
        </is>
      </c>
      <c r="Q2040" s="2" t="n"/>
      <c r="R2040" s="1" t="n"/>
      <c r="S2040" s="229">
        <f>M2040*N2040</f>
        <v/>
      </c>
      <c r="T2040" s="230">
        <f>CONCATENATE(S2040,Q2040,P2040)</f>
        <v/>
      </c>
      <c r="U2040" s="206">
        <f>L2040*M2040</f>
        <v/>
      </c>
      <c r="V2040" s="4" t="n"/>
      <c r="W2040" s="4" t="n"/>
      <c r="X2040" s="4" t="n"/>
    </row>
    <row r="2041" ht="15.75" customHeight="1" thickBot="1">
      <c r="A2041" s="186" t="n">
        <v>838</v>
      </c>
      <c r="B2041" s="215" t="inlineStr">
        <is>
          <t>Softdrinks</t>
        </is>
      </c>
      <c r="C2041" s="124" t="n"/>
      <c r="D2041" s="115" t="n"/>
      <c r="E2041" s="124" t="n"/>
      <c r="F2041" s="124" t="n"/>
      <c r="G2041" s="124" t="n"/>
      <c r="H2041" s="84" t="n"/>
      <c r="I2041" s="7" t="n"/>
      <c r="J2041" s="32" t="inlineStr">
        <is>
          <t>Coca-Cola - Regular (Liter)</t>
        </is>
      </c>
      <c r="K2041" s="24" t="n"/>
      <c r="L2041" s="36" t="n">
        <v>61</v>
      </c>
      <c r="M2041" s="204" t="n">
        <v>2</v>
      </c>
      <c r="N2041" s="177" t="n">
        <v>2</v>
      </c>
      <c r="O2041" s="13" t="n"/>
      <c r="P2041" s="139" t="inlineStr">
        <is>
          <t>liters</t>
        </is>
      </c>
      <c r="Q2041" s="2" t="n"/>
      <c r="R2041" s="1" t="n"/>
      <c r="S2041" s="229">
        <f>M2041*N2041</f>
        <v/>
      </c>
      <c r="T2041" s="230">
        <f>CONCATENATE(S2041,Q2041,P2041)</f>
        <v/>
      </c>
      <c r="U2041" s="206">
        <f>L2041*M2041</f>
        <v/>
      </c>
      <c r="V2041" s="4" t="n"/>
      <c r="W2041" s="4" t="n"/>
      <c r="X2041" s="4" t="n"/>
    </row>
    <row r="2042" ht="15.75" customHeight="1" thickBot="1">
      <c r="A2042" s="186" t="n">
        <v>838</v>
      </c>
      <c r="B2042" s="215" t="inlineStr">
        <is>
          <t>Softdrinks</t>
        </is>
      </c>
      <c r="C2042" s="124" t="n"/>
      <c r="D2042" s="115" t="n"/>
      <c r="E2042" s="124" t="n"/>
      <c r="F2042" s="124" t="n"/>
      <c r="G2042" s="124" t="n"/>
      <c r="H2042" s="84" t="n"/>
      <c r="I2042" s="7" t="n"/>
      <c r="J2042" s="32" t="inlineStr">
        <is>
          <t>Coca-Cola - Regular (Liter)</t>
        </is>
      </c>
      <c r="K2042" s="24" t="n"/>
      <c r="L2042" s="36" t="n">
        <v>63</v>
      </c>
      <c r="M2042" s="204" t="n">
        <v>51</v>
      </c>
      <c r="N2042" s="177" t="n">
        <v>2</v>
      </c>
      <c r="O2042" s="13" t="n"/>
      <c r="P2042" s="139" t="inlineStr">
        <is>
          <t>liters</t>
        </is>
      </c>
      <c r="Q2042" s="2" t="n"/>
      <c r="R2042" s="1" t="n"/>
      <c r="S2042" s="229">
        <f>M2042*N2042</f>
        <v/>
      </c>
      <c r="T2042" s="230">
        <f>CONCATENATE(S2042,Q2042,P2042)</f>
        <v/>
      </c>
      <c r="U2042" s="206">
        <f>L2042*M2042</f>
        <v/>
      </c>
      <c r="V2042" s="4" t="n"/>
      <c r="W2042" s="4" t="n"/>
      <c r="X2042" s="4" t="n"/>
    </row>
    <row r="2043" ht="15.75" customHeight="1" thickBot="1">
      <c r="A2043" s="186" t="n">
        <v>838</v>
      </c>
      <c r="B2043" s="214" t="inlineStr">
        <is>
          <t>Softdrinks</t>
        </is>
      </c>
      <c r="C2043" s="124" t="n"/>
      <c r="D2043" s="115" t="n"/>
      <c r="E2043" s="124" t="n"/>
      <c r="F2043" s="124" t="n"/>
      <c r="G2043" s="124" t="n"/>
      <c r="H2043" s="84" t="n"/>
      <c r="I2043" s="7" t="n"/>
      <c r="J2043" s="32" t="inlineStr">
        <is>
          <t>Coca-Cola - Zero (Mini can)</t>
        </is>
      </c>
      <c r="K2043" s="24" t="n"/>
      <c r="L2043" s="36" t="n">
        <v>22.16</v>
      </c>
      <c r="M2043" s="204" t="n">
        <v>4</v>
      </c>
      <c r="N2043" s="177" t="n">
        <v>180</v>
      </c>
      <c r="O2043" s="13" t="n"/>
      <c r="P2043" s="139" t="inlineStr">
        <is>
          <t>ml</t>
        </is>
      </c>
      <c r="Q2043" s="2" t="n"/>
      <c r="R2043" s="1" t="n"/>
      <c r="S2043" s="229">
        <f>M2043*N2043</f>
        <v/>
      </c>
      <c r="T2043" s="230">
        <f>CONCATENATE(S2043,Q2043,P2043)</f>
        <v/>
      </c>
      <c r="U2043" s="206">
        <f>L2043*M2043</f>
        <v/>
      </c>
      <c r="V2043" s="4" t="n"/>
      <c r="W2043" s="4" t="n"/>
      <c r="X2043" s="4" t="n"/>
    </row>
    <row r="2044" ht="15.75" customHeight="1" thickBot="1">
      <c r="A2044" s="186" t="n">
        <v>838</v>
      </c>
      <c r="B2044" s="214" t="inlineStr">
        <is>
          <t>Softdrinks</t>
        </is>
      </c>
      <c r="C2044" s="124" t="n"/>
      <c r="D2044" s="115" t="n"/>
      <c r="E2044" s="124" t="n"/>
      <c r="F2044" s="124" t="n"/>
      <c r="G2044" s="124" t="n"/>
      <c r="H2044" s="84" t="n"/>
      <c r="I2044" s="7" t="n"/>
      <c r="J2044" s="32" t="inlineStr">
        <is>
          <t>Coca-Cola - Regular (Mismo)</t>
        </is>
      </c>
      <c r="K2044" s="24" t="n"/>
      <c r="L2044" s="36" t="n">
        <v>16.66</v>
      </c>
      <c r="M2044" s="204" t="n">
        <v>12</v>
      </c>
      <c r="N2044" s="177" t="n">
        <v>290</v>
      </c>
      <c r="O2044" s="13" t="n"/>
      <c r="P2044" s="139" t="inlineStr">
        <is>
          <t>ml</t>
        </is>
      </c>
      <c r="Q2044" s="2" t="n"/>
      <c r="R2044" s="1" t="n"/>
      <c r="S2044" s="229">
        <f>M2044*N2044</f>
        <v/>
      </c>
      <c r="T2044" s="230">
        <f>CONCATENATE(S2044,Q2044,P2044)</f>
        <v/>
      </c>
      <c r="U2044" s="206">
        <f>L2044*M2044</f>
        <v/>
      </c>
      <c r="V2044" s="4" t="n"/>
      <c r="W2044" s="4" t="n"/>
      <c r="X2044" s="4" t="n"/>
    </row>
    <row r="2045" ht="15.75" customHeight="1" thickBot="1">
      <c r="A2045" s="186" t="n">
        <v>838</v>
      </c>
      <c r="B2045" s="214" t="inlineStr">
        <is>
          <t>Softdrinks</t>
        </is>
      </c>
      <c r="C2045" s="124" t="n"/>
      <c r="D2045" s="115" t="n"/>
      <c r="E2045" s="124" t="n"/>
      <c r="F2045" s="124" t="n"/>
      <c r="G2045" s="124" t="n"/>
      <c r="H2045" s="84" t="n"/>
      <c r="I2045" s="7" t="n"/>
      <c r="J2045" s="32" t="inlineStr">
        <is>
          <t>Coca-Cola - Regular (Liter)</t>
        </is>
      </c>
      <c r="K2045" s="24" t="n"/>
      <c r="L2045" s="36" t="n">
        <v>65.25</v>
      </c>
      <c r="M2045" s="204" t="n">
        <v>36</v>
      </c>
      <c r="N2045" s="177" t="n">
        <v>2</v>
      </c>
      <c r="O2045" s="13" t="n"/>
      <c r="P2045" s="139" t="inlineStr">
        <is>
          <t>liters</t>
        </is>
      </c>
      <c r="Q2045" s="2" t="n"/>
      <c r="R2045" s="1" t="n"/>
      <c r="S2045" s="229">
        <f>M2045*N2045</f>
        <v/>
      </c>
      <c r="T2045" s="230">
        <f>CONCATENATE(S2045,Q2045,P2045)</f>
        <v/>
      </c>
      <c r="U2045" s="206">
        <f>L2045*M2045</f>
        <v/>
      </c>
      <c r="V2045" s="4" t="n"/>
      <c r="W2045" s="4" t="n"/>
      <c r="X2045" s="4" t="n"/>
    </row>
    <row r="2046" ht="15.75" customHeight="1" thickBot="1">
      <c r="A2046" s="186" t="n">
        <v>838</v>
      </c>
      <c r="B2046" s="214" t="inlineStr">
        <is>
          <t>Softdrinks</t>
        </is>
      </c>
      <c r="C2046" s="124" t="n"/>
      <c r="D2046" s="115" t="n"/>
      <c r="E2046" s="124" t="n"/>
      <c r="F2046" s="124" t="n"/>
      <c r="G2046" s="124" t="n"/>
      <c r="H2046" s="84" t="n"/>
      <c r="I2046" s="7" t="n"/>
      <c r="J2046" s="32" t="inlineStr">
        <is>
          <t>Coca-Cola - Regular (Can)</t>
        </is>
      </c>
      <c r="K2046" s="24" t="n"/>
      <c r="L2046" s="36" t="n">
        <v>754.3</v>
      </c>
      <c r="M2046" s="204" t="n">
        <v>72</v>
      </c>
      <c r="N2046" s="177" t="n">
        <v>320</v>
      </c>
      <c r="O2046" s="13" t="n"/>
      <c r="P2046" s="139" t="inlineStr">
        <is>
          <t>ml</t>
        </is>
      </c>
      <c r="Q2046" s="2" t="n"/>
      <c r="R2046" s="1" t="n"/>
      <c r="S2046" s="229">
        <f>M2046*N2046</f>
        <v/>
      </c>
      <c r="T2046" s="230">
        <f>CONCATENATE(S2046,Q2046,P2046)</f>
        <v/>
      </c>
      <c r="U2046" s="206">
        <f>L2046*M2046</f>
        <v/>
      </c>
      <c r="V2046" s="4" t="n"/>
      <c r="W2046" s="4" t="n"/>
      <c r="X2046" s="4" t="n"/>
    </row>
    <row r="2047" ht="15.75" customHeight="1" thickBot="1">
      <c r="A2047" s="186" t="n">
        <v>838</v>
      </c>
      <c r="B2047" s="214" t="inlineStr">
        <is>
          <t>Softdrinks</t>
        </is>
      </c>
      <c r="C2047" s="124" t="n"/>
      <c r="D2047" s="115" t="n"/>
      <c r="E2047" s="124" t="n"/>
      <c r="F2047" s="124" t="n"/>
      <c r="G2047" s="124" t="n"/>
      <c r="H2047" s="84" t="n"/>
      <c r="I2047" s="7" t="n"/>
      <c r="J2047" s="32" t="inlineStr">
        <is>
          <t>Coca-Cola - Regular (Can)</t>
        </is>
      </c>
      <c r="K2047" s="24" t="n"/>
      <c r="L2047" s="36" t="n">
        <v>32.7</v>
      </c>
      <c r="M2047" s="204" t="n">
        <v>15</v>
      </c>
      <c r="N2047" s="177" t="n">
        <v>320</v>
      </c>
      <c r="O2047" s="13" t="n"/>
      <c r="P2047" s="139" t="inlineStr">
        <is>
          <t>ml</t>
        </is>
      </c>
      <c r="Q2047" s="2" t="n"/>
      <c r="R2047" s="1" t="n"/>
      <c r="S2047" s="229">
        <f>M2047*N2047</f>
        <v/>
      </c>
      <c r="T2047" s="230">
        <f>CONCATENATE(S2047,Q2047,P2047)</f>
        <v/>
      </c>
      <c r="U2047" s="206">
        <f>L2047*M2047</f>
        <v/>
      </c>
      <c r="V2047" s="4" t="n"/>
      <c r="W2047" s="4" t="n"/>
      <c r="X2047" s="4" t="n"/>
    </row>
    <row r="2048" ht="15.75" customHeight="1" thickBot="1">
      <c r="A2048" s="186" t="n">
        <v>838</v>
      </c>
      <c r="B2048" s="214" t="inlineStr">
        <is>
          <t>Softdrinks</t>
        </is>
      </c>
      <c r="C2048" s="124" t="n"/>
      <c r="D2048" s="115" t="n"/>
      <c r="E2048" s="124" t="n"/>
      <c r="F2048" s="124" t="n"/>
      <c r="G2048" s="124" t="n"/>
      <c r="H2048" s="84" t="n"/>
      <c r="I2048" s="7" t="n"/>
      <c r="J2048" s="32" t="inlineStr">
        <is>
          <t>Coca-Cola - Regular (Can)</t>
        </is>
      </c>
      <c r="K2048" s="24" t="n"/>
      <c r="L2048" s="36" t="n">
        <v>30.4</v>
      </c>
      <c r="M2048" s="204" t="n">
        <v>25</v>
      </c>
      <c r="N2048" s="177" t="n">
        <v>320</v>
      </c>
      <c r="O2048" s="13" t="n"/>
      <c r="P2048" s="139" t="inlineStr">
        <is>
          <t>ml</t>
        </is>
      </c>
      <c r="Q2048" s="2" t="n"/>
      <c r="R2048" s="1" t="n"/>
      <c r="S2048" s="229">
        <f>M2048*N2048</f>
        <v/>
      </c>
      <c r="T2048" s="230">
        <f>CONCATENATE(S2048,Q2048,P2048)</f>
        <v/>
      </c>
      <c r="U2048" s="206">
        <f>L2048*M2048</f>
        <v/>
      </c>
      <c r="V2048" s="4" t="n"/>
      <c r="W2048" s="4" t="n"/>
      <c r="X2048" s="4" t="n"/>
    </row>
    <row r="2049" ht="15.75" customHeight="1" thickBot="1">
      <c r="A2049" s="186" t="n">
        <v>838</v>
      </c>
      <c r="B2049" s="214" t="inlineStr">
        <is>
          <t>Softdrinks</t>
        </is>
      </c>
      <c r="C2049" s="124" t="n"/>
      <c r="D2049" s="115" t="n"/>
      <c r="E2049" s="124" t="n"/>
      <c r="F2049" s="124" t="n"/>
      <c r="G2049" s="124" t="n"/>
      <c r="H2049" s="84" t="n"/>
      <c r="I2049" s="7" t="n"/>
      <c r="J2049" s="32" t="inlineStr">
        <is>
          <t>Coca-Cola - Regular (Can)</t>
        </is>
      </c>
      <c r="K2049" s="24" t="n"/>
      <c r="L2049" s="36" t="n">
        <v>32.6</v>
      </c>
      <c r="M2049" s="204" t="n">
        <v>32</v>
      </c>
      <c r="N2049" s="177" t="n">
        <v>320</v>
      </c>
      <c r="O2049" s="13" t="n"/>
      <c r="P2049" s="139" t="inlineStr">
        <is>
          <t>ml</t>
        </is>
      </c>
      <c r="Q2049" s="2" t="n"/>
      <c r="R2049" s="1" t="n"/>
      <c r="S2049" s="229">
        <f>M2049*N2049</f>
        <v/>
      </c>
      <c r="T2049" s="230">
        <f>CONCATENATE(S2049,Q2049,P2049)</f>
        <v/>
      </c>
      <c r="U2049" s="206">
        <f>L2049*M2049</f>
        <v/>
      </c>
      <c r="V2049" s="4" t="n"/>
      <c r="W2049" s="4" t="n"/>
      <c r="X2049" s="4" t="n"/>
    </row>
    <row r="2050" ht="15.75" customHeight="1" thickBot="1">
      <c r="A2050" s="186" t="n">
        <v>838</v>
      </c>
      <c r="B2050" s="214" t="inlineStr">
        <is>
          <t>Softdrinks</t>
        </is>
      </c>
      <c r="C2050" s="124" t="n"/>
      <c r="D2050" s="115" t="n"/>
      <c r="E2050" s="124" t="n"/>
      <c r="F2050" s="124" t="n"/>
      <c r="G2050" s="124" t="n"/>
      <c r="H2050" s="84" t="n"/>
      <c r="I2050" s="7" t="n"/>
      <c r="J2050" s="32" t="inlineStr">
        <is>
          <t>Coca-Cola - Zero (Liter)</t>
        </is>
      </c>
      <c r="K2050" s="24" t="n"/>
      <c r="L2050" s="36" t="n">
        <v>68.5</v>
      </c>
      <c r="M2050" s="204" t="n">
        <v>20</v>
      </c>
      <c r="N2050" s="177" t="n">
        <v>2</v>
      </c>
      <c r="O2050" s="13" t="n"/>
      <c r="P2050" s="139" t="inlineStr">
        <is>
          <t>liters</t>
        </is>
      </c>
      <c r="Q2050" s="2" t="n"/>
      <c r="R2050" s="1" t="n"/>
      <c r="S2050" s="229">
        <f>M2050*N2050</f>
        <v/>
      </c>
      <c r="T2050" s="230">
        <f>CONCATENATE(S2050,Q2050,P2050)</f>
        <v/>
      </c>
      <c r="U2050" s="206">
        <f>L2050*M2050</f>
        <v/>
      </c>
      <c r="V2050" s="4" t="n"/>
      <c r="W2050" s="4" t="n"/>
      <c r="X2050" s="4" t="n"/>
    </row>
    <row r="2051" ht="15.75" customHeight="1" thickBot="1">
      <c r="A2051" s="186" t="n">
        <v>838</v>
      </c>
      <c r="B2051" s="214" t="inlineStr">
        <is>
          <t>Softdrinks</t>
        </is>
      </c>
      <c r="C2051" s="124" t="n"/>
      <c r="D2051" s="115" t="n"/>
      <c r="E2051" s="124" t="n"/>
      <c r="F2051" s="124" t="n"/>
      <c r="G2051" s="124" t="n"/>
      <c r="H2051" s="84" t="n"/>
      <c r="I2051" s="7" t="n"/>
      <c r="J2051" s="32" t="inlineStr">
        <is>
          <t>Coca-Cola - Zero (Can)</t>
        </is>
      </c>
      <c r="K2051" s="24" t="n"/>
      <c r="L2051" s="36" t="n">
        <v>31.6</v>
      </c>
      <c r="M2051" s="204" t="n">
        <v>5</v>
      </c>
      <c r="N2051" s="177" t="n">
        <v>320</v>
      </c>
      <c r="O2051" s="13" t="n"/>
      <c r="P2051" s="139" t="inlineStr">
        <is>
          <t>ml</t>
        </is>
      </c>
      <c r="Q2051" s="2" t="n"/>
      <c r="R2051" s="1" t="n"/>
      <c r="S2051" s="229">
        <f>M2051*N2051</f>
        <v/>
      </c>
      <c r="T2051" s="230">
        <f>CONCATENATE(S2051,Q2051,P2051)</f>
        <v/>
      </c>
      <c r="U2051" s="206">
        <f>L2051*M2051</f>
        <v/>
      </c>
      <c r="V2051" s="4" t="n"/>
      <c r="W2051" s="4" t="n"/>
      <c r="X2051" s="4" t="n"/>
    </row>
    <row r="2052" ht="15.75" customHeight="1" thickBot="1">
      <c r="A2052" s="186" t="n">
        <v>838</v>
      </c>
      <c r="B2052" s="214" t="inlineStr">
        <is>
          <t>Softdrinks</t>
        </is>
      </c>
      <c r="C2052" s="124" t="n"/>
      <c r="D2052" s="115" t="n"/>
      <c r="E2052" s="124" t="n"/>
      <c r="F2052" s="124" t="n"/>
      <c r="G2052" s="124" t="n"/>
      <c r="H2052" s="84" t="n"/>
      <c r="I2052" s="7" t="n"/>
      <c r="J2052" s="32" t="inlineStr">
        <is>
          <t>Coca-Cola - Zero (Can)</t>
        </is>
      </c>
      <c r="K2052" s="24" t="n"/>
      <c r="L2052" s="36" t="n">
        <v>31.57</v>
      </c>
      <c r="M2052" s="204" t="n">
        <v>60</v>
      </c>
      <c r="N2052" s="177" t="n">
        <v>320</v>
      </c>
      <c r="O2052" s="13" t="n"/>
      <c r="P2052" s="139" t="inlineStr">
        <is>
          <t>ml</t>
        </is>
      </c>
      <c r="Q2052" s="2" t="n"/>
      <c r="R2052" s="1" t="n"/>
      <c r="S2052" s="229">
        <f>M2052*N2052</f>
        <v/>
      </c>
      <c r="T2052" s="230">
        <f>CONCATENATE(S2052,Q2052,P2052)</f>
        <v/>
      </c>
      <c r="U2052" s="206">
        <f>L2052*M2052</f>
        <v/>
      </c>
      <c r="V2052" s="4" t="n"/>
      <c r="W2052" s="4" t="n"/>
      <c r="X2052" s="4" t="n"/>
    </row>
    <row r="2053" ht="15.75" customHeight="1" thickBot="1">
      <c r="A2053" s="186" t="n">
        <v>838</v>
      </c>
      <c r="B2053" s="214" t="inlineStr">
        <is>
          <t>Softdrinks</t>
        </is>
      </c>
      <c r="C2053" s="124" t="n"/>
      <c r="D2053" s="115" t="n"/>
      <c r="E2053" s="124" t="n"/>
      <c r="F2053" s="124" t="n"/>
      <c r="G2053" s="124" t="n"/>
      <c r="H2053" s="84" t="n"/>
      <c r="I2053" s="7" t="n"/>
      <c r="J2053" s="32" t="inlineStr">
        <is>
          <t>Coca-Cola - Zero (Can)</t>
        </is>
      </c>
      <c r="K2053" s="24" t="n"/>
      <c r="L2053" s="36" t="n">
        <v>32.84</v>
      </c>
      <c r="M2053" s="204" t="n">
        <v>24</v>
      </c>
      <c r="N2053" s="177" t="n">
        <v>320</v>
      </c>
      <c r="O2053" s="13" t="n"/>
      <c r="P2053" s="139" t="inlineStr">
        <is>
          <t>ml</t>
        </is>
      </c>
      <c r="Q2053" s="2" t="n"/>
      <c r="R2053" s="1" t="n"/>
      <c r="S2053" s="229">
        <f>M2053*N2053</f>
        <v/>
      </c>
      <c r="T2053" s="230">
        <f>CONCATENATE(S2053,Q2053,P2053)</f>
        <v/>
      </c>
      <c r="U2053" s="206">
        <f>L2053*M2053</f>
        <v/>
      </c>
      <c r="V2053" s="4" t="n"/>
      <c r="W2053" s="4" t="n"/>
      <c r="X2053" s="4" t="n"/>
    </row>
    <row r="2054" ht="15.75" customHeight="1" thickBot="1">
      <c r="A2054" s="186" t="n">
        <v>838</v>
      </c>
      <c r="B2054" s="214" t="inlineStr">
        <is>
          <t>Softdrinks</t>
        </is>
      </c>
      <c r="C2054" s="124" t="n"/>
      <c r="D2054" s="115" t="n"/>
      <c r="E2054" s="124" t="n"/>
      <c r="F2054" s="124" t="n"/>
      <c r="G2054" s="124" t="n"/>
      <c r="H2054" s="84" t="n"/>
      <c r="I2054" s="7" t="n"/>
      <c r="J2054" s="32" t="inlineStr">
        <is>
          <t>Coca-Cola - Zero (Can)</t>
        </is>
      </c>
      <c r="K2054" s="24" t="n"/>
      <c r="L2054" s="36" t="n">
        <v>32.6</v>
      </c>
      <c r="M2054" s="204" t="n">
        <v>52</v>
      </c>
      <c r="N2054" s="177" t="n">
        <v>320</v>
      </c>
      <c r="O2054" s="13" t="n"/>
      <c r="P2054" s="139" t="inlineStr">
        <is>
          <t>ml</t>
        </is>
      </c>
      <c r="Q2054" s="2" t="n"/>
      <c r="R2054" s="1" t="n"/>
      <c r="S2054" s="229">
        <f>M2054*N2054</f>
        <v/>
      </c>
      <c r="T2054" s="230">
        <f>CONCATENATE(S2054,Q2054,P2054)</f>
        <v/>
      </c>
      <c r="U2054" s="206">
        <f>L2054*M2054</f>
        <v/>
      </c>
      <c r="V2054" s="4" t="n"/>
      <c r="W2054" s="4" t="n"/>
      <c r="X2054" s="4" t="n"/>
    </row>
    <row r="2055" ht="15.75" customHeight="1" thickBot="1">
      <c r="A2055" s="186" t="n">
        <v>838</v>
      </c>
      <c r="B2055" s="214" t="inlineStr">
        <is>
          <t>Softdrinks</t>
        </is>
      </c>
      <c r="C2055" s="124" t="n"/>
      <c r="D2055" s="115" t="n"/>
      <c r="E2055" s="124" t="n"/>
      <c r="F2055" s="124" t="n"/>
      <c r="G2055" s="124" t="n"/>
      <c r="H2055" s="84" t="n"/>
      <c r="I2055" s="7" t="n"/>
      <c r="J2055" s="32" t="inlineStr">
        <is>
          <t>Coca-Cola - Royal (Liter)</t>
        </is>
      </c>
      <c r="K2055" s="24" t="n"/>
      <c r="L2055" s="36" t="n">
        <v>61</v>
      </c>
      <c r="M2055" s="204" t="n">
        <v>1</v>
      </c>
      <c r="N2055" s="177" t="n">
        <v>2</v>
      </c>
      <c r="O2055" s="13" t="n"/>
      <c r="P2055" s="139" t="inlineStr">
        <is>
          <t>liters</t>
        </is>
      </c>
      <c r="Q2055" s="2" t="n"/>
      <c r="R2055" s="1" t="n"/>
      <c r="S2055" s="229">
        <f>M2055*N2055</f>
        <v/>
      </c>
      <c r="T2055" s="230">
        <f>CONCATENATE(S2055,Q2055,P2055)</f>
        <v/>
      </c>
      <c r="U2055" s="206">
        <f>L2055*M2055</f>
        <v/>
      </c>
      <c r="V2055" s="4" t="n"/>
      <c r="W2055" s="4" t="n"/>
      <c r="X2055" s="4" t="n"/>
    </row>
    <row r="2056" ht="15.75" customHeight="1" thickBot="1">
      <c r="A2056" s="186" t="n">
        <v>838</v>
      </c>
      <c r="B2056" s="214" t="inlineStr">
        <is>
          <t>Softdrinks</t>
        </is>
      </c>
      <c r="C2056" s="124" t="n"/>
      <c r="D2056" s="115" t="n"/>
      <c r="E2056" s="124" t="n"/>
      <c r="F2056" s="124" t="n"/>
      <c r="G2056" s="124" t="n"/>
      <c r="H2056" s="84" t="n"/>
      <c r="I2056" s="7" t="n"/>
      <c r="J2056" s="32" t="inlineStr">
        <is>
          <t>Coca-Cola - Royal (Mismo)</t>
        </is>
      </c>
      <c r="K2056" s="24" t="n"/>
      <c r="L2056" s="36" t="n">
        <v>16.14</v>
      </c>
      <c r="M2056" s="204" t="n">
        <v>12</v>
      </c>
      <c r="N2056" s="177" t="n">
        <v>250</v>
      </c>
      <c r="O2056" s="13" t="n"/>
      <c r="P2056" s="139" t="inlineStr">
        <is>
          <t>ml</t>
        </is>
      </c>
      <c r="Q2056" s="2" t="n"/>
      <c r="R2056" s="1" t="n"/>
      <c r="S2056" s="229">
        <f>M2056*N2056</f>
        <v/>
      </c>
      <c r="T2056" s="230">
        <f>CONCATENATE(S2056,Q2056,P2056)</f>
        <v/>
      </c>
      <c r="U2056" s="206">
        <f>L2056*M2056</f>
        <v/>
      </c>
      <c r="V2056" s="4" t="n"/>
      <c r="W2056" s="4" t="n"/>
      <c r="X2056" s="4" t="n"/>
    </row>
    <row r="2057" ht="15.75" customHeight="1" thickBot="1">
      <c r="A2057" s="186" t="n">
        <v>838</v>
      </c>
      <c r="B2057" s="214" t="inlineStr">
        <is>
          <t>Softdrinks</t>
        </is>
      </c>
      <c r="C2057" s="124" t="n"/>
      <c r="D2057" s="115" t="n"/>
      <c r="E2057" s="124" t="n"/>
      <c r="F2057" s="124" t="n"/>
      <c r="G2057" s="124" t="n"/>
      <c r="H2057" s="84" t="n"/>
      <c r="I2057" s="7" t="n"/>
      <c r="J2057" s="32" t="inlineStr">
        <is>
          <t>Coca-Cola - Royal (Can)</t>
        </is>
      </c>
      <c r="K2057" s="24" t="n"/>
      <c r="L2057" s="36" t="n">
        <v>32.84</v>
      </c>
      <c r="M2057" s="204" t="n">
        <v>15</v>
      </c>
      <c r="N2057" s="177" t="n">
        <v>320</v>
      </c>
      <c r="O2057" s="13" t="n"/>
      <c r="P2057" s="139" t="inlineStr">
        <is>
          <t>ml</t>
        </is>
      </c>
      <c r="Q2057" s="2" t="n"/>
      <c r="R2057" s="1" t="n"/>
      <c r="S2057" s="229">
        <f>M2057*N2057</f>
        <v/>
      </c>
      <c r="T2057" s="230">
        <f>CONCATENATE(S2057,Q2057,P2057)</f>
        <v/>
      </c>
      <c r="U2057" s="206">
        <f>L2057*M2057</f>
        <v/>
      </c>
      <c r="V2057" s="4" t="n"/>
      <c r="W2057" s="4" t="n"/>
      <c r="X2057" s="4" t="n"/>
    </row>
    <row r="2058" ht="15.75" customHeight="1" thickBot="1">
      <c r="A2058" s="186" t="n">
        <v>838</v>
      </c>
      <c r="B2058" s="214" t="inlineStr">
        <is>
          <t>Softdrinks</t>
        </is>
      </c>
      <c r="C2058" s="124" t="n"/>
      <c r="D2058" s="115" t="n"/>
      <c r="E2058" s="124" t="n"/>
      <c r="F2058" s="124" t="n"/>
      <c r="G2058" s="124" t="n"/>
      <c r="H2058" s="84" t="n"/>
      <c r="I2058" s="7" t="n"/>
      <c r="J2058" s="32" t="inlineStr">
        <is>
          <t>Coca-Cola - Royal (Can)</t>
        </is>
      </c>
      <c r="K2058" s="24" t="n"/>
      <c r="L2058" s="36" t="n">
        <v>30.4</v>
      </c>
      <c r="M2058" s="204" t="n">
        <v>23</v>
      </c>
      <c r="N2058" s="177" t="n">
        <v>320</v>
      </c>
      <c r="O2058" s="13" t="n"/>
      <c r="P2058" s="139" t="inlineStr">
        <is>
          <t>ml</t>
        </is>
      </c>
      <c r="Q2058" s="2" t="n"/>
      <c r="R2058" s="1" t="n"/>
      <c r="S2058" s="229">
        <f>M2058*N2058</f>
        <v/>
      </c>
      <c r="T2058" s="230">
        <f>CONCATENATE(S2058,Q2058,P2058)</f>
        <v/>
      </c>
      <c r="U2058" s="206">
        <f>L2058*M2058</f>
        <v/>
      </c>
      <c r="V2058" s="4" t="n"/>
      <c r="W2058" s="4" t="n"/>
      <c r="X2058" s="4" t="n"/>
    </row>
    <row r="2059" ht="15.75" customHeight="1" thickBot="1">
      <c r="A2059" s="186" t="n">
        <v>838</v>
      </c>
      <c r="B2059" s="214" t="inlineStr">
        <is>
          <t>Softdrinks</t>
        </is>
      </c>
      <c r="C2059" s="124" t="n"/>
      <c r="D2059" s="115" t="n"/>
      <c r="E2059" s="124" t="n"/>
      <c r="F2059" s="124" t="n"/>
      <c r="G2059" s="124" t="n"/>
      <c r="H2059" s="84" t="n"/>
      <c r="I2059" s="7" t="n"/>
      <c r="J2059" s="32" t="inlineStr">
        <is>
          <t>Coca-Cola - Royal (Can)</t>
        </is>
      </c>
      <c r="K2059" s="24" t="n"/>
      <c r="L2059" s="36" t="n">
        <v>31.35</v>
      </c>
      <c r="M2059" s="204" t="n">
        <v>49</v>
      </c>
      <c r="N2059" s="177" t="n">
        <v>320</v>
      </c>
      <c r="O2059" s="13" t="n"/>
      <c r="P2059" s="139" t="inlineStr">
        <is>
          <t>ml</t>
        </is>
      </c>
      <c r="Q2059" s="2" t="n"/>
      <c r="R2059" s="1" t="n"/>
      <c r="S2059" s="229">
        <f>M2059*N2059</f>
        <v/>
      </c>
      <c r="T2059" s="230">
        <f>CONCATENATE(S2059,Q2059,P2059)</f>
        <v/>
      </c>
      <c r="U2059" s="206">
        <f>L2059*M2059</f>
        <v/>
      </c>
      <c r="V2059" s="4" t="n"/>
      <c r="W2059" s="4" t="n"/>
      <c r="X2059" s="4" t="n"/>
    </row>
    <row r="2060" ht="15.75" customHeight="1" thickBot="1">
      <c r="A2060" s="186" t="n">
        <v>838</v>
      </c>
      <c r="B2060" s="214" t="inlineStr">
        <is>
          <t>Softdrinks</t>
        </is>
      </c>
      <c r="C2060" s="124" t="n"/>
      <c r="D2060" s="115" t="n"/>
      <c r="E2060" s="124" t="n"/>
      <c r="F2060" s="124" t="n"/>
      <c r="G2060" s="124" t="n"/>
      <c r="H2060" s="84" t="n"/>
      <c r="I2060" s="7" t="n"/>
      <c r="J2060" s="32" t="inlineStr">
        <is>
          <t>Coca-Cola - Royal (Liter)</t>
        </is>
      </c>
      <c r="K2060" s="24" t="n"/>
      <c r="L2060" s="36" t="n">
        <v>63</v>
      </c>
      <c r="M2060" s="204" t="n">
        <v>14</v>
      </c>
      <c r="N2060" s="177" t="n">
        <v>2</v>
      </c>
      <c r="O2060" s="13" t="n"/>
      <c r="P2060" s="139" t="inlineStr">
        <is>
          <t>liters</t>
        </is>
      </c>
      <c r="Q2060" s="2" t="n"/>
      <c r="R2060" s="1" t="n"/>
      <c r="S2060" s="229">
        <f>M2060*N2060</f>
        <v/>
      </c>
      <c r="T2060" s="230">
        <f>CONCATENATE(S2060,Q2060,P2060)</f>
        <v/>
      </c>
      <c r="U2060" s="206">
        <f>L2060*M2060</f>
        <v/>
      </c>
      <c r="V2060" s="4" t="n"/>
      <c r="W2060" s="4" t="n"/>
      <c r="X2060" s="4" t="n"/>
    </row>
    <row r="2061" ht="15.75" customHeight="1" thickBot="1">
      <c r="A2061" s="186" t="n">
        <v>838</v>
      </c>
      <c r="B2061" s="214" t="inlineStr">
        <is>
          <t>Softdrinks</t>
        </is>
      </c>
      <c r="C2061" s="124" t="n"/>
      <c r="D2061" s="115" t="n"/>
      <c r="E2061" s="124" t="n"/>
      <c r="F2061" s="124" t="n"/>
      <c r="G2061" s="124" t="n"/>
      <c r="H2061" s="84" t="n"/>
      <c r="I2061" s="7" t="n"/>
      <c r="J2061" s="32" t="inlineStr">
        <is>
          <t>Coca-Cola - Sprite (Liter)</t>
        </is>
      </c>
      <c r="K2061" s="24" t="n"/>
      <c r="L2061" s="36" t="n">
        <v>63</v>
      </c>
      <c r="M2061" s="204" t="n">
        <v>12</v>
      </c>
      <c r="N2061" s="177" t="n">
        <v>2</v>
      </c>
      <c r="O2061" s="13" t="n"/>
      <c r="P2061" s="139" t="inlineStr">
        <is>
          <t>liters</t>
        </is>
      </c>
      <c r="Q2061" s="2" t="n"/>
      <c r="R2061" s="1" t="n"/>
      <c r="S2061" s="229">
        <f>M2061*N2061</f>
        <v/>
      </c>
      <c r="T2061" s="230">
        <f>CONCATENATE(S2061,Q2061,P2061)</f>
        <v/>
      </c>
      <c r="U2061" s="206">
        <f>L2061*M2061</f>
        <v/>
      </c>
      <c r="V2061" s="4" t="n"/>
      <c r="W2061" s="4" t="n"/>
      <c r="X2061" s="4" t="n"/>
    </row>
    <row r="2062" ht="15.75" customHeight="1" thickBot="1">
      <c r="A2062" s="186" t="n">
        <v>838</v>
      </c>
      <c r="B2062" s="214" t="inlineStr">
        <is>
          <t>Softdrinks</t>
        </is>
      </c>
      <c r="C2062" s="124" t="n"/>
      <c r="D2062" s="115" t="n"/>
      <c r="E2062" s="124" t="n"/>
      <c r="F2062" s="124" t="n"/>
      <c r="G2062" s="124" t="n"/>
      <c r="H2062" s="84" t="n"/>
      <c r="I2062" s="7" t="n"/>
      <c r="J2062" s="32" t="inlineStr">
        <is>
          <t>Coca-Cola - Sprite (Liter)</t>
        </is>
      </c>
      <c r="K2062" s="24" t="n"/>
      <c r="L2062" s="36" t="n">
        <v>61</v>
      </c>
      <c r="M2062" s="204" t="n">
        <v>1</v>
      </c>
      <c r="N2062" s="177" t="n">
        <v>2</v>
      </c>
      <c r="O2062" s="13" t="n"/>
      <c r="P2062" s="139" t="inlineStr">
        <is>
          <t>liters</t>
        </is>
      </c>
      <c r="Q2062" s="2" t="n"/>
      <c r="R2062" s="1" t="n"/>
      <c r="S2062" s="229">
        <f>M2062*N2062</f>
        <v/>
      </c>
      <c r="T2062" s="230">
        <f>CONCATENATE(S2062,Q2062,P2062)</f>
        <v/>
      </c>
      <c r="U2062" s="206">
        <f>L2062*M2062</f>
        <v/>
      </c>
      <c r="V2062" s="4" t="n"/>
      <c r="W2062" s="4" t="n"/>
      <c r="X2062" s="4" t="n"/>
    </row>
    <row r="2063" ht="15.75" customHeight="1" thickBot="1">
      <c r="A2063" s="186" t="n">
        <v>838</v>
      </c>
      <c r="B2063" s="214" t="inlineStr">
        <is>
          <t>Softdrinks</t>
        </is>
      </c>
      <c r="C2063" s="124" t="n"/>
      <c r="D2063" s="115" t="n"/>
      <c r="E2063" s="124" t="n"/>
      <c r="F2063" s="124" t="n"/>
      <c r="G2063" s="124" t="n"/>
      <c r="H2063" s="84" t="n"/>
      <c r="I2063" s="7" t="n"/>
      <c r="J2063" s="32" t="inlineStr">
        <is>
          <t>Coca-Cola - Sprite (Mismo)</t>
        </is>
      </c>
      <c r="K2063" s="24" t="n"/>
      <c r="L2063" s="36" t="n">
        <v>16.66</v>
      </c>
      <c r="M2063" s="204" t="n">
        <v>19</v>
      </c>
      <c r="N2063" s="177" t="n">
        <v>290</v>
      </c>
      <c r="O2063" s="13" t="n"/>
      <c r="P2063" s="139" t="inlineStr">
        <is>
          <t>ml</t>
        </is>
      </c>
      <c r="Q2063" s="2" t="n"/>
      <c r="R2063" s="1" t="n"/>
      <c r="S2063" s="229">
        <f>M2063*N2063</f>
        <v/>
      </c>
      <c r="T2063" s="230">
        <f>CONCATENATE(S2063,Q2063,P2063)</f>
        <v/>
      </c>
      <c r="U2063" s="206">
        <f>L2063*M2063</f>
        <v/>
      </c>
      <c r="V2063" s="4" t="n"/>
      <c r="W2063" s="4" t="n"/>
      <c r="X2063" s="4" t="n"/>
    </row>
    <row r="2064" ht="15.75" customHeight="1" thickBot="1">
      <c r="A2064" s="186" t="n">
        <v>838</v>
      </c>
      <c r="B2064" s="214" t="inlineStr">
        <is>
          <t>Softdrinks</t>
        </is>
      </c>
      <c r="C2064" s="124" t="n"/>
      <c r="D2064" s="115" t="n"/>
      <c r="E2064" s="124" t="n"/>
      <c r="F2064" s="124" t="n"/>
      <c r="G2064" s="124" t="n"/>
      <c r="H2064" s="84" t="n"/>
      <c r="I2064" s="7" t="n"/>
      <c r="J2064" s="32" t="inlineStr">
        <is>
          <t>Coca-Cola - Sprite (Can)</t>
        </is>
      </c>
      <c r="K2064" s="24" t="n"/>
      <c r="L2064" s="36" t="n">
        <v>31.57</v>
      </c>
      <c r="M2064" s="204" t="n">
        <v>48</v>
      </c>
      <c r="N2064" s="177" t="n">
        <v>320</v>
      </c>
      <c r="O2064" s="13" t="n"/>
      <c r="P2064" s="139" t="inlineStr">
        <is>
          <t>ml</t>
        </is>
      </c>
      <c r="Q2064" s="2" t="n"/>
      <c r="R2064" s="1" t="n"/>
      <c r="S2064" s="229">
        <f>M2064*N2064</f>
        <v/>
      </c>
      <c r="T2064" s="230">
        <f>CONCATENATE(S2064,Q2064,P2064)</f>
        <v/>
      </c>
      <c r="U2064" s="206">
        <f>L2064*M2064</f>
        <v/>
      </c>
      <c r="V2064" s="4" t="n"/>
      <c r="W2064" s="4" t="n"/>
      <c r="X2064" s="4" t="n"/>
    </row>
    <row r="2065" ht="15.75" customHeight="1" thickBot="1">
      <c r="A2065" s="186" t="n">
        <v>838</v>
      </c>
      <c r="B2065" s="214" t="inlineStr">
        <is>
          <t>Softdrinks</t>
        </is>
      </c>
      <c r="C2065" s="124" t="n"/>
      <c r="D2065" s="115" t="n"/>
      <c r="E2065" s="124" t="n"/>
      <c r="F2065" s="124" t="n"/>
      <c r="G2065" s="124" t="n"/>
      <c r="H2065" s="84" t="n"/>
      <c r="I2065" s="7" t="n"/>
      <c r="J2065" s="32" t="inlineStr">
        <is>
          <t>Coca-Cola - Sprite (Can)</t>
        </is>
      </c>
      <c r="K2065" s="24" t="n"/>
      <c r="L2065" s="36" t="n">
        <v>32.84</v>
      </c>
      <c r="M2065" s="204" t="n">
        <v>9</v>
      </c>
      <c r="N2065" s="177" t="n">
        <v>320</v>
      </c>
      <c r="O2065" s="13" t="n"/>
      <c r="P2065" s="139" t="inlineStr">
        <is>
          <t>ml</t>
        </is>
      </c>
      <c r="Q2065" s="2" t="n"/>
      <c r="R2065" s="1" t="n"/>
      <c r="S2065" s="229">
        <f>M2065*N2065</f>
        <v/>
      </c>
      <c r="T2065" s="230">
        <f>CONCATENATE(S2065,Q2065,P2065)</f>
        <v/>
      </c>
      <c r="U2065" s="206">
        <f>L2065*M2065</f>
        <v/>
      </c>
      <c r="V2065" s="4" t="n"/>
      <c r="W2065" s="4" t="n"/>
      <c r="X2065" s="4" t="n"/>
    </row>
    <row r="2066" ht="15.75" customHeight="1" thickBot="1">
      <c r="A2066" s="186" t="n">
        <v>838</v>
      </c>
      <c r="B2066" s="214" t="inlineStr">
        <is>
          <t>Softdrinks</t>
        </is>
      </c>
      <c r="C2066" s="124" t="n"/>
      <c r="D2066" s="115" t="n"/>
      <c r="E2066" s="124" t="n"/>
      <c r="F2066" s="124" t="n"/>
      <c r="G2066" s="124" t="n"/>
      <c r="H2066" s="84" t="n"/>
      <c r="I2066" s="7" t="n"/>
      <c r="J2066" s="32" t="inlineStr">
        <is>
          <t>Coca-Cola - Sprite (Can)</t>
        </is>
      </c>
      <c r="K2066" s="24" t="n"/>
      <c r="L2066" s="36" t="n">
        <v>30.4</v>
      </c>
      <c r="M2066" s="204" t="n">
        <v>23</v>
      </c>
      <c r="N2066" s="177" t="n">
        <v>320</v>
      </c>
      <c r="O2066" s="13" t="n"/>
      <c r="P2066" s="139" t="inlineStr">
        <is>
          <t>ml</t>
        </is>
      </c>
      <c r="Q2066" s="2" t="n"/>
      <c r="R2066" s="1" t="n"/>
      <c r="S2066" s="229">
        <f>M2066*N2066</f>
        <v/>
      </c>
      <c r="T2066" s="230">
        <f>CONCATENATE(S2066,Q2066,P2066)</f>
        <v/>
      </c>
      <c r="U2066" s="206">
        <f>L2066*M2066</f>
        <v/>
      </c>
      <c r="V2066" s="4" t="n"/>
      <c r="W2066" s="4" t="n"/>
      <c r="X2066" s="4" t="n"/>
    </row>
    <row r="2067" ht="15.75" customHeight="1" thickBot="1">
      <c r="A2067" s="186" t="n">
        <v>384</v>
      </c>
      <c r="B2067" s="214" t="inlineStr">
        <is>
          <t>Sotanghon</t>
        </is>
      </c>
      <c r="C2067" s="124" t="n"/>
      <c r="D2067" s="115" t="n"/>
      <c r="E2067" s="124" t="n"/>
      <c r="F2067" s="124" t="n"/>
      <c r="G2067" s="124" t="n"/>
      <c r="H2067" s="84" t="n"/>
      <c r="I2067" s="7" t="n"/>
      <c r="J2067" s="32" t="inlineStr">
        <is>
          <t>Sapporo</t>
        </is>
      </c>
      <c r="K2067" s="24" t="n"/>
      <c r="L2067" s="36" t="n">
        <v>310</v>
      </c>
      <c r="M2067" s="204" t="n">
        <v>6</v>
      </c>
      <c r="N2067" s="177" t="n">
        <v>1</v>
      </c>
      <c r="O2067" s="13" t="n"/>
      <c r="P2067" s="139" t="inlineStr">
        <is>
          <t>kilos</t>
        </is>
      </c>
      <c r="Q2067" s="2" t="n"/>
      <c r="R2067" s="1" t="n"/>
      <c r="S2067" s="229">
        <f>M2067*N2067</f>
        <v/>
      </c>
      <c r="T2067" s="230">
        <f>CONCATENATE(S2067,Q2067,P2067)</f>
        <v/>
      </c>
      <c r="U2067" s="206">
        <f>L2067*M2067</f>
        <v/>
      </c>
      <c r="V2067" s="4" t="n"/>
      <c r="W2067" s="4" t="n"/>
      <c r="X2067" s="4" t="n"/>
    </row>
    <row r="2068" ht="15.75" customHeight="1" thickBot="1">
      <c r="A2068" s="186" t="n">
        <v>384</v>
      </c>
      <c r="B2068" s="214" t="inlineStr">
        <is>
          <t>Sotanghon</t>
        </is>
      </c>
      <c r="C2068" s="124" t="n"/>
      <c r="D2068" s="115" t="n"/>
      <c r="E2068" s="124" t="n"/>
      <c r="F2068" s="124" t="n"/>
      <c r="G2068" s="124" t="n"/>
      <c r="H2068" s="84" t="n"/>
      <c r="I2068" s="7" t="n"/>
      <c r="J2068" s="32" t="inlineStr">
        <is>
          <t>Sapporo</t>
        </is>
      </c>
      <c r="K2068" s="24" t="n"/>
      <c r="L2068" s="36" t="n">
        <v>250</v>
      </c>
      <c r="M2068" s="204" t="n">
        <v>0</v>
      </c>
      <c r="N2068" s="177" t="n">
        <v>1</v>
      </c>
      <c r="O2068" s="13" t="n"/>
      <c r="P2068" s="139" t="inlineStr">
        <is>
          <t>kilos</t>
        </is>
      </c>
      <c r="Q2068" s="2" t="n"/>
      <c r="R2068" s="1" t="n"/>
      <c r="S2068" s="229">
        <f>M2068*N2068</f>
        <v/>
      </c>
      <c r="T2068" s="230">
        <f>CONCATENATE(S2068,Q2068,P2068)</f>
        <v/>
      </c>
      <c r="U2068" s="206">
        <f>L2068*M2068</f>
        <v/>
      </c>
      <c r="V2068" s="4" t="n"/>
      <c r="W2068" s="4" t="n"/>
      <c r="X2068" s="4" t="n"/>
    </row>
    <row r="2069" ht="15.75" customHeight="1" thickBot="1">
      <c r="A2069" s="186" t="n">
        <v>384</v>
      </c>
      <c r="B2069" s="214" t="inlineStr">
        <is>
          <t>Sotanghon</t>
        </is>
      </c>
      <c r="C2069" s="124" t="n"/>
      <c r="D2069" s="115" t="n"/>
      <c r="E2069" s="124" t="n"/>
      <c r="F2069" s="124" t="n"/>
      <c r="G2069" s="124" t="n"/>
      <c r="H2069" s="84" t="n"/>
      <c r="I2069" s="7" t="n"/>
      <c r="J2069" s="32" t="inlineStr">
        <is>
          <t>Good Life</t>
        </is>
      </c>
      <c r="K2069" s="24" t="n"/>
      <c r="L2069" s="36" t="n">
        <v>158.8</v>
      </c>
      <c r="M2069" s="204" t="n">
        <v>2</v>
      </c>
      <c r="N2069" s="177" t="n">
        <v>500</v>
      </c>
      <c r="O2069" s="13" t="n"/>
      <c r="P2069" s="139" t="inlineStr">
        <is>
          <t>grams</t>
        </is>
      </c>
      <c r="Q2069" s="2" t="n"/>
      <c r="R2069" s="1" t="n"/>
      <c r="S2069" s="229">
        <f>M2069*N2069</f>
        <v/>
      </c>
      <c r="T2069" s="230">
        <f>CONCATENATE(S2069,Q2069,P2069)</f>
        <v/>
      </c>
      <c r="U2069" s="206">
        <f>L2069*M2069</f>
        <v/>
      </c>
      <c r="V2069" s="4" t="n"/>
      <c r="W2069" s="4" t="n"/>
      <c r="X2069" s="4" t="n"/>
    </row>
    <row r="2070" ht="15.75" customHeight="1" thickBot="1">
      <c r="A2070" s="186" t="n">
        <v>384</v>
      </c>
      <c r="B2070" s="214" t="inlineStr">
        <is>
          <t>Sotanghon</t>
        </is>
      </c>
      <c r="C2070" s="124" t="n"/>
      <c r="D2070" s="115" t="n"/>
      <c r="E2070" s="124" t="n"/>
      <c r="F2070" s="124" t="n"/>
      <c r="G2070" s="124" t="n"/>
      <c r="H2070" s="84" t="n"/>
      <c r="I2070" s="7" t="n"/>
      <c r="J2070" s="32" t="inlineStr">
        <is>
          <t>Relish</t>
        </is>
      </c>
      <c r="K2070" s="24" t="n"/>
      <c r="L2070" s="36" t="n">
        <v>106.5</v>
      </c>
      <c r="M2070" s="204" t="n">
        <v>2</v>
      </c>
      <c r="N2070" s="177" t="n">
        <v>800</v>
      </c>
      <c r="O2070" s="13" t="n"/>
      <c r="P2070" s="139" t="inlineStr">
        <is>
          <t>grams</t>
        </is>
      </c>
      <c r="Q2070" s="2" t="n"/>
      <c r="R2070" s="1" t="n"/>
      <c r="S2070" s="229">
        <f>M2070*N2070</f>
        <v/>
      </c>
      <c r="T2070" s="230">
        <f>CONCATENATE(S2070,Q2070,P2070)</f>
        <v/>
      </c>
      <c r="U2070" s="206">
        <f>L2070*M2070</f>
        <v/>
      </c>
      <c r="V2070" s="4" t="n"/>
      <c r="W2070" s="4" t="n"/>
      <c r="X2070" s="4" t="n"/>
    </row>
    <row r="2071" ht="15.75" customHeight="1" thickBot="1">
      <c r="A2071" s="186" t="n">
        <v>384</v>
      </c>
      <c r="B2071" s="214" t="inlineStr">
        <is>
          <t>Sotanghon</t>
        </is>
      </c>
      <c r="C2071" s="124" t="n"/>
      <c r="D2071" s="115" t="n"/>
      <c r="E2071" s="124" t="n"/>
      <c r="F2071" s="124" t="n"/>
      <c r="G2071" s="124" t="n"/>
      <c r="H2071" s="84" t="n"/>
      <c r="I2071" s="7" t="n"/>
      <c r="J2071" s="32" t="inlineStr">
        <is>
          <t>Good Life</t>
        </is>
      </c>
      <c r="K2071" s="24" t="n"/>
      <c r="L2071" s="36" t="n">
        <v>164</v>
      </c>
      <c r="M2071" s="204" t="n">
        <v>2</v>
      </c>
      <c r="N2071" s="177" t="n">
        <v>32</v>
      </c>
      <c r="O2071" s="13" t="n"/>
      <c r="P2071" s="139" t="inlineStr">
        <is>
          <t>ounces</t>
        </is>
      </c>
      <c r="Q2071" s="2" t="n"/>
      <c r="R2071" s="1" t="n"/>
      <c r="S2071" s="229">
        <f>M2071*N2071</f>
        <v/>
      </c>
      <c r="T2071" s="230">
        <f>CONCATENATE(S2071,Q2071,P2071)</f>
        <v/>
      </c>
      <c r="U2071" s="206">
        <f>L2071*M2071</f>
        <v/>
      </c>
      <c r="V2071" s="4" t="n"/>
      <c r="W2071" s="4" t="n"/>
      <c r="X2071" s="4" t="n"/>
    </row>
    <row r="2072" ht="15.75" customHeight="1" thickBot="1">
      <c r="A2072" s="186" t="n">
        <v>839</v>
      </c>
      <c r="B2072" s="214" t="inlineStr">
        <is>
          <t>Soup Mix</t>
        </is>
      </c>
      <c r="C2072" s="124" t="n"/>
      <c r="D2072" s="115" t="n"/>
      <c r="E2072" s="124" t="n"/>
      <c r="F2072" s="124" t="n"/>
      <c r="G2072" s="124" t="n"/>
      <c r="H2072" s="84" t="n"/>
      <c r="I2072" s="7" t="n"/>
      <c r="J2072" s="32" t="inlineStr">
        <is>
          <t>Knorr - Nido Oriental Soup</t>
        </is>
      </c>
      <c r="K2072" s="24" t="n"/>
      <c r="L2072" s="36" t="n">
        <v>65</v>
      </c>
      <c r="M2072" s="204" t="n">
        <v>17</v>
      </c>
      <c r="N2072" s="177" t="n">
        <v>53</v>
      </c>
      <c r="O2072" s="13" t="n"/>
      <c r="P2072" s="139" t="inlineStr">
        <is>
          <t>grams</t>
        </is>
      </c>
      <c r="Q2072" s="2" t="n"/>
      <c r="R2072" s="1" t="n"/>
      <c r="S2072" s="229">
        <f>M2072*N2072</f>
        <v/>
      </c>
      <c r="T2072" s="230">
        <f>CONCATENATE(S2072,Q2072,P2072)</f>
        <v/>
      </c>
      <c r="U2072" s="206">
        <f>L2072*M2072</f>
        <v/>
      </c>
      <c r="V2072" s="4" t="n"/>
      <c r="W2072" s="4" t="n"/>
      <c r="X2072" s="4" t="n"/>
    </row>
    <row r="2073" ht="15.75" customHeight="1" thickBot="1">
      <c r="A2073" s="186" t="n">
        <v>839</v>
      </c>
      <c r="B2073" s="214" t="inlineStr">
        <is>
          <t>Soup Mix</t>
        </is>
      </c>
      <c r="C2073" s="124" t="n"/>
      <c r="D2073" s="115" t="n"/>
      <c r="E2073" s="124" t="n"/>
      <c r="F2073" s="124" t="n"/>
      <c r="G2073" s="124" t="n"/>
      <c r="H2073" s="84" t="n"/>
      <c r="I2073" s="7" t="n"/>
      <c r="J2073" s="32" t="inlineStr">
        <is>
          <t>Knorr - Nido Oriental Soup</t>
        </is>
      </c>
      <c r="K2073" s="24" t="n"/>
      <c r="L2073" s="36" t="n">
        <v>52.8</v>
      </c>
      <c r="M2073" s="204" t="n">
        <v>1</v>
      </c>
      <c r="N2073" s="177" t="n">
        <v>53</v>
      </c>
      <c r="O2073" s="13" t="n"/>
      <c r="P2073" s="139" t="inlineStr">
        <is>
          <t>grams</t>
        </is>
      </c>
      <c r="Q2073" s="2" t="n"/>
      <c r="R2073" s="1" t="n"/>
      <c r="S2073" s="229">
        <f>M2073*N2073</f>
        <v/>
      </c>
      <c r="T2073" s="230">
        <f>CONCATENATE(S2073,Q2073,P2073)</f>
        <v/>
      </c>
      <c r="U2073" s="206">
        <f>L2073*M2073</f>
        <v/>
      </c>
      <c r="V2073" s="4" t="n"/>
      <c r="W2073" s="4" t="n"/>
      <c r="X2073" s="4" t="n"/>
    </row>
    <row r="2074" ht="15.75" customHeight="1" thickBot="1">
      <c r="A2074" s="186" t="n">
        <v>839</v>
      </c>
      <c r="B2074" s="214" t="inlineStr">
        <is>
          <t>Soup Mix</t>
        </is>
      </c>
      <c r="C2074" s="124" t="n"/>
      <c r="D2074" s="115" t="n"/>
      <c r="E2074" s="124" t="n"/>
      <c r="F2074" s="124" t="n"/>
      <c r="G2074" s="124" t="n"/>
      <c r="H2074" s="84" t="n"/>
      <c r="I2074" s="7" t="n"/>
      <c r="J2074" s="32" t="inlineStr">
        <is>
          <t>Knorr - Nido Oriental Soup</t>
        </is>
      </c>
      <c r="K2074" s="24" t="n"/>
      <c r="L2074" s="36" t="n">
        <v>52.6</v>
      </c>
      <c r="M2074" s="204" t="n">
        <v>3</v>
      </c>
      <c r="N2074" s="177" t="n">
        <v>53</v>
      </c>
      <c r="O2074" s="13" t="n"/>
      <c r="P2074" s="139" t="inlineStr">
        <is>
          <t>grams</t>
        </is>
      </c>
      <c r="Q2074" s="2" t="n"/>
      <c r="R2074" s="1" t="n"/>
      <c r="S2074" s="229">
        <f>M2074*N2074</f>
        <v/>
      </c>
      <c r="T2074" s="230">
        <f>CONCATENATE(S2074,Q2074,P2074)</f>
        <v/>
      </c>
      <c r="U2074" s="206">
        <f>L2074*M2074</f>
        <v/>
      </c>
      <c r="V2074" s="4" t="n"/>
      <c r="W2074" s="4" t="n"/>
      <c r="X2074" s="4" t="n"/>
    </row>
    <row r="2075" ht="15.75" customHeight="1" thickBot="1">
      <c r="A2075" s="186" t="n">
        <v>390</v>
      </c>
      <c r="B2075" s="214" t="inlineStr">
        <is>
          <t>Soy Sauce</t>
        </is>
      </c>
      <c r="C2075" s="124" t="n"/>
      <c r="D2075" s="115" t="n"/>
      <c r="E2075" s="124" t="n"/>
      <c r="F2075" s="124" t="n"/>
      <c r="G2075" s="124" t="n"/>
      <c r="H2075" s="84" t="n"/>
      <c r="I2075" s="7" t="n"/>
      <c r="J2075" s="32" t="inlineStr">
        <is>
          <t>Ticman</t>
        </is>
      </c>
      <c r="K2075" s="24" t="n"/>
      <c r="L2075" s="36" t="n">
        <v>73</v>
      </c>
      <c r="M2075" s="204" t="n">
        <v>1</v>
      </c>
      <c r="N2075" s="177" t="n">
        <v>3500</v>
      </c>
      <c r="O2075" s="13" t="n"/>
      <c r="P2075" s="139" t="inlineStr">
        <is>
          <t>ml</t>
        </is>
      </c>
      <c r="Q2075" s="2" t="n"/>
      <c r="R2075" s="1" t="n"/>
      <c r="S2075" s="229">
        <f>M2075*N2075</f>
        <v/>
      </c>
      <c r="T2075" s="230">
        <f>CONCATENATE(S2075,Q2075,P2075)</f>
        <v/>
      </c>
      <c r="U2075" s="206">
        <f>L2075*M2075</f>
        <v/>
      </c>
      <c r="V2075" s="4" t="n"/>
      <c r="W2075" s="4" t="n"/>
      <c r="X2075" s="4" t="n"/>
    </row>
    <row r="2076" ht="15.75" customHeight="1" thickBot="1">
      <c r="A2076" s="186" t="n">
        <v>390</v>
      </c>
      <c r="B2076" s="214" t="inlineStr">
        <is>
          <t>Soy Sauce</t>
        </is>
      </c>
      <c r="C2076" s="124" t="n"/>
      <c r="D2076" s="115" t="n"/>
      <c r="E2076" s="124" t="n"/>
      <c r="F2076" s="124" t="n"/>
      <c r="G2076" s="124" t="n"/>
      <c r="H2076" s="84" t="n"/>
      <c r="I2076" s="7" t="n"/>
      <c r="J2076" s="32" t="inlineStr">
        <is>
          <t>Ticman</t>
        </is>
      </c>
      <c r="K2076" s="24" t="n"/>
      <c r="L2076" s="36" t="n">
        <v>73</v>
      </c>
      <c r="M2076" s="204" t="n">
        <v>29</v>
      </c>
      <c r="N2076" s="177" t="n">
        <v>3500</v>
      </c>
      <c r="O2076" s="13" t="n"/>
      <c r="P2076" s="139" t="inlineStr">
        <is>
          <t>ml</t>
        </is>
      </c>
      <c r="Q2076" s="2" t="n"/>
      <c r="R2076" s="1" t="n"/>
      <c r="S2076" s="229">
        <f>M2076*N2076</f>
        <v/>
      </c>
      <c r="T2076" s="230">
        <f>CONCATENATE(S2076,Q2076,P2076)</f>
        <v/>
      </c>
      <c r="U2076" s="206">
        <f>L2076*M2076</f>
        <v/>
      </c>
      <c r="V2076" s="4" t="n"/>
      <c r="W2076" s="4" t="n"/>
      <c r="X2076" s="4" t="n"/>
    </row>
    <row r="2077" ht="15.75" customHeight="1" thickBot="1">
      <c r="A2077" s="186" t="n">
        <v>390</v>
      </c>
      <c r="B2077" s="214" t="inlineStr">
        <is>
          <t>Soy Sauce</t>
        </is>
      </c>
      <c r="C2077" s="124" t="n"/>
      <c r="D2077" s="115" t="n"/>
      <c r="E2077" s="124" t="n"/>
      <c r="F2077" s="124" t="n"/>
      <c r="G2077" s="124" t="n"/>
      <c r="H2077" s="84" t="n"/>
      <c r="I2077" s="7" t="n"/>
      <c r="J2077" s="32" t="inlineStr">
        <is>
          <t>Datu Puti</t>
        </is>
      </c>
      <c r="K2077" s="24" t="n"/>
      <c r="L2077" s="36" t="n">
        <v>187.8</v>
      </c>
      <c r="M2077" s="204" t="n">
        <v>1</v>
      </c>
      <c r="N2077" s="177" t="n">
        <v>4</v>
      </c>
      <c r="O2077" s="13" t="n"/>
      <c r="P2077" s="139" t="inlineStr">
        <is>
          <t>liters</t>
        </is>
      </c>
      <c r="Q2077" s="2" t="n"/>
      <c r="R2077" s="1" t="n"/>
      <c r="S2077" s="229">
        <f>M2077*N2077</f>
        <v/>
      </c>
      <c r="T2077" s="230">
        <f>CONCATENATE(S2077,Q2077,P2077)</f>
        <v/>
      </c>
      <c r="U2077" s="206">
        <f>L2077*M2077</f>
        <v/>
      </c>
      <c r="V2077" s="4" t="n"/>
      <c r="W2077" s="4" t="n"/>
      <c r="X2077" s="4" t="n"/>
    </row>
    <row r="2078" ht="15.75" customHeight="1" thickBot="1">
      <c r="A2078" s="186" t="n">
        <v>390</v>
      </c>
      <c r="B2078" s="214" t="inlineStr">
        <is>
          <t>Soy Sauce</t>
        </is>
      </c>
      <c r="C2078" s="124" t="n"/>
      <c r="D2078" s="115" t="n"/>
      <c r="E2078" s="124" t="n"/>
      <c r="F2078" s="124" t="n"/>
      <c r="G2078" s="124" t="n"/>
      <c r="H2078" s="84" t="n"/>
      <c r="I2078" s="7" t="n"/>
      <c r="J2078" s="32" t="inlineStr">
        <is>
          <t>Kings</t>
        </is>
      </c>
      <c r="K2078" s="24" t="n"/>
      <c r="L2078" s="36" t="n">
        <v>80</v>
      </c>
      <c r="M2078" s="204" t="n">
        <v>1</v>
      </c>
      <c r="N2078" s="177" t="n">
        <v>3500</v>
      </c>
      <c r="O2078" s="13" t="n"/>
      <c r="P2078" s="139" t="inlineStr">
        <is>
          <t>ml</t>
        </is>
      </c>
      <c r="Q2078" s="2" t="n"/>
      <c r="R2078" s="1" t="n"/>
      <c r="S2078" s="229">
        <f>M2078*N2078</f>
        <v/>
      </c>
      <c r="T2078" s="230">
        <f>CONCATENATE(S2078,Q2078,P2078)</f>
        <v/>
      </c>
      <c r="U2078" s="206">
        <f>L2078*M2078</f>
        <v/>
      </c>
      <c r="V2078" s="4" t="n"/>
      <c r="W2078" s="4" t="n"/>
      <c r="X2078" s="4" t="n"/>
    </row>
    <row r="2079" ht="15.75" customHeight="1" thickBot="1">
      <c r="A2079" s="186" t="n">
        <v>390</v>
      </c>
      <c r="B2079" s="214" t="inlineStr">
        <is>
          <t>Soy Sauce</t>
        </is>
      </c>
      <c r="C2079" s="124" t="n"/>
      <c r="D2079" s="115" t="n"/>
      <c r="E2079" s="124" t="n"/>
      <c r="F2079" s="124" t="n"/>
      <c r="G2079" s="124" t="n"/>
      <c r="H2079" s="84" t="n"/>
      <c r="I2079" s="7" t="n"/>
      <c r="J2079" s="32" t="inlineStr">
        <is>
          <t>Kikkoman</t>
        </is>
      </c>
      <c r="K2079" s="24" t="n"/>
      <c r="L2079" s="36" t="n">
        <v>370</v>
      </c>
      <c r="M2079" s="204" t="n">
        <v>1</v>
      </c>
      <c r="N2079" s="177" t="n">
        <v>1</v>
      </c>
      <c r="O2079" s="13" t="n"/>
      <c r="P2079" s="139" t="inlineStr">
        <is>
          <t>liters</t>
        </is>
      </c>
      <c r="Q2079" s="2" t="n"/>
      <c r="R2079" s="1" t="n"/>
      <c r="S2079" s="229">
        <f>M2079*N2079</f>
        <v/>
      </c>
      <c r="T2079" s="230">
        <f>CONCATENATE(S2079,Q2079,P2079)</f>
        <v/>
      </c>
      <c r="U2079" s="206">
        <f>L2079*M2079</f>
        <v/>
      </c>
      <c r="V2079" s="4" t="n"/>
      <c r="W2079" s="4" t="n"/>
      <c r="X2079" s="4" t="n"/>
    </row>
    <row r="2080" ht="15.75" customHeight="1" thickBot="1">
      <c r="A2080" s="186" t="n">
        <v>390</v>
      </c>
      <c r="B2080" s="215" t="inlineStr">
        <is>
          <t>Soy sauce</t>
        </is>
      </c>
      <c r="C2080" s="124" t="n"/>
      <c r="D2080" s="115" t="n"/>
      <c r="E2080" s="124" t="n"/>
      <c r="F2080" s="124" t="n"/>
      <c r="G2080" s="124" t="n"/>
      <c r="H2080" s="84" t="n"/>
      <c r="I2080" s="7" t="n"/>
      <c r="J2080" s="32" t="n"/>
      <c r="K2080" s="24" t="n"/>
      <c r="L2080" s="36" t="n">
        <v>11</v>
      </c>
      <c r="M2080" s="204" t="n">
        <v>1</v>
      </c>
      <c r="N2080" s="177" t="n">
        <v>200</v>
      </c>
      <c r="O2080" s="13" t="n"/>
      <c r="P2080" s="139" t="inlineStr">
        <is>
          <t>ml</t>
        </is>
      </c>
      <c r="Q2080" s="2" t="n"/>
      <c r="R2080" s="1" t="n"/>
      <c r="S2080" s="229">
        <f>M2080*N2080</f>
        <v/>
      </c>
      <c r="T2080" s="230">
        <f>CONCATENATE(S2080,Q2080,P2080)</f>
        <v/>
      </c>
      <c r="U2080" s="206">
        <f>L2080*M2080</f>
        <v/>
      </c>
      <c r="V2080" s="4" t="n"/>
      <c r="W2080" s="4" t="n"/>
      <c r="X2080" s="4" t="n"/>
    </row>
    <row r="2081" ht="15.75" customHeight="1" thickBot="1">
      <c r="A2081" s="186" t="n">
        <v>390</v>
      </c>
      <c r="B2081" s="214" t="inlineStr">
        <is>
          <t>Soy Sauce</t>
        </is>
      </c>
      <c r="C2081" s="124" t="n"/>
      <c r="D2081" s="115" t="n"/>
      <c r="E2081" s="124" t="n"/>
      <c r="F2081" s="124" t="n"/>
      <c r="G2081" s="124" t="n"/>
      <c r="H2081" s="84" t="n"/>
      <c r="I2081" s="7" t="n"/>
      <c r="J2081" s="32" t="inlineStr">
        <is>
          <t>Ticman</t>
        </is>
      </c>
      <c r="K2081" s="24" t="n"/>
      <c r="L2081" s="36" t="n">
        <v>73</v>
      </c>
      <c r="M2081" s="204" t="n">
        <v>16</v>
      </c>
      <c r="N2081" s="177" t="n">
        <v>3500</v>
      </c>
      <c r="O2081" s="13" t="n"/>
      <c r="P2081" s="139" t="inlineStr">
        <is>
          <t>ml</t>
        </is>
      </c>
      <c r="Q2081" s="2" t="n"/>
      <c r="R2081" s="1" t="n"/>
      <c r="S2081" s="229">
        <f>M2081*N2081</f>
        <v/>
      </c>
      <c r="T2081" s="230">
        <f>CONCATENATE(S2081,Q2081,P2081)</f>
        <v/>
      </c>
      <c r="U2081" s="206">
        <f>L2081*M2081</f>
        <v/>
      </c>
      <c r="V2081" s="4" t="n"/>
      <c r="W2081" s="4" t="n"/>
      <c r="X2081" s="4" t="n"/>
    </row>
    <row r="2082" ht="15.75" customHeight="1" thickBot="1">
      <c r="A2082" s="186" t="n">
        <v>390</v>
      </c>
      <c r="B2082" s="214" t="inlineStr">
        <is>
          <t>Soy Sauce</t>
        </is>
      </c>
      <c r="C2082" s="124" t="n"/>
      <c r="D2082" s="115" t="n"/>
      <c r="E2082" s="124" t="n"/>
      <c r="F2082" s="124" t="n"/>
      <c r="G2082" s="124" t="n"/>
      <c r="H2082" s="84" t="n"/>
      <c r="I2082" s="7" t="n"/>
      <c r="J2082" s="32" t="inlineStr">
        <is>
          <t>Jugirox</t>
        </is>
      </c>
      <c r="K2082" s="24" t="n"/>
      <c r="L2082" s="36" t="n">
        <v>10</v>
      </c>
      <c r="M2082" s="204" t="n">
        <v>65</v>
      </c>
      <c r="N2082" s="177" t="n">
        <v>1</v>
      </c>
      <c r="O2082" s="13" t="n"/>
      <c r="P2082" s="139" t="inlineStr">
        <is>
          <t>gal</t>
        </is>
      </c>
      <c r="Q2082" s="2" t="n"/>
      <c r="R2082" s="1" t="n"/>
      <c r="S2082" s="229">
        <f>M2082*N2082</f>
        <v/>
      </c>
      <c r="T2082" s="230">
        <f>CONCATENATE(S2082,Q2082,P2082)</f>
        <v/>
      </c>
      <c r="U2082" s="206">
        <f>L2082*M2082</f>
        <v/>
      </c>
      <c r="V2082" s="4" t="n"/>
      <c r="W2082" s="4" t="n"/>
      <c r="X2082" s="4" t="n"/>
    </row>
    <row r="2083" ht="15.75" customHeight="1" thickBot="1">
      <c r="A2083" s="186" t="n">
        <v>390</v>
      </c>
      <c r="B2083" s="215" t="inlineStr">
        <is>
          <t>Soy Sauce</t>
        </is>
      </c>
      <c r="C2083" s="124" t="n"/>
      <c r="D2083" s="115" t="n"/>
      <c r="E2083" s="124" t="n"/>
      <c r="F2083" s="124" t="n"/>
      <c r="G2083" s="124" t="n"/>
      <c r="H2083" s="84" t="n"/>
      <c r="I2083" s="7" t="n"/>
      <c r="J2083" s="32" t="inlineStr">
        <is>
          <t>Ticman</t>
        </is>
      </c>
      <c r="K2083" s="24" t="n"/>
      <c r="L2083" s="36" t="n">
        <v>70</v>
      </c>
      <c r="M2083" s="204" t="n">
        <v>6</v>
      </c>
      <c r="N2083" s="177" t="n">
        <v>3500</v>
      </c>
      <c r="O2083" s="13" t="n"/>
      <c r="P2083" s="139" t="inlineStr">
        <is>
          <t>ml</t>
        </is>
      </c>
      <c r="Q2083" s="2" t="n"/>
      <c r="R2083" s="1" t="n"/>
      <c r="S2083" s="229">
        <f>M2083*N2083</f>
        <v/>
      </c>
      <c r="T2083" s="230">
        <f>CONCATENATE(S2083,Q2083,P2083)</f>
        <v/>
      </c>
      <c r="U2083" s="206">
        <f>L2083*M2083</f>
        <v/>
      </c>
      <c r="V2083" s="4" t="n"/>
      <c r="W2083" s="4" t="n"/>
      <c r="X2083" s="4" t="n"/>
    </row>
    <row r="2084" ht="15.75" customHeight="1" thickBot="1">
      <c r="A2084" s="186" t="n">
        <v>390</v>
      </c>
      <c r="B2084" s="214" t="inlineStr">
        <is>
          <t>Soy sauce</t>
        </is>
      </c>
      <c r="C2084" s="124" t="n"/>
      <c r="D2084" s="115" t="n"/>
      <c r="E2084" s="124" t="n"/>
      <c r="F2084" s="124" t="n"/>
      <c r="G2084" s="124" t="n"/>
      <c r="H2084" s="84" t="n"/>
      <c r="I2084" s="7" t="n"/>
      <c r="J2084" s="32" t="inlineStr">
        <is>
          <t>Ticman</t>
        </is>
      </c>
      <c r="K2084" s="24" t="n"/>
      <c r="L2084" s="36" t="n">
        <v>73</v>
      </c>
      <c r="M2084" s="204" t="n">
        <v>1</v>
      </c>
      <c r="N2084" s="177" t="n">
        <v>1</v>
      </c>
      <c r="O2084" s="13" t="n"/>
      <c r="P2084" s="139" t="inlineStr">
        <is>
          <t>gal</t>
        </is>
      </c>
      <c r="Q2084" s="2" t="n"/>
      <c r="R2084" s="1" t="n"/>
      <c r="S2084" s="229">
        <f>M2084*N2084</f>
        <v/>
      </c>
      <c r="T2084" s="230">
        <f>CONCATENATE(S2084,Q2084,P2084)</f>
        <v/>
      </c>
      <c r="U2084" s="206">
        <f>L2084*M2084</f>
        <v/>
      </c>
      <c r="V2084" s="4" t="n"/>
      <c r="W2084" s="4" t="n"/>
      <c r="X2084" s="4" t="n"/>
    </row>
    <row r="2085" ht="15.75" customHeight="1" thickBot="1">
      <c r="A2085" s="186" t="n">
        <v>390</v>
      </c>
      <c r="B2085" s="214" t="inlineStr">
        <is>
          <t>Soy Sauce</t>
        </is>
      </c>
      <c r="C2085" s="124" t="n"/>
      <c r="D2085" s="115" t="n"/>
      <c r="E2085" s="124" t="n"/>
      <c r="F2085" s="124" t="n"/>
      <c r="G2085" s="124" t="n"/>
      <c r="H2085" s="84" t="n"/>
      <c r="I2085" s="7" t="n"/>
      <c r="J2085" s="32" t="inlineStr">
        <is>
          <t>Kikkoman</t>
        </is>
      </c>
      <c r="K2085" s="24" t="n"/>
      <c r="L2085" s="36" t="n">
        <v>198</v>
      </c>
      <c r="M2085" s="204" t="n">
        <v>1</v>
      </c>
      <c r="N2085" s="177" t="n">
        <v>500</v>
      </c>
      <c r="O2085" s="13" t="n"/>
      <c r="P2085" s="139" t="inlineStr">
        <is>
          <t>ml</t>
        </is>
      </c>
      <c r="Q2085" s="2" t="n"/>
      <c r="R2085" s="1" t="n"/>
      <c r="S2085" s="229">
        <f>M2085*N2085</f>
        <v/>
      </c>
      <c r="T2085" s="230">
        <f>CONCATENATE(S2085,Q2085,P2085)</f>
        <v/>
      </c>
      <c r="U2085" s="206">
        <f>L2085*M2085</f>
        <v/>
      </c>
      <c r="V2085" s="4" t="n"/>
      <c r="W2085" s="4" t="n"/>
      <c r="X2085" s="4" t="n"/>
    </row>
    <row r="2086" ht="15.75" customHeight="1" thickBot="1">
      <c r="A2086" s="186" t="n">
        <v>390</v>
      </c>
      <c r="B2086" s="214" t="inlineStr">
        <is>
          <t>Soy Sauce</t>
        </is>
      </c>
      <c r="C2086" s="124" t="n"/>
      <c r="D2086" s="115" t="n"/>
      <c r="E2086" s="124" t="n"/>
      <c r="F2086" s="124" t="n"/>
      <c r="G2086" s="124" t="n"/>
      <c r="H2086" s="84" t="n"/>
      <c r="I2086" s="7" t="n"/>
      <c r="J2086" s="32" t="inlineStr">
        <is>
          <t>Silver Swan</t>
        </is>
      </c>
      <c r="K2086" s="24" t="n"/>
      <c r="L2086" s="36" t="n">
        <v>184</v>
      </c>
      <c r="M2086" s="204" t="n">
        <v>14</v>
      </c>
      <c r="N2086" s="177" t="n">
        <v>1</v>
      </c>
      <c r="O2086" s="13" t="n"/>
      <c r="P2086" s="139" t="inlineStr">
        <is>
          <t>gal</t>
        </is>
      </c>
      <c r="Q2086" s="2" t="n"/>
      <c r="R2086" s="1" t="n"/>
      <c r="S2086" s="229">
        <f>M2086*N2086</f>
        <v/>
      </c>
      <c r="T2086" s="230">
        <f>CONCATENATE(S2086,Q2086,P2086)</f>
        <v/>
      </c>
      <c r="U2086" s="206">
        <f>L2086*M2086</f>
        <v/>
      </c>
      <c r="V2086" s="4" t="n"/>
      <c r="W2086" s="4" t="n"/>
      <c r="X2086" s="4" t="n"/>
    </row>
    <row r="2087" ht="15.75" customHeight="1" thickBot="1">
      <c r="A2087" s="186" t="n">
        <v>391</v>
      </c>
      <c r="B2087" s="215" t="inlineStr">
        <is>
          <t>Spaghetti</t>
        </is>
      </c>
      <c r="C2087" s="124" t="n"/>
      <c r="D2087" s="115" t="n"/>
      <c r="E2087" s="124" t="n"/>
      <c r="F2087" s="124" t="n"/>
      <c r="G2087" s="124" t="n"/>
      <c r="H2087" s="84" t="n"/>
      <c r="I2087" s="7" t="n"/>
      <c r="J2087" s="32" t="inlineStr">
        <is>
          <t>Ideal</t>
        </is>
      </c>
      <c r="K2087" s="24" t="n"/>
      <c r="L2087" s="36" t="n">
        <v>71.2</v>
      </c>
      <c r="M2087" s="204" t="n">
        <v>3</v>
      </c>
      <c r="N2087" s="177" t="n">
        <v>800</v>
      </c>
      <c r="O2087" s="13" t="n"/>
      <c r="P2087" s="139" t="inlineStr">
        <is>
          <t>grams</t>
        </is>
      </c>
      <c r="Q2087" s="2" t="n"/>
      <c r="R2087" s="1" t="n"/>
      <c r="S2087" s="229">
        <f>M2087*N2087</f>
        <v/>
      </c>
      <c r="T2087" s="230">
        <f>CONCATENATE(S2087,Q2087,P2087)</f>
        <v/>
      </c>
      <c r="U2087" s="206">
        <f>L2087*M2087</f>
        <v/>
      </c>
      <c r="V2087" s="4" t="n"/>
      <c r="W2087" s="4" t="n"/>
      <c r="X2087" s="4" t="n"/>
    </row>
    <row r="2088" ht="15.75" customHeight="1" thickBot="1">
      <c r="A2088" s="186" t="n">
        <v>391</v>
      </c>
      <c r="B2088" s="214" t="inlineStr">
        <is>
          <t>Spaghetti</t>
        </is>
      </c>
      <c r="C2088" s="124" t="n"/>
      <c r="D2088" s="115" t="n"/>
      <c r="E2088" s="124" t="n"/>
      <c r="F2088" s="124" t="n"/>
      <c r="G2088" s="124" t="n"/>
      <c r="H2088" s="84" t="n"/>
      <c r="I2088" s="7" t="n"/>
      <c r="J2088" s="32" t="inlineStr">
        <is>
          <t>Sunmac</t>
        </is>
      </c>
      <c r="K2088" s="24" t="n"/>
      <c r="L2088" s="36" t="n">
        <v>80</v>
      </c>
      <c r="M2088" s="204" t="n">
        <v>3</v>
      </c>
      <c r="N2088" s="177" t="n">
        <v>800</v>
      </c>
      <c r="O2088" s="13" t="n"/>
      <c r="P2088" s="139" t="inlineStr">
        <is>
          <t>grams</t>
        </is>
      </c>
      <c r="Q2088" s="2" t="n"/>
      <c r="R2088" s="1" t="n"/>
      <c r="S2088" s="229">
        <f>M2088*N2088</f>
        <v/>
      </c>
      <c r="T2088" s="230">
        <f>CONCATENATE(S2088,Q2088,P2088)</f>
        <v/>
      </c>
      <c r="U2088" s="206">
        <f>L2088*M2088</f>
        <v/>
      </c>
      <c r="V2088" s="4" t="n"/>
      <c r="W2088" s="4" t="n"/>
      <c r="X2088" s="4" t="n"/>
    </row>
    <row r="2089" ht="15.75" customHeight="1" thickBot="1">
      <c r="A2089" s="186" t="n">
        <v>391</v>
      </c>
      <c r="B2089" s="214" t="inlineStr">
        <is>
          <t>Spaghetti</t>
        </is>
      </c>
      <c r="C2089" s="124" t="n"/>
      <c r="D2089" s="115" t="n"/>
      <c r="E2089" s="124" t="n"/>
      <c r="F2089" s="124" t="n"/>
      <c r="G2089" s="124" t="n"/>
      <c r="H2089" s="84" t="n"/>
      <c r="I2089" s="7" t="n"/>
      <c r="J2089" s="32" t="inlineStr">
        <is>
          <t>Del Monter</t>
        </is>
      </c>
      <c r="K2089" s="24" t="n"/>
      <c r="L2089" s="36" t="n">
        <v>116</v>
      </c>
      <c r="M2089" s="204" t="n">
        <v>3</v>
      </c>
      <c r="N2089" s="177" t="n">
        <v>900</v>
      </c>
      <c r="O2089" s="13" t="n"/>
      <c r="P2089" s="139" t="inlineStr">
        <is>
          <t>grams</t>
        </is>
      </c>
      <c r="Q2089" s="2" t="n"/>
      <c r="R2089" s="1" t="n"/>
      <c r="S2089" s="229">
        <f>M2089*N2089</f>
        <v/>
      </c>
      <c r="T2089" s="230">
        <f>CONCATENATE(S2089,Q2089,P2089)</f>
        <v/>
      </c>
      <c r="U2089" s="206">
        <f>L2089*M2089</f>
        <v/>
      </c>
      <c r="V2089" s="4" t="n"/>
      <c r="W2089" s="4" t="n"/>
      <c r="X2089" s="4" t="n"/>
    </row>
    <row r="2090" ht="15.75" customHeight="1" thickBot="1">
      <c r="A2090" s="186" t="n">
        <v>391</v>
      </c>
      <c r="B2090" s="214" t="inlineStr">
        <is>
          <t>Spaghetti</t>
        </is>
      </c>
      <c r="C2090" s="124" t="n"/>
      <c r="D2090" s="115" t="n"/>
      <c r="E2090" s="124" t="n"/>
      <c r="F2090" s="124" t="n"/>
      <c r="G2090" s="124" t="n"/>
      <c r="H2090" s="84" t="n"/>
      <c r="I2090" s="7" t="n"/>
      <c r="J2090" s="32" t="inlineStr">
        <is>
          <t>Sunmac</t>
        </is>
      </c>
      <c r="K2090" s="24" t="n"/>
      <c r="L2090" s="36" t="n">
        <v>75</v>
      </c>
      <c r="M2090" s="204" t="n">
        <v>12</v>
      </c>
      <c r="N2090" s="177" t="n">
        <v>1</v>
      </c>
      <c r="O2090" s="13" t="n"/>
      <c r="P2090" s="139" t="inlineStr">
        <is>
          <t>kilos</t>
        </is>
      </c>
      <c r="Q2090" s="2" t="n"/>
      <c r="R2090" s="1" t="n"/>
      <c r="S2090" s="229">
        <f>M2090*N2090</f>
        <v/>
      </c>
      <c r="T2090" s="230">
        <f>CONCATENATE(S2090,Q2090,P2090)</f>
        <v/>
      </c>
      <c r="U2090" s="206">
        <f>L2090*M2090</f>
        <v/>
      </c>
      <c r="V2090" s="4" t="n"/>
      <c r="W2090" s="4" t="n"/>
      <c r="X2090" s="4" t="n"/>
    </row>
    <row r="2091" ht="15.75" customHeight="1" thickBot="1">
      <c r="A2091" s="186" t="n">
        <v>391</v>
      </c>
      <c r="B2091" s="215" t="inlineStr">
        <is>
          <t>Spaghetti</t>
        </is>
      </c>
      <c r="C2091" s="124" t="n"/>
      <c r="D2091" s="115" t="n"/>
      <c r="E2091" s="124" t="n"/>
      <c r="F2091" s="124" t="n"/>
      <c r="G2091" s="124" t="n"/>
      <c r="H2091" s="84" t="n"/>
      <c r="I2091" s="7" t="n"/>
      <c r="J2091" s="32" t="inlineStr">
        <is>
          <t>Sunmac</t>
        </is>
      </c>
      <c r="K2091" s="24" t="n"/>
      <c r="L2091" s="36" t="n">
        <v>75</v>
      </c>
      <c r="M2091" s="204" t="n">
        <v>12</v>
      </c>
      <c r="N2091" s="177" t="n">
        <v>800</v>
      </c>
      <c r="O2091" s="13" t="n"/>
      <c r="P2091" s="139" t="inlineStr">
        <is>
          <t>grams</t>
        </is>
      </c>
      <c r="Q2091" s="2" t="n"/>
      <c r="R2091" s="1" t="n"/>
      <c r="S2091" s="229">
        <f>M2091*N2091</f>
        <v/>
      </c>
      <c r="T2091" s="230">
        <f>CONCATENATE(S2091,Q2091,P2091)</f>
        <v/>
      </c>
      <c r="U2091" s="206">
        <f>L2091*M2091</f>
        <v/>
      </c>
      <c r="V2091" s="4" t="n"/>
      <c r="W2091" s="4" t="n"/>
      <c r="X2091" s="4" t="n"/>
    </row>
    <row r="2092" ht="15.75" customHeight="1" thickBot="1">
      <c r="A2092" s="186" t="n">
        <v>391</v>
      </c>
      <c r="B2092" s="214" t="inlineStr">
        <is>
          <t>Spaghetti</t>
        </is>
      </c>
      <c r="C2092" s="124" t="n"/>
      <c r="D2092" s="115" t="n"/>
      <c r="E2092" s="124" t="n"/>
      <c r="F2092" s="124" t="n"/>
      <c r="G2092" s="124" t="n"/>
      <c r="H2092" s="84" t="n"/>
      <c r="I2092" s="7" t="n"/>
      <c r="J2092" s="32" t="inlineStr">
        <is>
          <t>Sunmac</t>
        </is>
      </c>
      <c r="K2092" s="24" t="n"/>
      <c r="L2092" s="36" t="n">
        <v>80</v>
      </c>
      <c r="M2092" s="204" t="n">
        <v>4</v>
      </c>
      <c r="N2092" s="177" t="n">
        <v>900</v>
      </c>
      <c r="O2092" s="13" t="n"/>
      <c r="P2092" s="139" t="inlineStr">
        <is>
          <t>grams</t>
        </is>
      </c>
      <c r="Q2092" s="2" t="n"/>
      <c r="R2092" s="1" t="n"/>
      <c r="S2092" s="229">
        <f>M2092*N2092</f>
        <v/>
      </c>
      <c r="T2092" s="230">
        <f>CONCATENATE(S2092,Q2092,P2092)</f>
        <v/>
      </c>
      <c r="U2092" s="206">
        <f>L2092*M2092</f>
        <v/>
      </c>
      <c r="V2092" s="4" t="n"/>
      <c r="W2092" s="4" t="n"/>
      <c r="X2092" s="4" t="n"/>
    </row>
    <row r="2093" ht="15.75" customHeight="1" thickBot="1">
      <c r="A2093" s="186" t="n">
        <v>391</v>
      </c>
      <c r="B2093" s="214" t="inlineStr">
        <is>
          <t>Spaghetti</t>
        </is>
      </c>
      <c r="C2093" s="124" t="n"/>
      <c r="D2093" s="115" t="n"/>
      <c r="E2093" s="124" t="n"/>
      <c r="F2093" s="124" t="n"/>
      <c r="G2093" s="124" t="n"/>
      <c r="H2093" s="84" t="n"/>
      <c r="I2093" s="7" t="n"/>
      <c r="J2093" s="32" t="inlineStr">
        <is>
          <t>Sunshine</t>
        </is>
      </c>
      <c r="K2093" s="24" t="n"/>
      <c r="L2093" s="36" t="n">
        <v>78.56</v>
      </c>
      <c r="M2093" s="204" t="n">
        <v>1</v>
      </c>
      <c r="N2093" s="177" t="n">
        <v>800</v>
      </c>
      <c r="O2093" s="13" t="n"/>
      <c r="P2093" s="139" t="inlineStr">
        <is>
          <t>grams</t>
        </is>
      </c>
      <c r="Q2093" s="2" t="n"/>
      <c r="R2093" s="1" t="n"/>
      <c r="S2093" s="229">
        <f>M2093*N2093</f>
        <v/>
      </c>
      <c r="T2093" s="230">
        <f>CONCATENATE(S2093,Q2093,P2093)</f>
        <v/>
      </c>
      <c r="U2093" s="206">
        <f>L2093*M2093</f>
        <v/>
      </c>
      <c r="V2093" s="4" t="n"/>
      <c r="W2093" s="4" t="n"/>
      <c r="X2093" s="4" t="n"/>
    </row>
    <row r="2094" ht="15.75" customHeight="1" thickBot="1">
      <c r="A2094" s="186" t="n">
        <v>840</v>
      </c>
      <c r="B2094" s="215" t="inlineStr">
        <is>
          <t>Spaghetti Box</t>
        </is>
      </c>
      <c r="C2094" s="124" t="n"/>
      <c r="D2094" s="115" t="n"/>
      <c r="E2094" s="124" t="n"/>
      <c r="F2094" s="124" t="n"/>
      <c r="G2094" s="124" t="n"/>
      <c r="H2094" s="84" t="n"/>
      <c r="I2094" s="7" t="n"/>
      <c r="J2094" s="32" t="inlineStr">
        <is>
          <t>Trigem</t>
        </is>
      </c>
      <c r="K2094" s="24" t="n"/>
      <c r="L2094" s="36" t="n">
        <v>2.48</v>
      </c>
      <c r="M2094" s="204" t="n">
        <v>457</v>
      </c>
      <c r="N2094" s="177" t="n">
        <v>1</v>
      </c>
      <c r="O2094" s="13" t="n"/>
      <c r="P2094" s="139" t="inlineStr">
        <is>
          <t>pieces</t>
        </is>
      </c>
      <c r="Q2094" s="2" t="n"/>
      <c r="R2094" s="1" t="n"/>
      <c r="S2094" s="229">
        <f>M2094*N2094</f>
        <v/>
      </c>
      <c r="T2094" s="230">
        <f>CONCATENATE(S2094,Q2094,P2094)</f>
        <v/>
      </c>
      <c r="U2094" s="206">
        <f>L2094*M2094</f>
        <v/>
      </c>
      <c r="V2094" s="4" t="n"/>
      <c r="W2094" s="4" t="n"/>
      <c r="X2094" s="4" t="n"/>
    </row>
    <row r="2095" ht="15.75" customHeight="1" thickBot="1">
      <c r="A2095" s="186" t="n">
        <v>840</v>
      </c>
      <c r="B2095" s="214" t="inlineStr">
        <is>
          <t>Spaghetti Box</t>
        </is>
      </c>
      <c r="C2095" s="124" t="n"/>
      <c r="D2095" s="115" t="n"/>
      <c r="E2095" s="124" t="n"/>
      <c r="F2095" s="124" t="n"/>
      <c r="G2095" s="124" t="n"/>
      <c r="H2095" s="84" t="n"/>
      <c r="I2095" s="7" t="n"/>
      <c r="J2095" s="32" t="n"/>
      <c r="K2095" s="24" t="n"/>
      <c r="L2095" s="36" t="n">
        <v>4</v>
      </c>
      <c r="M2095" s="204" t="n">
        <v>28</v>
      </c>
      <c r="N2095" s="177" t="n">
        <v>1</v>
      </c>
      <c r="O2095" s="13" t="n"/>
      <c r="P2095" s="139" t="inlineStr">
        <is>
          <t>pieces</t>
        </is>
      </c>
      <c r="Q2095" s="2" t="n"/>
      <c r="R2095" s="1" t="n"/>
      <c r="S2095" s="229">
        <f>M2095*N2095</f>
        <v/>
      </c>
      <c r="T2095" s="230">
        <f>CONCATENATE(S2095,Q2095,P2095)</f>
        <v/>
      </c>
      <c r="U2095" s="206">
        <f>L2095*M2095</f>
        <v/>
      </c>
      <c r="V2095" s="4" t="n"/>
      <c r="W2095" s="4" t="n"/>
      <c r="X2095" s="4" t="n"/>
    </row>
    <row r="2096" ht="15.75" customHeight="1" thickBot="1">
      <c r="A2096" s="186" t="n">
        <v>841</v>
      </c>
      <c r="B2096" s="214" t="inlineStr">
        <is>
          <t>Spaghetti Bundle (Pasta+Sauce)</t>
        </is>
      </c>
      <c r="C2096" s="124" t="n"/>
      <c r="D2096" s="115" t="n"/>
      <c r="E2096" s="124" t="n"/>
      <c r="F2096" s="124" t="n"/>
      <c r="G2096" s="124" t="n"/>
      <c r="H2096" s="84" t="n"/>
      <c r="I2096" s="7" t="n"/>
      <c r="J2096" s="32" t="inlineStr">
        <is>
          <t>Del Monte</t>
        </is>
      </c>
      <c r="K2096" s="24" t="n"/>
      <c r="L2096" s="36" t="n">
        <v>139.9</v>
      </c>
      <c r="M2096" s="204" t="n">
        <v>4</v>
      </c>
      <c r="N2096" s="177" t="n">
        <v>1</v>
      </c>
      <c r="O2096" s="13" t="n"/>
      <c r="P2096" s="139" t="inlineStr">
        <is>
          <t>kilos</t>
        </is>
      </c>
      <c r="Q2096" s="2" t="n"/>
      <c r="R2096" s="1" t="n"/>
      <c r="S2096" s="229">
        <f>M2096*N2096</f>
        <v/>
      </c>
      <c r="T2096" s="230">
        <f>CONCATENATE(S2096,Q2096,P2096)</f>
        <v/>
      </c>
      <c r="U2096" s="206">
        <f>L2096*M2096</f>
        <v/>
      </c>
      <c r="V2096" s="4" t="n"/>
      <c r="W2096" s="4" t="n"/>
      <c r="X2096" s="4" t="n"/>
    </row>
    <row r="2097" ht="15.75" customHeight="1" thickBot="1">
      <c r="A2097" s="186" t="n">
        <v>842</v>
      </c>
      <c r="B2097" s="214" t="inlineStr">
        <is>
          <t>Spaghetti Sauce - Filipino Style</t>
        </is>
      </c>
      <c r="C2097" s="124" t="n"/>
      <c r="D2097" s="115" t="n"/>
      <c r="E2097" s="124" t="n"/>
      <c r="F2097" s="124" t="n"/>
      <c r="G2097" s="124" t="n"/>
      <c r="H2097" s="84" t="n"/>
      <c r="I2097" s="7" t="n"/>
      <c r="J2097" s="32" t="inlineStr">
        <is>
          <t>Del Monte/pack/900grams</t>
        </is>
      </c>
      <c r="K2097" s="24" t="n"/>
      <c r="L2097" s="36" t="n">
        <v>99.59999999999999</v>
      </c>
      <c r="M2097" s="204" t="n">
        <v>11</v>
      </c>
      <c r="N2097" s="177" t="n">
        <v>900</v>
      </c>
      <c r="O2097" s="13" t="n"/>
      <c r="P2097" s="139" t="inlineStr">
        <is>
          <t>grams</t>
        </is>
      </c>
      <c r="Q2097" s="2" t="n"/>
      <c r="R2097" s="1" t="n"/>
      <c r="S2097" s="229">
        <f>M2097*N2097</f>
        <v/>
      </c>
      <c r="T2097" s="230">
        <f>CONCATENATE(S2097,Q2097,P2097)</f>
        <v/>
      </c>
      <c r="U2097" s="206">
        <f>L2097*M2097</f>
        <v/>
      </c>
      <c r="V2097" s="4" t="n"/>
      <c r="W2097" s="4" t="n"/>
      <c r="X2097" s="4" t="n"/>
    </row>
    <row r="2098" ht="15.75" customHeight="1" thickBot="1">
      <c r="A2098" s="186" t="n">
        <v>843</v>
      </c>
      <c r="B2098" s="214" t="inlineStr">
        <is>
          <t>Spaghetti Sauce Sweet Style</t>
        </is>
      </c>
      <c r="C2098" s="124" t="n"/>
      <c r="D2098" s="115" t="n"/>
      <c r="E2098" s="124" t="n"/>
      <c r="F2098" s="124" t="n"/>
      <c r="G2098" s="124" t="n"/>
      <c r="H2098" s="84" t="n"/>
      <c r="I2098" s="7" t="n"/>
      <c r="J2098" s="32" t="inlineStr">
        <is>
          <t>Royal</t>
        </is>
      </c>
      <c r="K2098" s="24" t="n"/>
      <c r="L2098" s="36" t="n">
        <v>60</v>
      </c>
      <c r="M2098" s="204" t="n">
        <v>1</v>
      </c>
      <c r="N2098" s="177" t="n">
        <v>1</v>
      </c>
      <c r="O2098" s="13" t="n"/>
      <c r="P2098" s="139" t="inlineStr">
        <is>
          <t>kilos</t>
        </is>
      </c>
      <c r="Q2098" s="2" t="n"/>
      <c r="R2098" s="1" t="n"/>
      <c r="S2098" s="229">
        <f>M2098*N2098</f>
        <v/>
      </c>
      <c r="T2098" s="230">
        <f>CONCATENATE(S2098,Q2098,P2098)</f>
        <v/>
      </c>
      <c r="U2098" s="206">
        <f>L2098*M2098</f>
        <v/>
      </c>
      <c r="V2098" s="4" t="n"/>
      <c r="W2098" s="4" t="n"/>
      <c r="X2098" s="4" t="n"/>
    </row>
    <row r="2099" ht="15.75" customHeight="1" thickBot="1">
      <c r="A2099" s="186" t="n">
        <v>844</v>
      </c>
      <c r="B2099" s="214" t="inlineStr">
        <is>
          <t>Spanish Paprika</t>
        </is>
      </c>
      <c r="C2099" s="124" t="n"/>
      <c r="D2099" s="115" t="n"/>
      <c r="E2099" s="124" t="n"/>
      <c r="F2099" s="124" t="n"/>
      <c r="G2099" s="124" t="n"/>
      <c r="H2099" s="84" t="n"/>
      <c r="I2099" s="7" t="n"/>
      <c r="J2099" s="32" t="inlineStr">
        <is>
          <t>McCormick</t>
        </is>
      </c>
      <c r="K2099" s="24" t="n"/>
      <c r="L2099" s="36" t="n">
        <v>29.75</v>
      </c>
      <c r="M2099" s="204" t="n">
        <v>1</v>
      </c>
      <c r="N2099" s="177" t="n">
        <v>34</v>
      </c>
      <c r="O2099" s="13" t="n"/>
      <c r="P2099" s="139" t="inlineStr">
        <is>
          <t>grams</t>
        </is>
      </c>
      <c r="Q2099" s="2" t="n"/>
      <c r="R2099" s="1" t="n"/>
      <c r="S2099" s="229">
        <f>M2099*N2099</f>
        <v/>
      </c>
      <c r="T2099" s="230">
        <f>CONCATENATE(S2099,Q2099,P2099)</f>
        <v/>
      </c>
      <c r="U2099" s="206">
        <f>L2099*M2099</f>
        <v/>
      </c>
      <c r="V2099" s="4" t="n"/>
      <c r="W2099" s="4" t="n"/>
      <c r="X2099" s="4" t="n"/>
    </row>
    <row r="2100" ht="15.75" customHeight="1" thickBot="1">
      <c r="A2100" s="186" t="n">
        <v>844</v>
      </c>
      <c r="B2100" s="214" t="inlineStr">
        <is>
          <t>Spanish Paprika</t>
        </is>
      </c>
      <c r="C2100" s="124" t="n"/>
      <c r="D2100" s="115" t="n"/>
      <c r="E2100" s="124" t="n"/>
      <c r="F2100" s="124" t="n"/>
      <c r="G2100" s="124" t="n"/>
      <c r="H2100" s="84" t="n"/>
      <c r="I2100" s="7" t="n"/>
      <c r="J2100" s="32" t="inlineStr">
        <is>
          <t>McCormick</t>
        </is>
      </c>
      <c r="K2100" s="24" t="n"/>
      <c r="L2100" s="36" t="n">
        <v>78</v>
      </c>
      <c r="M2100" s="204" t="n">
        <v>3</v>
      </c>
      <c r="N2100" s="177" t="n">
        <v>34</v>
      </c>
      <c r="O2100" s="13" t="n"/>
      <c r="P2100" s="139" t="inlineStr">
        <is>
          <t>grams</t>
        </is>
      </c>
      <c r="Q2100" s="2" t="n"/>
      <c r="R2100" s="1" t="n"/>
      <c r="S2100" s="229">
        <f>M2100*N2100</f>
        <v/>
      </c>
      <c r="T2100" s="230">
        <f>CONCATENATE(S2100,Q2100,P2100)</f>
        <v/>
      </c>
      <c r="U2100" s="206">
        <f>L2100*M2100</f>
        <v/>
      </c>
      <c r="V2100" s="4" t="n"/>
      <c r="W2100" s="4" t="n"/>
      <c r="X2100" s="4" t="n"/>
    </row>
    <row r="2101" ht="15.75" customHeight="1" thickBot="1">
      <c r="A2101" s="186" t="n">
        <v>845</v>
      </c>
      <c r="B2101" s="214" t="inlineStr">
        <is>
          <t>Spanish Paprika Singles</t>
        </is>
      </c>
      <c r="C2101" s="124" t="n"/>
      <c r="D2101" s="115" t="n"/>
      <c r="E2101" s="124" t="n"/>
      <c r="F2101" s="124" t="n"/>
      <c r="G2101" s="124" t="n"/>
      <c r="H2101" s="84" t="n"/>
      <c r="I2101" s="7" t="n"/>
      <c r="J2101" s="32" t="inlineStr">
        <is>
          <t>McCormick</t>
        </is>
      </c>
      <c r="K2101" s="24" t="n"/>
      <c r="L2101" s="36" t="n">
        <v>5.8</v>
      </c>
      <c r="M2101" s="204" t="n">
        <v>15</v>
      </c>
      <c r="N2101" s="177" t="n">
        <v>1</v>
      </c>
      <c r="O2101" s="13" t="n"/>
      <c r="P2101" s="139" t="inlineStr">
        <is>
          <t>pieces</t>
        </is>
      </c>
      <c r="Q2101" s="2" t="n"/>
      <c r="R2101" s="1" t="n"/>
      <c r="S2101" s="229">
        <f>M2101*N2101</f>
        <v/>
      </c>
      <c r="T2101" s="230">
        <f>CONCATENATE(S2101,Q2101,P2101)</f>
        <v/>
      </c>
      <c r="U2101" s="206">
        <f>L2101*M2101</f>
        <v/>
      </c>
      <c r="V2101" s="4" t="n"/>
      <c r="W2101" s="4" t="n"/>
      <c r="X2101" s="4" t="n"/>
    </row>
    <row r="2102" ht="15.75" customHeight="1" thickBot="1">
      <c r="A2102" s="186" t="n">
        <v>846</v>
      </c>
      <c r="B2102" s="214" t="inlineStr">
        <is>
          <t>Spiral Noodles</t>
        </is>
      </c>
      <c r="C2102" s="124" t="n"/>
      <c r="D2102" s="115" t="n"/>
      <c r="E2102" s="124" t="n"/>
      <c r="F2102" s="124" t="n"/>
      <c r="G2102" s="124" t="n"/>
      <c r="H2102" s="84" t="n"/>
      <c r="I2102" s="7" t="n"/>
      <c r="J2102" s="32" t="inlineStr">
        <is>
          <t>San Remo</t>
        </is>
      </c>
      <c r="K2102" s="24" t="n"/>
      <c r="L2102" s="36" t="n">
        <v>72</v>
      </c>
      <c r="M2102" s="204" t="n">
        <v>2</v>
      </c>
      <c r="N2102" s="177" t="n">
        <v>500</v>
      </c>
      <c r="O2102" s="13" t="n"/>
      <c r="P2102" s="139" t="inlineStr">
        <is>
          <t>grams</t>
        </is>
      </c>
      <c r="Q2102" s="2" t="n"/>
      <c r="R2102" s="1" t="n"/>
      <c r="S2102" s="229">
        <f>M2102*N2102</f>
        <v/>
      </c>
      <c r="T2102" s="230">
        <f>CONCATENATE(S2102,Q2102,P2102)</f>
        <v/>
      </c>
      <c r="U2102" s="206">
        <f>L2102*M2102</f>
        <v/>
      </c>
      <c r="V2102" s="4" t="n"/>
      <c r="W2102" s="4" t="n"/>
      <c r="X2102" s="4" t="n"/>
    </row>
    <row r="2103" ht="15.75" customHeight="1" thickBot="1">
      <c r="A2103" s="186" t="n">
        <v>393</v>
      </c>
      <c r="B2103" s="214" t="inlineStr">
        <is>
          <t>Sponge</t>
        </is>
      </c>
      <c r="C2103" s="124" t="n"/>
      <c r="D2103" s="115" t="n"/>
      <c r="E2103" s="124" t="n"/>
      <c r="F2103" s="124" t="n"/>
      <c r="G2103" s="124" t="n"/>
      <c r="H2103" s="84" t="n"/>
      <c r="I2103" s="7" t="n"/>
      <c r="J2103" s="32" t="inlineStr">
        <is>
          <t>Zim</t>
        </is>
      </c>
      <c r="K2103" s="24" t="n"/>
      <c r="L2103" s="36" t="n">
        <v>33</v>
      </c>
      <c r="M2103" s="204" t="n">
        <v>14</v>
      </c>
      <c r="N2103" s="177" t="n">
        <v>1</v>
      </c>
      <c r="O2103" s="13" t="n"/>
      <c r="P2103" s="139" t="inlineStr">
        <is>
          <t>pieces</t>
        </is>
      </c>
      <c r="Q2103" s="2" t="n"/>
      <c r="R2103" s="1" t="n"/>
      <c r="S2103" s="229">
        <f>M2103*N2103</f>
        <v/>
      </c>
      <c r="T2103" s="230">
        <f>CONCATENATE(S2103,Q2103,P2103)</f>
        <v/>
      </c>
      <c r="U2103" s="206">
        <f>L2103*M2103</f>
        <v/>
      </c>
      <c r="V2103" s="4" t="n"/>
      <c r="W2103" s="4" t="n"/>
      <c r="X2103" s="4" t="n"/>
    </row>
    <row r="2104" ht="15.75" customHeight="1" thickBot="1">
      <c r="A2104" s="186" t="n">
        <v>393</v>
      </c>
      <c r="B2104" s="214" t="inlineStr">
        <is>
          <t>Sponge</t>
        </is>
      </c>
      <c r="C2104" s="124" t="n"/>
      <c r="D2104" s="115" t="n"/>
      <c r="E2104" s="124" t="n"/>
      <c r="F2104" s="124" t="n"/>
      <c r="G2104" s="124" t="n"/>
      <c r="H2104" s="84" t="n"/>
      <c r="I2104" s="7" t="n"/>
      <c r="J2104" s="32" t="inlineStr">
        <is>
          <t>Zim</t>
        </is>
      </c>
      <c r="K2104" s="24" t="n"/>
      <c r="L2104" s="36" t="n">
        <v>20</v>
      </c>
      <c r="M2104" s="204" t="n">
        <v>2</v>
      </c>
      <c r="N2104" s="177" t="n">
        <v>1</v>
      </c>
      <c r="O2104" s="13" t="n"/>
      <c r="P2104" s="139" t="inlineStr">
        <is>
          <t>pieces</t>
        </is>
      </c>
      <c r="Q2104" s="2" t="n"/>
      <c r="R2104" s="1" t="n"/>
      <c r="S2104" s="229">
        <f>M2104*N2104</f>
        <v/>
      </c>
      <c r="T2104" s="230">
        <f>CONCATENATE(S2104,Q2104,P2104)</f>
        <v/>
      </c>
      <c r="U2104" s="206">
        <f>L2104*M2104</f>
        <v/>
      </c>
      <c r="V2104" s="4" t="n"/>
      <c r="W2104" s="4" t="n"/>
      <c r="X2104" s="4" t="n"/>
    </row>
    <row r="2105" ht="15.75" customHeight="1" thickBot="1">
      <c r="A2105" s="186" t="n">
        <v>393</v>
      </c>
      <c r="B2105" s="214" t="inlineStr">
        <is>
          <t>Sponge</t>
        </is>
      </c>
      <c r="C2105" s="124" t="n"/>
      <c r="D2105" s="115" t="n"/>
      <c r="E2105" s="124" t="n"/>
      <c r="F2105" s="124" t="n"/>
      <c r="G2105" s="124" t="n"/>
      <c r="H2105" s="84" t="n"/>
      <c r="I2105" s="7" t="n"/>
      <c r="J2105" s="32" t="inlineStr">
        <is>
          <t>3M</t>
        </is>
      </c>
      <c r="K2105" s="24" t="n"/>
      <c r="L2105" s="36" t="n">
        <v>65</v>
      </c>
      <c r="M2105" s="204" t="n">
        <v>2</v>
      </c>
      <c r="N2105" s="177" t="n">
        <v>1</v>
      </c>
      <c r="O2105" s="13" t="n"/>
      <c r="P2105" s="139" t="inlineStr">
        <is>
          <t>pieces</t>
        </is>
      </c>
      <c r="Q2105" s="2" t="n"/>
      <c r="R2105" s="1" t="n"/>
      <c r="S2105" s="229">
        <f>M2105*N2105</f>
        <v/>
      </c>
      <c r="T2105" s="230">
        <f>CONCATENATE(S2105,Q2105,P2105)</f>
        <v/>
      </c>
      <c r="U2105" s="206">
        <f>L2105*M2105</f>
        <v/>
      </c>
      <c r="V2105" s="4" t="n"/>
      <c r="W2105" s="4" t="n"/>
      <c r="X2105" s="4" t="n"/>
    </row>
    <row r="2106" ht="15.75" customHeight="1" thickBot="1">
      <c r="A2106" s="186" t="n">
        <v>393</v>
      </c>
      <c r="B2106" s="214" t="inlineStr">
        <is>
          <t>Sponge</t>
        </is>
      </c>
      <c r="C2106" s="124" t="n"/>
      <c r="D2106" s="115" t="n"/>
      <c r="E2106" s="124" t="n"/>
      <c r="F2106" s="124" t="n"/>
      <c r="G2106" s="124" t="n"/>
      <c r="H2106" s="84" t="n"/>
      <c r="I2106" s="7" t="n"/>
      <c r="J2106" s="32" t="n"/>
      <c r="K2106" s="24" t="n"/>
      <c r="L2106" s="36" t="n">
        <v>19</v>
      </c>
      <c r="M2106" s="204" t="n">
        <v>6</v>
      </c>
      <c r="N2106" s="177" t="n">
        <v>1</v>
      </c>
      <c r="O2106" s="13" t="n"/>
      <c r="P2106" s="139" t="inlineStr">
        <is>
          <t>pieces</t>
        </is>
      </c>
      <c r="Q2106" s="2" t="n"/>
      <c r="R2106" s="1" t="n"/>
      <c r="S2106" s="229">
        <f>M2106*N2106</f>
        <v/>
      </c>
      <c r="T2106" s="230">
        <f>CONCATENATE(S2106,Q2106,P2106)</f>
        <v/>
      </c>
      <c r="U2106" s="206">
        <f>L2106*M2106</f>
        <v/>
      </c>
      <c r="V2106" s="4" t="n"/>
      <c r="W2106" s="4" t="n"/>
      <c r="X2106" s="4" t="n"/>
    </row>
    <row r="2107" ht="15.75" customHeight="1" thickBot="1">
      <c r="A2107" s="186" t="n">
        <v>393</v>
      </c>
      <c r="B2107" s="214" t="inlineStr">
        <is>
          <t>Sponge</t>
        </is>
      </c>
      <c r="C2107" s="124" t="n"/>
      <c r="D2107" s="115" t="n"/>
      <c r="E2107" s="124" t="n"/>
      <c r="F2107" s="124" t="n"/>
      <c r="G2107" s="124" t="n"/>
      <c r="H2107" s="84" t="n"/>
      <c r="I2107" s="7" t="n"/>
      <c r="J2107" s="32" t="inlineStr">
        <is>
          <t>Scotch Brite</t>
        </is>
      </c>
      <c r="K2107" s="24" t="n"/>
      <c r="L2107" s="36" t="n">
        <v>49</v>
      </c>
      <c r="M2107" s="204" t="n">
        <v>3</v>
      </c>
      <c r="N2107" s="177" t="n">
        <v>1</v>
      </c>
      <c r="O2107" s="13" t="n"/>
      <c r="P2107" s="139" t="inlineStr">
        <is>
          <t>pieces</t>
        </is>
      </c>
      <c r="Q2107" s="2" t="n"/>
      <c r="R2107" s="1" t="n"/>
      <c r="S2107" s="229">
        <f>M2107*N2107</f>
        <v/>
      </c>
      <c r="T2107" s="230">
        <f>CONCATENATE(S2107,Q2107,P2107)</f>
        <v/>
      </c>
      <c r="U2107" s="206">
        <f>L2107*M2107</f>
        <v/>
      </c>
      <c r="V2107" s="4" t="n"/>
      <c r="W2107" s="4" t="n"/>
      <c r="X2107" s="4" t="n"/>
    </row>
    <row r="2108" ht="15.75" customHeight="1" thickBot="1">
      <c r="A2108" s="186" t="n">
        <v>393</v>
      </c>
      <c r="B2108" s="214" t="inlineStr">
        <is>
          <t>Sponge</t>
        </is>
      </c>
      <c r="C2108" s="124" t="n"/>
      <c r="D2108" s="115" t="n"/>
      <c r="E2108" s="124" t="n"/>
      <c r="F2108" s="124" t="n"/>
      <c r="G2108" s="124" t="n"/>
      <c r="H2108" s="84" t="n"/>
      <c r="I2108" s="7" t="n"/>
      <c r="J2108" s="32" t="inlineStr">
        <is>
          <t>Zim</t>
        </is>
      </c>
      <c r="K2108" s="24" t="n"/>
      <c r="L2108" s="36" t="n">
        <v>27.75</v>
      </c>
      <c r="M2108" s="204" t="n">
        <v>1</v>
      </c>
      <c r="N2108" s="177" t="n">
        <v>1</v>
      </c>
      <c r="O2108" s="13" t="n"/>
      <c r="P2108" s="139" t="inlineStr">
        <is>
          <t>pieces</t>
        </is>
      </c>
      <c r="Q2108" s="2" t="n"/>
      <c r="R2108" s="1" t="n"/>
      <c r="S2108" s="229">
        <f>M2108*N2108</f>
        <v/>
      </c>
      <c r="T2108" s="230">
        <f>CONCATENATE(S2108,Q2108,P2108)</f>
        <v/>
      </c>
      <c r="U2108" s="206">
        <f>L2108*M2108</f>
        <v/>
      </c>
      <c r="V2108" s="4" t="n"/>
      <c r="W2108" s="4" t="n"/>
      <c r="X2108" s="4" t="n"/>
    </row>
    <row r="2109" ht="15.75" customHeight="1" thickBot="1">
      <c r="A2109" s="186" t="n">
        <v>393</v>
      </c>
      <c r="B2109" s="214" t="inlineStr">
        <is>
          <t>Sponge</t>
        </is>
      </c>
      <c r="C2109" s="124" t="n"/>
      <c r="D2109" s="115" t="n"/>
      <c r="E2109" s="124" t="n"/>
      <c r="F2109" s="124" t="n"/>
      <c r="G2109" s="124" t="n"/>
      <c r="H2109" s="84" t="n"/>
      <c r="I2109" s="7" t="n"/>
      <c r="J2109" s="32" t="inlineStr">
        <is>
          <t>Scotch Brite</t>
        </is>
      </c>
      <c r="K2109" s="24" t="n"/>
      <c r="L2109" s="36" t="n">
        <v>25</v>
      </c>
      <c r="M2109" s="204" t="n">
        <v>10</v>
      </c>
      <c r="N2109" s="177" t="n">
        <v>1</v>
      </c>
      <c r="O2109" s="13" t="n"/>
      <c r="P2109" s="139" t="inlineStr">
        <is>
          <t>pieces</t>
        </is>
      </c>
      <c r="Q2109" s="2" t="n"/>
      <c r="R2109" s="1" t="n"/>
      <c r="S2109" s="229">
        <f>M2109*N2109</f>
        <v/>
      </c>
      <c r="T2109" s="230">
        <f>CONCATENATE(S2109,Q2109,P2109)</f>
        <v/>
      </c>
      <c r="U2109" s="206">
        <f>L2109*M2109</f>
        <v/>
      </c>
      <c r="V2109" s="4" t="n"/>
      <c r="W2109" s="4" t="n"/>
      <c r="X2109" s="4" t="n"/>
    </row>
    <row r="2110" ht="15.75" customHeight="1" thickBot="1">
      <c r="A2110" s="186" t="n">
        <v>393</v>
      </c>
      <c r="B2110" s="214" t="inlineStr">
        <is>
          <t>Sponge</t>
        </is>
      </c>
      <c r="C2110" s="124" t="n"/>
      <c r="D2110" s="115" t="n"/>
      <c r="E2110" s="124" t="n"/>
      <c r="F2110" s="124" t="n"/>
      <c r="G2110" s="124" t="n"/>
      <c r="H2110" s="84" t="n"/>
      <c r="I2110" s="7" t="n"/>
      <c r="J2110" s="32" t="inlineStr">
        <is>
          <t>Scotch Brite</t>
        </is>
      </c>
      <c r="K2110" s="24" t="n"/>
      <c r="L2110" s="36" t="n">
        <v>33.76</v>
      </c>
      <c r="M2110" s="204" t="n">
        <v>17</v>
      </c>
      <c r="N2110" s="177" t="n">
        <v>1</v>
      </c>
      <c r="O2110" s="13" t="n"/>
      <c r="P2110" s="139" t="inlineStr">
        <is>
          <t>pieces</t>
        </is>
      </c>
      <c r="Q2110" s="2" t="n"/>
      <c r="R2110" s="1" t="n"/>
      <c r="S2110" s="229">
        <f>M2110*N2110</f>
        <v/>
      </c>
      <c r="T2110" s="230">
        <f>CONCATENATE(S2110,Q2110,P2110)</f>
        <v/>
      </c>
      <c r="U2110" s="206">
        <f>L2110*M2110</f>
        <v/>
      </c>
      <c r="V2110" s="4" t="n"/>
      <c r="W2110" s="4" t="n"/>
      <c r="X2110" s="4" t="n"/>
    </row>
    <row r="2111" ht="15.75" customHeight="1" thickBot="1">
      <c r="A2111" s="186" t="n">
        <v>395</v>
      </c>
      <c r="B2111" s="216" t="inlineStr">
        <is>
          <t>Spread</t>
        </is>
      </c>
      <c r="C2111" s="124" t="n"/>
      <c r="D2111" s="115" t="n"/>
      <c r="E2111" s="124" t="n"/>
      <c r="F2111" s="124" t="n"/>
      <c r="G2111" s="124" t="n"/>
      <c r="H2111" s="84" t="n"/>
      <c r="I2111" s="7" t="n"/>
      <c r="J2111" s="32" t="inlineStr">
        <is>
          <t>Ladys Choice Bacon 27 ml</t>
        </is>
      </c>
      <c r="K2111" s="24" t="n"/>
      <c r="L2111" s="36" t="n">
        <v>12.4</v>
      </c>
      <c r="M2111" s="204" t="n">
        <v>2</v>
      </c>
      <c r="N2111" s="177" t="n">
        <v>27</v>
      </c>
      <c r="O2111" s="13" t="n"/>
      <c r="P2111" s="139" t="inlineStr">
        <is>
          <t>ml</t>
        </is>
      </c>
      <c r="Q2111" s="2" t="n"/>
      <c r="R2111" s="1" t="n"/>
      <c r="S2111" s="229">
        <f>M2111*N2111</f>
        <v/>
      </c>
      <c r="T2111" s="230">
        <f>CONCATENATE(S2111,Q2111,P2111)</f>
        <v/>
      </c>
      <c r="U2111" s="206">
        <f>L2111*M2111</f>
        <v/>
      </c>
      <c r="V2111" s="4" t="n"/>
      <c r="W2111" s="4" t="n"/>
      <c r="X2111" s="4" t="n"/>
    </row>
    <row r="2112" ht="15.75" customHeight="1" thickBot="1">
      <c r="A2112" s="186" t="n">
        <v>395</v>
      </c>
      <c r="B2112" s="216" t="inlineStr">
        <is>
          <t>Spread</t>
        </is>
      </c>
      <c r="C2112" s="124" t="n"/>
      <c r="D2112" s="115" t="n"/>
      <c r="E2112" s="124" t="n"/>
      <c r="F2112" s="124" t="n"/>
      <c r="G2112" s="124" t="n"/>
      <c r="H2112" s="84" t="n"/>
      <c r="I2112" s="7" t="n"/>
      <c r="J2112" s="32" t="inlineStr">
        <is>
          <t>Ladys Choice Chicken Spread 27ml</t>
        </is>
      </c>
      <c r="K2112" s="24" t="n"/>
      <c r="L2112" s="36" t="n">
        <v>12.4</v>
      </c>
      <c r="M2112" s="204" t="n">
        <v>6</v>
      </c>
      <c r="N2112" s="177" t="n">
        <v>27</v>
      </c>
      <c r="O2112" s="13" t="n"/>
      <c r="P2112" s="139" t="inlineStr">
        <is>
          <t>ml</t>
        </is>
      </c>
      <c r="Q2112" s="2" t="n"/>
      <c r="R2112" s="1" t="n"/>
      <c r="S2112" s="229">
        <f>M2112*N2112</f>
        <v/>
      </c>
      <c r="T2112" s="230">
        <f>CONCATENATE(S2112,Q2112,P2112)</f>
        <v/>
      </c>
      <c r="U2112" s="206">
        <f>L2112*M2112</f>
        <v/>
      </c>
      <c r="V2112" s="4" t="n"/>
      <c r="W2112" s="4" t="n"/>
      <c r="X2112" s="4" t="n"/>
    </row>
    <row r="2113" ht="15.75" customHeight="1" thickBot="1">
      <c r="A2113" s="186" t="n">
        <v>395</v>
      </c>
      <c r="B2113" s="216" t="inlineStr">
        <is>
          <t>Spread</t>
        </is>
      </c>
      <c r="C2113" s="124" t="n"/>
      <c r="D2113" s="115" t="n"/>
      <c r="E2113" s="124" t="n"/>
      <c r="F2113" s="124" t="n"/>
      <c r="G2113" s="124" t="n"/>
      <c r="H2113" s="84" t="n"/>
      <c r="I2113" s="7" t="n"/>
      <c r="J2113" s="32" t="inlineStr">
        <is>
          <t>Ladys Choice Ham Spread 27ml</t>
        </is>
      </c>
      <c r="K2113" s="24" t="n"/>
      <c r="L2113" s="36" t="n">
        <v>12.4</v>
      </c>
      <c r="M2113" s="204" t="n">
        <v>1</v>
      </c>
      <c r="N2113" s="177" t="n">
        <v>27</v>
      </c>
      <c r="O2113" s="13" t="n"/>
      <c r="P2113" s="139" t="inlineStr">
        <is>
          <t>ml</t>
        </is>
      </c>
      <c r="Q2113" s="2" t="n"/>
      <c r="R2113" s="1" t="n"/>
      <c r="S2113" s="229">
        <f>M2113*N2113</f>
        <v/>
      </c>
      <c r="T2113" s="230">
        <f>CONCATENATE(S2113,Q2113,P2113)</f>
        <v/>
      </c>
      <c r="U2113" s="206">
        <f>L2113*M2113</f>
        <v/>
      </c>
      <c r="V2113" s="4" t="n"/>
      <c r="W2113" s="4" t="n"/>
      <c r="X2113" s="4" t="n"/>
    </row>
    <row r="2114" ht="15.75" customHeight="1" thickBot="1">
      <c r="A2114" s="186" t="n">
        <v>395</v>
      </c>
      <c r="B2114" s="214" t="inlineStr">
        <is>
          <t>Spread</t>
        </is>
      </c>
      <c r="C2114" s="124" t="n"/>
      <c r="D2114" s="115" t="n"/>
      <c r="E2114" s="124" t="n"/>
      <c r="F2114" s="124" t="n"/>
      <c r="G2114" s="124" t="n"/>
      <c r="H2114" s="84" t="n"/>
      <c r="I2114" s="7" t="n"/>
      <c r="J2114" s="32" t="inlineStr">
        <is>
          <t>Mondelez - Cheeze Whiz Cheese</t>
        </is>
      </c>
      <c r="K2114" s="24" t="n"/>
      <c r="L2114" s="36" t="n">
        <v>12.2</v>
      </c>
      <c r="M2114" s="204" t="n">
        <v>7</v>
      </c>
      <c r="N2114" s="177" t="n">
        <v>24</v>
      </c>
      <c r="O2114" s="13" t="n"/>
      <c r="P2114" s="139" t="inlineStr">
        <is>
          <t>grams</t>
        </is>
      </c>
      <c r="Q2114" s="2" t="n"/>
      <c r="R2114" s="1" t="n"/>
      <c r="S2114" s="229">
        <f>M2114*N2114</f>
        <v/>
      </c>
      <c r="T2114" s="230">
        <f>CONCATENATE(S2114,Q2114,P2114)</f>
        <v/>
      </c>
      <c r="U2114" s="206">
        <f>L2114*M2114</f>
        <v/>
      </c>
      <c r="V2114" s="4" t="n"/>
      <c r="W2114" s="4" t="n"/>
      <c r="X2114" s="4" t="n"/>
    </row>
    <row r="2115" ht="15.75" customHeight="1" thickBot="1">
      <c r="A2115" s="186" t="n">
        <v>395</v>
      </c>
      <c r="B2115" s="214" t="inlineStr">
        <is>
          <t>Spread</t>
        </is>
      </c>
      <c r="C2115" s="124" t="n"/>
      <c r="D2115" s="115" t="n"/>
      <c r="E2115" s="124" t="n"/>
      <c r="F2115" s="124" t="n"/>
      <c r="G2115" s="124" t="n"/>
      <c r="H2115" s="84" t="n"/>
      <c r="I2115" s="7" t="n"/>
      <c r="J2115" s="32" t="inlineStr">
        <is>
          <t>Mondelez - Cheeze Whiz Pimento</t>
        </is>
      </c>
      <c r="K2115" s="24" t="n"/>
      <c r="L2115" s="36" t="n">
        <v>12.2</v>
      </c>
      <c r="M2115" s="204" t="n">
        <v>5</v>
      </c>
      <c r="N2115" s="177" t="n">
        <v>24</v>
      </c>
      <c r="O2115" s="13" t="n"/>
      <c r="P2115" s="139" t="inlineStr">
        <is>
          <t>grams</t>
        </is>
      </c>
      <c r="Q2115" s="2" t="n"/>
      <c r="R2115" s="1" t="n"/>
      <c r="S2115" s="229">
        <f>M2115*N2115</f>
        <v/>
      </c>
      <c r="T2115" s="230">
        <f>CONCATENATE(S2115,Q2115,P2115)</f>
        <v/>
      </c>
      <c r="U2115" s="206">
        <f>L2115*M2115</f>
        <v/>
      </c>
      <c r="V2115" s="4" t="n"/>
      <c r="W2115" s="4" t="n"/>
      <c r="X2115" s="4" t="n"/>
    </row>
    <row r="2116" ht="15.75" customHeight="1" thickBot="1">
      <c r="A2116" s="186" t="n">
        <v>847</v>
      </c>
      <c r="B2116" s="215" t="inlineStr">
        <is>
          <t>Springroll Wrapper</t>
        </is>
      </c>
      <c r="C2116" s="124" t="n"/>
      <c r="D2116" s="115" t="n"/>
      <c r="E2116" s="124" t="n"/>
      <c r="F2116" s="124" t="n"/>
      <c r="G2116" s="124" t="n"/>
      <c r="H2116" s="84" t="n"/>
      <c r="I2116" s="7" t="n"/>
      <c r="J2116" s="32" t="inlineStr">
        <is>
          <t>Fat and Thin</t>
        </is>
      </c>
      <c r="K2116" s="24" t="n"/>
      <c r="L2116" s="36" t="n">
        <v>100</v>
      </c>
      <c r="M2116" s="204" t="n">
        <v>1</v>
      </c>
      <c r="N2116" s="177" t="n">
        <v>1</v>
      </c>
      <c r="O2116" s="13" t="n"/>
      <c r="P2116" s="139" t="inlineStr">
        <is>
          <t>packs</t>
        </is>
      </c>
      <c r="Q2116" s="2" t="n"/>
      <c r="R2116" s="1" t="n"/>
      <c r="S2116" s="229">
        <f>M2116*N2116</f>
        <v/>
      </c>
      <c r="T2116" s="230">
        <f>CONCATENATE(S2116,Q2116,P2116)</f>
        <v/>
      </c>
      <c r="U2116" s="206">
        <f>L2116*M2116</f>
        <v/>
      </c>
      <c r="V2116" s="4" t="n"/>
      <c r="W2116" s="4" t="n"/>
      <c r="X2116" s="4" t="n"/>
    </row>
    <row r="2117" ht="15.75" customHeight="1" thickBot="1">
      <c r="A2117" s="186" t="n">
        <v>848</v>
      </c>
      <c r="B2117" s="214" t="inlineStr">
        <is>
          <t>Squid Balls</t>
        </is>
      </c>
      <c r="C2117" s="124" t="n"/>
      <c r="D2117" s="115" t="n"/>
      <c r="E2117" s="124" t="n"/>
      <c r="F2117" s="124" t="n"/>
      <c r="G2117" s="124" t="n"/>
      <c r="H2117" s="84" t="n"/>
      <c r="I2117" s="7" t="n"/>
      <c r="J2117" s="32" t="inlineStr">
        <is>
          <t>Shanghai</t>
        </is>
      </c>
      <c r="K2117" s="24" t="n"/>
      <c r="L2117" s="36" t="n">
        <v>100</v>
      </c>
      <c r="M2117" s="204" t="n">
        <v>2</v>
      </c>
      <c r="N2117" s="177" t="n">
        <v>250</v>
      </c>
      <c r="O2117" s="13" t="n"/>
      <c r="P2117" s="139" t="inlineStr">
        <is>
          <t>grams</t>
        </is>
      </c>
      <c r="Q2117" s="2" t="n"/>
      <c r="R2117" s="1" t="n"/>
      <c r="S2117" s="229">
        <f>M2117*N2117</f>
        <v/>
      </c>
      <c r="T2117" s="230">
        <f>CONCATENATE(S2117,Q2117,P2117)</f>
        <v/>
      </c>
      <c r="U2117" s="206">
        <f>L2117*M2117</f>
        <v/>
      </c>
      <c r="V2117" s="4" t="n"/>
      <c r="W2117" s="4" t="n"/>
      <c r="X2117" s="4" t="n"/>
    </row>
    <row r="2118" ht="15.75" customHeight="1" thickBot="1">
      <c r="A2118" s="186" t="n">
        <v>848</v>
      </c>
      <c r="B2118" s="214" t="inlineStr">
        <is>
          <t>Squid Balls</t>
        </is>
      </c>
      <c r="C2118" s="124" t="n"/>
      <c r="D2118" s="115" t="n"/>
      <c r="E2118" s="124" t="n"/>
      <c r="F2118" s="124" t="n"/>
      <c r="G2118" s="124" t="n"/>
      <c r="H2118" s="84" t="n"/>
      <c r="I2118" s="7" t="n"/>
      <c r="J2118" s="32" t="inlineStr">
        <is>
          <t>Shanghai</t>
        </is>
      </c>
      <c r="K2118" s="24" t="n"/>
      <c r="L2118" s="36" t="n">
        <v>55</v>
      </c>
      <c r="M2118" s="204" t="n">
        <v>5</v>
      </c>
      <c r="N2118" s="177" t="n">
        <v>500</v>
      </c>
      <c r="O2118" s="13" t="n"/>
      <c r="P2118" s="139" t="inlineStr">
        <is>
          <t>grams</t>
        </is>
      </c>
      <c r="Q2118" s="2" t="n"/>
      <c r="R2118" s="1" t="n"/>
      <c r="S2118" s="229">
        <f>M2118*N2118</f>
        <v/>
      </c>
      <c r="T2118" s="230">
        <f>CONCATENATE(S2118,Q2118,P2118)</f>
        <v/>
      </c>
      <c r="U2118" s="206">
        <f>L2118*M2118</f>
        <v/>
      </c>
      <c r="V2118" s="4" t="n"/>
      <c r="W2118" s="4" t="n"/>
      <c r="X2118" s="4" t="n"/>
    </row>
    <row r="2119" ht="15.75" customHeight="1" thickBot="1">
      <c r="A2119" s="186" t="n">
        <v>848</v>
      </c>
      <c r="B2119" s="214" t="inlineStr">
        <is>
          <t>Squid Balls</t>
        </is>
      </c>
      <c r="C2119" s="124" t="n"/>
      <c r="D2119" s="115" t="n"/>
      <c r="E2119" s="124" t="n"/>
      <c r="F2119" s="124" t="n"/>
      <c r="G2119" s="124" t="n"/>
      <c r="H2119" s="84" t="n"/>
      <c r="I2119" s="7" t="n"/>
      <c r="J2119" s="32" t="inlineStr">
        <is>
          <t>Shanghai</t>
        </is>
      </c>
      <c r="K2119" s="24" t="n"/>
      <c r="L2119" s="36" t="n">
        <v>120</v>
      </c>
      <c r="M2119" s="204" t="n">
        <v>5</v>
      </c>
      <c r="N2119" s="177" t="n">
        <v>1</v>
      </c>
      <c r="O2119" s="13" t="n"/>
      <c r="P2119" s="139" t="inlineStr">
        <is>
          <t>kilos</t>
        </is>
      </c>
      <c r="Q2119" s="2" t="n"/>
      <c r="R2119" s="1" t="n"/>
      <c r="S2119" s="229">
        <f>M2119*N2119</f>
        <v/>
      </c>
      <c r="T2119" s="230">
        <f>CONCATENATE(S2119,Q2119,P2119)</f>
        <v/>
      </c>
      <c r="U2119" s="206">
        <f>L2119*M2119</f>
        <v/>
      </c>
      <c r="V2119" s="4" t="n"/>
      <c r="W2119" s="4" t="n"/>
      <c r="X2119" s="4" t="n"/>
    </row>
    <row r="2120" ht="15.75" customHeight="1" thickBot="1">
      <c r="A2120" s="186" t="n">
        <v>848</v>
      </c>
      <c r="B2120" s="214" t="inlineStr">
        <is>
          <t>Squid Balls</t>
        </is>
      </c>
      <c r="C2120" s="124" t="n"/>
      <c r="D2120" s="115" t="n"/>
      <c r="E2120" s="124" t="n"/>
      <c r="F2120" s="124" t="n"/>
      <c r="G2120" s="124" t="n"/>
      <c r="H2120" s="84" t="n"/>
      <c r="I2120" s="7" t="n"/>
      <c r="J2120" s="32" t="inlineStr">
        <is>
          <t>Orion</t>
        </is>
      </c>
      <c r="K2120" s="24" t="n"/>
      <c r="L2120" s="36" t="n">
        <v>120</v>
      </c>
      <c r="M2120" s="204" t="n">
        <v>2</v>
      </c>
      <c r="N2120" s="177" t="n">
        <v>1</v>
      </c>
      <c r="O2120" s="13" t="n"/>
      <c r="P2120" s="139" t="inlineStr">
        <is>
          <t>kilos</t>
        </is>
      </c>
      <c r="Q2120" s="2" t="n"/>
      <c r="R2120" s="1" t="n"/>
      <c r="S2120" s="229">
        <f>M2120*N2120</f>
        <v/>
      </c>
      <c r="T2120" s="230">
        <f>CONCATENATE(S2120,Q2120,P2120)</f>
        <v/>
      </c>
      <c r="U2120" s="206">
        <f>L2120*M2120</f>
        <v/>
      </c>
      <c r="V2120" s="4" t="n"/>
      <c r="W2120" s="4" t="n"/>
      <c r="X2120" s="4" t="n"/>
    </row>
    <row r="2121" ht="15.75" customHeight="1" thickBot="1">
      <c r="A2121" s="186" t="n">
        <v>848</v>
      </c>
      <c r="B2121" s="214" t="inlineStr">
        <is>
          <t>Squid Balls</t>
        </is>
      </c>
      <c r="C2121" s="124" t="n"/>
      <c r="D2121" s="115" t="n"/>
      <c r="E2121" s="124" t="n"/>
      <c r="F2121" s="124" t="n"/>
      <c r="G2121" s="124" t="n"/>
      <c r="H2121" s="84" t="n"/>
      <c r="I2121" s="7" t="n"/>
      <c r="J2121" s="32" t="inlineStr">
        <is>
          <t>Daisuke</t>
        </is>
      </c>
      <c r="K2121" s="24" t="n"/>
      <c r="L2121" s="36" t="n">
        <v>65</v>
      </c>
      <c r="M2121" s="204" t="n">
        <v>3</v>
      </c>
      <c r="N2121" s="177" t="n">
        <v>750</v>
      </c>
      <c r="O2121" s="13" t="n"/>
      <c r="P2121" s="139" t="inlineStr">
        <is>
          <t>grams</t>
        </is>
      </c>
      <c r="Q2121" s="2" t="n"/>
      <c r="R2121" s="1" t="n"/>
      <c r="S2121" s="229">
        <f>M2121*N2121</f>
        <v/>
      </c>
      <c r="T2121" s="230">
        <f>CONCATENATE(S2121,Q2121,P2121)</f>
        <v/>
      </c>
      <c r="U2121" s="206">
        <f>L2121*M2121</f>
        <v/>
      </c>
      <c r="V2121" s="4" t="n"/>
      <c r="W2121" s="4" t="n"/>
      <c r="X2121" s="4" t="n"/>
    </row>
    <row r="2122" ht="15.75" customHeight="1" thickBot="1">
      <c r="A2122" s="186" t="n">
        <v>396</v>
      </c>
      <c r="B2122" s="214" t="inlineStr">
        <is>
          <t>Star Anise</t>
        </is>
      </c>
      <c r="C2122" s="124" t="n"/>
      <c r="D2122" s="115" t="n"/>
      <c r="E2122" s="124" t="n"/>
      <c r="F2122" s="124" t="n"/>
      <c r="G2122" s="124" t="n"/>
      <c r="H2122" s="84" t="n"/>
      <c r="I2122" s="7" t="n"/>
      <c r="J2122" s="32" t="inlineStr">
        <is>
          <t>McCormick</t>
        </is>
      </c>
      <c r="K2122" s="24" t="n"/>
      <c r="L2122" s="36" t="n">
        <v>31</v>
      </c>
      <c r="M2122" s="204" t="n">
        <v>4</v>
      </c>
      <c r="N2122" s="177" t="n">
        <v>20</v>
      </c>
      <c r="O2122" s="13" t="n"/>
      <c r="P2122" s="139" t="inlineStr">
        <is>
          <t>grams</t>
        </is>
      </c>
      <c r="Q2122" s="2" t="n"/>
      <c r="R2122" s="1" t="n"/>
      <c r="S2122" s="229">
        <f>M2122*N2122</f>
        <v/>
      </c>
      <c r="T2122" s="230">
        <f>CONCATENATE(S2122,Q2122,P2122)</f>
        <v/>
      </c>
      <c r="U2122" s="206">
        <f>L2122*M2122</f>
        <v/>
      </c>
      <c r="V2122" s="4" t="n"/>
      <c r="W2122" s="4" t="n"/>
      <c r="X2122" s="4" t="n"/>
    </row>
    <row r="2123" ht="15.75" customHeight="1" thickBot="1">
      <c r="A2123" s="186" t="n">
        <v>396</v>
      </c>
      <c r="B2123" s="214" t="inlineStr">
        <is>
          <t>Star Anise</t>
        </is>
      </c>
      <c r="C2123" s="124" t="n"/>
      <c r="D2123" s="115" t="n"/>
      <c r="E2123" s="124" t="n"/>
      <c r="F2123" s="124" t="n"/>
      <c r="G2123" s="124" t="n"/>
      <c r="H2123" s="84" t="n"/>
      <c r="I2123" s="7" t="n"/>
      <c r="J2123" s="32" t="inlineStr">
        <is>
          <t>Lipa Spices</t>
        </is>
      </c>
      <c r="K2123" s="24" t="n"/>
      <c r="L2123" s="36" t="n">
        <v>730</v>
      </c>
      <c r="M2123" s="204" t="n">
        <v>2</v>
      </c>
      <c r="N2123" s="177" t="n">
        <v>1</v>
      </c>
      <c r="O2123" s="13" t="n"/>
      <c r="P2123" s="139" t="inlineStr">
        <is>
          <t>kilos</t>
        </is>
      </c>
      <c r="Q2123" s="2" t="n"/>
      <c r="R2123" s="1" t="n"/>
      <c r="S2123" s="229">
        <f>M2123*N2123</f>
        <v/>
      </c>
      <c r="T2123" s="230">
        <f>CONCATENATE(S2123,Q2123,P2123)</f>
        <v/>
      </c>
      <c r="U2123" s="206">
        <f>L2123*M2123</f>
        <v/>
      </c>
      <c r="V2123" s="4" t="n"/>
      <c r="W2123" s="4" t="n"/>
      <c r="X2123" s="4" t="n"/>
    </row>
    <row r="2124" ht="15.75" customHeight="1" thickBot="1">
      <c r="A2124" s="186" t="n">
        <v>396</v>
      </c>
      <c r="B2124" s="214" t="inlineStr">
        <is>
          <t>Star Anise</t>
        </is>
      </c>
      <c r="C2124" s="124" t="n"/>
      <c r="D2124" s="115" t="n"/>
      <c r="E2124" s="124" t="n"/>
      <c r="F2124" s="124" t="n"/>
      <c r="G2124" s="124" t="n"/>
      <c r="H2124" s="84" t="n"/>
      <c r="I2124" s="7" t="n"/>
      <c r="J2124" s="32" t="inlineStr">
        <is>
          <t>Amparo's</t>
        </is>
      </c>
      <c r="K2124" s="24" t="n"/>
      <c r="L2124" s="36" t="n">
        <v>31</v>
      </c>
      <c r="M2124" s="204" t="n">
        <v>1</v>
      </c>
      <c r="N2124" s="177" t="n">
        <v>50</v>
      </c>
      <c r="O2124" s="13" t="n"/>
      <c r="P2124" s="139" t="inlineStr">
        <is>
          <t>grams</t>
        </is>
      </c>
      <c r="Q2124" s="2" t="n"/>
      <c r="R2124" s="1" t="n"/>
      <c r="S2124" s="229">
        <f>M2124*N2124</f>
        <v/>
      </c>
      <c r="T2124" s="230">
        <f>CONCATENATE(S2124,Q2124,P2124)</f>
        <v/>
      </c>
      <c r="U2124" s="206">
        <f>L2124*M2124</f>
        <v/>
      </c>
      <c r="V2124" s="4" t="n"/>
      <c r="W2124" s="4" t="n"/>
      <c r="X2124" s="4" t="n"/>
    </row>
    <row r="2125" ht="15.75" customHeight="1" thickBot="1">
      <c r="A2125" s="186" t="n">
        <v>396</v>
      </c>
      <c r="B2125" s="214" t="inlineStr">
        <is>
          <t>Star Anise</t>
        </is>
      </c>
      <c r="C2125" s="124" t="n"/>
      <c r="D2125" s="115" t="n"/>
      <c r="E2125" s="124" t="n"/>
      <c r="F2125" s="124" t="n"/>
      <c r="G2125" s="124" t="n"/>
      <c r="H2125" s="84" t="n"/>
      <c r="I2125" s="7" t="n"/>
      <c r="J2125" s="32" t="inlineStr">
        <is>
          <t>Lipa Spices</t>
        </is>
      </c>
      <c r="K2125" s="24" t="n"/>
      <c r="L2125" s="36" t="n">
        <v>800</v>
      </c>
      <c r="M2125" s="204" t="n">
        <v>1</v>
      </c>
      <c r="N2125" s="177" t="n">
        <v>1</v>
      </c>
      <c r="O2125" s="13" t="n"/>
      <c r="P2125" s="139" t="inlineStr">
        <is>
          <t>kilos</t>
        </is>
      </c>
      <c r="Q2125" s="2" t="n"/>
      <c r="R2125" s="1" t="n"/>
      <c r="S2125" s="229">
        <f>M2125*N2125</f>
        <v/>
      </c>
      <c r="T2125" s="230">
        <f>CONCATENATE(S2125,Q2125,P2125)</f>
        <v/>
      </c>
      <c r="U2125" s="206">
        <f>L2125*M2125</f>
        <v/>
      </c>
      <c r="V2125" s="4" t="n"/>
      <c r="W2125" s="4" t="n"/>
      <c r="X2125" s="4" t="n"/>
    </row>
    <row r="2126" ht="15.75" customHeight="1" thickBot="1">
      <c r="A2126" s="186" t="n">
        <v>849</v>
      </c>
      <c r="B2126" s="214" t="inlineStr">
        <is>
          <t>Steak Sauce</t>
        </is>
      </c>
      <c r="C2126" s="124" t="n"/>
      <c r="D2126" s="115" t="n"/>
      <c r="E2126" s="124" t="n"/>
      <c r="F2126" s="124" t="n"/>
      <c r="G2126" s="124" t="n"/>
      <c r="H2126" s="84" t="n"/>
      <c r="I2126" s="7" t="n"/>
      <c r="J2126" s="32" t="inlineStr">
        <is>
          <t>A1</t>
        </is>
      </c>
      <c r="K2126" s="24" t="n"/>
      <c r="L2126" s="36" t="n">
        <v>202</v>
      </c>
      <c r="M2126" s="204" t="n">
        <v>1</v>
      </c>
      <c r="N2126" s="177" t="n">
        <v>142</v>
      </c>
      <c r="O2126" s="13" t="n"/>
      <c r="P2126" s="139" t="inlineStr">
        <is>
          <t>grams</t>
        </is>
      </c>
      <c r="Q2126" s="2" t="n"/>
      <c r="R2126" s="1" t="n"/>
      <c r="S2126" s="229">
        <f>M2126*N2126</f>
        <v/>
      </c>
      <c r="T2126" s="230">
        <f>CONCATENATE(S2126,Q2126,P2126)</f>
        <v/>
      </c>
      <c r="U2126" s="206">
        <f>L2126*M2126</f>
        <v/>
      </c>
      <c r="V2126" s="4" t="n"/>
      <c r="W2126" s="4" t="n"/>
      <c r="X2126" s="4" t="n"/>
    </row>
    <row r="2127" ht="15.75" customHeight="1" thickBot="1">
      <c r="A2127" s="186" t="n">
        <v>850</v>
      </c>
      <c r="B2127" s="215" t="inlineStr">
        <is>
          <t>Steel wool</t>
        </is>
      </c>
      <c r="C2127" s="124" t="n"/>
      <c r="D2127" s="115" t="n"/>
      <c r="E2127" s="124" t="n"/>
      <c r="F2127" s="124" t="n"/>
      <c r="G2127" s="124" t="n"/>
      <c r="H2127" s="84" t="n"/>
      <c r="I2127" s="7" t="n"/>
      <c r="J2127" s="32" t="inlineStr">
        <is>
          <t>Cleans-Up</t>
        </is>
      </c>
      <c r="K2127" s="24" t="n"/>
      <c r="L2127" s="36" t="n">
        <v>30</v>
      </c>
      <c r="M2127" s="204" t="n">
        <v>6</v>
      </c>
      <c r="N2127" s="177" t="n">
        <v>1</v>
      </c>
      <c r="O2127" s="13" t="n"/>
      <c r="P2127" s="139" t="inlineStr">
        <is>
          <t>pieces</t>
        </is>
      </c>
      <c r="Q2127" s="2" t="n"/>
      <c r="R2127" s="1" t="n"/>
      <c r="S2127" s="229">
        <f>M2127*N2127</f>
        <v/>
      </c>
      <c r="T2127" s="230">
        <f>CONCATENATE(S2127,Q2127,P2127)</f>
        <v/>
      </c>
      <c r="U2127" s="206">
        <f>L2127*M2127</f>
        <v/>
      </c>
      <c r="V2127" s="4" t="n"/>
      <c r="W2127" s="4" t="n"/>
      <c r="X2127" s="4" t="n"/>
    </row>
    <row r="2128" ht="15.75" customHeight="1" thickBot="1">
      <c r="A2128" s="186" t="n">
        <v>850</v>
      </c>
      <c r="B2128" s="215" t="inlineStr">
        <is>
          <t>Steel wool</t>
        </is>
      </c>
      <c r="C2128" s="124" t="n"/>
      <c r="D2128" s="115" t="n"/>
      <c r="E2128" s="124" t="n"/>
      <c r="F2128" s="124" t="n"/>
      <c r="G2128" s="124" t="n"/>
      <c r="H2128" s="84" t="n"/>
      <c r="I2128" s="7" t="n"/>
      <c r="J2128" s="32" t="inlineStr">
        <is>
          <t>Scotch Brite</t>
        </is>
      </c>
      <c r="K2128" s="24" t="n"/>
      <c r="L2128" s="36" t="n">
        <v>41</v>
      </c>
      <c r="M2128" s="204" t="n">
        <v>5</v>
      </c>
      <c r="N2128" s="177" t="n">
        <v>1</v>
      </c>
      <c r="O2128" s="13" t="n"/>
      <c r="P2128" s="139" t="inlineStr">
        <is>
          <t>pieces</t>
        </is>
      </c>
      <c r="Q2128" s="2" t="n"/>
      <c r="R2128" s="1" t="n"/>
      <c r="S2128" s="229">
        <f>M2128*N2128</f>
        <v/>
      </c>
      <c r="T2128" s="230">
        <f>CONCATENATE(S2128,Q2128,P2128)</f>
        <v/>
      </c>
      <c r="U2128" s="206">
        <f>L2128*M2128</f>
        <v/>
      </c>
      <c r="V2128" s="4" t="n"/>
      <c r="W2128" s="4" t="n"/>
      <c r="X2128" s="4" t="n"/>
    </row>
    <row r="2129" ht="15.75" customHeight="1" thickBot="1">
      <c r="A2129" s="186" t="n">
        <v>851</v>
      </c>
      <c r="B2129" s="214" t="inlineStr">
        <is>
          <t>Stirrer</t>
        </is>
      </c>
      <c r="C2129" s="124" t="n"/>
      <c r="D2129" s="115" t="n"/>
      <c r="E2129" s="124" t="n"/>
      <c r="F2129" s="124" t="n"/>
      <c r="G2129" s="124" t="n"/>
      <c r="H2129" s="84" t="n"/>
      <c r="I2129" s="7" t="n"/>
      <c r="J2129" s="32" t="n"/>
      <c r="K2129" s="24" t="n"/>
      <c r="L2129" s="36" t="n">
        <v>13.25</v>
      </c>
      <c r="M2129" s="204" t="n">
        <v>5</v>
      </c>
      <c r="N2129" s="177" t="n">
        <v>1</v>
      </c>
      <c r="O2129" s="13" t="n"/>
      <c r="P2129" s="139" t="inlineStr">
        <is>
          <t>packs</t>
        </is>
      </c>
      <c r="Q2129" s="2" t="n"/>
      <c r="R2129" s="1" t="n"/>
      <c r="S2129" s="229">
        <f>M2129*N2129</f>
        <v/>
      </c>
      <c r="T2129" s="230">
        <f>CONCATENATE(S2129,Q2129,P2129)</f>
        <v/>
      </c>
      <c r="U2129" s="206">
        <f>L2129*M2129</f>
        <v/>
      </c>
      <c r="V2129" s="4" t="n"/>
      <c r="W2129" s="4" t="n"/>
      <c r="X2129" s="4" t="n"/>
    </row>
    <row r="2130" ht="15.75" customHeight="1" thickBot="1">
      <c r="A2130" s="186" t="n">
        <v>852</v>
      </c>
      <c r="B2130" s="214" t="inlineStr">
        <is>
          <t>Strawberry Jam</t>
        </is>
      </c>
      <c r="C2130" s="124" t="n"/>
      <c r="D2130" s="115" t="n"/>
      <c r="E2130" s="124" t="n"/>
      <c r="F2130" s="124" t="n"/>
      <c r="G2130" s="124" t="n"/>
      <c r="H2130" s="84" t="n"/>
      <c r="I2130" s="7" t="n"/>
      <c r="J2130" s="32" t="inlineStr">
        <is>
          <t>Clara Ole</t>
        </is>
      </c>
      <c r="K2130" s="24" t="n"/>
      <c r="L2130" s="36" t="n">
        <v>150</v>
      </c>
      <c r="M2130" s="204" t="n">
        <v>1</v>
      </c>
      <c r="N2130" s="177" t="n">
        <v>320</v>
      </c>
      <c r="O2130" s="13" t="n"/>
      <c r="P2130" s="139" t="inlineStr">
        <is>
          <t>grams</t>
        </is>
      </c>
      <c r="Q2130" s="2" t="n"/>
      <c r="R2130" s="1" t="n"/>
      <c r="S2130" s="229">
        <f>M2130*N2130</f>
        <v/>
      </c>
      <c r="T2130" s="230">
        <f>CONCATENATE(S2130,Q2130,P2130)</f>
        <v/>
      </c>
      <c r="U2130" s="206">
        <f>L2130*M2130</f>
        <v/>
      </c>
      <c r="V2130" s="4" t="n"/>
      <c r="W2130" s="4" t="n"/>
      <c r="X2130" s="4" t="n"/>
    </row>
    <row r="2131" ht="15.75" customHeight="1" thickBot="1">
      <c r="A2131" s="186" t="n">
        <v>853</v>
      </c>
      <c r="B2131" s="215" t="inlineStr">
        <is>
          <t>Strippler</t>
        </is>
      </c>
      <c r="C2131" s="124" t="n"/>
      <c r="D2131" s="115" t="n"/>
      <c r="E2131" s="124" t="n"/>
      <c r="F2131" s="124" t="n"/>
      <c r="G2131" s="124" t="n"/>
      <c r="H2131" s="84" t="n"/>
      <c r="I2131" s="7" t="n"/>
      <c r="J2131" s="32" t="inlineStr">
        <is>
          <t>Durabrite</t>
        </is>
      </c>
      <c r="K2131" s="24" t="n"/>
      <c r="L2131" s="36" t="n">
        <v>25</v>
      </c>
      <c r="M2131" s="204" t="n">
        <v>3</v>
      </c>
      <c r="N2131" s="177" t="n">
        <v>1</v>
      </c>
      <c r="O2131" s="13" t="n"/>
      <c r="P2131" s="139" t="inlineStr">
        <is>
          <t>pieces</t>
        </is>
      </c>
      <c r="Q2131" s="2" t="n"/>
      <c r="R2131" s="1" t="n"/>
      <c r="S2131" s="229">
        <f>M2131*N2131</f>
        <v/>
      </c>
      <c r="T2131" s="230">
        <f>CONCATENATE(S2131,Q2131,P2131)</f>
        <v/>
      </c>
      <c r="U2131" s="206">
        <f>L2131*M2131</f>
        <v/>
      </c>
      <c r="V2131" s="4" t="n"/>
      <c r="W2131" s="4" t="n"/>
      <c r="X2131" s="4" t="n"/>
    </row>
    <row r="2132" ht="15.75" customHeight="1" thickBot="1">
      <c r="A2132" s="186" t="n">
        <v>401</v>
      </c>
      <c r="B2132" s="214" t="inlineStr">
        <is>
          <t>Sugar - Brown</t>
        </is>
      </c>
      <c r="C2132" s="124" t="n"/>
      <c r="D2132" s="115" t="n"/>
      <c r="E2132" s="124" t="n"/>
      <c r="F2132" s="124" t="n"/>
      <c r="G2132" s="124" t="n"/>
      <c r="H2132" s="84" t="n"/>
      <c r="I2132" s="7" t="n"/>
      <c r="J2132" s="32" t="inlineStr">
        <is>
          <t>Hermano</t>
        </is>
      </c>
      <c r="K2132" s="24" t="n"/>
      <c r="L2132" s="36" t="n">
        <v>80.59999999999999</v>
      </c>
      <c r="M2132" s="204" t="n">
        <v>1</v>
      </c>
      <c r="N2132" s="177" t="n">
        <v>1</v>
      </c>
      <c r="O2132" s="13" t="n"/>
      <c r="P2132" s="139" t="inlineStr">
        <is>
          <t>kilos</t>
        </is>
      </c>
      <c r="Q2132" s="2" t="n"/>
      <c r="R2132" s="1" t="n"/>
      <c r="S2132" s="229">
        <f>M2132*N2132</f>
        <v/>
      </c>
      <c r="T2132" s="230">
        <f>CONCATENATE(S2132,Q2132,P2132)</f>
        <v/>
      </c>
      <c r="U2132" s="206">
        <f>L2132*M2132</f>
        <v/>
      </c>
      <c r="V2132" s="4" t="n"/>
      <c r="W2132" s="4" t="n"/>
      <c r="X2132" s="4" t="n"/>
    </row>
    <row r="2133" ht="15.75" customHeight="1" thickBot="1">
      <c r="A2133" s="186" t="n">
        <v>401</v>
      </c>
      <c r="B2133" s="214" t="inlineStr">
        <is>
          <t>Sugar - Brown</t>
        </is>
      </c>
      <c r="C2133" s="124" t="n"/>
      <c r="D2133" s="115" t="n"/>
      <c r="E2133" s="124" t="n"/>
      <c r="F2133" s="124" t="n"/>
      <c r="G2133" s="124" t="n"/>
      <c r="H2133" s="84" t="n"/>
      <c r="I2133" s="7" t="n"/>
      <c r="J2133" s="32" t="inlineStr">
        <is>
          <t>Hermano</t>
        </is>
      </c>
      <c r="K2133" s="24" t="n"/>
      <c r="L2133" s="36" t="n">
        <v>42.8</v>
      </c>
      <c r="M2133" s="204" t="n">
        <v>53</v>
      </c>
      <c r="N2133" s="177" t="n">
        <v>500</v>
      </c>
      <c r="O2133" s="13" t="n"/>
      <c r="P2133" s="139" t="inlineStr">
        <is>
          <t>grams</t>
        </is>
      </c>
      <c r="Q2133" s="2" t="n"/>
      <c r="R2133" s="1" t="n"/>
      <c r="S2133" s="229">
        <f>M2133*N2133</f>
        <v/>
      </c>
      <c r="T2133" s="230">
        <f>CONCATENATE(S2133,Q2133,P2133)</f>
        <v/>
      </c>
      <c r="U2133" s="206">
        <f>L2133*M2133</f>
        <v/>
      </c>
      <c r="V2133" s="4" t="n"/>
      <c r="W2133" s="4" t="n"/>
      <c r="X2133" s="4" t="n"/>
    </row>
    <row r="2134" ht="15.75" customHeight="1" thickBot="1">
      <c r="A2134" s="186" t="n">
        <v>401</v>
      </c>
      <c r="B2134" s="214" t="inlineStr">
        <is>
          <t>Sugar - Brown</t>
        </is>
      </c>
      <c r="C2134" s="124" t="n"/>
      <c r="D2134" s="115" t="n"/>
      <c r="E2134" s="124" t="n"/>
      <c r="F2134" s="124" t="n"/>
      <c r="G2134" s="124" t="n"/>
      <c r="H2134" s="84" t="n"/>
      <c r="I2134" s="7" t="n"/>
      <c r="J2134" s="32" t="inlineStr">
        <is>
          <t>Hermano</t>
        </is>
      </c>
      <c r="K2134" s="24" t="n"/>
      <c r="L2134" s="36" t="n">
        <v>82.8</v>
      </c>
      <c r="M2134" s="204" t="n">
        <v>21</v>
      </c>
      <c r="N2134" s="177" t="n">
        <v>1</v>
      </c>
      <c r="O2134" s="13" t="n"/>
      <c r="P2134" s="139" t="inlineStr">
        <is>
          <t>kilos</t>
        </is>
      </c>
      <c r="Q2134" s="2" t="n"/>
      <c r="R2134" s="1" t="n"/>
      <c r="S2134" s="229">
        <f>M2134*N2134</f>
        <v/>
      </c>
      <c r="T2134" s="230">
        <f>CONCATENATE(S2134,Q2134,P2134)</f>
        <v/>
      </c>
      <c r="U2134" s="206">
        <f>L2134*M2134</f>
        <v/>
      </c>
      <c r="V2134" s="4" t="n"/>
      <c r="W2134" s="4" t="n"/>
      <c r="X2134" s="4" t="n"/>
    </row>
    <row r="2135" ht="15.75" customHeight="1" thickBot="1">
      <c r="A2135" s="186" t="n">
        <v>401</v>
      </c>
      <c r="B2135" s="214" t="inlineStr">
        <is>
          <t>Sugar - Brown</t>
        </is>
      </c>
      <c r="C2135" s="124" t="n"/>
      <c r="D2135" s="115" t="n"/>
      <c r="E2135" s="124" t="n"/>
      <c r="F2135" s="124" t="n"/>
      <c r="G2135" s="124" t="n"/>
      <c r="H2135" s="84" t="n"/>
      <c r="I2135" s="7" t="n"/>
      <c r="J2135" s="32" t="inlineStr">
        <is>
          <t>Hermano</t>
        </is>
      </c>
      <c r="K2135" s="24" t="n"/>
      <c r="L2135" s="36" t="n">
        <v>80.59999999999999</v>
      </c>
      <c r="M2135" s="204" t="n">
        <v>12</v>
      </c>
      <c r="N2135" s="177" t="n">
        <v>1</v>
      </c>
      <c r="O2135" s="13" t="n"/>
      <c r="P2135" s="139" t="inlineStr">
        <is>
          <t>kilos</t>
        </is>
      </c>
      <c r="Q2135" s="2" t="n"/>
      <c r="R2135" s="1" t="n"/>
      <c r="S2135" s="229">
        <f>M2135*N2135</f>
        <v/>
      </c>
      <c r="T2135" s="230">
        <f>CONCATENATE(S2135,Q2135,P2135)</f>
        <v/>
      </c>
      <c r="U2135" s="206">
        <f>L2135*M2135</f>
        <v/>
      </c>
      <c r="V2135" s="4" t="n"/>
      <c r="W2135" s="4" t="n"/>
      <c r="X2135" s="4" t="n"/>
    </row>
    <row r="2136" ht="15.75" customHeight="1" thickBot="1">
      <c r="A2136" s="186" t="n">
        <v>401</v>
      </c>
      <c r="B2136" s="214" t="inlineStr">
        <is>
          <t>Sugar - Brown</t>
        </is>
      </c>
      <c r="C2136" s="124" t="n"/>
      <c r="D2136" s="115" t="n"/>
      <c r="E2136" s="124" t="n"/>
      <c r="F2136" s="124" t="n"/>
      <c r="G2136" s="124" t="n"/>
      <c r="H2136" s="84" t="n"/>
      <c r="I2136" s="7" t="n"/>
      <c r="J2136" s="32" t="inlineStr">
        <is>
          <t>Orsomco</t>
        </is>
      </c>
      <c r="K2136" s="24" t="n"/>
      <c r="L2136" s="36" t="n">
        <v>68</v>
      </c>
      <c r="M2136" s="204" t="n">
        <v>36</v>
      </c>
      <c r="N2136" s="177" t="n">
        <v>1</v>
      </c>
      <c r="O2136" s="13" t="n"/>
      <c r="P2136" s="139" t="inlineStr">
        <is>
          <t>kilos</t>
        </is>
      </c>
      <c r="Q2136" s="2" t="n"/>
      <c r="R2136" s="1" t="n"/>
      <c r="S2136" s="229">
        <f>M2136*N2136</f>
        <v/>
      </c>
      <c r="T2136" s="230">
        <f>CONCATENATE(S2136,Q2136,P2136)</f>
        <v/>
      </c>
      <c r="U2136" s="206">
        <f>L2136*M2136</f>
        <v/>
      </c>
      <c r="V2136" s="4" t="n"/>
      <c r="W2136" s="4" t="n"/>
      <c r="X2136" s="4" t="n"/>
    </row>
    <row r="2137" ht="15.75" customHeight="1" thickBot="1">
      <c r="A2137" s="186" t="n">
        <v>401</v>
      </c>
      <c r="B2137" s="214" t="inlineStr">
        <is>
          <t>Sugar - Brown</t>
        </is>
      </c>
      <c r="C2137" s="124" t="n"/>
      <c r="D2137" s="115" t="n"/>
      <c r="E2137" s="124" t="n"/>
      <c r="F2137" s="124" t="n"/>
      <c r="G2137" s="124" t="n"/>
      <c r="H2137" s="84" t="n"/>
      <c r="I2137" s="7" t="n"/>
      <c r="J2137" s="32" t="inlineStr">
        <is>
          <t>Hermano</t>
        </is>
      </c>
      <c r="K2137" s="24" t="n"/>
      <c r="L2137" s="36" t="n">
        <v>86.2</v>
      </c>
      <c r="M2137" s="204" t="n">
        <v>25</v>
      </c>
      <c r="N2137" s="177" t="n">
        <v>1</v>
      </c>
      <c r="O2137" s="13" t="n"/>
      <c r="P2137" s="139" t="inlineStr">
        <is>
          <t>kilos</t>
        </is>
      </c>
      <c r="Q2137" s="2" t="n"/>
      <c r="R2137" s="1" t="n"/>
      <c r="S2137" s="229">
        <f>M2137*N2137</f>
        <v/>
      </c>
      <c r="T2137" s="230">
        <f>CONCATENATE(S2137,Q2137,P2137)</f>
        <v/>
      </c>
      <c r="U2137" s="206">
        <f>L2137*M2137</f>
        <v/>
      </c>
      <c r="V2137" s="4" t="n"/>
      <c r="W2137" s="4" t="n"/>
      <c r="X2137" s="4" t="n"/>
    </row>
    <row r="2138" ht="15.75" customHeight="1" thickBot="1">
      <c r="A2138" s="186" t="n">
        <v>401</v>
      </c>
      <c r="B2138" s="215" t="inlineStr">
        <is>
          <t>Sugar - Brown</t>
        </is>
      </c>
      <c r="C2138" s="124" t="n"/>
      <c r="D2138" s="115" t="n"/>
      <c r="E2138" s="124" t="n"/>
      <c r="F2138" s="124" t="n"/>
      <c r="G2138" s="124" t="n"/>
      <c r="H2138" s="84" t="n"/>
      <c r="I2138" s="7" t="n"/>
      <c r="J2138" s="32" t="n"/>
      <c r="K2138" s="24" t="n"/>
      <c r="L2138" s="36" t="n">
        <v>76</v>
      </c>
      <c r="M2138" s="204" t="n">
        <v>18</v>
      </c>
      <c r="N2138" s="177" t="n">
        <v>1</v>
      </c>
      <c r="O2138" s="13" t="n"/>
      <c r="P2138" s="139" t="inlineStr">
        <is>
          <t>kilos</t>
        </is>
      </c>
      <c r="Q2138" s="2" t="n"/>
      <c r="R2138" s="1" t="n"/>
      <c r="S2138" s="229">
        <f>M2138*N2138</f>
        <v/>
      </c>
      <c r="T2138" s="230">
        <f>CONCATENATE(S2138,Q2138,P2138)</f>
        <v/>
      </c>
      <c r="U2138" s="206">
        <f>L2138*M2138</f>
        <v/>
      </c>
      <c r="V2138" s="4" t="n"/>
      <c r="W2138" s="4" t="n"/>
      <c r="X2138" s="4" t="n"/>
    </row>
    <row r="2139" ht="15.75" customHeight="1" thickBot="1">
      <c r="A2139" s="186" t="n">
        <v>401</v>
      </c>
      <c r="B2139" s="214" t="inlineStr">
        <is>
          <t>Sugar - Brown</t>
        </is>
      </c>
      <c r="C2139" s="124" t="n"/>
      <c r="D2139" s="115" t="n"/>
      <c r="E2139" s="124" t="n"/>
      <c r="F2139" s="124" t="n"/>
      <c r="G2139" s="124" t="n"/>
      <c r="H2139" s="84" t="n"/>
      <c r="I2139" s="7" t="n"/>
      <c r="J2139" s="32" t="inlineStr">
        <is>
          <t>Hermano</t>
        </is>
      </c>
      <c r="K2139" s="24" t="n"/>
      <c r="L2139" s="36" t="n">
        <v>79.7</v>
      </c>
      <c r="M2139" s="204" t="n">
        <v>9</v>
      </c>
      <c r="N2139" s="177" t="n">
        <v>1</v>
      </c>
      <c r="O2139" s="13" t="n"/>
      <c r="P2139" s="139" t="inlineStr">
        <is>
          <t>kilos</t>
        </is>
      </c>
      <c r="Q2139" s="2" t="n"/>
      <c r="R2139" s="1" t="n"/>
      <c r="S2139" s="229">
        <f>M2139*N2139</f>
        <v/>
      </c>
      <c r="T2139" s="230">
        <f>CONCATENATE(S2139,Q2139,P2139)</f>
        <v/>
      </c>
      <c r="U2139" s="206">
        <f>L2139*M2139</f>
        <v/>
      </c>
      <c r="V2139" s="4" t="n"/>
      <c r="W2139" s="4" t="n"/>
      <c r="X2139" s="4" t="n"/>
    </row>
    <row r="2140" ht="15.75" customHeight="1" thickBot="1">
      <c r="A2140" s="186" t="n">
        <v>401</v>
      </c>
      <c r="B2140" s="214" t="inlineStr">
        <is>
          <t>Sugar - Brown</t>
        </is>
      </c>
      <c r="C2140" s="124" t="n"/>
      <c r="D2140" s="115" t="n"/>
      <c r="E2140" s="124" t="n"/>
      <c r="F2140" s="124" t="n"/>
      <c r="G2140" s="124" t="n"/>
      <c r="H2140" s="84" t="n"/>
      <c r="I2140" s="7" t="n"/>
      <c r="J2140" s="32" t="inlineStr">
        <is>
          <t>Hermano</t>
        </is>
      </c>
      <c r="K2140" s="24" t="n"/>
      <c r="L2140" s="36" t="n">
        <v>80.59999999999999</v>
      </c>
      <c r="M2140" s="204" t="n">
        <v>40</v>
      </c>
      <c r="N2140" s="177" t="n">
        <v>1</v>
      </c>
      <c r="O2140" s="13" t="n"/>
      <c r="P2140" s="139" t="inlineStr">
        <is>
          <t>kilos</t>
        </is>
      </c>
      <c r="Q2140" s="2" t="n"/>
      <c r="R2140" s="1" t="n"/>
      <c r="S2140" s="229">
        <f>M2140*N2140</f>
        <v/>
      </c>
      <c r="T2140" s="230">
        <f>CONCATENATE(S2140,Q2140,P2140)</f>
        <v/>
      </c>
      <c r="U2140" s="206">
        <f>L2140*M2140</f>
        <v/>
      </c>
      <c r="V2140" s="4" t="n"/>
      <c r="W2140" s="4" t="n"/>
      <c r="X2140" s="4" t="n"/>
    </row>
    <row r="2141" ht="15.75" customHeight="1" thickBot="1">
      <c r="A2141" s="186" t="n">
        <v>854</v>
      </c>
      <c r="B2141" s="214" t="inlineStr">
        <is>
          <t>Sugar - Sachet</t>
        </is>
      </c>
      <c r="C2141" s="124" t="n"/>
      <c r="D2141" s="115" t="n"/>
      <c r="E2141" s="124" t="n"/>
      <c r="F2141" s="124" t="n"/>
      <c r="G2141" s="124" t="n"/>
      <c r="H2141" s="84" t="n"/>
      <c r="I2141" s="7" t="n"/>
      <c r="J2141" s="32" t="inlineStr">
        <is>
          <t>Equal</t>
        </is>
      </c>
      <c r="K2141" s="24" t="n"/>
      <c r="L2141" s="36" t="n">
        <v>22</v>
      </c>
      <c r="M2141" s="204" t="n">
        <v>5</v>
      </c>
      <c r="N2141" s="177" t="n">
        <v>1</v>
      </c>
      <c r="O2141" s="13" t="n"/>
      <c r="P2141" s="139" t="inlineStr">
        <is>
          <t>grams</t>
        </is>
      </c>
      <c r="Q2141" s="2" t="n"/>
      <c r="R2141" s="1" t="n"/>
      <c r="S2141" s="229">
        <f>M2141*N2141</f>
        <v/>
      </c>
      <c r="T2141" s="230">
        <f>CONCATENATE(S2141,Q2141,P2141)</f>
        <v/>
      </c>
      <c r="U2141" s="206">
        <f>L2141*M2141</f>
        <v/>
      </c>
      <c r="V2141" s="4" t="n"/>
      <c r="W2141" s="4" t="n"/>
      <c r="X2141" s="4" t="n"/>
    </row>
    <row r="2142" ht="15.75" customHeight="1" thickBot="1">
      <c r="A2142" s="186" t="n">
        <v>854</v>
      </c>
      <c r="B2142" s="214" t="inlineStr">
        <is>
          <t>Sugar - Sachet</t>
        </is>
      </c>
      <c r="C2142" s="124" t="n"/>
      <c r="D2142" s="115" t="n"/>
      <c r="E2142" s="124" t="n"/>
      <c r="F2142" s="124" t="n"/>
      <c r="G2142" s="124" t="n"/>
      <c r="H2142" s="84" t="n"/>
      <c r="I2142" s="7" t="n"/>
      <c r="J2142" s="32" t="inlineStr">
        <is>
          <t>Splenda</t>
        </is>
      </c>
      <c r="K2142" s="24" t="n"/>
      <c r="L2142" s="36" t="n">
        <v>75</v>
      </c>
      <c r="M2142" s="204" t="n">
        <v>9</v>
      </c>
      <c r="N2142" s="177" t="n">
        <v>50</v>
      </c>
      <c r="O2142" s="13" t="n"/>
      <c r="P2142" s="139" t="inlineStr">
        <is>
          <t>pieces</t>
        </is>
      </c>
      <c r="Q2142" s="2" t="n"/>
      <c r="R2142" s="1" t="n"/>
      <c r="S2142" s="229">
        <f>M2142*N2142</f>
        <v/>
      </c>
      <c r="T2142" s="230">
        <f>CONCATENATE(S2142,Q2142,P2142)</f>
        <v/>
      </c>
      <c r="U2142" s="206">
        <f>L2142*M2142</f>
        <v/>
      </c>
      <c r="V2142" s="4" t="n"/>
      <c r="W2142" s="4" t="n"/>
      <c r="X2142" s="4" t="n"/>
    </row>
    <row r="2143" ht="15.75" customHeight="1" thickBot="1">
      <c r="A2143" s="186" t="n">
        <v>854</v>
      </c>
      <c r="B2143" s="214" t="inlineStr">
        <is>
          <t>Sugar - Sachet</t>
        </is>
      </c>
      <c r="C2143" s="124" t="n"/>
      <c r="D2143" s="115" t="n"/>
      <c r="E2143" s="124" t="n"/>
      <c r="F2143" s="124" t="n"/>
      <c r="G2143" s="124" t="n"/>
      <c r="H2143" s="84" t="n"/>
      <c r="I2143" s="7" t="n"/>
      <c r="J2143" s="32" t="inlineStr">
        <is>
          <t>Splenda</t>
        </is>
      </c>
      <c r="K2143" s="24" t="n"/>
      <c r="L2143" s="36" t="n">
        <v>1.5</v>
      </c>
      <c r="M2143" s="204" t="n">
        <v>10</v>
      </c>
      <c r="N2143" s="177" t="n">
        <v>50</v>
      </c>
      <c r="O2143" s="13" t="n"/>
      <c r="P2143" s="139" t="inlineStr">
        <is>
          <t>pieces</t>
        </is>
      </c>
      <c r="Q2143" s="2" t="n"/>
      <c r="R2143" s="1" t="n"/>
      <c r="S2143" s="229">
        <f>M2143*N2143</f>
        <v/>
      </c>
      <c r="T2143" s="230">
        <f>CONCATENATE(S2143,Q2143,P2143)</f>
        <v/>
      </c>
      <c r="U2143" s="206">
        <f>L2143*M2143</f>
        <v/>
      </c>
      <c r="V2143" s="4" t="n"/>
      <c r="W2143" s="4" t="n"/>
      <c r="X2143" s="4" t="n"/>
    </row>
    <row r="2144" ht="15.75" customHeight="1" thickBot="1">
      <c r="A2144" s="186" t="n">
        <v>854</v>
      </c>
      <c r="B2144" s="214" t="inlineStr">
        <is>
          <t>Sugar - Sachet</t>
        </is>
      </c>
      <c r="C2144" s="124" t="n"/>
      <c r="D2144" s="115" t="n"/>
      <c r="E2144" s="124" t="n"/>
      <c r="F2144" s="124" t="n"/>
      <c r="G2144" s="124" t="n"/>
      <c r="H2144" s="84" t="n"/>
      <c r="I2144" s="7" t="n"/>
      <c r="J2144" s="32" t="inlineStr">
        <is>
          <t>Golden Harvest</t>
        </is>
      </c>
      <c r="K2144" s="24" t="n"/>
      <c r="L2144" s="36" t="n">
        <v>1.65</v>
      </c>
      <c r="M2144" s="204" t="n">
        <v>978</v>
      </c>
      <c r="N2144" s="177" t="n">
        <v>5</v>
      </c>
      <c r="O2144" s="13" t="n"/>
      <c r="P2144" s="139" t="inlineStr">
        <is>
          <t>grams</t>
        </is>
      </c>
      <c r="Q2144" s="2" t="n"/>
      <c r="R2144" s="1" t="n"/>
      <c r="S2144" s="229">
        <f>M2144*N2144</f>
        <v/>
      </c>
      <c r="T2144" s="230">
        <f>CONCATENATE(S2144,Q2144,P2144)</f>
        <v/>
      </c>
      <c r="U2144" s="206">
        <f>L2144*M2144</f>
        <v/>
      </c>
      <c r="V2144" s="4" t="n"/>
      <c r="W2144" s="4" t="n"/>
      <c r="X2144" s="4" t="n"/>
    </row>
    <row r="2145" ht="15.75" customHeight="1" thickBot="1">
      <c r="A2145" s="186" t="n">
        <v>854</v>
      </c>
      <c r="B2145" s="214" t="inlineStr">
        <is>
          <t>Sugar - Sachet</t>
        </is>
      </c>
      <c r="C2145" s="124" t="n"/>
      <c r="D2145" s="115" t="n"/>
      <c r="E2145" s="124" t="n"/>
      <c r="F2145" s="124" t="n"/>
      <c r="G2145" s="124" t="n"/>
      <c r="H2145" s="84" t="n"/>
      <c r="I2145" s="7" t="n"/>
      <c r="J2145" s="32" t="inlineStr">
        <is>
          <t>Depot</t>
        </is>
      </c>
      <c r="K2145" s="24" t="n"/>
      <c r="L2145" s="36" t="n">
        <v>1.06</v>
      </c>
      <c r="M2145" s="204" t="n">
        <v>1500</v>
      </c>
      <c r="N2145" s="177" t="n">
        <v>5</v>
      </c>
      <c r="O2145" s="13" t="n"/>
      <c r="P2145" s="139" t="inlineStr">
        <is>
          <t>grams</t>
        </is>
      </c>
      <c r="Q2145" s="2" t="n"/>
      <c r="R2145" s="1" t="n"/>
      <c r="S2145" s="229">
        <f>M2145*N2145</f>
        <v/>
      </c>
      <c r="T2145" s="230">
        <f>CONCATENATE(S2145,Q2145,P2145)</f>
        <v/>
      </c>
      <c r="U2145" s="206">
        <f>L2145*M2145</f>
        <v/>
      </c>
      <c r="V2145" s="4" t="n"/>
      <c r="W2145" s="4" t="n"/>
      <c r="X2145" s="4" t="n"/>
    </row>
    <row r="2146" ht="15.75" customHeight="1" thickBot="1">
      <c r="A2146" s="186" t="n">
        <v>854</v>
      </c>
      <c r="B2146" s="215" t="inlineStr">
        <is>
          <t>Sugar - Sachet</t>
        </is>
      </c>
      <c r="C2146" s="124" t="n"/>
      <c r="D2146" s="115" t="n"/>
      <c r="E2146" s="124" t="n"/>
      <c r="F2146" s="124" t="n"/>
      <c r="G2146" s="124" t="n"/>
      <c r="H2146" s="84" t="n"/>
      <c r="I2146" s="7" t="n"/>
      <c r="J2146" s="32" t="inlineStr">
        <is>
          <t>Golden Harvest</t>
        </is>
      </c>
      <c r="K2146" s="24" t="n"/>
      <c r="L2146" s="36" t="n">
        <v>1.2</v>
      </c>
      <c r="M2146" s="204" t="n">
        <v>23</v>
      </c>
      <c r="N2146" s="177" t="n">
        <v>5</v>
      </c>
      <c r="O2146" s="13" t="n"/>
      <c r="P2146" s="139" t="inlineStr">
        <is>
          <t>grams</t>
        </is>
      </c>
      <c r="Q2146" s="2" t="n"/>
      <c r="R2146" s="1" t="n"/>
      <c r="S2146" s="229">
        <f>M2146*N2146</f>
        <v/>
      </c>
      <c r="T2146" s="230">
        <f>CONCATENATE(S2146,Q2146,P2146)</f>
        <v/>
      </c>
      <c r="U2146" s="206">
        <f>L2146*M2146</f>
        <v/>
      </c>
      <c r="V2146" s="4" t="n"/>
      <c r="W2146" s="4" t="n"/>
      <c r="X2146" s="4" t="n"/>
    </row>
    <row r="2147" ht="15.75" customHeight="1" thickBot="1">
      <c r="A2147" s="186" t="n">
        <v>404</v>
      </c>
      <c r="B2147" s="214" t="inlineStr">
        <is>
          <t>Sugar - Washed</t>
        </is>
      </c>
      <c r="C2147" s="124" t="n"/>
      <c r="D2147" s="115" t="n"/>
      <c r="E2147" s="124" t="n"/>
      <c r="F2147" s="124" t="n"/>
      <c r="G2147" s="124" t="n"/>
      <c r="H2147" s="84" t="n"/>
      <c r="I2147" s="7" t="n"/>
      <c r="J2147" s="32" t="inlineStr">
        <is>
          <t>Hermano</t>
        </is>
      </c>
      <c r="K2147" s="24" t="n"/>
      <c r="L2147" s="36" t="n">
        <v>86.2</v>
      </c>
      <c r="M2147" s="204" t="n">
        <v>5</v>
      </c>
      <c r="N2147" s="177" t="n">
        <v>1</v>
      </c>
      <c r="O2147" s="13" t="n"/>
      <c r="P2147" s="139" t="inlineStr">
        <is>
          <t>kilos</t>
        </is>
      </c>
      <c r="Q2147" s="2" t="n"/>
      <c r="R2147" s="1" t="n"/>
      <c r="S2147" s="229">
        <f>M2147*N2147</f>
        <v/>
      </c>
      <c r="T2147" s="230">
        <f>CONCATENATE(S2147,Q2147,P2147)</f>
        <v/>
      </c>
      <c r="U2147" s="206">
        <f>L2147*M2147</f>
        <v/>
      </c>
      <c r="V2147" s="4" t="n"/>
      <c r="W2147" s="4" t="n"/>
      <c r="X2147" s="4" t="n"/>
    </row>
    <row r="2148" ht="15.75" customHeight="1" thickBot="1">
      <c r="A2148" s="186" t="n">
        <v>404</v>
      </c>
      <c r="B2148" s="214" t="inlineStr">
        <is>
          <t>Sugar - Washed</t>
        </is>
      </c>
      <c r="C2148" s="124" t="n"/>
      <c r="D2148" s="115" t="n"/>
      <c r="E2148" s="124" t="n"/>
      <c r="F2148" s="124" t="n"/>
      <c r="G2148" s="124" t="n"/>
      <c r="H2148" s="84" t="n"/>
      <c r="I2148" s="7" t="n"/>
      <c r="J2148" s="32" t="inlineStr">
        <is>
          <t>Carandang Merchandise</t>
        </is>
      </c>
      <c r="K2148" s="24" t="n"/>
      <c r="L2148" s="36" t="n">
        <v>60</v>
      </c>
      <c r="M2148" s="204" t="n">
        <v>24</v>
      </c>
      <c r="N2148" s="177" t="n">
        <v>1</v>
      </c>
      <c r="O2148" s="13" t="n"/>
      <c r="P2148" s="139" t="inlineStr">
        <is>
          <t>kilos</t>
        </is>
      </c>
      <c r="Q2148" s="2" t="n"/>
      <c r="R2148" s="1" t="n"/>
      <c r="S2148" s="229">
        <f>M2148*N2148</f>
        <v/>
      </c>
      <c r="T2148" s="230">
        <f>CONCATENATE(S2148,Q2148,P2148)</f>
        <v/>
      </c>
      <c r="U2148" s="206">
        <f>L2148*M2148</f>
        <v/>
      </c>
      <c r="V2148" s="4" t="n"/>
      <c r="W2148" s="4" t="n"/>
      <c r="X2148" s="4" t="n"/>
    </row>
    <row r="2149" ht="15.75" customHeight="1" thickBot="1">
      <c r="A2149" s="186" t="n">
        <v>405</v>
      </c>
      <c r="B2149" s="214" t="inlineStr">
        <is>
          <t>Sugar - White</t>
        </is>
      </c>
      <c r="C2149" s="124" t="n"/>
      <c r="D2149" s="115" t="n"/>
      <c r="E2149" s="124" t="n"/>
      <c r="F2149" s="124" t="n"/>
      <c r="G2149" s="124" t="n"/>
      <c r="H2149" s="84" t="n"/>
      <c r="I2149" s="7" t="n"/>
      <c r="J2149" s="32" t="inlineStr">
        <is>
          <t>Hermano</t>
        </is>
      </c>
      <c r="K2149" s="24" t="n"/>
      <c r="L2149" s="36" t="n">
        <v>89.3</v>
      </c>
      <c r="M2149" s="204" t="n">
        <v>12</v>
      </c>
      <c r="N2149" s="177" t="n">
        <v>1</v>
      </c>
      <c r="O2149" s="13" t="n"/>
      <c r="P2149" s="139" t="inlineStr">
        <is>
          <t>kilos</t>
        </is>
      </c>
      <c r="Q2149" s="2" t="n"/>
      <c r="R2149" s="1" t="n"/>
      <c r="S2149" s="229">
        <f>M2149*N2149</f>
        <v/>
      </c>
      <c r="T2149" s="230">
        <f>CONCATENATE(S2149,Q2149,P2149)</f>
        <v/>
      </c>
      <c r="U2149" s="206">
        <f>L2149*M2149</f>
        <v/>
      </c>
      <c r="V2149" s="4" t="n"/>
      <c r="W2149" s="4" t="n"/>
      <c r="X2149" s="4" t="n"/>
    </row>
    <row r="2150" ht="15.75" customHeight="1" thickBot="1">
      <c r="A2150" s="186" t="n">
        <v>405</v>
      </c>
      <c r="B2150" s="214" t="inlineStr">
        <is>
          <t>Sugar - White</t>
        </is>
      </c>
      <c r="C2150" s="124" t="n"/>
      <c r="D2150" s="115" t="n"/>
      <c r="E2150" s="124" t="n"/>
      <c r="F2150" s="124" t="n"/>
      <c r="G2150" s="124" t="n"/>
      <c r="H2150" s="84" t="n"/>
      <c r="I2150" s="7" t="n"/>
      <c r="J2150" s="32" t="inlineStr">
        <is>
          <t>Hermano</t>
        </is>
      </c>
      <c r="K2150" s="24" t="n"/>
      <c r="L2150" s="36" t="n">
        <v>85.5</v>
      </c>
      <c r="M2150" s="204" t="n">
        <v>15</v>
      </c>
      <c r="N2150" s="177" t="n">
        <v>1</v>
      </c>
      <c r="O2150" s="13" t="n"/>
      <c r="P2150" s="139" t="inlineStr">
        <is>
          <t>kilos</t>
        </is>
      </c>
      <c r="Q2150" s="2" t="n"/>
      <c r="R2150" s="1" t="n"/>
      <c r="S2150" s="229">
        <f>M2150*N2150</f>
        <v/>
      </c>
      <c r="T2150" s="230">
        <f>CONCATENATE(S2150,Q2150,P2150)</f>
        <v/>
      </c>
      <c r="U2150" s="206">
        <f>L2150*M2150</f>
        <v/>
      </c>
      <c r="V2150" s="4" t="n"/>
      <c r="W2150" s="4" t="n"/>
      <c r="X2150" s="4" t="n"/>
    </row>
    <row r="2151" ht="15.75" customHeight="1" thickBot="1">
      <c r="A2151" s="186" t="n">
        <v>405</v>
      </c>
      <c r="B2151" s="214" t="inlineStr">
        <is>
          <t>Sugar - White</t>
        </is>
      </c>
      <c r="C2151" s="124" t="n"/>
      <c r="D2151" s="115" t="n"/>
      <c r="E2151" s="124" t="n"/>
      <c r="F2151" s="124" t="n"/>
      <c r="G2151" s="124" t="n"/>
      <c r="H2151" s="84" t="n"/>
      <c r="I2151" s="7" t="n"/>
      <c r="J2151" s="32" t="inlineStr">
        <is>
          <t>Busco</t>
        </is>
      </c>
      <c r="K2151" s="24" t="n"/>
      <c r="L2151" s="36" t="n">
        <v>90</v>
      </c>
      <c r="M2151" s="204" t="n">
        <v>16</v>
      </c>
      <c r="N2151" s="177" t="n">
        <v>1</v>
      </c>
      <c r="O2151" s="13" t="n"/>
      <c r="P2151" s="139" t="inlineStr">
        <is>
          <t>kilos</t>
        </is>
      </c>
      <c r="Q2151" s="2" t="n"/>
      <c r="R2151" s="1" t="n"/>
      <c r="S2151" s="229">
        <f>M2151*N2151</f>
        <v/>
      </c>
      <c r="T2151" s="230">
        <f>CONCATENATE(S2151,Q2151,P2151)</f>
        <v/>
      </c>
      <c r="U2151" s="206">
        <f>L2151*M2151</f>
        <v/>
      </c>
      <c r="V2151" s="4" t="n"/>
      <c r="W2151" s="4" t="n"/>
      <c r="X2151" s="4" t="n"/>
    </row>
    <row r="2152" ht="15.75" customHeight="1" thickBot="1">
      <c r="A2152" s="186" t="n">
        <v>405</v>
      </c>
      <c r="B2152" s="214" t="inlineStr">
        <is>
          <t>Sugar - White</t>
        </is>
      </c>
      <c r="C2152" s="124" t="n"/>
      <c r="D2152" s="115" t="n"/>
      <c r="E2152" s="124" t="n"/>
      <c r="F2152" s="124" t="n"/>
      <c r="G2152" s="124" t="n"/>
      <c r="H2152" s="84" t="n"/>
      <c r="I2152" s="7" t="n"/>
      <c r="J2152" s="32" t="inlineStr">
        <is>
          <t>Hermano</t>
        </is>
      </c>
      <c r="K2152" s="24" t="n"/>
      <c r="L2152" s="36" t="n">
        <v>98</v>
      </c>
      <c r="M2152" s="204" t="n">
        <v>23</v>
      </c>
      <c r="N2152" s="177" t="n">
        <v>1</v>
      </c>
      <c r="O2152" s="13" t="n"/>
      <c r="P2152" s="139" t="inlineStr">
        <is>
          <t>kilos</t>
        </is>
      </c>
      <c r="Q2152" s="2" t="n"/>
      <c r="R2152" s="1" t="n"/>
      <c r="S2152" s="229">
        <f>M2152*N2152</f>
        <v/>
      </c>
      <c r="T2152" s="230">
        <f>CONCATENATE(S2152,Q2152,P2152)</f>
        <v/>
      </c>
      <c r="U2152" s="206">
        <f>L2152*M2152</f>
        <v/>
      </c>
      <c r="V2152" s="4" t="n"/>
      <c r="W2152" s="4" t="n"/>
      <c r="X2152" s="4" t="n"/>
    </row>
    <row r="2153" ht="15.75" customHeight="1" thickBot="1">
      <c r="A2153" s="186" t="n">
        <v>405</v>
      </c>
      <c r="B2153" s="214" t="inlineStr">
        <is>
          <t>Sugar - White</t>
        </is>
      </c>
      <c r="C2153" s="124" t="n"/>
      <c r="D2153" s="115" t="n"/>
      <c r="E2153" s="124" t="n"/>
      <c r="F2153" s="124" t="n"/>
      <c r="G2153" s="124" t="n"/>
      <c r="H2153" s="84" t="n"/>
      <c r="I2153" s="7" t="n"/>
      <c r="J2153" s="32" t="inlineStr">
        <is>
          <t>Carandang Merchandise</t>
        </is>
      </c>
      <c r="K2153" s="24" t="n"/>
      <c r="L2153" s="36" t="n">
        <v>68</v>
      </c>
      <c r="M2153" s="204" t="n">
        <v>22</v>
      </c>
      <c r="N2153" s="177" t="n">
        <v>1</v>
      </c>
      <c r="O2153" s="13" t="n"/>
      <c r="P2153" s="139" t="inlineStr">
        <is>
          <t>kilos</t>
        </is>
      </c>
      <c r="Q2153" s="2" t="n"/>
      <c r="R2153" s="1" t="n"/>
      <c r="S2153" s="229">
        <f>M2153*N2153</f>
        <v/>
      </c>
      <c r="T2153" s="230">
        <f>CONCATENATE(S2153,Q2153,P2153)</f>
        <v/>
      </c>
      <c r="U2153" s="206">
        <f>L2153*M2153</f>
        <v/>
      </c>
      <c r="V2153" s="4" t="n"/>
      <c r="W2153" s="4" t="n"/>
      <c r="X2153" s="4" t="n"/>
    </row>
    <row r="2154" ht="15.75" customHeight="1" thickBot="1">
      <c r="A2154" s="186" t="n">
        <v>405</v>
      </c>
      <c r="B2154" s="215" t="inlineStr">
        <is>
          <t>Sugar - White</t>
        </is>
      </c>
      <c r="C2154" s="124" t="n"/>
      <c r="D2154" s="115" t="n"/>
      <c r="E2154" s="124" t="n"/>
      <c r="F2154" s="124" t="n"/>
      <c r="G2154" s="124" t="n"/>
      <c r="H2154" s="84" t="n"/>
      <c r="I2154" s="7" t="n"/>
      <c r="J2154" s="32" t="inlineStr">
        <is>
          <t>Suy Sing - My Everyday</t>
        </is>
      </c>
      <c r="K2154" s="24" t="n"/>
      <c r="L2154" s="36" t="n">
        <v>1.32</v>
      </c>
      <c r="M2154" s="204" t="n">
        <v>200</v>
      </c>
      <c r="N2154" s="177" t="n">
        <v>1</v>
      </c>
      <c r="O2154" s="13" t="n"/>
      <c r="P2154" s="139" t="inlineStr">
        <is>
          <t>grams</t>
        </is>
      </c>
      <c r="Q2154" s="2" t="n"/>
      <c r="R2154" s="1" t="n"/>
      <c r="S2154" s="229">
        <f>M2154*N2154</f>
        <v/>
      </c>
      <c r="T2154" s="230">
        <f>CONCATENATE(S2154,Q2154,P2154)</f>
        <v/>
      </c>
      <c r="U2154" s="206">
        <f>L2154*M2154</f>
        <v/>
      </c>
      <c r="V2154" s="4" t="n"/>
      <c r="W2154" s="4" t="n"/>
      <c r="X2154" s="4" t="n"/>
    </row>
    <row r="2155" ht="15.75" customHeight="1" thickBot="1">
      <c r="A2155" s="186" t="n">
        <v>405</v>
      </c>
      <c r="B2155" s="214" t="inlineStr">
        <is>
          <t>Sugar - White</t>
        </is>
      </c>
      <c r="C2155" s="124" t="n"/>
      <c r="D2155" s="115" t="n"/>
      <c r="E2155" s="124" t="n"/>
      <c r="F2155" s="124" t="n"/>
      <c r="G2155" s="124" t="n"/>
      <c r="H2155" s="84" t="n"/>
      <c r="I2155" s="7" t="n"/>
      <c r="J2155" s="32" t="inlineStr">
        <is>
          <t>Hermano</t>
        </is>
      </c>
      <c r="K2155" s="24" t="n"/>
      <c r="L2155" s="36" t="n">
        <v>82</v>
      </c>
      <c r="M2155" s="204" t="n">
        <v>4</v>
      </c>
      <c r="N2155" s="177" t="n">
        <v>1</v>
      </c>
      <c r="O2155" s="13" t="n"/>
      <c r="P2155" s="139" t="inlineStr">
        <is>
          <t>kilos</t>
        </is>
      </c>
      <c r="Q2155" s="2" t="n"/>
      <c r="R2155" s="1" t="n"/>
      <c r="S2155" s="229">
        <f>M2155*N2155</f>
        <v/>
      </c>
      <c r="T2155" s="230">
        <f>CONCATENATE(S2155,Q2155,P2155)</f>
        <v/>
      </c>
      <c r="U2155" s="206">
        <f>L2155*M2155</f>
        <v/>
      </c>
      <c r="V2155" s="4" t="n"/>
      <c r="W2155" s="4" t="n"/>
      <c r="X2155" s="4" t="n"/>
    </row>
    <row r="2156" ht="15.75" customHeight="1" thickBot="1">
      <c r="A2156" s="186" t="n">
        <v>405</v>
      </c>
      <c r="B2156" s="215" t="inlineStr">
        <is>
          <t>Sugar - White</t>
        </is>
      </c>
      <c r="C2156" s="124" t="n"/>
      <c r="D2156" s="115" t="n"/>
      <c r="E2156" s="124" t="n"/>
      <c r="F2156" s="124" t="n"/>
      <c r="G2156" s="124" t="n"/>
      <c r="H2156" s="84" t="n"/>
      <c r="I2156" s="7" t="n"/>
      <c r="J2156" s="32" t="n"/>
      <c r="K2156" s="24" t="n"/>
      <c r="L2156" s="36" t="n">
        <v>78</v>
      </c>
      <c r="M2156" s="204" t="n">
        <v>18</v>
      </c>
      <c r="N2156" s="177" t="n">
        <v>1</v>
      </c>
      <c r="O2156" s="13" t="n"/>
      <c r="P2156" s="139" t="inlineStr">
        <is>
          <t>kilos</t>
        </is>
      </c>
      <c r="Q2156" s="2" t="n"/>
      <c r="R2156" s="1" t="n"/>
      <c r="S2156" s="229">
        <f>M2156*N2156</f>
        <v/>
      </c>
      <c r="T2156" s="230">
        <f>CONCATENATE(S2156,Q2156,P2156)</f>
        <v/>
      </c>
      <c r="U2156" s="206">
        <f>L2156*M2156</f>
        <v/>
      </c>
      <c r="V2156" s="4" t="n"/>
      <c r="W2156" s="4" t="n"/>
      <c r="X2156" s="4" t="n"/>
    </row>
    <row r="2157" ht="15.75" customHeight="1" thickBot="1">
      <c r="A2157" s="186" t="n">
        <v>855</v>
      </c>
      <c r="B2157" s="214" t="inlineStr">
        <is>
          <t>Sundried Pesto</t>
        </is>
      </c>
      <c r="C2157" s="124" t="n"/>
      <c r="D2157" s="115" t="n"/>
      <c r="E2157" s="124" t="n"/>
      <c r="F2157" s="124" t="n"/>
      <c r="G2157" s="124" t="n"/>
      <c r="H2157" s="84" t="n"/>
      <c r="I2157" s="7" t="n"/>
      <c r="J2157" s="32" t="inlineStr">
        <is>
          <t>Filippo Berio</t>
        </is>
      </c>
      <c r="K2157" s="24" t="n"/>
      <c r="L2157" s="36" t="n">
        <v>179</v>
      </c>
      <c r="M2157" s="204" t="n">
        <v>1</v>
      </c>
      <c r="N2157" s="177" t="n">
        <v>190</v>
      </c>
      <c r="O2157" s="13" t="n"/>
      <c r="P2157" s="139" t="inlineStr">
        <is>
          <t>grams</t>
        </is>
      </c>
      <c r="Q2157" s="2" t="n"/>
      <c r="R2157" s="1" t="n"/>
      <c r="S2157" s="229">
        <f>M2157*N2157</f>
        <v/>
      </c>
      <c r="T2157" s="230">
        <f>CONCATENATE(S2157,Q2157,P2157)</f>
        <v/>
      </c>
      <c r="U2157" s="206">
        <f>L2157*M2157</f>
        <v/>
      </c>
      <c r="V2157" s="4" t="n"/>
      <c r="W2157" s="4" t="n"/>
      <c r="X2157" s="4" t="n"/>
    </row>
    <row r="2158" ht="15.75" customHeight="1" thickBot="1">
      <c r="A2158" s="186" t="n">
        <v>856</v>
      </c>
      <c r="B2158" s="215" t="inlineStr">
        <is>
          <t>Sweet Chilli Sauce</t>
        </is>
      </c>
      <c r="C2158" s="124" t="n"/>
      <c r="D2158" s="115" t="n"/>
      <c r="E2158" s="124" t="n"/>
      <c r="F2158" s="124" t="n"/>
      <c r="G2158" s="124" t="n"/>
      <c r="H2158" s="84" t="n"/>
      <c r="I2158" s="7" t="n"/>
      <c r="J2158" s="32" t="inlineStr">
        <is>
          <t>UFC</t>
        </is>
      </c>
      <c r="K2158" s="24" t="n"/>
      <c r="L2158" s="36" t="n">
        <v>40</v>
      </c>
      <c r="M2158" s="204" t="n">
        <v>2</v>
      </c>
      <c r="N2158" s="177" t="n">
        <v>340</v>
      </c>
      <c r="O2158" s="13" t="n"/>
      <c r="P2158" s="139" t="inlineStr">
        <is>
          <t>grams</t>
        </is>
      </c>
      <c r="Q2158" s="2" t="n"/>
      <c r="R2158" s="1" t="n"/>
      <c r="S2158" s="229">
        <f>M2158*N2158</f>
        <v/>
      </c>
      <c r="T2158" s="230">
        <f>CONCATENATE(S2158,Q2158,P2158)</f>
        <v/>
      </c>
      <c r="U2158" s="206">
        <f>L2158*M2158</f>
        <v/>
      </c>
      <c r="V2158" s="4" t="n"/>
      <c r="W2158" s="4" t="n"/>
      <c r="X2158" s="4" t="n"/>
    </row>
    <row r="2159" ht="15.75" customHeight="1" thickBot="1">
      <c r="A2159" s="186" t="n">
        <v>857</v>
      </c>
      <c r="B2159" s="214" t="inlineStr">
        <is>
          <t>Sweet Ham</t>
        </is>
      </c>
      <c r="C2159" s="124" t="n"/>
      <c r="D2159" s="115" t="n"/>
      <c r="E2159" s="124" t="n"/>
      <c r="F2159" s="124" t="n"/>
      <c r="G2159" s="124" t="n"/>
      <c r="H2159" s="84" t="n"/>
      <c r="I2159" s="7" t="n"/>
      <c r="J2159" s="32" t="inlineStr">
        <is>
          <t>Vida</t>
        </is>
      </c>
      <c r="K2159" s="24" t="n"/>
      <c r="L2159" s="36" t="n">
        <v>48.45</v>
      </c>
      <c r="M2159" s="204" t="n">
        <v>2</v>
      </c>
      <c r="N2159" s="177" t="n">
        <v>250</v>
      </c>
      <c r="O2159" s="13" t="n"/>
      <c r="P2159" s="139" t="inlineStr">
        <is>
          <t>grams</t>
        </is>
      </c>
      <c r="Q2159" s="2" t="n"/>
      <c r="R2159" s="1" t="n"/>
      <c r="S2159" s="229">
        <f>M2159*N2159</f>
        <v/>
      </c>
      <c r="T2159" s="230">
        <f>CONCATENATE(S2159,Q2159,P2159)</f>
        <v/>
      </c>
      <c r="U2159" s="206">
        <f>L2159*M2159</f>
        <v/>
      </c>
      <c r="V2159" s="4" t="n"/>
      <c r="W2159" s="4" t="n"/>
      <c r="X2159" s="4" t="n"/>
    </row>
    <row r="2160" ht="15.75" customHeight="1" thickBot="1">
      <c r="A2160" s="186" t="n">
        <v>857</v>
      </c>
      <c r="B2160" s="215" t="inlineStr">
        <is>
          <t>Sweet Ham</t>
        </is>
      </c>
      <c r="C2160" s="124" t="n"/>
      <c r="D2160" s="115" t="n"/>
      <c r="E2160" s="124" t="n"/>
      <c r="F2160" s="124" t="n"/>
      <c r="G2160" s="124" t="n"/>
      <c r="H2160" s="84" t="n"/>
      <c r="I2160" s="7" t="n"/>
      <c r="J2160" s="32" t="inlineStr">
        <is>
          <t>Vida</t>
        </is>
      </c>
      <c r="K2160" s="24" t="n"/>
      <c r="L2160" s="36" t="n">
        <v>65</v>
      </c>
      <c r="M2160" s="204" t="n">
        <v>0</v>
      </c>
      <c r="N2160" s="177" t="n">
        <v>250</v>
      </c>
      <c r="O2160" s="13" t="n"/>
      <c r="P2160" s="139" t="inlineStr">
        <is>
          <t>grams</t>
        </is>
      </c>
      <c r="Q2160" s="2" t="n"/>
      <c r="R2160" s="1" t="n"/>
      <c r="S2160" s="229">
        <f>M2160*N2160</f>
        <v/>
      </c>
      <c r="T2160" s="230">
        <f>CONCATENATE(S2160,Q2160,P2160)</f>
        <v/>
      </c>
      <c r="U2160" s="206">
        <f>L2160*M2160</f>
        <v/>
      </c>
      <c r="V2160" s="4" t="n"/>
      <c r="W2160" s="4" t="n"/>
      <c r="X2160" s="4" t="n"/>
    </row>
    <row r="2161" ht="15.75" customHeight="1" thickBot="1">
      <c r="A2161" s="186" t="n">
        <v>407</v>
      </c>
      <c r="B2161" s="214" t="inlineStr">
        <is>
          <t>Table napkin</t>
        </is>
      </c>
      <c r="C2161" s="124" t="n"/>
      <c r="D2161" s="115" t="n"/>
      <c r="E2161" s="124" t="n"/>
      <c r="F2161" s="124" t="n"/>
      <c r="G2161" s="124" t="n"/>
      <c r="H2161" s="84" t="n"/>
      <c r="I2161" s="7" t="n"/>
      <c r="J2161" s="32" t="inlineStr">
        <is>
          <t>Jade</t>
        </is>
      </c>
      <c r="K2161" s="24" t="n"/>
      <c r="L2161" s="36" t="n">
        <v>90</v>
      </c>
      <c r="M2161" s="204" t="n">
        <v>1</v>
      </c>
      <c r="N2161" s="177" t="n">
        <v>1</v>
      </c>
      <c r="O2161" s="13" t="n"/>
      <c r="P2161" s="139" t="inlineStr">
        <is>
          <t>packs</t>
        </is>
      </c>
      <c r="Q2161" s="2" t="n"/>
      <c r="R2161" s="1" t="n"/>
      <c r="S2161" s="229">
        <f>M2161*N2161</f>
        <v/>
      </c>
      <c r="T2161" s="230">
        <f>CONCATENATE(S2161,Q2161,P2161)</f>
        <v/>
      </c>
      <c r="U2161" s="206">
        <f>L2161*M2161</f>
        <v/>
      </c>
      <c r="V2161" s="4" t="n"/>
      <c r="W2161" s="4" t="n"/>
      <c r="X2161" s="4" t="n"/>
    </row>
    <row r="2162" ht="15.75" customHeight="1" thickBot="1">
      <c r="A2162" s="186" t="n">
        <v>407</v>
      </c>
      <c r="B2162" s="214" t="inlineStr">
        <is>
          <t>Table napkin</t>
        </is>
      </c>
      <c r="C2162" s="124" t="n"/>
      <c r="D2162" s="115" t="n"/>
      <c r="E2162" s="124" t="n"/>
      <c r="F2162" s="124" t="n"/>
      <c r="G2162" s="124" t="n"/>
      <c r="H2162" s="84" t="n"/>
      <c r="I2162" s="7" t="n"/>
      <c r="J2162" s="32" t="inlineStr">
        <is>
          <t>Suy Sing - My Everyday</t>
        </is>
      </c>
      <c r="K2162" s="24" t="n"/>
      <c r="L2162" s="36" t="n">
        <v>53.6</v>
      </c>
      <c r="M2162" s="204" t="n">
        <v>4</v>
      </c>
      <c r="N2162" s="177" t="n">
        <v>1</v>
      </c>
      <c r="O2162" s="13" t="n"/>
      <c r="P2162" s="139" t="inlineStr">
        <is>
          <t>packs</t>
        </is>
      </c>
      <c r="Q2162" s="2" t="n"/>
      <c r="R2162" s="1" t="n"/>
      <c r="S2162" s="229">
        <f>M2162*N2162</f>
        <v/>
      </c>
      <c r="T2162" s="230">
        <f>CONCATENATE(S2162,Q2162,P2162)</f>
        <v/>
      </c>
      <c r="U2162" s="206">
        <f>L2162*M2162</f>
        <v/>
      </c>
      <c r="V2162" s="4" t="n"/>
      <c r="W2162" s="4" t="n"/>
      <c r="X2162" s="4" t="n"/>
    </row>
    <row r="2163" ht="15.75" customHeight="1" thickBot="1">
      <c r="A2163" s="186" t="n">
        <v>858</v>
      </c>
      <c r="B2163" s="214" t="inlineStr">
        <is>
          <t>Tablea</t>
        </is>
      </c>
      <c r="C2163" s="124" t="n"/>
      <c r="D2163" s="115" t="n"/>
      <c r="E2163" s="124" t="n"/>
      <c r="F2163" s="124" t="n"/>
      <c r="G2163" s="124" t="n"/>
      <c r="H2163" s="84" t="n"/>
      <c r="I2163" s="7" t="n"/>
      <c r="J2163" s="32" t="inlineStr">
        <is>
          <t>Batangas Tablea</t>
        </is>
      </c>
      <c r="K2163" s="24" t="n"/>
      <c r="L2163" s="36" t="n">
        <v>154.5</v>
      </c>
      <c r="M2163" s="204" t="n">
        <v>1</v>
      </c>
      <c r="N2163" s="177" t="n">
        <v>100</v>
      </c>
      <c r="O2163" s="13" t="n"/>
      <c r="P2163" s="139" t="inlineStr">
        <is>
          <t>grams</t>
        </is>
      </c>
      <c r="Q2163" s="2" t="n"/>
      <c r="R2163" s="1" t="n"/>
      <c r="S2163" s="229">
        <f>M2163*N2163</f>
        <v/>
      </c>
      <c r="T2163" s="230">
        <f>CONCATENATE(S2163,Q2163,P2163)</f>
        <v/>
      </c>
      <c r="U2163" s="206">
        <f>L2163*M2163</f>
        <v/>
      </c>
      <c r="V2163" s="4" t="n"/>
      <c r="W2163" s="4" t="n"/>
      <c r="X2163" s="4" t="n"/>
    </row>
    <row r="2164" ht="15.75" customHeight="1" thickBot="1">
      <c r="A2164" s="186" t="n">
        <v>859</v>
      </c>
      <c r="B2164" s="214" t="inlineStr">
        <is>
          <t>Taco Seasoning</t>
        </is>
      </c>
      <c r="C2164" s="124" t="n"/>
      <c r="D2164" s="115" t="n"/>
      <c r="E2164" s="124" t="n"/>
      <c r="F2164" s="124" t="n"/>
      <c r="G2164" s="124" t="n"/>
      <c r="H2164" s="84" t="n"/>
      <c r="I2164" s="7" t="n"/>
      <c r="J2164" s="32" t="inlineStr">
        <is>
          <t>McCormick</t>
        </is>
      </c>
      <c r="K2164" s="24" t="n"/>
      <c r="L2164" s="36" t="n">
        <v>71.25</v>
      </c>
      <c r="M2164" s="204" t="n">
        <v>2</v>
      </c>
      <c r="N2164" s="177" t="n">
        <v>40</v>
      </c>
      <c r="O2164" s="13" t="n"/>
      <c r="P2164" s="139" t="inlineStr">
        <is>
          <t>grams</t>
        </is>
      </c>
      <c r="Q2164" s="2" t="n"/>
      <c r="R2164" s="1" t="n"/>
      <c r="S2164" s="229">
        <f>M2164*N2164</f>
        <v/>
      </c>
      <c r="T2164" s="230">
        <f>CONCATENATE(S2164,Q2164,P2164)</f>
        <v/>
      </c>
      <c r="U2164" s="206">
        <f>L2164*M2164</f>
        <v/>
      </c>
      <c r="V2164" s="4" t="n"/>
      <c r="W2164" s="4" t="n"/>
      <c r="X2164" s="4" t="n"/>
    </row>
    <row r="2165" ht="15.75" customHeight="1" thickBot="1">
      <c r="A2165" s="186" t="n">
        <v>860</v>
      </c>
      <c r="B2165" s="214" t="inlineStr">
        <is>
          <t>Talong</t>
        </is>
      </c>
      <c r="C2165" s="124" t="n"/>
      <c r="D2165" s="115" t="n"/>
      <c r="E2165" s="124" t="n"/>
      <c r="F2165" s="124" t="n"/>
      <c r="G2165" s="124" t="n"/>
      <c r="H2165" s="84" t="n"/>
      <c r="I2165" s="7" t="n"/>
      <c r="J2165" s="32" t="n"/>
      <c r="K2165" s="24" t="n"/>
      <c r="L2165" s="36" t="n">
        <v>70</v>
      </c>
      <c r="M2165" s="204" t="n">
        <v>3</v>
      </c>
      <c r="N2165" s="177" t="n">
        <v>1</v>
      </c>
      <c r="O2165" s="13" t="n"/>
      <c r="P2165" s="139" t="inlineStr">
        <is>
          <t>kilos</t>
        </is>
      </c>
      <c r="Q2165" s="2" t="n"/>
      <c r="R2165" s="1" t="n"/>
      <c r="S2165" s="229">
        <f>M2165*N2165</f>
        <v/>
      </c>
      <c r="T2165" s="230">
        <f>CONCATENATE(S2165,Q2165,P2165)</f>
        <v/>
      </c>
      <c r="U2165" s="206">
        <f>L2165*M2165</f>
        <v/>
      </c>
      <c r="V2165" s="4" t="n"/>
      <c r="W2165" s="4" t="n"/>
      <c r="X2165" s="4" t="n"/>
    </row>
    <row r="2166" ht="15.75" customHeight="1" thickBot="1">
      <c r="A2166" s="186" t="n">
        <v>860</v>
      </c>
      <c r="B2166" s="214" t="inlineStr">
        <is>
          <t>Talong</t>
        </is>
      </c>
      <c r="C2166" s="124" t="n"/>
      <c r="D2166" s="115" t="n"/>
      <c r="E2166" s="124" t="n"/>
      <c r="F2166" s="124" t="n"/>
      <c r="G2166" s="124" t="n"/>
      <c r="H2166" s="84" t="n"/>
      <c r="I2166" s="7" t="n"/>
      <c r="J2166" s="32" t="n"/>
      <c r="K2166" s="24" t="n"/>
      <c r="L2166" s="36" t="n">
        <v>40</v>
      </c>
      <c r="M2166" s="204" t="n">
        <v>4</v>
      </c>
      <c r="N2166" s="177" t="n">
        <v>1</v>
      </c>
      <c r="O2166" s="13" t="n"/>
      <c r="P2166" s="139" t="inlineStr">
        <is>
          <t>kilos</t>
        </is>
      </c>
      <c r="Q2166" s="2" t="n"/>
      <c r="R2166" s="1" t="n"/>
      <c r="S2166" s="229">
        <f>M2166*N2166</f>
        <v/>
      </c>
      <c r="T2166" s="230">
        <f>CONCATENATE(S2166,Q2166,P2166)</f>
        <v/>
      </c>
      <c r="U2166" s="206">
        <f>L2166*M2166</f>
        <v/>
      </c>
      <c r="V2166" s="4" t="n"/>
      <c r="W2166" s="4" t="n"/>
      <c r="X2166" s="4" t="n"/>
    </row>
    <row r="2167" ht="15.75" customHeight="1" thickBot="1">
      <c r="A2167" s="186" t="n">
        <v>860</v>
      </c>
      <c r="B2167" s="214" t="inlineStr">
        <is>
          <t>Talong</t>
        </is>
      </c>
      <c r="C2167" s="124" t="n"/>
      <c r="D2167" s="115" t="n"/>
      <c r="E2167" s="124" t="n"/>
      <c r="F2167" s="124" t="n"/>
      <c r="G2167" s="124" t="n"/>
      <c r="H2167" s="84" t="n"/>
      <c r="I2167" s="7" t="n"/>
      <c r="J2167" s="32" t="n"/>
      <c r="K2167" s="24" t="n"/>
      <c r="L2167" s="36" t="n">
        <v>140</v>
      </c>
      <c r="M2167" s="204" t="n">
        <v>2</v>
      </c>
      <c r="N2167" s="177" t="n">
        <v>1</v>
      </c>
      <c r="O2167" s="13" t="n"/>
      <c r="P2167" s="139" t="inlineStr">
        <is>
          <t>kilos</t>
        </is>
      </c>
      <c r="Q2167" s="2" t="n"/>
      <c r="R2167" s="1" t="n"/>
      <c r="S2167" s="229">
        <f>M2167*N2167</f>
        <v/>
      </c>
      <c r="T2167" s="230">
        <f>CONCATENATE(S2167,Q2167,P2167)</f>
        <v/>
      </c>
      <c r="U2167" s="206">
        <f>L2167*M2167</f>
        <v/>
      </c>
      <c r="V2167" s="4" t="n"/>
      <c r="W2167" s="4" t="n"/>
      <c r="X2167" s="4" t="n"/>
    </row>
    <row r="2168" ht="15.75" customHeight="1" thickBot="1">
      <c r="A2168" s="186" t="n">
        <v>861</v>
      </c>
      <c r="B2168" s="214" t="inlineStr">
        <is>
          <t>Tambakol</t>
        </is>
      </c>
      <c r="C2168" s="124" t="n"/>
      <c r="D2168" s="115" t="n"/>
      <c r="E2168" s="124" t="n"/>
      <c r="F2168" s="124" t="n"/>
      <c r="G2168" s="124" t="n"/>
      <c r="H2168" s="84" t="n"/>
      <c r="I2168" s="7" t="n"/>
      <c r="J2168" s="32" t="n"/>
      <c r="K2168" s="24" t="n"/>
      <c r="L2168" s="36" t="n">
        <v>270</v>
      </c>
      <c r="M2168" s="204" t="n">
        <v>1</v>
      </c>
      <c r="N2168" s="177" t="n">
        <v>1</v>
      </c>
      <c r="O2168" s="13" t="n"/>
      <c r="P2168" s="139" t="inlineStr">
        <is>
          <t>kilos</t>
        </is>
      </c>
      <c r="Q2168" s="2" t="n"/>
      <c r="R2168" s="1" t="n"/>
      <c r="S2168" s="229">
        <f>M2168*N2168</f>
        <v/>
      </c>
      <c r="T2168" s="230">
        <f>CONCATENATE(S2168,Q2168,P2168)</f>
        <v/>
      </c>
      <c r="U2168" s="206">
        <f>L2168*M2168</f>
        <v/>
      </c>
      <c r="V2168" s="4" t="n"/>
      <c r="W2168" s="4" t="n"/>
      <c r="X2168" s="4" t="n"/>
    </row>
    <row r="2169" ht="15.75" customHeight="1" thickBot="1">
      <c r="A2169" s="186" t="n">
        <v>862</v>
      </c>
      <c r="B2169" s="214" t="inlineStr">
        <is>
          <t>Tanglad</t>
        </is>
      </c>
      <c r="C2169" s="124" t="n"/>
      <c r="D2169" s="115" t="n"/>
      <c r="E2169" s="124" t="n"/>
      <c r="F2169" s="124" t="n"/>
      <c r="G2169" s="124" t="n"/>
      <c r="H2169" s="84" t="n"/>
      <c r="I2169" s="7" t="n"/>
      <c r="J2169" s="32" t="n"/>
      <c r="K2169" s="24" t="n"/>
      <c r="L2169" s="36" t="n">
        <v>100</v>
      </c>
      <c r="M2169" s="204" t="n">
        <v>0</v>
      </c>
      <c r="N2169" s="177" t="n">
        <v>1</v>
      </c>
      <c r="O2169" s="13" t="n"/>
      <c r="P2169" s="139" t="inlineStr">
        <is>
          <t>kilos</t>
        </is>
      </c>
      <c r="Q2169" s="2" t="n"/>
      <c r="R2169" s="1" t="n"/>
      <c r="S2169" s="229">
        <f>M2169*N2169</f>
        <v/>
      </c>
      <c r="T2169" s="230">
        <f>CONCATENATE(S2169,Q2169,P2169)</f>
        <v/>
      </c>
      <c r="U2169" s="206">
        <f>L2169*M2169</f>
        <v/>
      </c>
      <c r="V2169" s="4" t="n"/>
      <c r="W2169" s="4" t="n"/>
      <c r="X2169" s="4" t="n"/>
    </row>
    <row r="2170" ht="15.75" customHeight="1" thickBot="1">
      <c r="A2170" s="186" t="n">
        <v>862</v>
      </c>
      <c r="B2170" s="214" t="inlineStr">
        <is>
          <t>Tanglad</t>
        </is>
      </c>
      <c r="C2170" s="124" t="n"/>
      <c r="D2170" s="115" t="n"/>
      <c r="E2170" s="124" t="n"/>
      <c r="F2170" s="124" t="n"/>
      <c r="G2170" s="124" t="n"/>
      <c r="H2170" s="84" t="n"/>
      <c r="I2170" s="7" t="n"/>
      <c r="J2170" s="32" t="n"/>
      <c r="K2170" s="24" t="n"/>
      <c r="L2170" s="36" t="n">
        <v>7.5</v>
      </c>
      <c r="M2170" s="204" t="n">
        <v>11</v>
      </c>
      <c r="N2170" s="177" t="n">
        <v>1</v>
      </c>
      <c r="O2170" s="13" t="n"/>
      <c r="P2170" s="139" t="inlineStr">
        <is>
          <t>kilos</t>
        </is>
      </c>
      <c r="Q2170" s="2" t="n"/>
      <c r="R2170" s="1" t="n"/>
      <c r="S2170" s="229">
        <f>M2170*N2170</f>
        <v/>
      </c>
      <c r="T2170" s="230">
        <f>CONCATENATE(S2170,Q2170,P2170)</f>
        <v/>
      </c>
      <c r="U2170" s="206">
        <f>L2170*M2170</f>
        <v/>
      </c>
      <c r="V2170" s="4" t="n"/>
      <c r="W2170" s="4" t="n"/>
      <c r="X2170" s="4" t="n"/>
    </row>
    <row r="2171" ht="15.75" customHeight="1" thickBot="1">
      <c r="A2171" s="186" t="n">
        <v>862</v>
      </c>
      <c r="B2171" s="214" t="inlineStr">
        <is>
          <t>Tanglad</t>
        </is>
      </c>
      <c r="C2171" s="124" t="n"/>
      <c r="D2171" s="115" t="n"/>
      <c r="E2171" s="124" t="n"/>
      <c r="F2171" s="124" t="n"/>
      <c r="G2171" s="124" t="n"/>
      <c r="H2171" s="84" t="n"/>
      <c r="I2171" s="7" t="n"/>
      <c r="J2171" s="32" t="n"/>
      <c r="K2171" s="24" t="n"/>
      <c r="L2171" s="36" t="n">
        <v>60</v>
      </c>
      <c r="M2171" s="204" t="n">
        <v>0</v>
      </c>
      <c r="N2171" s="177" t="n">
        <v>1</v>
      </c>
      <c r="O2171" s="13" t="n"/>
      <c r="P2171" s="139" t="inlineStr">
        <is>
          <t>bundle</t>
        </is>
      </c>
      <c r="Q2171" s="2" t="n"/>
      <c r="R2171" s="1" t="n"/>
      <c r="S2171" s="229">
        <f>M2171*N2171</f>
        <v/>
      </c>
      <c r="T2171" s="230">
        <f>CONCATENATE(S2171,Q2171,P2171)</f>
        <v/>
      </c>
      <c r="U2171" s="206">
        <f>L2171*M2171</f>
        <v/>
      </c>
      <c r="V2171" s="4" t="n"/>
      <c r="W2171" s="4" t="n"/>
      <c r="X2171" s="4" t="n"/>
    </row>
    <row r="2172" ht="15.75" customHeight="1" thickBot="1">
      <c r="A2172" s="186" t="n">
        <v>862</v>
      </c>
      <c r="B2172" s="214" t="inlineStr">
        <is>
          <t>Tanglad</t>
        </is>
      </c>
      <c r="C2172" s="124" t="n"/>
      <c r="D2172" s="115" t="n"/>
      <c r="E2172" s="124" t="n"/>
      <c r="F2172" s="124" t="n"/>
      <c r="G2172" s="124" t="n"/>
      <c r="H2172" s="84" t="n"/>
      <c r="I2172" s="7" t="n"/>
      <c r="J2172" s="32" t="inlineStr">
        <is>
          <t>Hernan Logmao</t>
        </is>
      </c>
      <c r="K2172" s="24" t="n"/>
      <c r="L2172" s="36" t="n">
        <v>160</v>
      </c>
      <c r="M2172" s="204" t="n">
        <v>1</v>
      </c>
      <c r="N2172" s="177" t="n">
        <v>1</v>
      </c>
      <c r="O2172" s="13" t="n"/>
      <c r="P2172" s="139" t="inlineStr">
        <is>
          <t>kilos</t>
        </is>
      </c>
      <c r="Q2172" s="2" t="n"/>
      <c r="R2172" s="1" t="n"/>
      <c r="S2172" s="229">
        <f>M2172*N2172</f>
        <v/>
      </c>
      <c r="T2172" s="230">
        <f>CONCATENATE(S2172,Q2172,P2172)</f>
        <v/>
      </c>
      <c r="U2172" s="206">
        <f>L2172*M2172</f>
        <v/>
      </c>
      <c r="V2172" s="4" t="n"/>
      <c r="W2172" s="4" t="n"/>
      <c r="X2172" s="4" t="n"/>
    </row>
    <row r="2173" ht="15.75" customHeight="1" thickBot="1">
      <c r="A2173" s="186" t="n">
        <v>409</v>
      </c>
      <c r="B2173" s="214" t="inlineStr">
        <is>
          <t>Tanigue</t>
        </is>
      </c>
      <c r="C2173" s="124" t="n"/>
      <c r="D2173" s="115" t="n"/>
      <c r="E2173" s="124" t="n"/>
      <c r="F2173" s="124" t="n"/>
      <c r="G2173" s="124" t="n"/>
      <c r="H2173" s="84" t="n"/>
      <c r="I2173" s="7" t="n"/>
      <c r="J2173" s="32" t="n"/>
      <c r="K2173" s="24" t="n"/>
      <c r="L2173" s="36" t="n">
        <v>420</v>
      </c>
      <c r="M2173" s="204" t="n">
        <v>3</v>
      </c>
      <c r="N2173" s="177" t="n">
        <v>1</v>
      </c>
      <c r="O2173" s="13" t="n"/>
      <c r="P2173" s="139" t="inlineStr">
        <is>
          <t>kilos</t>
        </is>
      </c>
      <c r="Q2173" s="2" t="n"/>
      <c r="R2173" s="1" t="n"/>
      <c r="S2173" s="229">
        <f>M2173*N2173</f>
        <v/>
      </c>
      <c r="T2173" s="230">
        <f>CONCATENATE(S2173,Q2173,P2173)</f>
        <v/>
      </c>
      <c r="U2173" s="206">
        <f>L2173*M2173</f>
        <v/>
      </c>
      <c r="V2173" s="4" t="n"/>
      <c r="W2173" s="4" t="n"/>
      <c r="X2173" s="4" t="n"/>
    </row>
    <row r="2174" ht="15.75" customHeight="1" thickBot="1">
      <c r="A2174" s="186" t="n">
        <v>863</v>
      </c>
      <c r="B2174" s="214" t="inlineStr">
        <is>
          <t>Tarragon</t>
        </is>
      </c>
      <c r="C2174" s="124" t="n"/>
      <c r="D2174" s="115" t="n"/>
      <c r="E2174" s="124" t="n"/>
      <c r="F2174" s="124" t="n"/>
      <c r="G2174" s="124" t="n"/>
      <c r="H2174" s="84" t="n"/>
      <c r="I2174" s="7" t="n"/>
      <c r="J2174" s="32" t="inlineStr">
        <is>
          <t>McCormick</t>
        </is>
      </c>
      <c r="K2174" s="24" t="n"/>
      <c r="L2174" s="36" t="n">
        <v>83</v>
      </c>
      <c r="M2174" s="204" t="n">
        <v>1</v>
      </c>
      <c r="N2174" s="177" t="n">
        <v>5</v>
      </c>
      <c r="O2174" s="13" t="n"/>
      <c r="P2174" s="139" t="inlineStr">
        <is>
          <t>grams</t>
        </is>
      </c>
      <c r="Q2174" s="2" t="n"/>
      <c r="R2174" s="1" t="n"/>
      <c r="S2174" s="229">
        <f>M2174*N2174</f>
        <v/>
      </c>
      <c r="T2174" s="230">
        <f>CONCATENATE(S2174,Q2174,P2174)</f>
        <v/>
      </c>
      <c r="U2174" s="206">
        <f>L2174*M2174</f>
        <v/>
      </c>
      <c r="V2174" s="4" t="n"/>
      <c r="W2174" s="4" t="n"/>
      <c r="X2174" s="4" t="n"/>
    </row>
    <row r="2175" ht="15.75" customHeight="1" thickBot="1">
      <c r="A2175" s="186" t="n">
        <v>863</v>
      </c>
      <c r="B2175" s="214" t="inlineStr">
        <is>
          <t>Tarragon</t>
        </is>
      </c>
      <c r="C2175" s="124" t="n"/>
      <c r="D2175" s="115" t="n"/>
      <c r="E2175" s="124" t="n"/>
      <c r="F2175" s="124" t="n"/>
      <c r="G2175" s="124" t="n"/>
      <c r="H2175" s="84" t="n"/>
      <c r="I2175" s="7" t="n"/>
      <c r="J2175" s="32" t="inlineStr">
        <is>
          <t>McCormick</t>
        </is>
      </c>
      <c r="K2175" s="24" t="n"/>
      <c r="L2175" s="36" t="n">
        <v>37</v>
      </c>
      <c r="M2175" s="204" t="n">
        <v>1</v>
      </c>
      <c r="N2175" s="177" t="n">
        <v>5</v>
      </c>
      <c r="O2175" s="13" t="n"/>
      <c r="P2175" s="139" t="inlineStr">
        <is>
          <t>grams</t>
        </is>
      </c>
      <c r="Q2175" s="2" t="n"/>
      <c r="R2175" s="1" t="n"/>
      <c r="S2175" s="229">
        <f>M2175*N2175</f>
        <v/>
      </c>
      <c r="T2175" s="230">
        <f>CONCATENATE(S2175,Q2175,P2175)</f>
        <v/>
      </c>
      <c r="U2175" s="206">
        <f>L2175*M2175</f>
        <v/>
      </c>
      <c r="V2175" s="4" t="n"/>
      <c r="W2175" s="4" t="n"/>
      <c r="X2175" s="4" t="n"/>
    </row>
    <row r="2176" ht="15.75" customHeight="1" thickBot="1">
      <c r="A2176" s="186" t="n">
        <v>864</v>
      </c>
      <c r="B2176" s="214" t="inlineStr">
        <is>
          <t>Tea</t>
        </is>
      </c>
      <c r="C2176" s="124" t="n"/>
      <c r="D2176" s="115" t="n"/>
      <c r="E2176" s="124" t="n"/>
      <c r="F2176" s="124" t="n"/>
      <c r="G2176" s="124" t="n"/>
      <c r="H2176" s="84" t="n"/>
      <c r="I2176" s="7" t="n"/>
      <c r="J2176" s="32" t="inlineStr">
        <is>
          <t>Twinings - English Breakfast</t>
        </is>
      </c>
      <c r="K2176" s="24" t="n"/>
      <c r="L2176" s="36" t="n">
        <v>15</v>
      </c>
      <c r="M2176" s="204" t="n">
        <v>21</v>
      </c>
      <c r="N2176" s="177" t="n">
        <v>1</v>
      </c>
      <c r="O2176" s="13" t="n"/>
      <c r="P2176" s="139" t="inlineStr">
        <is>
          <t>pieces</t>
        </is>
      </c>
      <c r="Q2176" s="2" t="n"/>
      <c r="R2176" s="1" t="n"/>
      <c r="S2176" s="229">
        <f>M2176*N2176</f>
        <v/>
      </c>
      <c r="T2176" s="230">
        <f>CONCATENATE(S2176,Q2176,P2176)</f>
        <v/>
      </c>
      <c r="U2176" s="206">
        <f>L2176*M2176</f>
        <v/>
      </c>
      <c r="V2176" s="4" t="n"/>
      <c r="W2176" s="4" t="n"/>
      <c r="X2176" s="4" t="n"/>
    </row>
    <row r="2177" ht="15.75" customHeight="1" thickBot="1">
      <c r="A2177" s="186" t="n">
        <v>864</v>
      </c>
      <c r="B2177" s="214" t="inlineStr">
        <is>
          <t>Tea</t>
        </is>
      </c>
      <c r="C2177" s="124" t="n"/>
      <c r="D2177" s="115" t="n"/>
      <c r="E2177" s="124" t="n"/>
      <c r="F2177" s="124" t="n"/>
      <c r="G2177" s="124" t="n"/>
      <c r="H2177" s="84" t="n"/>
      <c r="I2177" s="7" t="n"/>
      <c r="J2177" s="32" t="inlineStr">
        <is>
          <t>Twinings - Peppermint</t>
        </is>
      </c>
      <c r="K2177" s="24" t="n"/>
      <c r="L2177" s="36" t="n">
        <v>15</v>
      </c>
      <c r="M2177" s="204" t="n">
        <v>6</v>
      </c>
      <c r="N2177" s="177" t="n">
        <v>1</v>
      </c>
      <c r="O2177" s="13" t="n"/>
      <c r="P2177" s="139" t="inlineStr">
        <is>
          <t>pieces</t>
        </is>
      </c>
      <c r="Q2177" s="2" t="n"/>
      <c r="R2177" s="1" t="n"/>
      <c r="S2177" s="229">
        <f>M2177*N2177</f>
        <v/>
      </c>
      <c r="T2177" s="230">
        <f>CONCATENATE(S2177,Q2177,P2177)</f>
        <v/>
      </c>
      <c r="U2177" s="206">
        <f>L2177*M2177</f>
        <v/>
      </c>
      <c r="V2177" s="4" t="n"/>
      <c r="W2177" s="4" t="n"/>
      <c r="X2177" s="4" t="n"/>
    </row>
    <row r="2178" ht="15.75" customHeight="1" thickBot="1">
      <c r="A2178" s="186" t="n">
        <v>865</v>
      </c>
      <c r="B2178" s="214" t="inlineStr">
        <is>
          <t>Tea - Green Tea</t>
        </is>
      </c>
      <c r="C2178" s="124" t="n"/>
      <c r="D2178" s="115" t="n"/>
      <c r="E2178" s="124" t="n"/>
      <c r="F2178" s="124" t="n"/>
      <c r="G2178" s="124" t="n"/>
      <c r="H2178" s="84" t="n"/>
      <c r="I2178" s="7" t="n"/>
      <c r="J2178" s="32" t="inlineStr">
        <is>
          <t>Pepsi - Lipton</t>
        </is>
      </c>
      <c r="K2178" s="24" t="n"/>
      <c r="L2178" s="36" t="n">
        <v>8.59</v>
      </c>
      <c r="M2178" s="204" t="n">
        <v>15</v>
      </c>
      <c r="N2178" s="177" t="n">
        <v>2</v>
      </c>
      <c r="O2178" s="13" t="n"/>
      <c r="P2178" s="139" t="inlineStr">
        <is>
          <t>grams</t>
        </is>
      </c>
      <c r="Q2178" s="2" t="n"/>
      <c r="R2178" s="1" t="n"/>
      <c r="S2178" s="229">
        <f>M2178*N2178</f>
        <v/>
      </c>
      <c r="T2178" s="230">
        <f>CONCATENATE(S2178,Q2178,P2178)</f>
        <v/>
      </c>
      <c r="U2178" s="206">
        <f>L2178*M2178</f>
        <v/>
      </c>
      <c r="V2178" s="4" t="n"/>
      <c r="W2178" s="4" t="n"/>
      <c r="X2178" s="4" t="n"/>
    </row>
    <row r="2179" ht="15.75" customHeight="1" thickBot="1">
      <c r="A2179" s="186" t="n">
        <v>865</v>
      </c>
      <c r="B2179" s="214" t="inlineStr">
        <is>
          <t>Tea - Green Tea</t>
        </is>
      </c>
      <c r="C2179" s="124" t="n"/>
      <c r="D2179" s="115" t="n"/>
      <c r="E2179" s="124" t="n"/>
      <c r="F2179" s="124" t="n"/>
      <c r="G2179" s="124" t="n"/>
      <c r="H2179" s="84" t="n"/>
      <c r="I2179" s="7" t="n"/>
      <c r="J2179" s="32" t="inlineStr">
        <is>
          <t>Pepsi - Lipton</t>
        </is>
      </c>
      <c r="K2179" s="24" t="n"/>
      <c r="L2179" s="36" t="n">
        <v>5.44</v>
      </c>
      <c r="M2179" s="204" t="n">
        <v>150</v>
      </c>
      <c r="N2179" s="177" t="n">
        <v>1.5</v>
      </c>
      <c r="O2179" s="13" t="n"/>
      <c r="P2179" s="139" t="inlineStr">
        <is>
          <t>grams</t>
        </is>
      </c>
      <c r="Q2179" s="2" t="n"/>
      <c r="R2179" s="1" t="n"/>
      <c r="S2179" s="229">
        <f>M2179*N2179</f>
        <v/>
      </c>
      <c r="T2179" s="230">
        <f>CONCATENATE(S2179,Q2179,P2179)</f>
        <v/>
      </c>
      <c r="U2179" s="206">
        <f>L2179*M2179</f>
        <v/>
      </c>
      <c r="V2179" s="4" t="n"/>
      <c r="W2179" s="4" t="n"/>
      <c r="X2179" s="4" t="n"/>
    </row>
    <row r="2180" ht="15.75" customHeight="1" thickBot="1">
      <c r="A2180" s="186" t="n">
        <v>865</v>
      </c>
      <c r="B2180" s="214" t="inlineStr">
        <is>
          <t>Tea - Green Tea</t>
        </is>
      </c>
      <c r="C2180" s="124" t="n"/>
      <c r="D2180" s="115" t="n"/>
      <c r="E2180" s="124" t="n"/>
      <c r="F2180" s="124" t="n"/>
      <c r="G2180" s="124" t="n"/>
      <c r="H2180" s="84" t="n"/>
      <c r="I2180" s="7" t="n"/>
      <c r="J2180" s="32" t="inlineStr">
        <is>
          <t>Pepsi - Lipton</t>
        </is>
      </c>
      <c r="K2180" s="24" t="n"/>
      <c r="L2180" s="36" t="n">
        <v>8.59</v>
      </c>
      <c r="M2180" s="204" t="n">
        <v>6</v>
      </c>
      <c r="N2180" s="177" t="n">
        <v>2</v>
      </c>
      <c r="O2180" s="13" t="n"/>
      <c r="P2180" s="139" t="inlineStr">
        <is>
          <t>grams</t>
        </is>
      </c>
      <c r="Q2180" s="2" t="n"/>
      <c r="R2180" s="1" t="n"/>
      <c r="S2180" s="229">
        <f>M2180*N2180</f>
        <v/>
      </c>
      <c r="T2180" s="230">
        <f>CONCATENATE(S2180,Q2180,P2180)</f>
        <v/>
      </c>
      <c r="U2180" s="206">
        <f>L2180*M2180</f>
        <v/>
      </c>
      <c r="V2180" s="4" t="n"/>
      <c r="W2180" s="4" t="n"/>
      <c r="X2180" s="4" t="n"/>
    </row>
    <row r="2181" ht="15.75" customHeight="1" thickBot="1">
      <c r="A2181" s="186" t="n">
        <v>865</v>
      </c>
      <c r="B2181" s="214" t="inlineStr">
        <is>
          <t>Tea - Green Tea</t>
        </is>
      </c>
      <c r="C2181" s="124" t="n"/>
      <c r="D2181" s="115" t="n"/>
      <c r="E2181" s="124" t="n"/>
      <c r="F2181" s="124" t="n"/>
      <c r="G2181" s="124" t="n"/>
      <c r="H2181" s="84" t="n"/>
      <c r="I2181" s="7" t="n"/>
      <c r="J2181" s="32" t="inlineStr">
        <is>
          <t>Pepsi - Lipton</t>
        </is>
      </c>
      <c r="K2181" s="24" t="n"/>
      <c r="L2181" s="36" t="n">
        <v>9.99</v>
      </c>
      <c r="M2181" s="204" t="n">
        <v>2</v>
      </c>
      <c r="N2181" s="177" t="n">
        <v>1.5</v>
      </c>
      <c r="O2181" s="13" t="n"/>
      <c r="P2181" s="139" t="inlineStr">
        <is>
          <t>grams</t>
        </is>
      </c>
      <c r="Q2181" s="2" t="n"/>
      <c r="R2181" s="1" t="n"/>
      <c r="S2181" s="229">
        <f>M2181*N2181</f>
        <v/>
      </c>
      <c r="T2181" s="230">
        <f>CONCATENATE(S2181,Q2181,P2181)</f>
        <v/>
      </c>
      <c r="U2181" s="206">
        <f>L2181*M2181</f>
        <v/>
      </c>
      <c r="V2181" s="4" t="n"/>
      <c r="W2181" s="4" t="n"/>
      <c r="X2181" s="4" t="n"/>
    </row>
    <row r="2182" ht="15.75" customHeight="1" thickBot="1">
      <c r="A2182" s="186" t="n">
        <v>866</v>
      </c>
      <c r="B2182" s="214" t="inlineStr">
        <is>
          <t>Tea - Yellow Label</t>
        </is>
      </c>
      <c r="C2182" s="124" t="n"/>
      <c r="D2182" s="115" t="n"/>
      <c r="E2182" s="124" t="n"/>
      <c r="F2182" s="124" t="n"/>
      <c r="G2182" s="124" t="n"/>
      <c r="H2182" s="84" t="n"/>
      <c r="I2182" s="7" t="n"/>
      <c r="J2182" s="32" t="inlineStr">
        <is>
          <t>Pepsi - Lipton</t>
        </is>
      </c>
      <c r="K2182" s="24" t="n"/>
      <c r="L2182" s="36" t="n">
        <v>4.86</v>
      </c>
      <c r="M2182" s="204" t="n">
        <v>46</v>
      </c>
      <c r="N2182" s="177" t="n">
        <v>2</v>
      </c>
      <c r="O2182" s="13" t="n"/>
      <c r="P2182" s="139" t="inlineStr">
        <is>
          <t>grams</t>
        </is>
      </c>
      <c r="Q2182" s="2" t="n"/>
      <c r="R2182" s="1" t="n"/>
      <c r="S2182" s="229">
        <f>M2182*N2182</f>
        <v/>
      </c>
      <c r="T2182" s="230">
        <f>CONCATENATE(S2182,Q2182,P2182)</f>
        <v/>
      </c>
      <c r="U2182" s="206">
        <f>L2182*M2182</f>
        <v/>
      </c>
      <c r="V2182" s="4" t="n"/>
      <c r="W2182" s="4" t="n"/>
      <c r="X2182" s="4" t="n"/>
    </row>
    <row r="2183" ht="15.75" customHeight="1" thickBot="1">
      <c r="A2183" s="186" t="n">
        <v>866</v>
      </c>
      <c r="B2183" s="214" t="inlineStr">
        <is>
          <t>Tea - Yellow Label</t>
        </is>
      </c>
      <c r="C2183" s="124" t="n"/>
      <c r="D2183" s="115" t="n"/>
      <c r="E2183" s="124" t="n"/>
      <c r="F2183" s="124" t="n"/>
      <c r="G2183" s="124" t="n"/>
      <c r="H2183" s="84" t="n"/>
      <c r="I2183" s="7" t="n"/>
      <c r="J2183" s="32" t="inlineStr">
        <is>
          <t>Pepsi - Lipton</t>
        </is>
      </c>
      <c r="K2183" s="24" t="n"/>
      <c r="L2183" s="36" t="n">
        <v>10.09</v>
      </c>
      <c r="M2183" s="204" t="n">
        <v>217</v>
      </c>
      <c r="N2183" s="177" t="n">
        <v>2</v>
      </c>
      <c r="O2183" s="13" t="n"/>
      <c r="P2183" s="139" t="inlineStr">
        <is>
          <t>grams</t>
        </is>
      </c>
      <c r="Q2183" s="2" t="n"/>
      <c r="R2183" s="1" t="n"/>
      <c r="S2183" s="229">
        <f>M2183*N2183</f>
        <v/>
      </c>
      <c r="T2183" s="230">
        <f>CONCATENATE(S2183,Q2183,P2183)</f>
        <v/>
      </c>
      <c r="U2183" s="206">
        <f>L2183*M2183</f>
        <v/>
      </c>
      <c r="V2183" s="4" t="n"/>
      <c r="W2183" s="4" t="n"/>
      <c r="X2183" s="4" t="n"/>
    </row>
    <row r="2184" ht="15.75" customHeight="1" thickBot="1">
      <c r="A2184" s="186" t="n">
        <v>866</v>
      </c>
      <c r="B2184" s="214" t="inlineStr">
        <is>
          <t>Tea - Yellow Label</t>
        </is>
      </c>
      <c r="C2184" s="124" t="n"/>
      <c r="D2184" s="115" t="n"/>
      <c r="E2184" s="124" t="n"/>
      <c r="F2184" s="124" t="n"/>
      <c r="G2184" s="124" t="n"/>
      <c r="H2184" s="84" t="n"/>
      <c r="I2184" s="7" t="n"/>
      <c r="J2184" s="32" t="inlineStr">
        <is>
          <t>Pepsi - Lipton</t>
        </is>
      </c>
      <c r="K2184" s="24" t="n"/>
      <c r="L2184" s="36" t="n">
        <v>4.79</v>
      </c>
      <c r="M2184" s="204" t="n">
        <v>62</v>
      </c>
      <c r="N2184" s="177" t="n">
        <v>2</v>
      </c>
      <c r="O2184" s="13" t="n"/>
      <c r="P2184" s="139" t="inlineStr">
        <is>
          <t>grams</t>
        </is>
      </c>
      <c r="Q2184" s="2" t="n"/>
      <c r="R2184" s="1" t="n"/>
      <c r="S2184" s="229">
        <f>M2184*N2184</f>
        <v/>
      </c>
      <c r="T2184" s="230">
        <f>CONCATENATE(S2184,Q2184,P2184)</f>
        <v/>
      </c>
      <c r="U2184" s="206">
        <f>L2184*M2184</f>
        <v/>
      </c>
      <c r="V2184" s="4" t="n"/>
      <c r="W2184" s="4" t="n"/>
      <c r="X2184" s="4" t="n"/>
    </row>
    <row r="2185" ht="15.75" customHeight="1" thickBot="1">
      <c r="A2185" s="186" t="n">
        <v>867</v>
      </c>
      <c r="B2185" s="215" t="inlineStr">
        <is>
          <t>Tempura Batter Mix</t>
        </is>
      </c>
      <c r="C2185" s="124" t="n"/>
      <c r="D2185" s="115" t="n"/>
      <c r="E2185" s="124" t="n"/>
      <c r="F2185" s="124" t="n"/>
      <c r="G2185" s="124" t="n"/>
      <c r="H2185" s="84" t="n"/>
      <c r="I2185" s="7" t="n"/>
      <c r="J2185" s="32" t="inlineStr">
        <is>
          <t>Showa</t>
        </is>
      </c>
      <c r="K2185" s="24" t="n"/>
      <c r="L2185" s="36" t="n">
        <v>220</v>
      </c>
      <c r="M2185" s="204" t="n">
        <v>1</v>
      </c>
      <c r="N2185" s="177" t="n">
        <v>700</v>
      </c>
      <c r="O2185" s="13" t="n"/>
      <c r="P2185" s="139" t="inlineStr">
        <is>
          <t>grams</t>
        </is>
      </c>
      <c r="Q2185" s="2" t="n"/>
      <c r="R2185" s="1" t="n"/>
      <c r="S2185" s="229">
        <f>M2185*N2185</f>
        <v/>
      </c>
      <c r="T2185" s="230">
        <f>CONCATENATE(S2185,Q2185,P2185)</f>
        <v/>
      </c>
      <c r="U2185" s="206">
        <f>L2185*M2185</f>
        <v/>
      </c>
      <c r="V2185" s="4" t="n"/>
      <c r="W2185" s="4" t="n"/>
      <c r="X2185" s="4" t="n"/>
    </row>
    <row r="2186" ht="15.75" customHeight="1" thickBot="1">
      <c r="A2186" s="186" t="n">
        <v>413</v>
      </c>
      <c r="B2186" s="214" t="inlineStr">
        <is>
          <t>Tenga Daga</t>
        </is>
      </c>
      <c r="C2186" s="124" t="n"/>
      <c r="D2186" s="115" t="n"/>
      <c r="E2186" s="124" t="n"/>
      <c r="F2186" s="124" t="n"/>
      <c r="G2186" s="124" t="n"/>
      <c r="H2186" s="84" t="n"/>
      <c r="I2186" s="7" t="n"/>
      <c r="J2186" s="32" t="inlineStr">
        <is>
          <t>Edward Edit</t>
        </is>
      </c>
      <c r="K2186" s="24" t="n"/>
      <c r="L2186" s="36" t="n">
        <v>80</v>
      </c>
      <c r="M2186" s="204" t="n">
        <v>2</v>
      </c>
      <c r="N2186" s="177" t="n">
        <v>500</v>
      </c>
      <c r="O2186" s="13" t="n"/>
      <c r="P2186" s="139" t="inlineStr">
        <is>
          <t>grams</t>
        </is>
      </c>
      <c r="Q2186" s="2" t="n"/>
      <c r="R2186" s="1" t="n"/>
      <c r="S2186" s="229">
        <f>M2186*N2186</f>
        <v/>
      </c>
      <c r="T2186" s="230">
        <f>CONCATENATE(S2186,Q2186,P2186)</f>
        <v/>
      </c>
      <c r="U2186" s="206">
        <f>L2186*M2186</f>
        <v/>
      </c>
      <c r="V2186" s="4" t="n"/>
      <c r="W2186" s="4" t="n"/>
      <c r="X2186" s="4" t="n"/>
    </row>
    <row r="2187" ht="15.75" customHeight="1" thickBot="1">
      <c r="A2187" s="186" t="n">
        <v>868</v>
      </c>
      <c r="B2187" s="214" t="inlineStr">
        <is>
          <t>Teriyaki Sauce</t>
        </is>
      </c>
      <c r="C2187" s="124" t="n"/>
      <c r="D2187" s="115" t="n"/>
      <c r="E2187" s="124" t="n"/>
      <c r="F2187" s="124" t="n"/>
      <c r="G2187" s="124" t="n"/>
      <c r="H2187" s="84" t="n"/>
      <c r="I2187" s="7" t="n"/>
      <c r="J2187" s="32" t="inlineStr">
        <is>
          <t>Kikkoman</t>
        </is>
      </c>
      <c r="K2187" s="24" t="n"/>
      <c r="L2187" s="36" t="n">
        <v>289</v>
      </c>
      <c r="M2187" s="204" t="n">
        <v>1</v>
      </c>
      <c r="N2187" s="177" t="n">
        <v>1</v>
      </c>
      <c r="O2187" s="13" t="n"/>
      <c r="P2187" s="139" t="inlineStr">
        <is>
          <t>liters</t>
        </is>
      </c>
      <c r="Q2187" s="2" t="n"/>
      <c r="R2187" s="1" t="n"/>
      <c r="S2187" s="229">
        <f>M2187*N2187</f>
        <v/>
      </c>
      <c r="T2187" s="230">
        <f>CONCATENATE(S2187,Q2187,P2187)</f>
        <v/>
      </c>
      <c r="U2187" s="206">
        <f>L2187*M2187</f>
        <v/>
      </c>
      <c r="V2187" s="4" t="n"/>
      <c r="W2187" s="4" t="n"/>
      <c r="X2187" s="4" t="n"/>
    </row>
    <row r="2188" ht="15.75" customHeight="1" thickBot="1">
      <c r="A2188" s="186" t="n">
        <v>868</v>
      </c>
      <c r="B2188" s="215" t="inlineStr">
        <is>
          <t>Teriyaki Sauce</t>
        </is>
      </c>
      <c r="C2188" s="124" t="n"/>
      <c r="D2188" s="115" t="n"/>
      <c r="E2188" s="124" t="n"/>
      <c r="F2188" s="124" t="n"/>
      <c r="G2188" s="124" t="n"/>
      <c r="H2188" s="84" t="n"/>
      <c r="I2188" s="7" t="n"/>
      <c r="J2188" s="32" t="inlineStr">
        <is>
          <t>Kikkoman</t>
        </is>
      </c>
      <c r="K2188" s="24" t="n"/>
      <c r="L2188" s="36" t="n">
        <v>315</v>
      </c>
      <c r="M2188" s="204" t="n">
        <v>1</v>
      </c>
      <c r="N2188" s="177" t="n">
        <v>1</v>
      </c>
      <c r="O2188" s="13" t="n"/>
      <c r="P2188" s="139" t="inlineStr">
        <is>
          <t>liters</t>
        </is>
      </c>
      <c r="Q2188" s="2" t="n"/>
      <c r="R2188" s="1" t="n"/>
      <c r="S2188" s="229">
        <f>M2188*N2188</f>
        <v/>
      </c>
      <c r="T2188" s="230">
        <f>CONCATENATE(S2188,Q2188,P2188)</f>
        <v/>
      </c>
      <c r="U2188" s="206">
        <f>L2188*M2188</f>
        <v/>
      </c>
      <c r="V2188" s="4" t="n"/>
      <c r="W2188" s="4" t="n"/>
      <c r="X2188" s="4" t="n"/>
    </row>
    <row r="2189" ht="15.75" customHeight="1" thickBot="1">
      <c r="A2189" s="186" t="n">
        <v>869</v>
      </c>
      <c r="B2189" s="214" t="inlineStr">
        <is>
          <t>Tetrapack - Apple Juice</t>
        </is>
      </c>
      <c r="C2189" s="124" t="n"/>
      <c r="D2189" s="115" t="n"/>
      <c r="E2189" s="124" t="n"/>
      <c r="F2189" s="124" t="n"/>
      <c r="G2189" s="124" t="n"/>
      <c r="H2189" s="84" t="n"/>
      <c r="I2189" s="7" t="n"/>
      <c r="J2189" s="32" t="inlineStr">
        <is>
          <t>ZEST-O Big 250</t>
        </is>
      </c>
      <c r="K2189" s="24" t="n"/>
      <c r="L2189" s="36" t="n">
        <v>8.859999999999999</v>
      </c>
      <c r="M2189" s="204" t="n">
        <v>20</v>
      </c>
      <c r="N2189" s="177" t="n">
        <v>250</v>
      </c>
      <c r="O2189" s="13" t="n"/>
      <c r="P2189" s="139" t="inlineStr">
        <is>
          <t>ml</t>
        </is>
      </c>
      <c r="Q2189" s="2" t="n"/>
      <c r="R2189" s="1" t="n"/>
      <c r="S2189" s="229">
        <f>M2189*N2189</f>
        <v/>
      </c>
      <c r="T2189" s="230">
        <f>CONCATENATE(S2189,Q2189,P2189)</f>
        <v/>
      </c>
      <c r="U2189" s="206">
        <f>L2189*M2189</f>
        <v/>
      </c>
      <c r="V2189" s="4" t="n"/>
      <c r="W2189" s="4" t="n"/>
      <c r="X2189" s="4" t="n"/>
    </row>
    <row r="2190" ht="15.75" customHeight="1" thickBot="1">
      <c r="A2190" s="186" t="n">
        <v>870</v>
      </c>
      <c r="B2190" s="214" t="inlineStr">
        <is>
          <t>Tetrapack - Mango Juice</t>
        </is>
      </c>
      <c r="C2190" s="124" t="n"/>
      <c r="D2190" s="115" t="n"/>
      <c r="E2190" s="124" t="n"/>
      <c r="F2190" s="124" t="n"/>
      <c r="G2190" s="124" t="n"/>
      <c r="H2190" s="84" t="n"/>
      <c r="I2190" s="7" t="n"/>
      <c r="J2190" s="32" t="inlineStr">
        <is>
          <t>ZEST-O Big 250</t>
        </is>
      </c>
      <c r="K2190" s="24" t="n"/>
      <c r="L2190" s="36" t="n">
        <v>9.74</v>
      </c>
      <c r="M2190" s="204" t="n">
        <v>20</v>
      </c>
      <c r="N2190" s="177" t="n">
        <v>250</v>
      </c>
      <c r="O2190" s="13" t="n"/>
      <c r="P2190" s="139" t="inlineStr">
        <is>
          <t>ml</t>
        </is>
      </c>
      <c r="Q2190" s="2" t="n"/>
      <c r="R2190" s="1" t="n"/>
      <c r="S2190" s="229">
        <f>M2190*N2190</f>
        <v/>
      </c>
      <c r="T2190" s="230">
        <f>CONCATENATE(S2190,Q2190,P2190)</f>
        <v/>
      </c>
      <c r="U2190" s="206">
        <f>L2190*M2190</f>
        <v/>
      </c>
      <c r="V2190" s="4" t="n"/>
      <c r="W2190" s="4" t="n"/>
      <c r="X2190" s="4" t="n"/>
    </row>
    <row r="2191" ht="15.75" customHeight="1" thickBot="1">
      <c r="A2191" s="186" t="n">
        <v>871</v>
      </c>
      <c r="B2191" s="214" t="inlineStr">
        <is>
          <t>Tetrapack - Orange Juice</t>
        </is>
      </c>
      <c r="C2191" s="124" t="n"/>
      <c r="D2191" s="115" t="n"/>
      <c r="E2191" s="124" t="n"/>
      <c r="F2191" s="124" t="n"/>
      <c r="G2191" s="124" t="n"/>
      <c r="H2191" s="84" t="n"/>
      <c r="I2191" s="7" t="n"/>
      <c r="J2191" s="32" t="inlineStr">
        <is>
          <t>ZEST-O Big 250</t>
        </is>
      </c>
      <c r="K2191" s="24" t="n"/>
      <c r="L2191" s="36" t="n">
        <v>8.859999999999999</v>
      </c>
      <c r="M2191" s="204" t="n">
        <v>20</v>
      </c>
      <c r="N2191" s="177" t="n">
        <v>250</v>
      </c>
      <c r="O2191" s="13" t="n"/>
      <c r="P2191" s="139" t="inlineStr">
        <is>
          <t>ml</t>
        </is>
      </c>
      <c r="Q2191" s="2" t="n"/>
      <c r="R2191" s="1" t="n"/>
      <c r="S2191" s="229">
        <f>M2191*N2191</f>
        <v/>
      </c>
      <c r="T2191" s="230">
        <f>CONCATENATE(S2191,Q2191,P2191)</f>
        <v/>
      </c>
      <c r="U2191" s="206">
        <f>L2191*M2191</f>
        <v/>
      </c>
      <c r="V2191" s="4" t="n"/>
      <c r="W2191" s="4" t="n"/>
      <c r="X2191" s="4" t="n"/>
    </row>
    <row r="2192" ht="15.75" customHeight="1" thickBot="1">
      <c r="A2192" s="186" t="n">
        <v>872</v>
      </c>
      <c r="B2192" s="214" t="inlineStr">
        <is>
          <t>Thyme</t>
        </is>
      </c>
      <c r="C2192" s="124" t="n"/>
      <c r="D2192" s="115" t="n"/>
      <c r="E2192" s="124" t="n"/>
      <c r="F2192" s="124" t="n"/>
      <c r="G2192" s="124" t="n"/>
      <c r="H2192" s="84" t="n"/>
      <c r="I2192" s="7" t="n"/>
      <c r="J2192" s="32" t="inlineStr">
        <is>
          <t>McCormick</t>
        </is>
      </c>
      <c r="K2192" s="24" t="n"/>
      <c r="L2192" s="36" t="n">
        <v>66</v>
      </c>
      <c r="M2192" s="204" t="n">
        <v>1</v>
      </c>
      <c r="N2192" s="177" t="n">
        <v>14</v>
      </c>
      <c r="O2192" s="13" t="n"/>
      <c r="P2192" s="139" t="inlineStr">
        <is>
          <t>grams</t>
        </is>
      </c>
      <c r="Q2192" s="2" t="n"/>
      <c r="R2192" s="1" t="n"/>
      <c r="S2192" s="229">
        <f>M2192*N2192</f>
        <v/>
      </c>
      <c r="T2192" s="230">
        <f>CONCATENATE(S2192,Q2192,P2192)</f>
        <v/>
      </c>
      <c r="U2192" s="206">
        <f>L2192*M2192</f>
        <v/>
      </c>
      <c r="V2192" s="4" t="n"/>
      <c r="W2192" s="4" t="n"/>
      <c r="X2192" s="4" t="n"/>
    </row>
    <row r="2193" ht="15.75" customHeight="1" thickBot="1">
      <c r="A2193" s="186" t="n">
        <v>872</v>
      </c>
      <c r="B2193" s="215" t="inlineStr">
        <is>
          <t>Thyme</t>
        </is>
      </c>
      <c r="C2193" s="124" t="n"/>
      <c r="D2193" s="115" t="n"/>
      <c r="E2193" s="124" t="n"/>
      <c r="F2193" s="124" t="n"/>
      <c r="G2193" s="124" t="n"/>
      <c r="H2193" s="84" t="n"/>
      <c r="I2193" s="7" t="n"/>
      <c r="J2193" s="32" t="inlineStr">
        <is>
          <t>McCormick</t>
        </is>
      </c>
      <c r="K2193" s="24" t="n"/>
      <c r="L2193" s="36" t="n">
        <v>57</v>
      </c>
      <c r="M2193" s="204" t="n">
        <v>1</v>
      </c>
      <c r="N2193" s="177" t="n">
        <v>14</v>
      </c>
      <c r="O2193" s="13" t="n"/>
      <c r="P2193" s="139" t="inlineStr">
        <is>
          <t>grams</t>
        </is>
      </c>
      <c r="Q2193" s="2" t="n"/>
      <c r="R2193" s="1" t="n"/>
      <c r="S2193" s="229">
        <f>M2193*N2193</f>
        <v/>
      </c>
      <c r="T2193" s="230">
        <f>CONCATENATE(S2193,Q2193,P2193)</f>
        <v/>
      </c>
      <c r="U2193" s="206">
        <f>L2193*M2193</f>
        <v/>
      </c>
      <c r="V2193" s="4" t="n"/>
      <c r="W2193" s="4" t="n"/>
      <c r="X2193" s="4" t="n"/>
    </row>
    <row r="2194" ht="15.75" customHeight="1" thickBot="1">
      <c r="A2194" s="186" t="n">
        <v>872</v>
      </c>
      <c r="B2194" s="214" t="inlineStr">
        <is>
          <t>Thyme</t>
        </is>
      </c>
      <c r="C2194" s="124" t="n"/>
      <c r="D2194" s="115" t="n"/>
      <c r="E2194" s="124" t="n"/>
      <c r="F2194" s="124" t="n"/>
      <c r="G2194" s="124" t="n"/>
      <c r="H2194" s="84" t="n"/>
      <c r="I2194" s="7" t="n"/>
      <c r="J2194" s="32" t="inlineStr">
        <is>
          <t>McCormick</t>
        </is>
      </c>
      <c r="K2194" s="24" t="n"/>
      <c r="L2194" s="36" t="n">
        <v>66.5</v>
      </c>
      <c r="M2194" s="204" t="n">
        <v>0</v>
      </c>
      <c r="N2194" s="177" t="n">
        <v>14</v>
      </c>
      <c r="O2194" s="13" t="n"/>
      <c r="P2194" s="139" t="inlineStr">
        <is>
          <t>grams</t>
        </is>
      </c>
      <c r="Q2194" s="2" t="n"/>
      <c r="R2194" s="1" t="n"/>
      <c r="S2194" s="229">
        <f>M2194*N2194</f>
        <v/>
      </c>
      <c r="T2194" s="230">
        <f>CONCATENATE(S2194,Q2194,P2194)</f>
        <v/>
      </c>
      <c r="U2194" s="206">
        <f>L2194*M2194</f>
        <v/>
      </c>
      <c r="V2194" s="4" t="n"/>
      <c r="W2194" s="4" t="n"/>
      <c r="X2194" s="4" t="n"/>
    </row>
    <row r="2195" ht="15.75" customHeight="1" thickBot="1">
      <c r="A2195" s="186" t="n">
        <v>872</v>
      </c>
      <c r="B2195" s="214" t="inlineStr">
        <is>
          <t>Thyme</t>
        </is>
      </c>
      <c r="C2195" s="124" t="n"/>
      <c r="D2195" s="115" t="n"/>
      <c r="E2195" s="124" t="n"/>
      <c r="F2195" s="124" t="n"/>
      <c r="G2195" s="124" t="n"/>
      <c r="H2195" s="84" t="n"/>
      <c r="I2195" s="7" t="n"/>
      <c r="J2195" s="32" t="inlineStr">
        <is>
          <t>McCormick</t>
        </is>
      </c>
      <c r="K2195" s="24" t="n"/>
      <c r="L2195" s="36" t="n">
        <v>67</v>
      </c>
      <c r="M2195" s="204" t="n">
        <v>1</v>
      </c>
      <c r="N2195" s="177" t="n">
        <v>14</v>
      </c>
      <c r="O2195" s="13" t="n"/>
      <c r="P2195" s="139" t="inlineStr">
        <is>
          <t>grams</t>
        </is>
      </c>
      <c r="Q2195" s="2" t="n"/>
      <c r="R2195" s="1" t="n"/>
      <c r="S2195" s="229">
        <f>M2195*N2195</f>
        <v/>
      </c>
      <c r="T2195" s="230">
        <f>CONCATENATE(S2195,Q2195,P2195)</f>
        <v/>
      </c>
      <c r="U2195" s="206">
        <f>L2195*M2195</f>
        <v/>
      </c>
      <c r="V2195" s="4" t="n"/>
      <c r="W2195" s="4" t="n"/>
      <c r="X2195" s="4" t="n"/>
    </row>
    <row r="2196" ht="15.75" customHeight="1" thickBot="1">
      <c r="A2196" s="186" t="n">
        <v>872</v>
      </c>
      <c r="B2196" s="215" t="inlineStr">
        <is>
          <t>Thyme</t>
        </is>
      </c>
      <c r="C2196" s="124" t="n"/>
      <c r="D2196" s="115" t="n"/>
      <c r="E2196" s="124" t="n"/>
      <c r="F2196" s="124" t="n"/>
      <c r="G2196" s="124" t="n"/>
      <c r="H2196" s="84" t="n"/>
      <c r="I2196" s="7" t="n"/>
      <c r="J2196" s="32" t="inlineStr">
        <is>
          <t>J&amp;Y</t>
        </is>
      </c>
      <c r="K2196" s="24" t="n"/>
      <c r="L2196" s="36" t="n">
        <v>9.699999999999999</v>
      </c>
      <c r="M2196" s="204" t="n">
        <v>3</v>
      </c>
      <c r="N2196" s="177" t="n">
        <v>10</v>
      </c>
      <c r="O2196" s="13" t="n"/>
      <c r="P2196" s="139" t="inlineStr">
        <is>
          <t>grams</t>
        </is>
      </c>
      <c r="Q2196" s="2" t="n"/>
      <c r="R2196" s="1" t="n"/>
      <c r="S2196" s="229">
        <f>M2196*N2196</f>
        <v/>
      </c>
      <c r="T2196" s="230">
        <f>CONCATENATE(S2196,Q2196,P2196)</f>
        <v/>
      </c>
      <c r="U2196" s="206">
        <f>L2196*M2196</f>
        <v/>
      </c>
      <c r="V2196" s="4" t="n"/>
      <c r="W2196" s="4" t="n"/>
      <c r="X2196" s="4" t="n"/>
    </row>
    <row r="2197" ht="15.75" customHeight="1" thickBot="1">
      <c r="A2197" s="186" t="n">
        <v>414</v>
      </c>
      <c r="B2197" s="214" t="inlineStr">
        <is>
          <t>Tilapia</t>
        </is>
      </c>
      <c r="C2197" s="124" t="n"/>
      <c r="D2197" s="115" t="n"/>
      <c r="E2197" s="124" t="n"/>
      <c r="F2197" s="124" t="n"/>
      <c r="G2197" s="124" t="n"/>
      <c r="H2197" s="84" t="n"/>
      <c r="I2197" s="7" t="n"/>
      <c r="J2197" s="32" t="n"/>
      <c r="K2197" s="24" t="n"/>
      <c r="L2197" s="36" t="n">
        <v>150</v>
      </c>
      <c r="M2197" s="204" t="n">
        <v>2</v>
      </c>
      <c r="N2197" s="177" t="n">
        <v>1</v>
      </c>
      <c r="O2197" s="13" t="n"/>
      <c r="P2197" s="139" t="inlineStr">
        <is>
          <t>kilos</t>
        </is>
      </c>
      <c r="Q2197" s="2" t="n"/>
      <c r="R2197" s="1" t="n"/>
      <c r="S2197" s="229">
        <f>M2197*N2197</f>
        <v/>
      </c>
      <c r="T2197" s="230">
        <f>CONCATENATE(S2197,Q2197,P2197)</f>
        <v/>
      </c>
      <c r="U2197" s="206">
        <f>L2197*M2197</f>
        <v/>
      </c>
      <c r="V2197" s="4" t="n"/>
      <c r="W2197" s="4" t="n"/>
      <c r="X2197" s="4" t="n"/>
    </row>
    <row r="2198" ht="15.75" customHeight="1" thickBot="1">
      <c r="A2198" s="186" t="n">
        <v>414</v>
      </c>
      <c r="B2198" s="214" t="inlineStr">
        <is>
          <t>Tilapia</t>
        </is>
      </c>
      <c r="C2198" s="124" t="n"/>
      <c r="D2198" s="115" t="n"/>
      <c r="E2198" s="124" t="n"/>
      <c r="F2198" s="124" t="n"/>
      <c r="G2198" s="124" t="n"/>
      <c r="H2198" s="84" t="n"/>
      <c r="I2198" s="7" t="n"/>
      <c r="J2198" s="32" t="n"/>
      <c r="K2198" s="24" t="n"/>
      <c r="L2198" s="36" t="n">
        <v>150</v>
      </c>
      <c r="M2198" s="204" t="n">
        <v>4</v>
      </c>
      <c r="N2198" s="177" t="n">
        <v>1</v>
      </c>
      <c r="O2198" s="13" t="n"/>
      <c r="P2198" s="139" t="inlineStr">
        <is>
          <t>kilos</t>
        </is>
      </c>
      <c r="Q2198" s="2" t="n"/>
      <c r="R2198" s="1" t="n"/>
      <c r="S2198" s="229">
        <f>M2198*N2198</f>
        <v/>
      </c>
      <c r="T2198" s="230">
        <f>CONCATENATE(S2198,Q2198,P2198)</f>
        <v/>
      </c>
      <c r="U2198" s="206">
        <f>L2198*M2198</f>
        <v/>
      </c>
      <c r="V2198" s="4" t="n"/>
      <c r="W2198" s="4" t="n"/>
      <c r="X2198" s="4" t="n"/>
    </row>
    <row r="2199" ht="15.75" customHeight="1" thickBot="1">
      <c r="A2199" s="186" t="n">
        <v>414</v>
      </c>
      <c r="B2199" s="214" t="inlineStr">
        <is>
          <t>Tilapia</t>
        </is>
      </c>
      <c r="C2199" s="124" t="n"/>
      <c r="D2199" s="115" t="n"/>
      <c r="E2199" s="124" t="n"/>
      <c r="F2199" s="124" t="n"/>
      <c r="G2199" s="124" t="n"/>
      <c r="H2199" s="84" t="n"/>
      <c r="I2199" s="7" t="n"/>
      <c r="J2199" s="32" t="n"/>
      <c r="K2199" s="24" t="n"/>
      <c r="L2199" s="36" t="n">
        <v>160</v>
      </c>
      <c r="M2199" s="204" t="n">
        <v>16</v>
      </c>
      <c r="N2199" s="177" t="n">
        <v>1</v>
      </c>
      <c r="O2199" s="13" t="n"/>
      <c r="P2199" s="139" t="inlineStr">
        <is>
          <t>kilos</t>
        </is>
      </c>
      <c r="Q2199" s="2" t="n"/>
      <c r="R2199" s="1" t="n"/>
      <c r="S2199" s="229">
        <f>M2199*N2199</f>
        <v/>
      </c>
      <c r="T2199" s="230">
        <f>CONCATENATE(S2199,Q2199,P2199)</f>
        <v/>
      </c>
      <c r="U2199" s="206">
        <f>L2199*M2199</f>
        <v/>
      </c>
      <c r="V2199" s="4" t="n"/>
      <c r="W2199" s="4" t="n"/>
      <c r="X2199" s="4" t="n"/>
    </row>
    <row r="2200" ht="15.75" customHeight="1" thickBot="1">
      <c r="A2200" s="186" t="n">
        <v>416</v>
      </c>
      <c r="B2200" s="214" t="inlineStr">
        <is>
          <t>Tinapa Powder</t>
        </is>
      </c>
      <c r="C2200" s="124" t="n"/>
      <c r="D2200" s="115" t="n"/>
      <c r="E2200" s="124" t="n"/>
      <c r="F2200" s="124" t="n"/>
      <c r="G2200" s="124" t="n"/>
      <c r="H2200" s="84" t="n"/>
      <c r="I2200" s="7" t="n"/>
      <c r="J2200" s="32" t="n"/>
      <c r="K2200" s="24" t="n"/>
      <c r="L2200" s="36" t="n">
        <v>120</v>
      </c>
      <c r="M2200" s="204" t="n">
        <v>1</v>
      </c>
      <c r="N2200" s="177" t="n">
        <v>500</v>
      </c>
      <c r="O2200" s="13" t="n"/>
      <c r="P2200" s="139" t="inlineStr">
        <is>
          <t>grams</t>
        </is>
      </c>
      <c r="Q2200" s="2" t="n"/>
      <c r="R2200" s="1" t="n"/>
      <c r="S2200" s="229">
        <f>M2200*N2200</f>
        <v/>
      </c>
      <c r="T2200" s="230">
        <f>CONCATENATE(S2200,Q2200,P2200)</f>
        <v/>
      </c>
      <c r="U2200" s="206">
        <f>L2200*M2200</f>
        <v/>
      </c>
      <c r="V2200" s="4" t="n"/>
      <c r="W2200" s="4" t="n"/>
      <c r="X2200" s="4" t="n"/>
    </row>
    <row r="2201" ht="15.75" customHeight="1" thickBot="1">
      <c r="A2201" s="186" t="n">
        <v>417</v>
      </c>
      <c r="B2201" s="214" t="inlineStr">
        <is>
          <t>Tissue</t>
        </is>
      </c>
      <c r="C2201" s="124" t="n"/>
      <c r="D2201" s="115" t="n"/>
      <c r="E2201" s="124" t="n"/>
      <c r="F2201" s="124" t="n"/>
      <c r="G2201" s="124" t="n"/>
      <c r="H2201" s="84" t="n"/>
      <c r="I2201" s="7" t="n"/>
      <c r="J2201" s="32" t="inlineStr">
        <is>
          <t>Edward Edit</t>
        </is>
      </c>
      <c r="K2201" s="24" t="n"/>
      <c r="L2201" s="36" t="n">
        <v>12.36</v>
      </c>
      <c r="M2201" s="204" t="n">
        <v>32</v>
      </c>
      <c r="N2201" s="177" t="n">
        <v>1</v>
      </c>
      <c r="O2201" s="13" t="n"/>
      <c r="P2201" s="139" t="inlineStr">
        <is>
          <t>packs</t>
        </is>
      </c>
      <c r="Q2201" s="2" t="n"/>
      <c r="R2201" s="1" t="n"/>
      <c r="S2201" s="229">
        <f>M2201*N2201</f>
        <v/>
      </c>
      <c r="T2201" s="230">
        <f>CONCATENATE(S2201,Q2201,P2201)</f>
        <v/>
      </c>
      <c r="U2201" s="206">
        <f>L2201*M2201</f>
        <v/>
      </c>
      <c r="V2201" s="4" t="n"/>
      <c r="W2201" s="4" t="n"/>
      <c r="X2201" s="4" t="n"/>
    </row>
    <row r="2202" ht="15.75" customHeight="1" thickBot="1">
      <c r="A2202" s="186" t="n">
        <v>417</v>
      </c>
      <c r="B2202" s="215" t="inlineStr">
        <is>
          <t>Tissue</t>
        </is>
      </c>
      <c r="C2202" s="124" t="n"/>
      <c r="D2202" s="115" t="n"/>
      <c r="E2202" s="124" t="n"/>
      <c r="F2202" s="124" t="n"/>
      <c r="G2202" s="124" t="n"/>
      <c r="H2202" s="84" t="n"/>
      <c r="I2202" s="7" t="n"/>
      <c r="J2202" s="32" t="inlineStr">
        <is>
          <t>Harmony</t>
        </is>
      </c>
      <c r="K2202" s="24" t="n"/>
      <c r="L2202" s="36" t="n">
        <v>60</v>
      </c>
      <c r="M2202" s="204" t="n">
        <v>3</v>
      </c>
      <c r="N2202" s="177" t="n">
        <v>3</v>
      </c>
      <c r="O2202" s="13" t="n"/>
      <c r="P2202" s="139" t="inlineStr">
        <is>
          <t>packs</t>
        </is>
      </c>
      <c r="Q2202" s="2" t="n"/>
      <c r="R2202" s="1" t="n"/>
      <c r="S2202" s="229">
        <f>M2202*N2202</f>
        <v/>
      </c>
      <c r="T2202" s="230">
        <f>CONCATENATE(S2202,Q2202,P2202)</f>
        <v/>
      </c>
      <c r="U2202" s="206">
        <f>L2202*M2202</f>
        <v/>
      </c>
      <c r="V2202" s="4" t="n"/>
      <c r="W2202" s="4" t="n"/>
      <c r="X2202" s="4" t="n"/>
    </row>
    <row r="2203" ht="15.75" customHeight="1" thickBot="1">
      <c r="A2203" s="186" t="n">
        <v>417</v>
      </c>
      <c r="B2203" s="214" t="inlineStr">
        <is>
          <t>Tissue</t>
        </is>
      </c>
      <c r="C2203" s="124" t="n"/>
      <c r="D2203" s="115" t="n"/>
      <c r="E2203" s="124" t="n"/>
      <c r="F2203" s="124" t="n"/>
      <c r="G2203" s="124" t="n"/>
      <c r="H2203" s="84" t="n"/>
      <c r="I2203" s="7" t="n"/>
      <c r="J2203" s="32" t="inlineStr">
        <is>
          <t>Femme</t>
        </is>
      </c>
      <c r="K2203" s="24" t="n"/>
      <c r="L2203" s="36" t="n">
        <v>15.2</v>
      </c>
      <c r="M2203" s="204" t="n">
        <v>4</v>
      </c>
      <c r="N2203" s="177" t="n">
        <v>1</v>
      </c>
      <c r="O2203" s="13" t="n"/>
      <c r="P2203" s="139" t="inlineStr">
        <is>
          <t>packs</t>
        </is>
      </c>
      <c r="Q2203" s="2" t="n"/>
      <c r="R2203" s="1" t="n"/>
      <c r="S2203" s="229">
        <f>M2203*N2203</f>
        <v/>
      </c>
      <c r="T2203" s="230">
        <f>CONCATENATE(S2203,Q2203,P2203)</f>
        <v/>
      </c>
      <c r="U2203" s="206">
        <f>L2203*M2203</f>
        <v/>
      </c>
      <c r="V2203" s="4" t="n"/>
      <c r="W2203" s="4" t="n"/>
      <c r="X2203" s="4" t="n"/>
    </row>
    <row r="2204" ht="15.75" customHeight="1" thickBot="1">
      <c r="A2204" s="186" t="n">
        <v>873</v>
      </c>
      <c r="B2204" s="215" t="inlineStr">
        <is>
          <t>Tissue - Quarterly Fold</t>
        </is>
      </c>
      <c r="C2204" s="124" t="n"/>
      <c r="D2204" s="115" t="n"/>
      <c r="E2204" s="124" t="n"/>
      <c r="F2204" s="124" t="n"/>
      <c r="G2204" s="124" t="n"/>
      <c r="H2204" s="84" t="n"/>
      <c r="I2204" s="7" t="n"/>
      <c r="J2204" s="32" t="n"/>
      <c r="K2204" s="24" t="n"/>
      <c r="L2204" s="36" t="n">
        <v>100</v>
      </c>
      <c r="M2204" s="204" t="n">
        <v>1</v>
      </c>
      <c r="N2204" s="177" t="n">
        <v>1</v>
      </c>
      <c r="O2204" s="13" t="n"/>
      <c r="P2204" s="139" t="inlineStr">
        <is>
          <t>packs</t>
        </is>
      </c>
      <c r="Q2204" s="2" t="n"/>
      <c r="R2204" s="1" t="n"/>
      <c r="S2204" s="229">
        <f>M2204*N2204</f>
        <v/>
      </c>
      <c r="T2204" s="230">
        <f>CONCATENATE(S2204,Q2204,P2204)</f>
        <v/>
      </c>
      <c r="U2204" s="206">
        <f>L2204*M2204</f>
        <v/>
      </c>
      <c r="V2204" s="4" t="n"/>
      <c r="W2204" s="4" t="n"/>
      <c r="X2204" s="4" t="n"/>
    </row>
    <row r="2205" ht="15.75" customHeight="1" thickBot="1">
      <c r="A2205" s="186" t="n">
        <v>874</v>
      </c>
      <c r="B2205" s="214" t="inlineStr">
        <is>
          <t>Tocino - Chicken</t>
        </is>
      </c>
      <c r="C2205" s="124" t="n"/>
      <c r="D2205" s="115" t="n"/>
      <c r="E2205" s="124" t="n"/>
      <c r="F2205" s="124" t="n"/>
      <c r="G2205" s="124" t="n"/>
      <c r="H2205" s="84" t="n"/>
      <c r="I2205" s="7" t="n"/>
      <c r="J2205" s="32" t="inlineStr">
        <is>
          <t>CDO</t>
        </is>
      </c>
      <c r="K2205" s="24" t="n"/>
      <c r="L2205" s="36" t="n">
        <v>75</v>
      </c>
      <c r="M2205" s="204" t="n">
        <v>2</v>
      </c>
      <c r="N2205" s="177" t="n">
        <v>225</v>
      </c>
      <c r="O2205" s="13" t="n"/>
      <c r="P2205" s="139" t="inlineStr">
        <is>
          <t>grams</t>
        </is>
      </c>
      <c r="Q2205" s="2" t="n"/>
      <c r="R2205" s="1" t="n"/>
      <c r="S2205" s="229">
        <f>M2205*N2205</f>
        <v/>
      </c>
      <c r="T2205" s="230">
        <f>CONCATENATE(S2205,Q2205,P2205)</f>
        <v/>
      </c>
      <c r="U2205" s="206">
        <f>L2205*M2205</f>
        <v/>
      </c>
      <c r="V2205" s="4" t="n"/>
      <c r="W2205" s="4" t="n"/>
      <c r="X2205" s="4" t="n"/>
    </row>
    <row r="2206" ht="15.75" customHeight="1" thickBot="1">
      <c r="A2206" s="186" t="n">
        <v>875</v>
      </c>
      <c r="B2206" s="214" t="inlineStr">
        <is>
          <t>Tocino - Pork</t>
        </is>
      </c>
      <c r="C2206" s="124" t="n"/>
      <c r="D2206" s="115" t="n"/>
      <c r="E2206" s="124" t="n"/>
      <c r="F2206" s="124" t="n"/>
      <c r="G2206" s="124" t="n"/>
      <c r="H2206" s="84" t="n"/>
      <c r="I2206" s="7" t="n"/>
      <c r="J2206" s="32" t="inlineStr">
        <is>
          <t>CDO</t>
        </is>
      </c>
      <c r="K2206" s="24" t="n"/>
      <c r="L2206" s="36" t="n">
        <v>126.9</v>
      </c>
      <c r="M2206" s="204" t="n">
        <v>1</v>
      </c>
      <c r="N2206" s="177" t="n">
        <v>450</v>
      </c>
      <c r="O2206" s="13" t="n"/>
      <c r="P2206" s="139" t="inlineStr">
        <is>
          <t>grams</t>
        </is>
      </c>
      <c r="Q2206" s="2" t="n"/>
      <c r="R2206" s="1" t="n"/>
      <c r="S2206" s="229">
        <f>M2206*N2206</f>
        <v/>
      </c>
      <c r="T2206" s="230">
        <f>CONCATENATE(S2206,Q2206,P2206)</f>
        <v/>
      </c>
      <c r="U2206" s="206">
        <f>L2206*M2206</f>
        <v/>
      </c>
      <c r="V2206" s="4" t="n"/>
      <c r="W2206" s="4" t="n"/>
      <c r="X2206" s="4" t="n"/>
    </row>
    <row r="2207" ht="15.75" customHeight="1" thickBot="1">
      <c r="A2207" s="186" t="n">
        <v>875</v>
      </c>
      <c r="B2207" s="214" t="inlineStr">
        <is>
          <t>Tocino - Pork</t>
        </is>
      </c>
      <c r="C2207" s="124" t="n"/>
      <c r="D2207" s="115" t="n"/>
      <c r="E2207" s="124" t="n"/>
      <c r="F2207" s="124" t="n"/>
      <c r="G2207" s="124" t="n"/>
      <c r="H2207" s="84" t="n"/>
      <c r="I2207" s="7" t="n"/>
      <c r="J2207" s="32" t="inlineStr">
        <is>
          <t>Joshua</t>
        </is>
      </c>
      <c r="K2207" s="24" t="n"/>
      <c r="L2207" s="36" t="n">
        <v>240</v>
      </c>
      <c r="M2207" s="204" t="n">
        <v>1</v>
      </c>
      <c r="N2207" s="177" t="n">
        <v>1</v>
      </c>
      <c r="O2207" s="13" t="n"/>
      <c r="P2207" s="139" t="inlineStr">
        <is>
          <t>kilos</t>
        </is>
      </c>
      <c r="Q2207" s="2" t="n"/>
      <c r="R2207" s="1" t="n"/>
      <c r="S2207" s="229">
        <f>M2207*N2207</f>
        <v/>
      </c>
      <c r="T2207" s="230">
        <f>CONCATENATE(S2207,Q2207,P2207)</f>
        <v/>
      </c>
      <c r="U2207" s="206">
        <f>L2207*M2207</f>
        <v/>
      </c>
      <c r="V2207" s="4" t="n"/>
      <c r="W2207" s="4" t="n"/>
      <c r="X2207" s="4" t="n"/>
    </row>
    <row r="2208" ht="15.75" customHeight="1" thickBot="1">
      <c r="A2208" s="186" t="n">
        <v>875</v>
      </c>
      <c r="B2208" s="214" t="inlineStr">
        <is>
          <t>Tocino - Pork</t>
        </is>
      </c>
      <c r="C2208" s="124" t="n"/>
      <c r="D2208" s="115" t="n"/>
      <c r="E2208" s="124" t="n"/>
      <c r="F2208" s="124" t="n"/>
      <c r="G2208" s="124" t="n"/>
      <c r="H2208" s="84" t="n"/>
      <c r="I2208" s="7" t="n"/>
      <c r="J2208" s="32" t="inlineStr">
        <is>
          <t>CDO</t>
        </is>
      </c>
      <c r="K2208" s="24" t="n"/>
      <c r="L2208" s="36" t="n">
        <v>125</v>
      </c>
      <c r="M2208" s="204" t="n">
        <v>2</v>
      </c>
      <c r="N2208" s="177" t="n">
        <v>225</v>
      </c>
      <c r="O2208" s="13" t="n"/>
      <c r="P2208" s="139" t="inlineStr">
        <is>
          <t>grams</t>
        </is>
      </c>
      <c r="Q2208" s="2" t="n"/>
      <c r="R2208" s="1" t="n"/>
      <c r="S2208" s="229">
        <f>M2208*N2208</f>
        <v/>
      </c>
      <c r="T2208" s="230">
        <f>CONCATENATE(S2208,Q2208,P2208)</f>
        <v/>
      </c>
      <c r="U2208" s="206">
        <f>L2208*M2208</f>
        <v/>
      </c>
      <c r="V2208" s="4" t="n"/>
      <c r="W2208" s="4" t="n"/>
      <c r="X2208" s="4" t="n"/>
    </row>
    <row r="2209" ht="15.75" customHeight="1" thickBot="1">
      <c r="A2209" s="186" t="n">
        <v>875</v>
      </c>
      <c r="B2209" s="214" t="inlineStr">
        <is>
          <t>Tocino - Pork</t>
        </is>
      </c>
      <c r="C2209" s="124" t="n"/>
      <c r="D2209" s="115" t="n"/>
      <c r="E2209" s="124" t="n"/>
      <c r="F2209" s="124" t="n"/>
      <c r="G2209" s="124" t="n"/>
      <c r="H2209" s="84" t="n"/>
      <c r="I2209" s="7" t="n"/>
      <c r="J2209" s="32" t="inlineStr">
        <is>
          <t>CDO</t>
        </is>
      </c>
      <c r="K2209" s="24" t="n"/>
      <c r="L2209" s="36" t="n">
        <v>125</v>
      </c>
      <c r="M2209" s="204" t="n">
        <v>2</v>
      </c>
      <c r="N2209" s="177" t="n">
        <v>450</v>
      </c>
      <c r="O2209" s="13" t="n"/>
      <c r="P2209" s="139" t="inlineStr">
        <is>
          <t>grams</t>
        </is>
      </c>
      <c r="Q2209" s="2" t="n"/>
      <c r="R2209" s="1" t="n"/>
      <c r="S2209" s="229">
        <f>M2209*N2209</f>
        <v/>
      </c>
      <c r="T2209" s="230">
        <f>CONCATENATE(S2209,Q2209,P2209)</f>
        <v/>
      </c>
      <c r="U2209" s="206">
        <f>L2209*M2209</f>
        <v/>
      </c>
      <c r="V2209" s="4" t="n"/>
      <c r="W2209" s="4" t="n"/>
      <c r="X2209" s="4" t="n"/>
    </row>
    <row r="2210" ht="15.75" customHeight="1" thickBot="1">
      <c r="A2210" s="186" t="n">
        <v>875</v>
      </c>
      <c r="B2210" s="214" t="inlineStr">
        <is>
          <t>Tocino - Pork</t>
        </is>
      </c>
      <c r="C2210" s="124" t="n"/>
      <c r="D2210" s="115" t="n"/>
      <c r="E2210" s="124" t="n"/>
      <c r="F2210" s="124" t="n"/>
      <c r="G2210" s="124" t="n"/>
      <c r="H2210" s="84" t="n"/>
      <c r="I2210" s="7" t="n"/>
      <c r="J2210" s="32" t="inlineStr">
        <is>
          <t>CDO</t>
        </is>
      </c>
      <c r="K2210" s="24" t="n"/>
      <c r="L2210" s="36" t="n">
        <v>96.25</v>
      </c>
      <c r="M2210" s="204" t="n">
        <v>3</v>
      </c>
      <c r="N2210" s="177" t="n">
        <v>225</v>
      </c>
      <c r="O2210" s="13" t="n"/>
      <c r="P2210" s="139" t="inlineStr">
        <is>
          <t>grams</t>
        </is>
      </c>
      <c r="Q2210" s="2" t="n"/>
      <c r="R2210" s="1" t="n"/>
      <c r="S2210" s="229">
        <f>M2210*N2210</f>
        <v/>
      </c>
      <c r="T2210" s="230">
        <f>CONCATENATE(S2210,Q2210,P2210)</f>
        <v/>
      </c>
      <c r="U2210" s="206">
        <f>L2210*M2210</f>
        <v/>
      </c>
      <c r="V2210" s="4" t="n"/>
      <c r="W2210" s="4" t="n"/>
      <c r="X2210" s="4" t="n"/>
    </row>
    <row r="2211" ht="15.75" customHeight="1" thickBot="1">
      <c r="A2211" s="186" t="n">
        <v>875</v>
      </c>
      <c r="B2211" s="214" t="inlineStr">
        <is>
          <t>Tocino - Pork</t>
        </is>
      </c>
      <c r="C2211" s="124" t="n"/>
      <c r="D2211" s="115" t="n"/>
      <c r="E2211" s="124" t="n"/>
      <c r="F2211" s="124" t="n"/>
      <c r="G2211" s="124" t="n"/>
      <c r="H2211" s="84" t="n"/>
      <c r="I2211" s="7" t="n"/>
      <c r="J2211" s="32" t="inlineStr">
        <is>
          <t>CDO</t>
        </is>
      </c>
      <c r="K2211" s="24" t="n"/>
      <c r="L2211" s="36" t="n">
        <v>126.9</v>
      </c>
      <c r="M2211" s="204" t="n">
        <v>12</v>
      </c>
      <c r="N2211" s="177" t="n">
        <v>450</v>
      </c>
      <c r="O2211" s="13" t="n"/>
      <c r="P2211" s="139" t="inlineStr">
        <is>
          <t>grams</t>
        </is>
      </c>
      <c r="Q2211" s="2" t="n"/>
      <c r="R2211" s="1" t="n"/>
      <c r="S2211" s="229">
        <f>M2211*N2211</f>
        <v/>
      </c>
      <c r="T2211" s="230">
        <f>CONCATENATE(S2211,Q2211,P2211)</f>
        <v/>
      </c>
      <c r="U2211" s="206">
        <f>L2211*M2211</f>
        <v/>
      </c>
      <c r="V2211" s="4" t="n"/>
      <c r="W2211" s="4" t="n"/>
      <c r="X2211" s="4" t="n"/>
    </row>
    <row r="2212" ht="15.75" customHeight="1" thickBot="1">
      <c r="A2212" s="187" t="n">
        <v>876</v>
      </c>
      <c r="B2212" s="214" t="inlineStr">
        <is>
          <t>Tofu</t>
        </is>
      </c>
      <c r="C2212" s="124" t="n"/>
      <c r="D2212" s="115" t="n"/>
      <c r="E2212" s="124" t="n"/>
      <c r="F2212" s="124" t="n"/>
      <c r="G2212" s="124" t="n"/>
      <c r="H2212" s="84" t="n"/>
      <c r="I2212" s="7" t="n"/>
      <c r="J2212" s="32" t="n"/>
      <c r="K2212" s="24" t="n"/>
      <c r="L2212" s="36" t="n">
        <v>45</v>
      </c>
      <c r="M2212" s="204" t="n">
        <v>8</v>
      </c>
      <c r="N2212" s="177" t="n">
        <v>1</v>
      </c>
      <c r="O2212" s="13" t="n"/>
      <c r="P2212" s="139" t="inlineStr">
        <is>
          <t>pieces</t>
        </is>
      </c>
      <c r="Q2212" s="2" t="n"/>
      <c r="R2212" s="1" t="n"/>
      <c r="S2212" s="229">
        <f>M2212*N2212</f>
        <v/>
      </c>
      <c r="T2212" s="230">
        <f>CONCATENATE(S2212,Q2212,P2212)</f>
        <v/>
      </c>
      <c r="U2212" s="206">
        <f>L2212*M2212</f>
        <v/>
      </c>
      <c r="V2212" s="4" t="n"/>
      <c r="W2212" s="4" t="n"/>
      <c r="X2212" s="4" t="n"/>
    </row>
    <row r="2213" ht="15.75" customHeight="1" thickBot="1">
      <c r="A2213" s="187" t="n">
        <v>876</v>
      </c>
      <c r="B2213" s="214" t="inlineStr">
        <is>
          <t>Tofu</t>
        </is>
      </c>
      <c r="C2213" s="124" t="n"/>
      <c r="D2213" s="115" t="n"/>
      <c r="E2213" s="124" t="n"/>
      <c r="F2213" s="124" t="n"/>
      <c r="G2213" s="124" t="n"/>
      <c r="H2213" s="84" t="n"/>
      <c r="I2213" s="7" t="n"/>
      <c r="J2213" s="32" t="inlineStr">
        <is>
          <t>Kem Kang</t>
        </is>
      </c>
      <c r="K2213" s="24" t="n"/>
      <c r="L2213" s="36" t="n">
        <v>50</v>
      </c>
      <c r="M2213" s="204" t="n">
        <v>1</v>
      </c>
      <c r="N2213" s="177" t="n">
        <v>500</v>
      </c>
      <c r="O2213" s="13" t="n"/>
      <c r="P2213" s="139" t="inlineStr">
        <is>
          <t>grams</t>
        </is>
      </c>
      <c r="Q2213" s="2" t="n"/>
      <c r="R2213" s="1" t="n"/>
      <c r="S2213" s="229">
        <f>M2213*N2213</f>
        <v/>
      </c>
      <c r="T2213" s="230">
        <f>CONCATENATE(S2213,Q2213,P2213)</f>
        <v/>
      </c>
      <c r="U2213" s="206">
        <f>L2213*M2213</f>
        <v/>
      </c>
      <c r="V2213" s="4" t="n"/>
      <c r="W2213" s="4" t="n"/>
      <c r="X2213" s="4" t="n"/>
    </row>
    <row r="2214" ht="15.75" customHeight="1" thickBot="1">
      <c r="A2214" s="187" t="n">
        <v>877</v>
      </c>
      <c r="B2214" s="214" t="inlineStr">
        <is>
          <t>Togue</t>
        </is>
      </c>
      <c r="C2214" s="124" t="n"/>
      <c r="D2214" s="115" t="n"/>
      <c r="E2214" s="124" t="n"/>
      <c r="F2214" s="124" t="n"/>
      <c r="G2214" s="124" t="n"/>
      <c r="H2214" s="84" t="n"/>
      <c r="I2214" s="7" t="n"/>
      <c r="J2214" s="32" t="n"/>
      <c r="K2214" s="24" t="n"/>
      <c r="L2214" s="36" t="n">
        <v>40</v>
      </c>
      <c r="M2214" s="204" t="n">
        <v>1</v>
      </c>
      <c r="N2214" s="177" t="n">
        <v>1</v>
      </c>
      <c r="O2214" s="13" t="n"/>
      <c r="P2214" s="139" t="inlineStr">
        <is>
          <t>kilos</t>
        </is>
      </c>
      <c r="Q2214" s="2" t="n"/>
      <c r="R2214" s="1" t="n"/>
      <c r="S2214" s="229">
        <f>M2214*N2214</f>
        <v/>
      </c>
      <c r="T2214" s="230">
        <f>CONCATENATE(S2214,Q2214,P2214)</f>
        <v/>
      </c>
      <c r="U2214" s="206">
        <f>L2214*M2214</f>
        <v/>
      </c>
      <c r="V2214" s="4" t="n"/>
      <c r="W2214" s="4" t="n"/>
      <c r="X2214" s="4" t="n"/>
    </row>
    <row r="2215" ht="15.75" customHeight="1" thickBot="1">
      <c r="A2215" s="187" t="n">
        <v>878</v>
      </c>
      <c r="B2215" s="214" t="inlineStr">
        <is>
          <t>Tomato</t>
        </is>
      </c>
      <c r="C2215" s="124" t="n"/>
      <c r="D2215" s="115" t="n"/>
      <c r="E2215" s="124" t="n"/>
      <c r="F2215" s="124" t="n"/>
      <c r="G2215" s="124" t="n"/>
      <c r="H2215" s="84" t="n"/>
      <c r="I2215" s="7" t="n"/>
      <c r="J2215" s="32" t="n"/>
      <c r="K2215" s="24" t="n"/>
      <c r="L2215" s="36" t="n">
        <v>180</v>
      </c>
      <c r="M2215" s="204" t="n">
        <v>5</v>
      </c>
      <c r="N2215" s="177" t="n">
        <v>1000</v>
      </c>
      <c r="O2215" s="13" t="n"/>
      <c r="P2215" s="139" t="inlineStr">
        <is>
          <t>grams</t>
        </is>
      </c>
      <c r="Q2215" s="2" t="n"/>
      <c r="R2215" s="1" t="n"/>
      <c r="S2215" s="229">
        <f>M2215*N2215</f>
        <v/>
      </c>
      <c r="T2215" s="230">
        <f>CONCATENATE(S2215,Q2215,P2215)</f>
        <v/>
      </c>
      <c r="U2215" s="206">
        <f>L2215*M2215</f>
        <v/>
      </c>
      <c r="V2215" s="4" t="n"/>
      <c r="W2215" s="4" t="n"/>
      <c r="X2215" s="4" t="n"/>
    </row>
    <row r="2216" ht="15.75" customHeight="1" thickBot="1">
      <c r="A2216" s="187" t="n">
        <v>879</v>
      </c>
      <c r="B2216" s="215" t="inlineStr">
        <is>
          <t>Tomato Ketchup</t>
        </is>
      </c>
      <c r="C2216" s="124" t="n"/>
      <c r="D2216" s="115" t="n"/>
      <c r="E2216" s="124" t="n"/>
      <c r="F2216" s="124" t="n"/>
      <c r="G2216" s="124" t="n"/>
      <c r="H2216" s="84" t="n"/>
      <c r="I2216" s="7" t="n"/>
      <c r="J2216" s="32" t="inlineStr">
        <is>
          <t>UFC</t>
        </is>
      </c>
      <c r="K2216" s="24" t="n"/>
      <c r="L2216" s="36" t="n">
        <v>3.45</v>
      </c>
      <c r="M2216" s="204" t="n">
        <v>87</v>
      </c>
      <c r="N2216" s="177" t="n">
        <v>25</v>
      </c>
      <c r="O2216" s="13" t="n"/>
      <c r="P2216" s="139" t="inlineStr">
        <is>
          <t>grams</t>
        </is>
      </c>
      <c r="Q2216" s="2" t="n"/>
      <c r="R2216" s="1" t="n"/>
      <c r="S2216" s="229">
        <f>M2216*N2216</f>
        <v/>
      </c>
      <c r="T2216" s="230">
        <f>CONCATENATE(S2216,Q2216,P2216)</f>
        <v/>
      </c>
      <c r="U2216" s="206">
        <f>L2216*M2216</f>
        <v/>
      </c>
      <c r="V2216" s="4" t="n"/>
      <c r="W2216" s="4" t="n"/>
      <c r="X2216" s="4" t="n"/>
    </row>
    <row r="2217" ht="15.75" customHeight="1" thickBot="1">
      <c r="A2217" s="187" t="n">
        <v>421</v>
      </c>
      <c r="B2217" s="214" t="inlineStr">
        <is>
          <t>Tomato Paste</t>
        </is>
      </c>
      <c r="C2217" s="124" t="n"/>
      <c r="D2217" s="115" t="n"/>
      <c r="E2217" s="124" t="n"/>
      <c r="F2217" s="124" t="n"/>
      <c r="G2217" s="124" t="n"/>
      <c r="H2217" s="84" t="n"/>
      <c r="I2217" s="7" t="n"/>
      <c r="J2217" s="32" t="inlineStr">
        <is>
          <t>Del Monte</t>
        </is>
      </c>
      <c r="K2217" s="24" t="n"/>
      <c r="L2217" s="36" t="n">
        <v>31.2</v>
      </c>
      <c r="M2217" s="204" t="n">
        <v>7</v>
      </c>
      <c r="N2217" s="177" t="n">
        <v>150</v>
      </c>
      <c r="O2217" s="13" t="n"/>
      <c r="P2217" s="139" t="inlineStr">
        <is>
          <t>grams</t>
        </is>
      </c>
      <c r="Q2217" s="2" t="n"/>
      <c r="R2217" s="1" t="n"/>
      <c r="S2217" s="229">
        <f>M2217*N2217</f>
        <v/>
      </c>
      <c r="T2217" s="230">
        <f>CONCATENATE(S2217,Q2217,P2217)</f>
        <v/>
      </c>
      <c r="U2217" s="206">
        <f>L2217*M2217</f>
        <v/>
      </c>
      <c r="V2217" s="4" t="n"/>
      <c r="W2217" s="4" t="n"/>
      <c r="X2217" s="4" t="n"/>
    </row>
    <row r="2218" ht="15.75" customHeight="1" thickBot="1">
      <c r="A2218" s="187" t="n">
        <v>421</v>
      </c>
      <c r="B2218" s="214" t="inlineStr">
        <is>
          <t>Tomato Paste</t>
        </is>
      </c>
      <c r="C2218" s="124" t="n"/>
      <c r="D2218" s="115" t="n"/>
      <c r="E2218" s="124" t="n"/>
      <c r="F2218" s="124" t="n"/>
      <c r="G2218" s="124" t="n"/>
      <c r="H2218" s="84" t="n"/>
      <c r="I2218" s="7" t="n"/>
      <c r="J2218" s="32" t="inlineStr">
        <is>
          <t>Del Monte</t>
        </is>
      </c>
      <c r="K2218" s="24" t="n"/>
      <c r="L2218" s="36" t="n">
        <v>18.19</v>
      </c>
      <c r="M2218" s="204" t="n">
        <v>62</v>
      </c>
      <c r="N2218" s="177" t="n">
        <v>70</v>
      </c>
      <c r="O2218" s="13" t="n"/>
      <c r="P2218" s="139" t="inlineStr">
        <is>
          <t>grams</t>
        </is>
      </c>
      <c r="Q2218" s="2" t="n"/>
      <c r="R2218" s="1" t="n"/>
      <c r="S2218" s="229">
        <f>M2218*N2218</f>
        <v/>
      </c>
      <c r="T2218" s="230">
        <f>CONCATENATE(S2218,Q2218,P2218)</f>
        <v/>
      </c>
      <c r="U2218" s="206">
        <f>L2218*M2218</f>
        <v/>
      </c>
      <c r="V2218" s="4" t="n"/>
      <c r="W2218" s="4" t="n"/>
      <c r="X2218" s="4" t="n"/>
    </row>
    <row r="2219" ht="15.75" customHeight="1" thickBot="1">
      <c r="A2219" s="187" t="n">
        <v>421</v>
      </c>
      <c r="B2219" s="214" t="inlineStr">
        <is>
          <t>Tomato Paste</t>
        </is>
      </c>
      <c r="C2219" s="124" t="n"/>
      <c r="D2219" s="115" t="n"/>
      <c r="E2219" s="124" t="n"/>
      <c r="F2219" s="124" t="n"/>
      <c r="G2219" s="124" t="n"/>
      <c r="H2219" s="84" t="n"/>
      <c r="I2219" s="7" t="n"/>
      <c r="J2219" s="32" t="inlineStr">
        <is>
          <t>Del Monte</t>
        </is>
      </c>
      <c r="K2219" s="24" t="n"/>
      <c r="L2219" s="36" t="n">
        <v>31.2</v>
      </c>
      <c r="M2219" s="204" t="n">
        <v>15</v>
      </c>
      <c r="N2219" s="177" t="n">
        <v>150</v>
      </c>
      <c r="O2219" s="13" t="n"/>
      <c r="P2219" s="139" t="inlineStr">
        <is>
          <t>grams</t>
        </is>
      </c>
      <c r="Q2219" s="2" t="n"/>
      <c r="R2219" s="1" t="n"/>
      <c r="S2219" s="229">
        <f>M2219*N2219</f>
        <v/>
      </c>
      <c r="T2219" s="230">
        <f>CONCATENATE(S2219,Q2219,P2219)</f>
        <v/>
      </c>
      <c r="U2219" s="206">
        <f>L2219*M2219</f>
        <v/>
      </c>
      <c r="V2219" s="4" t="n"/>
      <c r="W2219" s="4" t="n"/>
      <c r="X2219" s="4" t="n"/>
    </row>
    <row r="2220" ht="15.75" customHeight="1" thickBot="1">
      <c r="A2220" s="187" t="n">
        <v>421</v>
      </c>
      <c r="B2220" s="214" t="inlineStr">
        <is>
          <t>Tomato Paste</t>
        </is>
      </c>
      <c r="C2220" s="124" t="n"/>
      <c r="D2220" s="115" t="n"/>
      <c r="E2220" s="124" t="n"/>
      <c r="F2220" s="124" t="n"/>
      <c r="G2220" s="124" t="n"/>
      <c r="H2220" s="84" t="n"/>
      <c r="I2220" s="7" t="n"/>
      <c r="J2220" s="32" t="inlineStr">
        <is>
          <t>Del Monte</t>
        </is>
      </c>
      <c r="K2220" s="24" t="n"/>
      <c r="L2220" s="36" t="n">
        <v>32</v>
      </c>
      <c r="M2220" s="204" t="n">
        <v>11</v>
      </c>
      <c r="N2220" s="177" t="n">
        <v>150</v>
      </c>
      <c r="O2220" s="13" t="n"/>
      <c r="P2220" s="139" t="inlineStr">
        <is>
          <t>grams</t>
        </is>
      </c>
      <c r="Q2220" s="2" t="n"/>
      <c r="R2220" s="1" t="n"/>
      <c r="S2220" s="229">
        <f>M2220*N2220</f>
        <v/>
      </c>
      <c r="T2220" s="230">
        <f>CONCATENATE(S2220,Q2220,P2220)</f>
        <v/>
      </c>
      <c r="U2220" s="206">
        <f>L2220*M2220</f>
        <v/>
      </c>
      <c r="V2220" s="4" t="n"/>
      <c r="W2220" s="4" t="n"/>
      <c r="X2220" s="4" t="n"/>
    </row>
    <row r="2221" ht="15.75" customHeight="1" thickBot="1">
      <c r="A2221" s="187" t="n">
        <v>421</v>
      </c>
      <c r="B2221" s="215" t="inlineStr">
        <is>
          <t>Tomato Paste</t>
        </is>
      </c>
      <c r="C2221" s="124" t="n"/>
      <c r="D2221" s="115" t="n"/>
      <c r="E2221" s="124" t="n"/>
      <c r="F2221" s="124" t="n"/>
      <c r="G2221" s="124" t="n"/>
      <c r="H2221" s="84" t="n"/>
      <c r="I2221" s="7" t="n"/>
      <c r="J2221" s="32" t="inlineStr">
        <is>
          <t>Del Monte</t>
        </is>
      </c>
      <c r="K2221" s="24" t="n"/>
      <c r="L2221" s="36" t="n">
        <v>33</v>
      </c>
      <c r="M2221" s="204" t="n">
        <v>2</v>
      </c>
      <c r="N2221" s="177" t="n">
        <v>150</v>
      </c>
      <c r="O2221" s="13" t="n"/>
      <c r="P2221" s="139" t="inlineStr">
        <is>
          <t>grams</t>
        </is>
      </c>
      <c r="Q2221" s="2" t="n"/>
      <c r="R2221" s="1" t="n"/>
      <c r="S2221" s="229">
        <f>M2221*N2221</f>
        <v/>
      </c>
      <c r="T2221" s="230">
        <f>CONCATENATE(S2221,Q2221,P2221)</f>
        <v/>
      </c>
      <c r="U2221" s="206">
        <f>L2221*M2221</f>
        <v/>
      </c>
      <c r="V2221" s="4" t="n"/>
      <c r="W2221" s="4" t="n"/>
      <c r="X2221" s="4" t="n"/>
    </row>
    <row r="2222" ht="15.75" customHeight="1" thickBot="1">
      <c r="A2222" s="187" t="n">
        <v>421</v>
      </c>
      <c r="B2222" s="214" t="inlineStr">
        <is>
          <t>Tomato Paste</t>
        </is>
      </c>
      <c r="C2222" s="124" t="n"/>
      <c r="D2222" s="115" t="n"/>
      <c r="E2222" s="124" t="n"/>
      <c r="F2222" s="124" t="n"/>
      <c r="G2222" s="124" t="n"/>
      <c r="H2222" s="84" t="n"/>
      <c r="I2222" s="7" t="n"/>
      <c r="J2222" s="32" t="inlineStr">
        <is>
          <t>Del Monte</t>
        </is>
      </c>
      <c r="K2222" s="24" t="n"/>
      <c r="L2222" s="36" t="n">
        <v>31.2</v>
      </c>
      <c r="M2222" s="204" t="n">
        <v>3</v>
      </c>
      <c r="N2222" s="177" t="n">
        <v>150</v>
      </c>
      <c r="O2222" s="13" t="n"/>
      <c r="P2222" s="139" t="inlineStr">
        <is>
          <t>grams</t>
        </is>
      </c>
      <c r="Q2222" s="2" t="n"/>
      <c r="R2222" s="1" t="n"/>
      <c r="S2222" s="229">
        <f>M2222*N2222</f>
        <v/>
      </c>
      <c r="T2222" s="230">
        <f>CONCATENATE(S2222,Q2222,P2222)</f>
        <v/>
      </c>
      <c r="U2222" s="206">
        <f>L2222*M2222</f>
        <v/>
      </c>
      <c r="V2222" s="4" t="n"/>
      <c r="W2222" s="4" t="n"/>
      <c r="X2222" s="4" t="n"/>
    </row>
    <row r="2223" ht="15.75" customHeight="1" thickBot="1">
      <c r="A2223" s="187" t="n">
        <v>422</v>
      </c>
      <c r="B2223" s="214" t="inlineStr">
        <is>
          <t>Tomato Sauce</t>
        </is>
      </c>
      <c r="C2223" s="124" t="n"/>
      <c r="D2223" s="115" t="n"/>
      <c r="E2223" s="124" t="n"/>
      <c r="F2223" s="124" t="n"/>
      <c r="G2223" s="124" t="n"/>
      <c r="H2223" s="84" t="n"/>
      <c r="I2223" s="7" t="n"/>
      <c r="J2223" s="32" t="inlineStr">
        <is>
          <t>Ticman</t>
        </is>
      </c>
      <c r="K2223" s="24" t="n"/>
      <c r="L2223" s="36" t="n">
        <v>135</v>
      </c>
      <c r="M2223" s="204" t="n">
        <v>3</v>
      </c>
      <c r="N2223" s="177" t="n">
        <v>3500</v>
      </c>
      <c r="O2223" s="13" t="n"/>
      <c r="P2223" s="139" t="inlineStr">
        <is>
          <t>ml</t>
        </is>
      </c>
      <c r="Q2223" s="2" t="n"/>
      <c r="R2223" s="1" t="n"/>
      <c r="S2223" s="229">
        <f>M2223*N2223</f>
        <v/>
      </c>
      <c r="T2223" s="230">
        <f>CONCATENATE(S2223,Q2223,P2223)</f>
        <v/>
      </c>
      <c r="U2223" s="206">
        <f>L2223*M2223</f>
        <v/>
      </c>
      <c r="V2223" s="4" t="n"/>
      <c r="W2223" s="4" t="n"/>
      <c r="X2223" s="4" t="n"/>
    </row>
    <row r="2224" ht="15.75" customHeight="1" thickBot="1">
      <c r="A2224" s="186" t="n">
        <v>422</v>
      </c>
      <c r="B2224" s="214" t="inlineStr">
        <is>
          <t>Tomato Sauce</t>
        </is>
      </c>
      <c r="C2224" s="124" t="n"/>
      <c r="D2224" s="115" t="n"/>
      <c r="E2224" s="124" t="n"/>
      <c r="F2224" s="124" t="n"/>
      <c r="G2224" s="124" t="n"/>
      <c r="H2224" s="84" t="n"/>
      <c r="I2224" s="7" t="n"/>
      <c r="J2224" s="32" t="inlineStr">
        <is>
          <t>Ticman</t>
        </is>
      </c>
      <c r="K2224" s="24" t="n"/>
      <c r="L2224" s="36" t="n">
        <v>135</v>
      </c>
      <c r="M2224" s="204" t="n">
        <v>11</v>
      </c>
      <c r="N2224" s="177" t="n">
        <v>3500</v>
      </c>
      <c r="O2224" s="13" t="n"/>
      <c r="P2224" s="139" t="inlineStr">
        <is>
          <t>ml</t>
        </is>
      </c>
      <c r="Q2224" s="2" t="n"/>
      <c r="R2224" s="1" t="n"/>
      <c r="S2224" s="229">
        <f>M2224*N2224</f>
        <v/>
      </c>
      <c r="T2224" s="230">
        <f>CONCATENATE(S2224,Q2224,P2224)</f>
        <v/>
      </c>
      <c r="U2224" s="206">
        <f>L2224*M2224</f>
        <v/>
      </c>
      <c r="V2224" s="4" t="n"/>
      <c r="W2224" s="4" t="n"/>
      <c r="X2224" s="4" t="n"/>
    </row>
    <row r="2225" ht="15.75" customHeight="1" thickBot="1">
      <c r="A2225" s="187" t="n">
        <v>422</v>
      </c>
      <c r="B2225" s="214" t="inlineStr">
        <is>
          <t>Tomato Sauce</t>
        </is>
      </c>
      <c r="C2225" s="124" t="n"/>
      <c r="D2225" s="115" t="n"/>
      <c r="E2225" s="124" t="n"/>
      <c r="F2225" s="124" t="n"/>
      <c r="G2225" s="124" t="n"/>
      <c r="H2225" s="84" t="n"/>
      <c r="I2225" s="7" t="n"/>
      <c r="J2225" s="32" t="inlineStr">
        <is>
          <t>Ticman</t>
        </is>
      </c>
      <c r="K2225" s="24" t="n"/>
      <c r="L2225" s="36" t="n">
        <v>135</v>
      </c>
      <c r="M2225" s="204" t="n">
        <v>1</v>
      </c>
      <c r="N2225" s="177" t="n">
        <v>3</v>
      </c>
      <c r="O2225" s="13" t="n"/>
      <c r="P2225" s="139" t="inlineStr">
        <is>
          <t>kilos</t>
        </is>
      </c>
      <c r="Q2225" s="2" t="n"/>
      <c r="R2225" s="1" t="n"/>
      <c r="S2225" s="229">
        <f>M2225*N2225</f>
        <v/>
      </c>
      <c r="T2225" s="230">
        <f>CONCATENATE(S2225,Q2225,P2225)</f>
        <v/>
      </c>
      <c r="U2225" s="206">
        <f>L2225*M2225</f>
        <v/>
      </c>
      <c r="V2225" s="4" t="n"/>
      <c r="W2225" s="4" t="n"/>
      <c r="X2225" s="4" t="n"/>
    </row>
    <row r="2226" ht="15.75" customHeight="1" thickBot="1">
      <c r="A2226" s="187" t="n">
        <v>880</v>
      </c>
      <c r="B2226" s="214" t="inlineStr">
        <is>
          <t>Tomato Sauce - Filipino Style</t>
        </is>
      </c>
      <c r="C2226" s="124" t="n"/>
      <c r="D2226" s="115" t="n"/>
      <c r="E2226" s="124" t="n"/>
      <c r="F2226" s="124" t="n"/>
      <c r="G2226" s="124" t="n"/>
      <c r="H2226" s="84" t="n"/>
      <c r="I2226" s="7" t="n"/>
      <c r="J2226" s="32" t="inlineStr">
        <is>
          <t>Del Monte</t>
        </is>
      </c>
      <c r="K2226" s="24" t="n"/>
      <c r="L2226" s="36" t="n">
        <v>84.2</v>
      </c>
      <c r="M2226" s="204" t="n">
        <v>1</v>
      </c>
      <c r="N2226" s="177" t="n">
        <v>900</v>
      </c>
      <c r="O2226" s="13" t="n"/>
      <c r="P2226" s="139" t="inlineStr">
        <is>
          <t>grams</t>
        </is>
      </c>
      <c r="Q2226" s="2" t="n"/>
      <c r="R2226" s="1" t="n"/>
      <c r="S2226" s="229">
        <f>M2226*N2226</f>
        <v/>
      </c>
      <c r="T2226" s="230">
        <f>CONCATENATE(S2226,Q2226,P2226)</f>
        <v/>
      </c>
      <c r="U2226" s="206">
        <f>L2226*M2226</f>
        <v/>
      </c>
      <c r="V2226" s="4" t="n"/>
      <c r="W2226" s="4" t="n"/>
      <c r="X2226" s="4" t="n"/>
    </row>
    <row r="2227" ht="15.75" customHeight="1" thickBot="1">
      <c r="A2227" s="186" t="n">
        <v>881</v>
      </c>
      <c r="B2227" s="214" t="inlineStr">
        <is>
          <t>Tomato Sauce - Original Style</t>
        </is>
      </c>
      <c r="C2227" s="124" t="n"/>
      <c r="D2227" s="115" t="n"/>
      <c r="E2227" s="124" t="n"/>
      <c r="F2227" s="124" t="n"/>
      <c r="G2227" s="124" t="n"/>
      <c r="H2227" s="84" t="n"/>
      <c r="I2227" s="7" t="n"/>
      <c r="J2227" s="32" t="inlineStr">
        <is>
          <t>Del Monte</t>
        </is>
      </c>
      <c r="K2227" s="24" t="n"/>
      <c r="L2227" s="36" t="n">
        <v>82.8</v>
      </c>
      <c r="M2227" s="204" t="n">
        <v>5</v>
      </c>
      <c r="N2227" s="177" t="n">
        <v>900</v>
      </c>
      <c r="O2227" s="13" t="n"/>
      <c r="P2227" s="139" t="inlineStr">
        <is>
          <t>grams</t>
        </is>
      </c>
      <c r="Q2227" s="2" t="n"/>
      <c r="R2227" s="1" t="n"/>
      <c r="S2227" s="229">
        <f>M2227*N2227</f>
        <v/>
      </c>
      <c r="T2227" s="230">
        <f>CONCATENATE(S2227,Q2227,P2227)</f>
        <v/>
      </c>
      <c r="U2227" s="206">
        <f>L2227*M2227</f>
        <v/>
      </c>
      <c r="V2227" s="4" t="n"/>
      <c r="W2227" s="4" t="n"/>
      <c r="X2227" s="4" t="n"/>
    </row>
    <row r="2228" ht="15.75" customHeight="1" thickBot="1">
      <c r="A2228" s="186" t="n">
        <v>424</v>
      </c>
      <c r="B2228" s="214" t="inlineStr">
        <is>
          <t>Toothbrush</t>
        </is>
      </c>
      <c r="C2228" s="124" t="n"/>
      <c r="D2228" s="115" t="n"/>
      <c r="E2228" s="124" t="n"/>
      <c r="F2228" s="124" t="n"/>
      <c r="G2228" s="124" t="n"/>
      <c r="H2228" s="84" t="n"/>
      <c r="I2228" s="7" t="n"/>
      <c r="J2228" s="32" t="inlineStr">
        <is>
          <t>Colgate</t>
        </is>
      </c>
      <c r="K2228" s="24" t="n"/>
      <c r="L2228" s="36" t="n">
        <v>13</v>
      </c>
      <c r="M2228" s="204" t="n">
        <v>3</v>
      </c>
      <c r="N2228" s="177" t="n">
        <v>1</v>
      </c>
      <c r="O2228" s="13" t="n"/>
      <c r="P2228" s="139" t="inlineStr">
        <is>
          <t>pieces</t>
        </is>
      </c>
      <c r="Q2228" s="2" t="n"/>
      <c r="R2228" s="1" t="n"/>
      <c r="S2228" s="229">
        <f>M2228*N2228</f>
        <v/>
      </c>
      <c r="T2228" s="230">
        <f>CONCATENATE(S2228,Q2228,P2228)</f>
        <v/>
      </c>
      <c r="U2228" s="206">
        <f>L2228*M2228</f>
        <v/>
      </c>
      <c r="V2228" s="4" t="n"/>
      <c r="W2228" s="4" t="n"/>
      <c r="X2228" s="4" t="n"/>
    </row>
    <row r="2229" ht="15.75" customHeight="1" thickBot="1">
      <c r="A2229" s="186" t="n">
        <v>424</v>
      </c>
      <c r="B2229" s="214" t="inlineStr">
        <is>
          <t>Toothbrush</t>
        </is>
      </c>
      <c r="C2229" s="124" t="n"/>
      <c r="D2229" s="115" t="n"/>
      <c r="E2229" s="124" t="n"/>
      <c r="F2229" s="124" t="n"/>
      <c r="G2229" s="124" t="n"/>
      <c r="H2229" s="84" t="n"/>
      <c r="I2229" s="7" t="n"/>
      <c r="J2229" s="32" t="inlineStr">
        <is>
          <t>Colgate</t>
        </is>
      </c>
      <c r="K2229" s="24" t="n"/>
      <c r="L2229" s="36" t="n">
        <v>27.75</v>
      </c>
      <c r="M2229" s="204" t="n">
        <v>4</v>
      </c>
      <c r="N2229" s="177" t="n">
        <v>1</v>
      </c>
      <c r="O2229" s="13" t="n"/>
      <c r="P2229" s="139" t="inlineStr">
        <is>
          <t>pieces</t>
        </is>
      </c>
      <c r="Q2229" s="2" t="n"/>
      <c r="R2229" s="1" t="n"/>
      <c r="S2229" s="229">
        <f>M2229*N2229</f>
        <v/>
      </c>
      <c r="T2229" s="230">
        <f>CONCATENATE(S2229,Q2229,P2229)</f>
        <v/>
      </c>
      <c r="U2229" s="206">
        <f>L2229*M2229</f>
        <v/>
      </c>
      <c r="V2229" s="4" t="n"/>
      <c r="W2229" s="4" t="n"/>
      <c r="X2229" s="4" t="n"/>
    </row>
    <row r="2230" ht="15.75" customHeight="1" thickBot="1">
      <c r="A2230" s="186" t="n">
        <v>424</v>
      </c>
      <c r="B2230" s="214" t="inlineStr">
        <is>
          <t>Toothbrush</t>
        </is>
      </c>
      <c r="C2230" s="124" t="n"/>
      <c r="D2230" s="115" t="n"/>
      <c r="E2230" s="124" t="n"/>
      <c r="F2230" s="124" t="n"/>
      <c r="G2230" s="124" t="n"/>
      <c r="H2230" s="84" t="n"/>
      <c r="I2230" s="7" t="n"/>
      <c r="J2230" s="32" t="inlineStr">
        <is>
          <t>Colgate</t>
        </is>
      </c>
      <c r="K2230" s="24" t="n"/>
      <c r="L2230" s="36" t="n">
        <v>25</v>
      </c>
      <c r="M2230" s="204" t="n">
        <v>19</v>
      </c>
      <c r="N2230" s="177" t="n">
        <v>1</v>
      </c>
      <c r="O2230" s="13" t="n"/>
      <c r="P2230" s="139" t="inlineStr">
        <is>
          <t>pieces</t>
        </is>
      </c>
      <c r="Q2230" s="2" t="n"/>
      <c r="R2230" s="1" t="n"/>
      <c r="S2230" s="229">
        <f>M2230*N2230</f>
        <v/>
      </c>
      <c r="T2230" s="230">
        <f>CONCATENATE(S2230,Q2230,P2230)</f>
        <v/>
      </c>
      <c r="U2230" s="206">
        <f>L2230*M2230</f>
        <v/>
      </c>
      <c r="V2230" s="4" t="n"/>
      <c r="W2230" s="4" t="n"/>
      <c r="X2230" s="4" t="n"/>
    </row>
    <row r="2231" ht="15.75" customHeight="1" thickBot="1">
      <c r="A2231" s="186" t="n">
        <v>424</v>
      </c>
      <c r="B2231" s="214" t="inlineStr">
        <is>
          <t>Toothbrush</t>
        </is>
      </c>
      <c r="C2231" s="124" t="n"/>
      <c r="D2231" s="115" t="n"/>
      <c r="E2231" s="124" t="n"/>
      <c r="F2231" s="124" t="n"/>
      <c r="G2231" s="124" t="n"/>
      <c r="H2231" s="84" t="n"/>
      <c r="I2231" s="7" t="n"/>
      <c r="J2231" s="32" t="inlineStr">
        <is>
          <t>Colgate</t>
        </is>
      </c>
      <c r="K2231" s="24" t="n"/>
      <c r="L2231" s="36" t="n">
        <v>12.56</v>
      </c>
      <c r="M2231" s="204" t="n">
        <v>8</v>
      </c>
      <c r="N2231" s="177" t="n">
        <v>1</v>
      </c>
      <c r="O2231" s="13" t="n"/>
      <c r="P2231" s="139" t="inlineStr">
        <is>
          <t>pieces</t>
        </is>
      </c>
      <c r="Q2231" s="2" t="n"/>
      <c r="R2231" s="1" t="n"/>
      <c r="S2231" s="229">
        <f>M2231*N2231</f>
        <v/>
      </c>
      <c r="T2231" s="230">
        <f>CONCATENATE(S2231,Q2231,P2231)</f>
        <v/>
      </c>
      <c r="U2231" s="206">
        <f>L2231*M2231</f>
        <v/>
      </c>
      <c r="V2231" s="4" t="n"/>
      <c r="W2231" s="4" t="n"/>
      <c r="X2231" s="4" t="n"/>
    </row>
    <row r="2232" ht="15.75" customHeight="1" thickBot="1">
      <c r="A2232" s="186" t="n">
        <v>425</v>
      </c>
      <c r="B2232" s="214" t="inlineStr">
        <is>
          <t>Toothpaste</t>
        </is>
      </c>
      <c r="C2232" s="124" t="n"/>
      <c r="D2232" s="115" t="n"/>
      <c r="E2232" s="124" t="n"/>
      <c r="F2232" s="124" t="n"/>
      <c r="G2232" s="124" t="n"/>
      <c r="H2232" s="84" t="n"/>
      <c r="I2232" s="7" t="n"/>
      <c r="J2232" s="32" t="inlineStr">
        <is>
          <t>Colgate</t>
        </is>
      </c>
      <c r="K2232" s="24" t="n"/>
      <c r="L2232" s="36" t="n">
        <v>9</v>
      </c>
      <c r="M2232" s="204" t="n">
        <v>24</v>
      </c>
      <c r="N2232" s="177" t="n">
        <v>25</v>
      </c>
      <c r="O2232" s="13" t="n"/>
      <c r="P2232" s="139" t="inlineStr">
        <is>
          <t>ml</t>
        </is>
      </c>
      <c r="Q2232" s="2" t="n"/>
      <c r="R2232" s="1" t="n"/>
      <c r="S2232" s="229">
        <f>M2232*N2232</f>
        <v/>
      </c>
      <c r="T2232" s="230">
        <f>CONCATENATE(S2232,Q2232,P2232)</f>
        <v/>
      </c>
      <c r="U2232" s="206">
        <f>L2232*M2232</f>
        <v/>
      </c>
      <c r="V2232" s="4" t="n"/>
      <c r="W2232" s="4" t="n"/>
      <c r="X2232" s="4" t="n"/>
    </row>
    <row r="2233" ht="15.75" customHeight="1" thickBot="1">
      <c r="A2233" s="186" t="n">
        <v>425</v>
      </c>
      <c r="B2233" s="214" t="inlineStr">
        <is>
          <t>Toothpaste</t>
        </is>
      </c>
      <c r="C2233" s="124" t="n"/>
      <c r="D2233" s="115" t="n"/>
      <c r="E2233" s="124" t="n"/>
      <c r="F2233" s="124" t="n"/>
      <c r="G2233" s="124" t="n"/>
      <c r="H2233" s="84" t="n"/>
      <c r="I2233" s="7" t="n"/>
      <c r="J2233" s="32" t="inlineStr">
        <is>
          <t>Close-Up - Twin pack</t>
        </is>
      </c>
      <c r="K2233" s="24" t="n"/>
      <c r="L2233" s="36" t="n">
        <v>8</v>
      </c>
      <c r="M2233" s="204" t="n">
        <v>2</v>
      </c>
      <c r="N2233" s="177" t="n">
        <v>20</v>
      </c>
      <c r="O2233" s="13" t="n"/>
      <c r="P2233" s="139" t="inlineStr">
        <is>
          <t>ml</t>
        </is>
      </c>
      <c r="Q2233" s="2" t="n"/>
      <c r="R2233" s="1" t="n"/>
      <c r="S2233" s="229">
        <f>M2233*N2233</f>
        <v/>
      </c>
      <c r="T2233" s="230">
        <f>CONCATENATE(S2233,Q2233,P2233)</f>
        <v/>
      </c>
      <c r="U2233" s="206">
        <f>L2233*M2233</f>
        <v/>
      </c>
      <c r="V2233" s="4" t="n"/>
      <c r="W2233" s="4" t="n"/>
      <c r="X2233" s="4" t="n"/>
    </row>
    <row r="2234" ht="15.75" customHeight="1" thickBot="1">
      <c r="A2234" s="186" t="n">
        <v>425</v>
      </c>
      <c r="B2234" s="215" t="inlineStr">
        <is>
          <t>Toothpaste</t>
        </is>
      </c>
      <c r="C2234" s="124" t="n"/>
      <c r="D2234" s="115" t="n"/>
      <c r="E2234" s="124" t="n"/>
      <c r="F2234" s="124" t="n"/>
      <c r="G2234" s="124" t="n"/>
      <c r="H2234" s="84" t="n"/>
      <c r="I2234" s="7" t="n"/>
      <c r="J2234" s="32" t="inlineStr">
        <is>
          <t>Colgate</t>
        </is>
      </c>
      <c r="K2234" s="24" t="n"/>
      <c r="L2234" s="36" t="n">
        <v>8</v>
      </c>
      <c r="M2234" s="204" t="n">
        <v>9</v>
      </c>
      <c r="N2234" s="177" t="n">
        <v>1</v>
      </c>
      <c r="O2234" s="13" t="n"/>
      <c r="P2234" s="139" t="inlineStr">
        <is>
          <t>pieces</t>
        </is>
      </c>
      <c r="Q2234" s="2" t="n"/>
      <c r="R2234" s="1" t="n"/>
      <c r="S2234" s="229">
        <f>M2234*N2234</f>
        <v/>
      </c>
      <c r="T2234" s="230">
        <f>CONCATENATE(S2234,Q2234,P2234)</f>
        <v/>
      </c>
      <c r="U2234" s="206">
        <f>L2234*M2234</f>
        <v/>
      </c>
      <c r="V2234" s="4" t="n"/>
      <c r="W2234" s="4" t="n"/>
      <c r="X2234" s="4" t="n"/>
    </row>
    <row r="2235" ht="15.75" customHeight="1" thickBot="1">
      <c r="A2235" s="186" t="n">
        <v>425</v>
      </c>
      <c r="B2235" s="214" t="inlineStr">
        <is>
          <t>Toothpaste</t>
        </is>
      </c>
      <c r="C2235" s="124" t="n"/>
      <c r="D2235" s="115" t="n"/>
      <c r="E2235" s="124" t="n"/>
      <c r="F2235" s="124" t="n"/>
      <c r="G2235" s="124" t="n"/>
      <c r="H2235" s="84" t="n"/>
      <c r="I2235" s="7" t="n"/>
      <c r="J2235" s="32" t="inlineStr">
        <is>
          <t>Close-Up</t>
        </is>
      </c>
      <c r="K2235" s="24" t="n"/>
      <c r="L2235" s="36" t="n">
        <v>8</v>
      </c>
      <c r="M2235" s="204" t="n">
        <v>12</v>
      </c>
      <c r="N2235" s="177" t="n">
        <v>1</v>
      </c>
      <c r="O2235" s="13" t="n"/>
      <c r="P2235" s="139" t="inlineStr">
        <is>
          <t>pieces</t>
        </is>
      </c>
      <c r="Q2235" s="2" t="n"/>
      <c r="R2235" s="1" t="n"/>
      <c r="S2235" s="229">
        <f>M2235*N2235</f>
        <v/>
      </c>
      <c r="T2235" s="230">
        <f>CONCATENATE(S2235,Q2235,P2235)</f>
        <v/>
      </c>
      <c r="U2235" s="206">
        <f>L2235*M2235</f>
        <v/>
      </c>
      <c r="V2235" s="4" t="n"/>
      <c r="W2235" s="4" t="n"/>
      <c r="X2235" s="4" t="n"/>
    </row>
    <row r="2236" ht="15.75" customHeight="1" thickBot="1">
      <c r="A2236" s="186" t="n">
        <v>426</v>
      </c>
      <c r="B2236" s="214" t="inlineStr">
        <is>
          <t>Toothpick</t>
        </is>
      </c>
      <c r="C2236" s="124" t="n"/>
      <c r="D2236" s="115" t="n"/>
      <c r="E2236" s="124" t="n"/>
      <c r="F2236" s="124" t="n"/>
      <c r="G2236" s="124" t="n"/>
      <c r="H2236" s="84" t="n"/>
      <c r="I2236" s="7" t="n"/>
      <c r="J2236" s="32" t="n"/>
      <c r="K2236" s="24" t="n"/>
      <c r="L2236" s="36" t="n">
        <v>25</v>
      </c>
      <c r="M2236" s="204" t="n">
        <v>3</v>
      </c>
      <c r="N2236" s="177" t="n">
        <v>1</v>
      </c>
      <c r="O2236" s="13" t="n"/>
      <c r="P2236" s="139" t="inlineStr">
        <is>
          <t>packs</t>
        </is>
      </c>
      <c r="Q2236" s="2" t="n"/>
      <c r="R2236" s="1" t="n"/>
      <c r="S2236" s="229">
        <f>M2236*N2236</f>
        <v/>
      </c>
      <c r="T2236" s="230">
        <f>CONCATENATE(S2236,Q2236,P2236)</f>
        <v/>
      </c>
      <c r="U2236" s="206">
        <f>L2236*M2236</f>
        <v/>
      </c>
      <c r="V2236" s="4" t="n"/>
      <c r="W2236" s="4" t="n"/>
      <c r="X2236" s="4" t="n"/>
    </row>
    <row r="2237" ht="15.75" customHeight="1" thickBot="1">
      <c r="A2237" s="186" t="n">
        <v>426</v>
      </c>
      <c r="B2237" s="214" t="inlineStr">
        <is>
          <t>Toothpick</t>
        </is>
      </c>
      <c r="C2237" s="124" t="n"/>
      <c r="D2237" s="115" t="n"/>
      <c r="E2237" s="124" t="n"/>
      <c r="F2237" s="124" t="n"/>
      <c r="G2237" s="124" t="n"/>
      <c r="H2237" s="84" t="n"/>
      <c r="I2237" s="7" t="n"/>
      <c r="J2237" s="32" t="inlineStr">
        <is>
          <t>Tiger</t>
        </is>
      </c>
      <c r="K2237" s="24" t="n"/>
      <c r="L2237" s="36" t="n">
        <v>15</v>
      </c>
      <c r="M2237" s="204" t="n">
        <v>31</v>
      </c>
      <c r="N2237" s="177" t="n">
        <v>1</v>
      </c>
      <c r="O2237" s="13" t="n"/>
      <c r="P2237" s="139" t="inlineStr">
        <is>
          <t>box</t>
        </is>
      </c>
      <c r="Q2237" s="2" t="n"/>
      <c r="R2237" s="1" t="n"/>
      <c r="S2237" s="229">
        <f>M2237*N2237</f>
        <v/>
      </c>
      <c r="T2237" s="230">
        <f>CONCATENATE(S2237,Q2237,P2237)</f>
        <v/>
      </c>
      <c r="U2237" s="206">
        <f>L2237*M2237</f>
        <v/>
      </c>
      <c r="V2237" s="4" t="n"/>
      <c r="W2237" s="4" t="n"/>
      <c r="X2237" s="4" t="n"/>
    </row>
    <row r="2238" ht="15.75" customHeight="1" thickBot="1">
      <c r="A2238" s="186" t="n">
        <v>426</v>
      </c>
      <c r="B2238" s="214" t="inlineStr">
        <is>
          <t>Toothpick</t>
        </is>
      </c>
      <c r="C2238" s="124" t="n"/>
      <c r="D2238" s="115" t="n"/>
      <c r="E2238" s="124" t="n"/>
      <c r="F2238" s="124" t="n"/>
      <c r="G2238" s="124" t="n"/>
      <c r="H2238" s="84" t="n"/>
      <c r="I2238" s="7" t="n"/>
      <c r="J2238" s="32" t="inlineStr">
        <is>
          <t>Uncle John's</t>
        </is>
      </c>
      <c r="K2238" s="24" t="n"/>
      <c r="L2238" s="36" t="n">
        <v>15</v>
      </c>
      <c r="M2238" s="204" t="n">
        <v>3</v>
      </c>
      <c r="N2238" s="177" t="n">
        <v>1</v>
      </c>
      <c r="O2238" s="13" t="n"/>
      <c r="P2238" s="139" t="inlineStr">
        <is>
          <t>packs</t>
        </is>
      </c>
      <c r="Q2238" s="2" t="n"/>
      <c r="R2238" s="1" t="n"/>
      <c r="S2238" s="229">
        <f>M2238*N2238</f>
        <v/>
      </c>
      <c r="T2238" s="230">
        <f>CONCATENATE(S2238,Q2238,P2238)</f>
        <v/>
      </c>
      <c r="U2238" s="206">
        <f>L2238*M2238</f>
        <v/>
      </c>
      <c r="V2238" s="4" t="n"/>
      <c r="W2238" s="4" t="n"/>
      <c r="X2238" s="4" t="n"/>
    </row>
    <row r="2239" ht="15.75" customHeight="1" thickBot="1">
      <c r="A2239" s="186" t="n">
        <v>882</v>
      </c>
      <c r="B2239" s="214" t="inlineStr">
        <is>
          <t>Trash Bag</t>
        </is>
      </c>
      <c r="C2239" s="124" t="n"/>
      <c r="D2239" s="115" t="n"/>
      <c r="E2239" s="124" t="n"/>
      <c r="F2239" s="124" t="n"/>
      <c r="G2239" s="124" t="n"/>
      <c r="H2239" s="84" t="n"/>
      <c r="I2239" s="7" t="n"/>
      <c r="J2239" s="32" t="inlineStr">
        <is>
          <t>Suy Sing - My Everyday</t>
        </is>
      </c>
      <c r="K2239" s="24" t="n"/>
      <c r="L2239" s="36" t="n">
        <v>50.8</v>
      </c>
      <c r="M2239" s="204" t="n">
        <v>7</v>
      </c>
      <c r="N2239" s="177" t="n">
        <v>1</v>
      </c>
      <c r="O2239" s="13" t="n"/>
      <c r="P2239" s="139" t="inlineStr">
        <is>
          <t>pieces</t>
        </is>
      </c>
      <c r="Q2239" s="2" t="n"/>
      <c r="R2239" s="1" t="n"/>
      <c r="S2239" s="229">
        <f>M2239*N2239</f>
        <v/>
      </c>
      <c r="T2239" s="230">
        <f>CONCATENATE(S2239,Q2239,P2239)</f>
        <v/>
      </c>
      <c r="U2239" s="206">
        <f>L2239*M2239</f>
        <v/>
      </c>
      <c r="V2239" s="4" t="n"/>
      <c r="W2239" s="4" t="n"/>
      <c r="X2239" s="4" t="n"/>
    </row>
    <row r="2240" ht="15.75" customHeight="1" thickBot="1">
      <c r="A2240" s="186" t="n">
        <v>430</v>
      </c>
      <c r="B2240" s="215" t="inlineStr">
        <is>
          <t>Trash Bag Black</t>
        </is>
      </c>
      <c r="C2240" s="124" t="n"/>
      <c r="D2240" s="115" t="n"/>
      <c r="E2240" s="124" t="n"/>
      <c r="F2240" s="124" t="n"/>
      <c r="G2240" s="124" t="n"/>
      <c r="H2240" s="84" t="n"/>
      <c r="I2240" s="7" t="n"/>
      <c r="J2240" s="32" t="inlineStr">
        <is>
          <t>Superb</t>
        </is>
      </c>
      <c r="K2240" s="24" t="n"/>
      <c r="L2240" s="36" t="n">
        <v>6</v>
      </c>
      <c r="M2240" s="204" t="n">
        <v>100</v>
      </c>
      <c r="N2240" s="177" t="n">
        <v>1</v>
      </c>
      <c r="O2240" s="13" t="n"/>
      <c r="P2240" s="139" t="inlineStr">
        <is>
          <t>pieces</t>
        </is>
      </c>
      <c r="Q2240" s="2" t="n"/>
      <c r="R2240" s="1" t="n"/>
      <c r="S2240" s="229">
        <f>M2240*N2240</f>
        <v/>
      </c>
      <c r="T2240" s="230">
        <f>CONCATENATE(S2240,Q2240,P2240)</f>
        <v/>
      </c>
      <c r="U2240" s="206">
        <f>L2240*M2240</f>
        <v/>
      </c>
      <c r="V2240" s="4" t="n"/>
      <c r="W2240" s="4" t="n"/>
      <c r="X2240" s="4" t="n"/>
    </row>
    <row r="2241" ht="15.75" customHeight="1" thickBot="1">
      <c r="A2241" s="186" t="n">
        <v>430</v>
      </c>
      <c r="B2241" s="214" t="inlineStr">
        <is>
          <t>Trash Bag Black</t>
        </is>
      </c>
      <c r="C2241" s="124" t="n"/>
      <c r="D2241" s="115" t="n"/>
      <c r="E2241" s="124" t="n"/>
      <c r="F2241" s="124" t="n"/>
      <c r="G2241" s="124" t="n"/>
      <c r="H2241" s="84" t="n"/>
      <c r="I2241" s="7" t="n"/>
      <c r="J2241" s="32" t="inlineStr">
        <is>
          <t>Suy Sing - My Everyday</t>
        </is>
      </c>
      <c r="K2241" s="24" t="n"/>
      <c r="L2241" s="36" t="n">
        <v>62.97</v>
      </c>
      <c r="M2241" s="204" t="n">
        <v>16</v>
      </c>
      <c r="N2241" s="177" t="n">
        <v>1</v>
      </c>
      <c r="O2241" s="13" t="n"/>
      <c r="P2241" s="139" t="inlineStr">
        <is>
          <t>roll</t>
        </is>
      </c>
      <c r="Q2241" s="2" t="n"/>
      <c r="R2241" s="1" t="n"/>
      <c r="S2241" s="229">
        <f>M2241*N2241</f>
        <v/>
      </c>
      <c r="T2241" s="230">
        <f>CONCATENATE(S2241,Q2241,P2241)</f>
        <v/>
      </c>
      <c r="U2241" s="206">
        <f>L2241*M2241</f>
        <v/>
      </c>
      <c r="V2241" s="4" t="n"/>
      <c r="W2241" s="4" t="n"/>
      <c r="X2241" s="4" t="n"/>
    </row>
    <row r="2242" ht="15.75" customHeight="1" thickBot="1">
      <c r="A2242" s="186" t="n">
        <v>883</v>
      </c>
      <c r="B2242" s="215" t="inlineStr">
        <is>
          <t>Trash Bag White</t>
        </is>
      </c>
      <c r="C2242" s="124" t="n"/>
      <c r="D2242" s="115" t="n"/>
      <c r="E2242" s="124" t="n"/>
      <c r="F2242" s="124" t="n"/>
      <c r="G2242" s="124" t="n"/>
      <c r="H2242" s="84" t="n"/>
      <c r="I2242" s="7" t="n"/>
      <c r="J2242" s="32" t="inlineStr">
        <is>
          <t>Wow</t>
        </is>
      </c>
      <c r="K2242" s="24" t="n"/>
      <c r="L2242" s="36" t="n">
        <v>6</v>
      </c>
      <c r="M2242" s="204" t="n">
        <v>113</v>
      </c>
      <c r="N2242" s="177" t="n">
        <v>1</v>
      </c>
      <c r="O2242" s="13" t="n"/>
      <c r="P2242" s="139" t="inlineStr">
        <is>
          <t>pieces</t>
        </is>
      </c>
      <c r="Q2242" s="2" t="n"/>
      <c r="R2242" s="1" t="n"/>
      <c r="S2242" s="229">
        <f>M2242*N2242</f>
        <v/>
      </c>
      <c r="T2242" s="230">
        <f>CONCATENATE(S2242,Q2242,P2242)</f>
        <v/>
      </c>
      <c r="U2242" s="206">
        <f>L2242*M2242</f>
        <v/>
      </c>
      <c r="V2242" s="4" t="n"/>
      <c r="W2242" s="4" t="n"/>
      <c r="X2242" s="4" t="n"/>
    </row>
    <row r="2243" ht="15.75" customHeight="1" thickBot="1">
      <c r="A2243" s="186" t="n">
        <v>883</v>
      </c>
      <c r="B2243" s="215" t="inlineStr">
        <is>
          <t>Trash Bag White</t>
        </is>
      </c>
      <c r="C2243" s="124" t="n"/>
      <c r="D2243" s="115" t="n"/>
      <c r="E2243" s="124" t="n"/>
      <c r="F2243" s="124" t="n"/>
      <c r="G2243" s="124" t="n"/>
      <c r="H2243" s="84" t="n"/>
      <c r="I2243" s="7" t="n"/>
      <c r="J2243" s="32" t="n"/>
      <c r="K2243" s="24" t="n"/>
      <c r="L2243" s="36" t="n">
        <v>7</v>
      </c>
      <c r="M2243" s="204" t="n">
        <v>41</v>
      </c>
      <c r="N2243" s="177" t="n">
        <v>1</v>
      </c>
      <c r="O2243" s="13" t="n"/>
      <c r="P2243" s="139" t="inlineStr">
        <is>
          <t>pieces</t>
        </is>
      </c>
      <c r="Q2243" s="2" t="n"/>
      <c r="R2243" s="1" t="n"/>
      <c r="S2243" s="229">
        <f>M2243*N2243</f>
        <v/>
      </c>
      <c r="T2243" s="230">
        <f>CONCATENATE(S2243,Q2243,P2243)</f>
        <v/>
      </c>
      <c r="U2243" s="206">
        <f>L2243*M2243</f>
        <v/>
      </c>
      <c r="V2243" s="4" t="n"/>
      <c r="W2243" s="4" t="n"/>
      <c r="X2243" s="4" t="n"/>
    </row>
    <row r="2244" ht="15.75" customHeight="1" thickBot="1">
      <c r="A2244" s="186" t="n">
        <v>884</v>
      </c>
      <c r="B2244" s="214" t="inlineStr">
        <is>
          <t>Trash Bag White - XL</t>
        </is>
      </c>
      <c r="C2244" s="124" t="n"/>
      <c r="D2244" s="115" t="n"/>
      <c r="E2244" s="124" t="n"/>
      <c r="F2244" s="124" t="n"/>
      <c r="G2244" s="124" t="n"/>
      <c r="H2244" s="84" t="n"/>
      <c r="I2244" s="7" t="n"/>
      <c r="J2244" s="32" t="inlineStr">
        <is>
          <t>Suy Sing - My Everyday</t>
        </is>
      </c>
      <c r="K2244" s="24" t="n"/>
      <c r="L2244" s="36" t="n">
        <v>50.81</v>
      </c>
      <c r="M2244" s="204" t="n">
        <v>30</v>
      </c>
      <c r="N2244" s="177" t="n">
        <v>1</v>
      </c>
      <c r="O2244" s="13" t="n"/>
      <c r="P2244" s="139" t="inlineStr">
        <is>
          <t>roll</t>
        </is>
      </c>
      <c r="Q2244" s="2" t="n"/>
      <c r="R2244" s="1" t="n"/>
      <c r="S2244" s="229">
        <f>M2244*N2244</f>
        <v/>
      </c>
      <c r="T2244" s="230">
        <f>CONCATENATE(S2244,Q2244,P2244)</f>
        <v/>
      </c>
      <c r="U2244" s="206">
        <f>L2244*M2244</f>
        <v/>
      </c>
      <c r="V2244" s="4" t="n"/>
      <c r="W2244" s="4" t="n"/>
      <c r="X2244" s="4" t="n"/>
    </row>
    <row r="2245" ht="15.75" customHeight="1" thickBot="1">
      <c r="A2245" s="186" t="n">
        <v>885</v>
      </c>
      <c r="B2245" s="214" t="inlineStr">
        <is>
          <t>Tuna</t>
        </is>
      </c>
      <c r="C2245" s="124" t="n"/>
      <c r="D2245" s="115" t="n"/>
      <c r="E2245" s="124" t="n"/>
      <c r="F2245" s="124" t="n"/>
      <c r="G2245" s="124" t="n"/>
      <c r="H2245" s="84" t="n"/>
      <c r="I2245" s="7" t="n"/>
      <c r="J2245" s="32" t="n"/>
      <c r="K2245" s="24" t="n"/>
      <c r="L2245" s="36" t="n">
        <v>450</v>
      </c>
      <c r="M2245" s="204" t="n">
        <v>2</v>
      </c>
      <c r="N2245" s="177" t="n">
        <v>1</v>
      </c>
      <c r="O2245" s="13" t="n"/>
      <c r="P2245" s="139" t="inlineStr">
        <is>
          <t>kilos</t>
        </is>
      </c>
      <c r="Q2245" s="2" t="n"/>
      <c r="R2245" s="1" t="n"/>
      <c r="S2245" s="229">
        <f>M2245*N2245</f>
        <v/>
      </c>
      <c r="T2245" s="230">
        <f>CONCATENATE(S2245,Q2245,P2245)</f>
        <v/>
      </c>
      <c r="U2245" s="206">
        <f>L2245*M2245</f>
        <v/>
      </c>
      <c r="V2245" s="4" t="n"/>
      <c r="W2245" s="4" t="n"/>
      <c r="X2245" s="4" t="n"/>
    </row>
    <row r="2246" ht="15.75" customHeight="1" thickBot="1">
      <c r="A2246" s="186" t="n">
        <v>885</v>
      </c>
      <c r="B2246" s="214" t="inlineStr">
        <is>
          <t>Tuna</t>
        </is>
      </c>
      <c r="C2246" s="124" t="n"/>
      <c r="D2246" s="115" t="n"/>
      <c r="E2246" s="124" t="n"/>
      <c r="F2246" s="124" t="n"/>
      <c r="G2246" s="124" t="n"/>
      <c r="H2246" s="84" t="n"/>
      <c r="I2246" s="7" t="n"/>
      <c r="J2246" s="32" t="inlineStr">
        <is>
          <t>(9 slices/kl)</t>
        </is>
      </c>
      <c r="K2246" s="24" t="n"/>
      <c r="L2246" s="36" t="n">
        <v>460</v>
      </c>
      <c r="M2246" s="204" t="n">
        <v>2</v>
      </c>
      <c r="N2246" s="177" t="n">
        <v>1</v>
      </c>
      <c r="O2246" s="13" t="n"/>
      <c r="P2246" s="139" t="inlineStr">
        <is>
          <t>kilos</t>
        </is>
      </c>
      <c r="Q2246" s="2" t="n"/>
      <c r="R2246" s="1" t="n"/>
      <c r="S2246" s="229">
        <f>M2246*N2246</f>
        <v/>
      </c>
      <c r="T2246" s="230">
        <f>CONCATENATE(S2246,Q2246,P2246)</f>
        <v/>
      </c>
      <c r="U2246" s="206">
        <f>L2246*M2246</f>
        <v/>
      </c>
      <c r="V2246" s="4" t="n"/>
      <c r="W2246" s="4" t="n"/>
      <c r="X2246" s="4" t="n"/>
    </row>
    <row r="2247" ht="15.75" customHeight="1" thickBot="1">
      <c r="A2247" s="186" t="n">
        <v>886</v>
      </c>
      <c r="B2247" s="215" t="inlineStr">
        <is>
          <t>Turmeric Powder</t>
        </is>
      </c>
      <c r="C2247" s="124" t="n"/>
      <c r="D2247" s="115" t="n"/>
      <c r="E2247" s="124" t="n"/>
      <c r="F2247" s="124" t="n"/>
      <c r="G2247" s="124" t="n"/>
      <c r="H2247" s="84" t="n"/>
      <c r="I2247" s="7" t="n"/>
      <c r="J2247" s="32" t="inlineStr">
        <is>
          <t>McCormick</t>
        </is>
      </c>
      <c r="K2247" s="24" t="n"/>
      <c r="L2247" s="36" t="n">
        <v>78</v>
      </c>
      <c r="M2247" s="204" t="n">
        <v>1</v>
      </c>
      <c r="N2247" s="177" t="n">
        <v>31</v>
      </c>
      <c r="O2247" s="13" t="n"/>
      <c r="P2247" s="139" t="inlineStr">
        <is>
          <t>grams</t>
        </is>
      </c>
      <c r="Q2247" s="2" t="n"/>
      <c r="R2247" s="1" t="n"/>
      <c r="S2247" s="229">
        <f>M2247*N2247</f>
        <v/>
      </c>
      <c r="T2247" s="230">
        <f>CONCATENATE(S2247,Q2247,P2247)</f>
        <v/>
      </c>
      <c r="U2247" s="206">
        <f>L2247*M2247</f>
        <v/>
      </c>
      <c r="V2247" s="4" t="n"/>
      <c r="W2247" s="4" t="n"/>
      <c r="X2247" s="4" t="n"/>
    </row>
    <row r="2248" ht="15.75" customHeight="1" thickBot="1">
      <c r="A2248" s="186" t="n">
        <v>886</v>
      </c>
      <c r="B2248" s="215" t="inlineStr">
        <is>
          <t>Turmeric Powder</t>
        </is>
      </c>
      <c r="C2248" s="124" t="n"/>
      <c r="D2248" s="115" t="n"/>
      <c r="E2248" s="124" t="n"/>
      <c r="F2248" s="124" t="n"/>
      <c r="G2248" s="124" t="n"/>
      <c r="H2248" s="84" t="n"/>
      <c r="I2248" s="7" t="n"/>
      <c r="J2248" s="32" t="inlineStr">
        <is>
          <t>J&amp;Y</t>
        </is>
      </c>
      <c r="K2248" s="24" t="n"/>
      <c r="L2248" s="36" t="n">
        <v>12.95</v>
      </c>
      <c r="M2248" s="204" t="n">
        <v>5</v>
      </c>
      <c r="N2248" s="177" t="n">
        <v>30</v>
      </c>
      <c r="O2248" s="13" t="n"/>
      <c r="P2248" s="139" t="inlineStr">
        <is>
          <t>grams</t>
        </is>
      </c>
      <c r="Q2248" s="2" t="n"/>
      <c r="R2248" s="1" t="n"/>
      <c r="S2248" s="229">
        <f>M2248*N2248</f>
        <v/>
      </c>
      <c r="T2248" s="230">
        <f>CONCATENATE(S2248,Q2248,P2248)</f>
        <v/>
      </c>
      <c r="U2248" s="206">
        <f>L2248*M2248</f>
        <v/>
      </c>
      <c r="V2248" s="4" t="n"/>
      <c r="W2248" s="4" t="n"/>
      <c r="X2248" s="4" t="n"/>
    </row>
    <row r="2249" ht="15.75" customHeight="1" thickBot="1">
      <c r="A2249" s="186" t="n">
        <v>887</v>
      </c>
      <c r="B2249" s="214" t="inlineStr">
        <is>
          <t>Tuyo</t>
        </is>
      </c>
      <c r="C2249" s="124" t="n"/>
      <c r="D2249" s="115" t="n"/>
      <c r="E2249" s="124" t="n"/>
      <c r="F2249" s="124" t="n"/>
      <c r="G2249" s="124" t="n"/>
      <c r="H2249" s="84" t="n"/>
      <c r="I2249" s="7" t="n"/>
      <c r="J2249" s="32" t="n"/>
      <c r="K2249" s="24" t="n"/>
      <c r="L2249" s="36" t="n">
        <v>240</v>
      </c>
      <c r="M2249" s="204" t="n">
        <v>1</v>
      </c>
      <c r="N2249" s="177" t="n">
        <v>1</v>
      </c>
      <c r="O2249" s="13" t="n"/>
      <c r="P2249" s="139" t="inlineStr">
        <is>
          <t>kilos</t>
        </is>
      </c>
      <c r="Q2249" s="2" t="n"/>
      <c r="R2249" s="1" t="n"/>
      <c r="S2249" s="229">
        <f>M2249*N2249</f>
        <v/>
      </c>
      <c r="T2249" s="230">
        <f>CONCATENATE(S2249,Q2249,P2249)</f>
        <v/>
      </c>
      <c r="U2249" s="206">
        <f>L2249*M2249</f>
        <v/>
      </c>
      <c r="V2249" s="4" t="n"/>
      <c r="W2249" s="4" t="n"/>
      <c r="X2249" s="4" t="n"/>
    </row>
    <row r="2250" ht="15.75" customHeight="1" thickBot="1">
      <c r="A2250" s="186" t="n">
        <v>888</v>
      </c>
      <c r="B2250" s="214" t="inlineStr">
        <is>
          <t>Vanilla Essence</t>
        </is>
      </c>
      <c r="C2250" s="124" t="n"/>
      <c r="D2250" s="115" t="n"/>
      <c r="E2250" s="124" t="n"/>
      <c r="F2250" s="124" t="n"/>
      <c r="G2250" s="124" t="n"/>
      <c r="H2250" s="84" t="n"/>
      <c r="I2250" s="7" t="n"/>
      <c r="J2250" s="32" t="inlineStr">
        <is>
          <t>McCormick</t>
        </is>
      </c>
      <c r="K2250" s="24" t="n"/>
      <c r="L2250" s="36" t="n">
        <v>44</v>
      </c>
      <c r="M2250" s="204" t="n">
        <v>1</v>
      </c>
      <c r="N2250" s="177" t="n">
        <v>20</v>
      </c>
      <c r="O2250" s="13" t="n"/>
      <c r="P2250" s="139" t="inlineStr">
        <is>
          <t>ml</t>
        </is>
      </c>
      <c r="Q2250" s="2" t="n"/>
      <c r="R2250" s="1" t="n"/>
      <c r="S2250" s="229">
        <f>M2250*N2250</f>
        <v/>
      </c>
      <c r="T2250" s="230">
        <f>CONCATENATE(S2250,Q2250,P2250)</f>
        <v/>
      </c>
      <c r="U2250" s="206">
        <f>L2250*M2250</f>
        <v/>
      </c>
      <c r="V2250" s="4" t="n"/>
      <c r="W2250" s="4" t="n"/>
      <c r="X2250" s="4" t="n"/>
    </row>
    <row r="2251" ht="15.75" customHeight="1" thickBot="1">
      <c r="A2251" s="186" t="n">
        <v>888</v>
      </c>
      <c r="B2251" s="214" t="inlineStr">
        <is>
          <t>Vanilla Essence</t>
        </is>
      </c>
      <c r="C2251" s="124" t="n"/>
      <c r="D2251" s="115" t="n"/>
      <c r="E2251" s="124" t="n"/>
      <c r="F2251" s="124" t="n"/>
      <c r="G2251" s="124" t="n"/>
      <c r="H2251" s="84" t="n"/>
      <c r="I2251" s="7" t="n"/>
      <c r="J2251" s="32" t="inlineStr">
        <is>
          <t>Green Leaves</t>
        </is>
      </c>
      <c r="K2251" s="24" t="n"/>
      <c r="L2251" s="36" t="n">
        <v>46</v>
      </c>
      <c r="M2251" s="204" t="n">
        <v>2</v>
      </c>
      <c r="N2251" s="177" t="n">
        <v>375</v>
      </c>
      <c r="O2251" s="13" t="n"/>
      <c r="P2251" s="139" t="inlineStr">
        <is>
          <t>ml</t>
        </is>
      </c>
      <c r="Q2251" s="2" t="n"/>
      <c r="R2251" s="1" t="n"/>
      <c r="S2251" s="229">
        <f>M2251*N2251</f>
        <v/>
      </c>
      <c r="T2251" s="230">
        <f>CONCATENATE(S2251,Q2251,P2251)</f>
        <v/>
      </c>
      <c r="U2251" s="206">
        <f>L2251*M2251</f>
        <v/>
      </c>
      <c r="V2251" s="4" t="n"/>
      <c r="W2251" s="4" t="n"/>
      <c r="X2251" s="4" t="n"/>
    </row>
    <row r="2252" ht="15.75" customHeight="1" thickBot="1">
      <c r="A2252" s="186" t="n">
        <v>888</v>
      </c>
      <c r="B2252" s="214" t="inlineStr">
        <is>
          <t>Vanilla Essence</t>
        </is>
      </c>
      <c r="C2252" s="124" t="n"/>
      <c r="D2252" s="115" t="n"/>
      <c r="E2252" s="124" t="n"/>
      <c r="F2252" s="124" t="n"/>
      <c r="G2252" s="124" t="n"/>
      <c r="H2252" s="84" t="n"/>
      <c r="I2252" s="7" t="n"/>
      <c r="J2252" s="32" t="inlineStr">
        <is>
          <t>Mr.Brown</t>
        </is>
      </c>
      <c r="K2252" s="24" t="n"/>
      <c r="L2252" s="36" t="n">
        <v>55</v>
      </c>
      <c r="M2252" s="204" t="n">
        <v>1</v>
      </c>
      <c r="N2252" s="177" t="n">
        <v>350</v>
      </c>
      <c r="O2252" s="13" t="n"/>
      <c r="P2252" s="139" t="inlineStr">
        <is>
          <t>ml</t>
        </is>
      </c>
      <c r="Q2252" s="2" t="n"/>
      <c r="R2252" s="1" t="n"/>
      <c r="S2252" s="229">
        <f>M2252*N2252</f>
        <v/>
      </c>
      <c r="T2252" s="230">
        <f>CONCATENATE(S2252,Q2252,P2252)</f>
        <v/>
      </c>
      <c r="U2252" s="206">
        <f>L2252*M2252</f>
        <v/>
      </c>
      <c r="V2252" s="4" t="n"/>
      <c r="W2252" s="4" t="n"/>
      <c r="X2252" s="4" t="n"/>
    </row>
    <row r="2253" ht="15.75" customHeight="1" thickBot="1">
      <c r="A2253" s="186" t="n">
        <v>439</v>
      </c>
      <c r="B2253" s="215" t="inlineStr">
        <is>
          <t>Vienna Sausage</t>
        </is>
      </c>
      <c r="C2253" s="124" t="n"/>
      <c r="D2253" s="115" t="n"/>
      <c r="E2253" s="124" t="n"/>
      <c r="F2253" s="124" t="n"/>
      <c r="G2253" s="124" t="n"/>
      <c r="H2253" s="84" t="n"/>
      <c r="I2253" s="7" t="n"/>
      <c r="J2253" s="32" t="inlineStr">
        <is>
          <t>Century - Argentina</t>
        </is>
      </c>
      <c r="K2253" s="24" t="n"/>
      <c r="L2253" s="36" t="n">
        <v>51</v>
      </c>
      <c r="M2253" s="204" t="n">
        <v>7</v>
      </c>
      <c r="N2253" s="177" t="n">
        <v>260</v>
      </c>
      <c r="O2253" s="13" t="n"/>
      <c r="P2253" s="139" t="inlineStr">
        <is>
          <t>grams</t>
        </is>
      </c>
      <c r="Q2253" s="2" t="n"/>
      <c r="R2253" s="1" t="n"/>
      <c r="S2253" s="229">
        <f>M2253*N2253</f>
        <v/>
      </c>
      <c r="T2253" s="230">
        <f>CONCATENATE(S2253,Q2253,P2253)</f>
        <v/>
      </c>
      <c r="U2253" s="206">
        <f>L2253*M2253</f>
        <v/>
      </c>
      <c r="V2253" s="4" t="n"/>
      <c r="W2253" s="4" t="n"/>
      <c r="X2253" s="4" t="n"/>
    </row>
    <row r="2254" ht="15.75" customHeight="1" thickBot="1">
      <c r="A2254" s="186" t="n">
        <v>439</v>
      </c>
      <c r="B2254" s="215" t="inlineStr">
        <is>
          <t>Vienna Sausage</t>
        </is>
      </c>
      <c r="C2254" s="124" t="n"/>
      <c r="D2254" s="115" t="n"/>
      <c r="E2254" s="124" t="n"/>
      <c r="F2254" s="124" t="n"/>
      <c r="G2254" s="124" t="n"/>
      <c r="H2254" s="84" t="n"/>
      <c r="I2254" s="7" t="n"/>
      <c r="J2254" s="32" t="inlineStr">
        <is>
          <t>Purefoods</t>
        </is>
      </c>
      <c r="K2254" s="24" t="n"/>
      <c r="L2254" s="36" t="n">
        <v>56.75</v>
      </c>
      <c r="M2254" s="204" t="n">
        <v>2</v>
      </c>
      <c r="N2254" s="177" t="n">
        <v>130</v>
      </c>
      <c r="O2254" s="13" t="n"/>
      <c r="P2254" s="139" t="inlineStr">
        <is>
          <t>grams</t>
        </is>
      </c>
      <c r="Q2254" s="2" t="n"/>
      <c r="R2254" s="1" t="n"/>
      <c r="S2254" s="229">
        <f>M2254*N2254</f>
        <v/>
      </c>
      <c r="T2254" s="230">
        <f>CONCATENATE(S2254,Q2254,P2254)</f>
        <v/>
      </c>
      <c r="U2254" s="206">
        <f>L2254*M2254</f>
        <v/>
      </c>
      <c r="V2254" s="4" t="n"/>
      <c r="W2254" s="4" t="n"/>
      <c r="X2254" s="4" t="n"/>
    </row>
    <row r="2255" ht="15.75" customHeight="1" thickBot="1">
      <c r="A2255" s="186" t="n">
        <v>440</v>
      </c>
      <c r="B2255" s="214" t="inlineStr">
        <is>
          <t>Vinegar</t>
        </is>
      </c>
      <c r="C2255" s="124" t="n"/>
      <c r="D2255" s="115" t="n"/>
      <c r="E2255" s="124" t="n"/>
      <c r="F2255" s="124" t="n"/>
      <c r="G2255" s="124" t="n"/>
      <c r="H2255" s="84" t="n"/>
      <c r="I2255" s="7" t="n"/>
      <c r="J2255" s="32" t="inlineStr">
        <is>
          <t>Ticman</t>
        </is>
      </c>
      <c r="K2255" s="24" t="n"/>
      <c r="L2255" s="36" t="n">
        <v>70</v>
      </c>
      <c r="M2255" s="204" t="n">
        <v>4</v>
      </c>
      <c r="N2255" s="177" t="n">
        <v>3500</v>
      </c>
      <c r="O2255" s="13" t="n"/>
      <c r="P2255" s="139" t="inlineStr">
        <is>
          <t>ml</t>
        </is>
      </c>
      <c r="Q2255" s="2" t="n"/>
      <c r="R2255" s="1" t="n"/>
      <c r="S2255" s="229">
        <f>M2255*N2255</f>
        <v/>
      </c>
      <c r="T2255" s="230">
        <f>CONCATENATE(S2255,Q2255,P2255)</f>
        <v/>
      </c>
      <c r="U2255" s="206">
        <f>L2255*M2255</f>
        <v/>
      </c>
      <c r="V2255" s="4" t="n"/>
      <c r="W2255" s="4" t="n"/>
      <c r="X2255" s="4" t="n"/>
    </row>
    <row r="2256" ht="15.75" customHeight="1" thickBot="1">
      <c r="A2256" s="186" t="n">
        <v>440</v>
      </c>
      <c r="B2256" s="214" t="inlineStr">
        <is>
          <t>Vinegar</t>
        </is>
      </c>
      <c r="C2256" s="124" t="n"/>
      <c r="D2256" s="115" t="n"/>
      <c r="E2256" s="124" t="n"/>
      <c r="F2256" s="124" t="n"/>
      <c r="G2256" s="124" t="n"/>
      <c r="H2256" s="84" t="n"/>
      <c r="I2256" s="7" t="n"/>
      <c r="J2256" s="32" t="inlineStr">
        <is>
          <t>Ticman</t>
        </is>
      </c>
      <c r="K2256" s="24" t="n"/>
      <c r="L2256" s="36" t="n">
        <v>70</v>
      </c>
      <c r="M2256" s="204" t="n">
        <v>10</v>
      </c>
      <c r="N2256" s="177" t="n">
        <v>3500</v>
      </c>
      <c r="O2256" s="13" t="n"/>
      <c r="P2256" s="139" t="inlineStr">
        <is>
          <t>ml</t>
        </is>
      </c>
      <c r="Q2256" s="2" t="n"/>
      <c r="R2256" s="1" t="n"/>
      <c r="S2256" s="229">
        <f>M2256*N2256</f>
        <v/>
      </c>
      <c r="T2256" s="230">
        <f>CONCATENATE(S2256,Q2256,P2256)</f>
        <v/>
      </c>
      <c r="U2256" s="206">
        <f>L2256*M2256</f>
        <v/>
      </c>
      <c r="V2256" s="4" t="n"/>
      <c r="W2256" s="4" t="n"/>
      <c r="X2256" s="4" t="n"/>
    </row>
    <row r="2257" ht="15.75" customHeight="1" thickBot="1">
      <c r="A2257" s="187" t="n">
        <v>440</v>
      </c>
      <c r="B2257" s="214" t="inlineStr">
        <is>
          <t>Vinegar</t>
        </is>
      </c>
      <c r="C2257" s="124" t="n"/>
      <c r="D2257" s="115" t="n"/>
      <c r="E2257" s="124" t="n"/>
      <c r="F2257" s="124" t="n"/>
      <c r="G2257" s="124" t="n"/>
      <c r="H2257" s="84" t="n"/>
      <c r="I2257" s="7" t="n"/>
      <c r="J2257" s="32" t="inlineStr">
        <is>
          <t>Ticman</t>
        </is>
      </c>
      <c r="K2257" s="24" t="n"/>
      <c r="L2257" s="36" t="n">
        <v>70</v>
      </c>
      <c r="M2257" s="204" t="n">
        <v>1</v>
      </c>
      <c r="N2257" s="177" t="n">
        <v>3</v>
      </c>
      <c r="O2257" s="13" t="n"/>
      <c r="P2257" s="139" t="inlineStr">
        <is>
          <t>liters</t>
        </is>
      </c>
      <c r="Q2257" s="2" t="n"/>
      <c r="R2257" s="1" t="n"/>
      <c r="S2257" s="229">
        <f>M2257*N2257</f>
        <v/>
      </c>
      <c r="T2257" s="230">
        <f>CONCATENATE(S2257,Q2257,P2257)</f>
        <v/>
      </c>
      <c r="U2257" s="206">
        <f>L2257*M2257</f>
        <v/>
      </c>
      <c r="V2257" s="4" t="n"/>
      <c r="W2257" s="4" t="n"/>
      <c r="X2257" s="4" t="n"/>
    </row>
    <row r="2258" ht="15.75" customHeight="1" thickBot="1">
      <c r="A2258" s="187" t="n">
        <v>440</v>
      </c>
      <c r="B2258" s="214" t="inlineStr">
        <is>
          <t>Vinegar</t>
        </is>
      </c>
      <c r="C2258" s="124" t="n"/>
      <c r="D2258" s="115" t="n"/>
      <c r="E2258" s="124" t="n"/>
      <c r="F2258" s="124" t="n"/>
      <c r="G2258" s="124" t="n"/>
      <c r="H2258" s="84" t="n"/>
      <c r="I2258" s="7" t="n"/>
      <c r="J2258" s="32" t="inlineStr">
        <is>
          <t>Ticman</t>
        </is>
      </c>
      <c r="K2258" s="24" t="n"/>
      <c r="L2258" s="36" t="n">
        <v>70</v>
      </c>
      <c r="M2258" s="204" t="n">
        <v>1</v>
      </c>
      <c r="N2258" s="177" t="n">
        <v>3500</v>
      </c>
      <c r="O2258" s="13" t="n"/>
      <c r="P2258" s="139" t="inlineStr">
        <is>
          <t>ml</t>
        </is>
      </c>
      <c r="Q2258" s="2" t="n"/>
      <c r="R2258" s="1" t="n"/>
      <c r="S2258" s="229">
        <f>M2258*N2258</f>
        <v/>
      </c>
      <c r="T2258" s="230">
        <f>CONCATENATE(S2258,Q2258,P2258)</f>
        <v/>
      </c>
      <c r="U2258" s="206">
        <f>L2258*M2258</f>
        <v/>
      </c>
      <c r="V2258" s="4" t="n"/>
      <c r="W2258" s="4" t="n"/>
      <c r="X2258" s="4" t="n"/>
    </row>
    <row r="2259" ht="15.75" customHeight="1" thickBot="1">
      <c r="A2259" s="187" t="n">
        <v>440</v>
      </c>
      <c r="B2259" s="214" t="inlineStr">
        <is>
          <t>Vinegar</t>
        </is>
      </c>
      <c r="C2259" s="124" t="n"/>
      <c r="D2259" s="115" t="n"/>
      <c r="E2259" s="124" t="n"/>
      <c r="F2259" s="124" t="n"/>
      <c r="G2259" s="124" t="n"/>
      <c r="H2259" s="84" t="n"/>
      <c r="I2259" s="7" t="n"/>
      <c r="J2259" s="32" t="inlineStr">
        <is>
          <t>NutriAsia - Datu Puti</t>
        </is>
      </c>
      <c r="K2259" s="24" t="n"/>
      <c r="L2259" s="36" t="n">
        <v>155.7</v>
      </c>
      <c r="M2259" s="204" t="n">
        <v>8</v>
      </c>
      <c r="N2259" s="177" t="n">
        <v>1</v>
      </c>
      <c r="O2259" s="13" t="n"/>
      <c r="P2259" s="139" t="inlineStr">
        <is>
          <t>gal</t>
        </is>
      </c>
      <c r="Q2259" s="2" t="n"/>
      <c r="R2259" s="1" t="n"/>
      <c r="S2259" s="229">
        <f>M2259*N2259</f>
        <v/>
      </c>
      <c r="T2259" s="230">
        <f>CONCATENATE(S2259,Q2259,P2259)</f>
        <v/>
      </c>
      <c r="U2259" s="206">
        <f>L2259*M2259</f>
        <v/>
      </c>
      <c r="V2259" s="4" t="n"/>
      <c r="W2259" s="4" t="n"/>
      <c r="X2259" s="4" t="n"/>
    </row>
    <row r="2260" ht="15.75" customHeight="1" thickBot="1">
      <c r="A2260" s="187" t="n">
        <v>440</v>
      </c>
      <c r="B2260" s="214" t="inlineStr">
        <is>
          <t>Vinegar</t>
        </is>
      </c>
      <c r="C2260" s="124" t="n"/>
      <c r="D2260" s="115" t="n"/>
      <c r="E2260" s="124" t="n"/>
      <c r="F2260" s="124" t="n"/>
      <c r="G2260" s="124" t="n"/>
      <c r="H2260" s="84" t="n"/>
      <c r="I2260" s="7" t="n"/>
      <c r="J2260" s="32" t="inlineStr">
        <is>
          <t>Ticman</t>
        </is>
      </c>
      <c r="K2260" s="24" t="n"/>
      <c r="L2260" s="36" t="n">
        <v>70</v>
      </c>
      <c r="M2260" s="204" t="n">
        <v>19</v>
      </c>
      <c r="N2260" s="177" t="n">
        <v>3500</v>
      </c>
      <c r="O2260" s="13" t="n"/>
      <c r="P2260" s="139" t="inlineStr">
        <is>
          <t>ml</t>
        </is>
      </c>
      <c r="Q2260" s="2" t="n"/>
      <c r="R2260" s="1" t="n"/>
      <c r="S2260" s="229">
        <f>M2260*N2260</f>
        <v/>
      </c>
      <c r="T2260" s="230">
        <f>CONCATENATE(S2260,Q2260,P2260)</f>
        <v/>
      </c>
      <c r="U2260" s="206">
        <f>L2260*M2260</f>
        <v/>
      </c>
      <c r="V2260" s="4" t="n"/>
      <c r="W2260" s="4" t="n"/>
      <c r="X2260" s="4" t="n"/>
    </row>
    <row r="2261" ht="15.75" customHeight="1" thickBot="1">
      <c r="A2261" s="187" t="n">
        <v>440</v>
      </c>
      <c r="B2261" s="214" t="inlineStr">
        <is>
          <t>Vinegar</t>
        </is>
      </c>
      <c r="C2261" s="124" t="n"/>
      <c r="D2261" s="115" t="n"/>
      <c r="E2261" s="124" t="n"/>
      <c r="F2261" s="124" t="n"/>
      <c r="G2261" s="124" t="n"/>
      <c r="H2261" s="84" t="n"/>
      <c r="I2261" s="7" t="n"/>
      <c r="J2261" s="32" t="inlineStr">
        <is>
          <t>Jugirox</t>
        </is>
      </c>
      <c r="K2261" s="24" t="n"/>
      <c r="L2261" s="36" t="n">
        <v>65</v>
      </c>
      <c r="M2261" s="204" t="n">
        <v>7</v>
      </c>
      <c r="N2261" s="177" t="n">
        <v>1</v>
      </c>
      <c r="O2261" s="13" t="n"/>
      <c r="P2261" s="139" t="inlineStr">
        <is>
          <t>gal</t>
        </is>
      </c>
      <c r="Q2261" s="2" t="n"/>
      <c r="R2261" s="1" t="n"/>
      <c r="S2261" s="229">
        <f>M2261*N2261</f>
        <v/>
      </c>
      <c r="T2261" s="230">
        <f>CONCATENATE(S2261,Q2261,P2261)</f>
        <v/>
      </c>
      <c r="U2261" s="206">
        <f>L2261*M2261</f>
        <v/>
      </c>
      <c r="V2261" s="4" t="n"/>
      <c r="W2261" s="4" t="n"/>
      <c r="X2261" s="4" t="n"/>
    </row>
    <row r="2262" ht="15.75" customHeight="1" thickBot="1">
      <c r="A2262" s="187" t="n">
        <v>440</v>
      </c>
      <c r="B2262" s="215" t="inlineStr">
        <is>
          <t>Vinegar</t>
        </is>
      </c>
      <c r="C2262" s="124" t="n"/>
      <c r="D2262" s="115" t="n"/>
      <c r="E2262" s="124" t="n"/>
      <c r="F2262" s="124" t="n"/>
      <c r="G2262" s="124" t="n"/>
      <c r="H2262" s="84" t="n"/>
      <c r="I2262" s="7" t="n"/>
      <c r="J2262" s="32" t="inlineStr">
        <is>
          <t>Ticman</t>
        </is>
      </c>
      <c r="K2262" s="24" t="n"/>
      <c r="L2262" s="36" t="n">
        <v>65</v>
      </c>
      <c r="M2262" s="204" t="n">
        <v>10</v>
      </c>
      <c r="N2262" s="177" t="n">
        <v>3500</v>
      </c>
      <c r="O2262" s="13" t="n"/>
      <c r="P2262" s="139" t="inlineStr">
        <is>
          <t>ml</t>
        </is>
      </c>
      <c r="Q2262" s="2" t="n"/>
      <c r="R2262" s="1" t="n"/>
      <c r="S2262" s="229">
        <f>M2262*N2262</f>
        <v/>
      </c>
      <c r="T2262" s="230">
        <f>CONCATENATE(S2262,Q2262,P2262)</f>
        <v/>
      </c>
      <c r="U2262" s="206">
        <f>L2262*M2262</f>
        <v/>
      </c>
      <c r="V2262" s="4" t="n"/>
      <c r="W2262" s="4" t="n"/>
      <c r="X2262" s="4" t="n"/>
    </row>
    <row r="2263" ht="15.75" customHeight="1" thickBot="1">
      <c r="A2263" s="187" t="n">
        <v>440</v>
      </c>
      <c r="B2263" s="215" t="inlineStr">
        <is>
          <t>Vinegar</t>
        </is>
      </c>
      <c r="C2263" s="124" t="n"/>
      <c r="D2263" s="115" t="n"/>
      <c r="E2263" s="124" t="n"/>
      <c r="F2263" s="124" t="n"/>
      <c r="G2263" s="124" t="n"/>
      <c r="H2263" s="84" t="n"/>
      <c r="I2263" s="7" t="n"/>
      <c r="J2263" s="32" t="inlineStr">
        <is>
          <t>NutriAsia - Silver Swan</t>
        </is>
      </c>
      <c r="K2263" s="24" t="n"/>
      <c r="L2263" s="36" t="n">
        <v>41.5</v>
      </c>
      <c r="M2263" s="204" t="n">
        <v>1</v>
      </c>
      <c r="N2263" s="177" t="n">
        <v>1</v>
      </c>
      <c r="O2263" s="13" t="n"/>
      <c r="P2263" s="139" t="inlineStr">
        <is>
          <t>liters</t>
        </is>
      </c>
      <c r="Q2263" s="2" t="n"/>
      <c r="R2263" s="1" t="n"/>
      <c r="S2263" s="229">
        <f>M2263*N2263</f>
        <v/>
      </c>
      <c r="T2263" s="230">
        <f>CONCATENATE(S2263,Q2263,P2263)</f>
        <v/>
      </c>
      <c r="U2263" s="206">
        <f>L2263*M2263</f>
        <v/>
      </c>
      <c r="V2263" s="4" t="n"/>
      <c r="W2263" s="4" t="n"/>
      <c r="X2263" s="4" t="n"/>
    </row>
    <row r="2264" ht="15.75" customHeight="1" thickBot="1">
      <c r="A2264" s="187" t="n">
        <v>440</v>
      </c>
      <c r="B2264" s="215" t="inlineStr">
        <is>
          <t>Vinegar</t>
        </is>
      </c>
      <c r="C2264" s="124" t="n"/>
      <c r="D2264" s="115" t="n"/>
      <c r="E2264" s="124" t="n"/>
      <c r="F2264" s="124" t="n"/>
      <c r="G2264" s="124" t="n"/>
      <c r="H2264" s="84" t="n"/>
      <c r="I2264" s="7" t="n"/>
      <c r="J2264" s="32" t="inlineStr">
        <is>
          <t>NutriAsia - Datu Puti</t>
        </is>
      </c>
      <c r="K2264" s="24" t="n"/>
      <c r="L2264" s="36" t="n">
        <v>41.5</v>
      </c>
      <c r="M2264" s="204" t="n">
        <v>1</v>
      </c>
      <c r="N2264" s="177" t="n">
        <v>1</v>
      </c>
      <c r="O2264" s="13" t="n"/>
      <c r="P2264" s="139" t="inlineStr">
        <is>
          <t>liters</t>
        </is>
      </c>
      <c r="Q2264" s="2" t="n"/>
      <c r="R2264" s="1" t="n"/>
      <c r="S2264" s="229">
        <f>M2264*N2264</f>
        <v/>
      </c>
      <c r="T2264" s="230">
        <f>CONCATENATE(S2264,Q2264,P2264)</f>
        <v/>
      </c>
      <c r="U2264" s="206">
        <f>L2264*M2264</f>
        <v/>
      </c>
      <c r="V2264" s="4" t="n"/>
      <c r="W2264" s="4" t="n"/>
      <c r="X2264" s="4" t="n"/>
    </row>
    <row r="2265" ht="15.75" customHeight="1" thickBot="1">
      <c r="A2265" s="187" t="n">
        <v>889</v>
      </c>
      <c r="B2265" s="214" t="inlineStr">
        <is>
          <t>Vista Coconut Powder</t>
        </is>
      </c>
      <c r="C2265" s="124" t="n"/>
      <c r="D2265" s="115" t="n"/>
      <c r="E2265" s="124" t="n"/>
      <c r="F2265" s="124" t="n"/>
      <c r="G2265" s="124" t="n"/>
      <c r="H2265" s="84" t="n"/>
      <c r="I2265" s="7" t="n"/>
      <c r="J2265" s="32" t="inlineStr">
        <is>
          <t>Vista</t>
        </is>
      </c>
      <c r="K2265" s="24" t="n"/>
      <c r="L2265" s="36" t="n">
        <v>31.55</v>
      </c>
      <c r="M2265" s="204" t="n">
        <v>15</v>
      </c>
      <c r="N2265" s="177" t="n">
        <v>50</v>
      </c>
      <c r="O2265" s="13" t="n"/>
      <c r="P2265" s="139" t="inlineStr">
        <is>
          <t>grams</t>
        </is>
      </c>
      <c r="Q2265" s="2" t="n"/>
      <c r="R2265" s="1" t="n"/>
      <c r="S2265" s="229">
        <f>M2265*N2265</f>
        <v/>
      </c>
      <c r="T2265" s="230">
        <f>CONCATENATE(S2265,Q2265,P2265)</f>
        <v/>
      </c>
      <c r="U2265" s="206">
        <f>L2265*M2265</f>
        <v/>
      </c>
      <c r="V2265" s="4" t="n"/>
      <c r="W2265" s="4" t="n"/>
      <c r="X2265" s="4" t="n"/>
    </row>
    <row r="2266" ht="15.75" customHeight="1" thickBot="1">
      <c r="A2266" s="187" t="n">
        <v>890</v>
      </c>
      <c r="B2266" s="216" t="inlineStr">
        <is>
          <t>Wafer</t>
        </is>
      </c>
      <c r="C2266" s="124" t="n"/>
      <c r="D2266" s="115" t="n"/>
      <c r="E2266" s="124" t="n"/>
      <c r="F2266" s="124" t="n"/>
      <c r="G2266" s="124" t="n"/>
      <c r="H2266" s="84" t="n"/>
      <c r="I2266" s="7" t="n"/>
      <c r="J2266" s="32" t="inlineStr">
        <is>
          <t>Nabati - Richeese Cheese Wafer</t>
        </is>
      </c>
      <c r="K2266" s="24" t="n"/>
      <c r="L2266" s="36" t="n">
        <v>10.8</v>
      </c>
      <c r="M2266" s="204" t="n">
        <v>24</v>
      </c>
      <c r="N2266" s="177" t="n">
        <v>48</v>
      </c>
      <c r="O2266" s="13" t="n"/>
      <c r="P2266" s="139" t="inlineStr">
        <is>
          <t>grams</t>
        </is>
      </c>
      <c r="Q2266" s="2" t="n"/>
      <c r="R2266" s="1" t="n"/>
      <c r="S2266" s="229">
        <f>M2266*N2266</f>
        <v/>
      </c>
      <c r="T2266" s="230">
        <f>CONCATENATE(S2266,Q2266,P2266)</f>
        <v/>
      </c>
      <c r="U2266" s="206">
        <f>L2266*M2266</f>
        <v/>
      </c>
      <c r="V2266" s="4" t="n"/>
      <c r="W2266" s="4" t="n"/>
      <c r="X2266" s="4" t="n"/>
    </row>
    <row r="2267" ht="15.75" customHeight="1" thickBot="1">
      <c r="A2267" s="187" t="n">
        <v>890</v>
      </c>
      <c r="B2267" s="214" t="inlineStr">
        <is>
          <t>Wafer</t>
        </is>
      </c>
      <c r="C2267" s="124" t="n"/>
      <c r="D2267" s="115" t="n"/>
      <c r="E2267" s="124" t="n"/>
      <c r="F2267" s="124" t="n"/>
      <c r="G2267" s="124" t="n"/>
      <c r="H2267" s="84" t="n"/>
      <c r="I2267" s="7" t="n"/>
      <c r="J2267" s="32" t="inlineStr">
        <is>
          <t>Mayora - Wafello Coconut Crème</t>
        </is>
      </c>
      <c r="K2267" s="24" t="n"/>
      <c r="L2267" s="36" t="n">
        <v>15.88</v>
      </c>
      <c r="M2267" s="204" t="n">
        <v>24</v>
      </c>
      <c r="N2267" s="177" t="n">
        <v>48</v>
      </c>
      <c r="O2267" s="13" t="n"/>
      <c r="P2267" s="139" t="inlineStr">
        <is>
          <t>grams</t>
        </is>
      </c>
      <c r="Q2267" s="2" t="n"/>
      <c r="R2267" s="1" t="n"/>
      <c r="S2267" s="229">
        <f>M2267*N2267</f>
        <v/>
      </c>
      <c r="T2267" s="230">
        <f>CONCATENATE(S2267,Q2267,P2267)</f>
        <v/>
      </c>
      <c r="U2267" s="206">
        <f>L2267*M2267</f>
        <v/>
      </c>
      <c r="V2267" s="4" t="n"/>
      <c r="W2267" s="4" t="n"/>
      <c r="X2267" s="4" t="n"/>
    </row>
    <row r="2268" ht="15.75" customHeight="1" thickBot="1">
      <c r="A2268" s="187" t="n">
        <v>890</v>
      </c>
      <c r="B2268" s="214" t="inlineStr">
        <is>
          <t>Wafer</t>
        </is>
      </c>
      <c r="C2268" s="124" t="n"/>
      <c r="D2268" s="115" t="n"/>
      <c r="E2268" s="124" t="n"/>
      <c r="F2268" s="124" t="n"/>
      <c r="G2268" s="124" t="n"/>
      <c r="H2268" s="84" t="n"/>
      <c r="I2268" s="7" t="n"/>
      <c r="J2268" s="32" t="inlineStr">
        <is>
          <t>Mayora - Cal Cheese</t>
        </is>
      </c>
      <c r="K2268" s="24" t="n"/>
      <c r="L2268" s="36" t="n">
        <v>6.5</v>
      </c>
      <c r="M2268" s="204" t="n">
        <v>32</v>
      </c>
      <c r="N2268" s="177" t="n">
        <v>20</v>
      </c>
      <c r="O2268" s="13" t="n"/>
      <c r="P2268" s="139" t="inlineStr">
        <is>
          <t>grams</t>
        </is>
      </c>
      <c r="Q2268" s="2" t="n"/>
      <c r="R2268" s="1" t="n"/>
      <c r="S2268" s="229">
        <f>M2268*N2268</f>
        <v/>
      </c>
      <c r="T2268" s="230">
        <f>CONCATENATE(S2268,Q2268,P2268)</f>
        <v/>
      </c>
      <c r="U2268" s="206">
        <f>L2268*M2268</f>
        <v/>
      </c>
      <c r="V2268" s="4" t="n"/>
      <c r="W2268" s="4" t="n"/>
      <c r="X2268" s="4" t="n"/>
    </row>
    <row r="2269" ht="15.75" customHeight="1" thickBot="1">
      <c r="A2269" s="186" t="n">
        <v>890</v>
      </c>
      <c r="B2269" s="214" t="inlineStr">
        <is>
          <t>Wafer</t>
        </is>
      </c>
      <c r="C2269" s="124" t="n"/>
      <c r="D2269" s="115" t="n"/>
      <c r="E2269" s="124" t="n"/>
      <c r="F2269" s="124" t="n"/>
      <c r="G2269" s="124" t="n"/>
      <c r="H2269" s="84" t="n"/>
      <c r="I2269" s="7" t="n"/>
      <c r="J2269" s="32" t="inlineStr">
        <is>
          <t>Nissin - Wafer Double Chocolate</t>
        </is>
      </c>
      <c r="K2269" s="24" t="n"/>
      <c r="L2269" s="36" t="n">
        <v>13</v>
      </c>
      <c r="M2269" s="204" t="n">
        <v>24</v>
      </c>
      <c r="N2269" s="177" t="n">
        <v>55</v>
      </c>
      <c r="O2269" s="13" t="n"/>
      <c r="P2269" s="139" t="inlineStr">
        <is>
          <t>grams</t>
        </is>
      </c>
      <c r="Q2269" s="2" t="n"/>
      <c r="R2269" s="1" t="n"/>
      <c r="S2269" s="229">
        <f>M2269*N2269</f>
        <v/>
      </c>
      <c r="T2269" s="230">
        <f>CONCATENATE(S2269,Q2269,P2269)</f>
        <v/>
      </c>
      <c r="U2269" s="206">
        <f>L2269*M2269</f>
        <v/>
      </c>
      <c r="V2269" s="4" t="n"/>
      <c r="W2269" s="4" t="n"/>
      <c r="X2269" s="4" t="n"/>
    </row>
    <row r="2270" ht="15.75" customHeight="1" thickBot="1">
      <c r="A2270" s="186" t="n">
        <v>891</v>
      </c>
      <c r="B2270" s="215" t="inlineStr">
        <is>
          <t>Walnuts</t>
        </is>
      </c>
      <c r="C2270" s="124" t="n"/>
      <c r="D2270" s="115" t="n"/>
      <c r="E2270" s="124" t="n"/>
      <c r="F2270" s="124" t="n"/>
      <c r="G2270" s="124" t="n"/>
      <c r="H2270" s="84" t="n"/>
      <c r="I2270" s="7" t="n"/>
      <c r="J2270" s="32" t="inlineStr">
        <is>
          <t>Crown Food</t>
        </is>
      </c>
      <c r="K2270" s="24" t="n"/>
      <c r="L2270" s="36" t="n">
        <v>165</v>
      </c>
      <c r="M2270" s="204" t="n">
        <v>1</v>
      </c>
      <c r="N2270" s="177" t="n">
        <v>150</v>
      </c>
      <c r="O2270" s="13" t="n"/>
      <c r="P2270" s="139" t="inlineStr">
        <is>
          <t>grams</t>
        </is>
      </c>
      <c r="Q2270" s="2" t="n"/>
      <c r="R2270" s="1" t="n"/>
      <c r="S2270" s="229">
        <f>M2270*N2270</f>
        <v/>
      </c>
      <c r="T2270" s="230">
        <f>CONCATENATE(S2270,Q2270,P2270)</f>
        <v/>
      </c>
      <c r="U2270" s="206">
        <f>L2270*M2270</f>
        <v/>
      </c>
      <c r="V2270" s="4" t="n"/>
      <c r="W2270" s="4" t="n"/>
      <c r="X2270" s="4" t="n"/>
    </row>
    <row r="2271" ht="15.75" customHeight="1" thickBot="1">
      <c r="A2271" s="186" t="n">
        <v>892</v>
      </c>
      <c r="B2271" s="215" t="inlineStr">
        <is>
          <t>Water Chestnut</t>
        </is>
      </c>
      <c r="C2271" s="124" t="n"/>
      <c r="D2271" s="115" t="n"/>
      <c r="E2271" s="124" t="n"/>
      <c r="F2271" s="124" t="n"/>
      <c r="G2271" s="124" t="n"/>
      <c r="H2271" s="84" t="n"/>
      <c r="I2271" s="7" t="n"/>
      <c r="J2271" s="32" t="inlineStr">
        <is>
          <t>Sunbest</t>
        </is>
      </c>
      <c r="K2271" s="24" t="n"/>
      <c r="L2271" s="36" t="n">
        <v>93.59999999999999</v>
      </c>
      <c r="M2271" s="204" t="n">
        <v>1</v>
      </c>
      <c r="N2271" s="177" t="n">
        <v>304</v>
      </c>
      <c r="O2271" s="13" t="n"/>
      <c r="P2271" s="139" t="inlineStr">
        <is>
          <t>grams</t>
        </is>
      </c>
      <c r="Q2271" s="2" t="n"/>
      <c r="R2271" s="1" t="n"/>
      <c r="S2271" s="229">
        <f>M2271*N2271</f>
        <v/>
      </c>
      <c r="T2271" s="230">
        <f>CONCATENATE(S2271,Q2271,P2271)</f>
        <v/>
      </c>
      <c r="U2271" s="206">
        <f>L2271*M2271</f>
        <v/>
      </c>
      <c r="V2271" s="4" t="n"/>
      <c r="W2271" s="4" t="n"/>
      <c r="X2271" s="4" t="n"/>
    </row>
    <row r="2272" ht="15.75" customHeight="1" thickBot="1">
      <c r="A2272" s="186" t="n">
        <v>893</v>
      </c>
      <c r="B2272" s="215" t="inlineStr">
        <is>
          <t>Wax</t>
        </is>
      </c>
      <c r="C2272" s="124" t="n"/>
      <c r="D2272" s="115" t="n"/>
      <c r="E2272" s="124" t="n"/>
      <c r="F2272" s="124" t="n"/>
      <c r="G2272" s="124" t="n"/>
      <c r="H2272" s="84" t="n"/>
      <c r="I2272" s="7" t="n"/>
      <c r="J2272" s="32" t="inlineStr">
        <is>
          <t>Easy Heat</t>
        </is>
      </c>
      <c r="K2272" s="24" t="n"/>
      <c r="L2272" s="36" t="n">
        <v>732</v>
      </c>
      <c r="M2272" s="204" t="n">
        <v>1</v>
      </c>
      <c r="N2272" s="177" t="n">
        <v>1</v>
      </c>
      <c r="O2272" s="13" t="n"/>
      <c r="P2272" s="139" t="inlineStr">
        <is>
          <t>tin</t>
        </is>
      </c>
      <c r="Q2272" s="2" t="n"/>
      <c r="R2272" s="1" t="n"/>
      <c r="S2272" s="229">
        <f>M2272*N2272</f>
        <v/>
      </c>
      <c r="T2272" s="230">
        <f>CONCATENATE(S2272,Q2272,P2272)</f>
        <v/>
      </c>
      <c r="U2272" s="206">
        <f>L2272*M2272</f>
        <v/>
      </c>
      <c r="V2272" s="4" t="n"/>
      <c r="W2272" s="4" t="n"/>
      <c r="X2272" s="4" t="n"/>
    </row>
    <row r="2273" ht="15.75" customHeight="1" thickBot="1">
      <c r="A2273" s="186" t="n">
        <v>894</v>
      </c>
      <c r="B2273" s="214" t="inlineStr">
        <is>
          <t>Wax Paper</t>
        </is>
      </c>
      <c r="C2273" s="124" t="n"/>
      <c r="D2273" s="115" t="n"/>
      <c r="E2273" s="124" t="n"/>
      <c r="F2273" s="124" t="n"/>
      <c r="G2273" s="124" t="n"/>
      <c r="H2273" s="84" t="n"/>
      <c r="I2273" s="7" t="n"/>
      <c r="J2273" s="32" t="inlineStr">
        <is>
          <t>Croco</t>
        </is>
      </c>
      <c r="K2273" s="24" t="n"/>
      <c r="L2273" s="36" t="n">
        <v>520</v>
      </c>
      <c r="M2273" s="204" t="n">
        <v>1</v>
      </c>
      <c r="N2273" s="177" t="n">
        <v>1</v>
      </c>
      <c r="O2273" s="13" t="n"/>
      <c r="P2273" s="139" t="inlineStr">
        <is>
          <t>roll</t>
        </is>
      </c>
      <c r="Q2273" s="2" t="n"/>
      <c r="R2273" s="1" t="n"/>
      <c r="S2273" s="229">
        <f>M2273*N2273</f>
        <v/>
      </c>
      <c r="T2273" s="230">
        <f>CONCATENATE(S2273,Q2273,P2273)</f>
        <v/>
      </c>
      <c r="U2273" s="206">
        <f>L2273*M2273</f>
        <v/>
      </c>
      <c r="V2273" s="4" t="n"/>
      <c r="W2273" s="4" t="n"/>
      <c r="X2273" s="4" t="n"/>
    </row>
    <row r="2274" ht="15.75" customHeight="1" thickBot="1">
      <c r="A2274" s="186" t="n">
        <v>895</v>
      </c>
      <c r="B2274" s="214" t="inlineStr">
        <is>
          <t>White Bread</t>
        </is>
      </c>
      <c r="C2274" s="124" t="n"/>
      <c r="D2274" s="115" t="n"/>
      <c r="E2274" s="124" t="n"/>
      <c r="F2274" s="124" t="n"/>
      <c r="G2274" s="124" t="n"/>
      <c r="H2274" s="84" t="n"/>
      <c r="I2274" s="7" t="n"/>
      <c r="J2274" s="32" t="inlineStr">
        <is>
          <t>Gardenia</t>
        </is>
      </c>
      <c r="K2274" s="24" t="n"/>
      <c r="L2274" s="36" t="n">
        <v>85</v>
      </c>
      <c r="M2274" s="204" t="n">
        <v>3</v>
      </c>
      <c r="N2274" s="177" t="n">
        <v>600</v>
      </c>
      <c r="O2274" s="13" t="n"/>
      <c r="P2274" s="139" t="inlineStr">
        <is>
          <t>grams</t>
        </is>
      </c>
      <c r="Q2274" s="2" t="n"/>
      <c r="R2274" s="1" t="n"/>
      <c r="S2274" s="229">
        <f>M2274*N2274</f>
        <v/>
      </c>
      <c r="T2274" s="230">
        <f>CONCATENATE(S2274,Q2274,P2274)</f>
        <v/>
      </c>
      <c r="U2274" s="206">
        <f>L2274*M2274</f>
        <v/>
      </c>
      <c r="V2274" s="4" t="n"/>
      <c r="W2274" s="4" t="n"/>
      <c r="X2274" s="4" t="n"/>
    </row>
    <row r="2275" ht="15.75" customHeight="1" thickBot="1">
      <c r="A2275" s="186" t="n">
        <v>895</v>
      </c>
      <c r="B2275" s="215" t="inlineStr">
        <is>
          <t>White Bread</t>
        </is>
      </c>
      <c r="C2275" s="124" t="n"/>
      <c r="D2275" s="115" t="n"/>
      <c r="E2275" s="124" t="n"/>
      <c r="F2275" s="124" t="n"/>
      <c r="G2275" s="124" t="n"/>
      <c r="H2275" s="84" t="n"/>
      <c r="I2275" s="7" t="n"/>
      <c r="J2275" s="32" t="inlineStr">
        <is>
          <t>Gardenia</t>
        </is>
      </c>
      <c r="K2275" s="24" t="n"/>
      <c r="L2275" s="36" t="n">
        <v>85</v>
      </c>
      <c r="M2275" s="204" t="n">
        <v>1</v>
      </c>
      <c r="N2275" s="177" t="n">
        <v>600</v>
      </c>
      <c r="O2275" s="13" t="n"/>
      <c r="P2275" s="139" t="inlineStr">
        <is>
          <t>grams</t>
        </is>
      </c>
      <c r="Q2275" s="2" t="n"/>
      <c r="R2275" s="1" t="n"/>
      <c r="S2275" s="229">
        <f>M2275*N2275</f>
        <v/>
      </c>
      <c r="T2275" s="230">
        <f>CONCATENATE(S2275,Q2275,P2275)</f>
        <v/>
      </c>
      <c r="U2275" s="206">
        <f>L2275*M2275</f>
        <v/>
      </c>
      <c r="V2275" s="4" t="n"/>
      <c r="W2275" s="4" t="n"/>
      <c r="X2275" s="4" t="n"/>
    </row>
    <row r="2276" ht="15.75" customHeight="1" thickBot="1">
      <c r="A2276" s="186" t="n">
        <v>896</v>
      </c>
      <c r="B2276" s="214" t="inlineStr">
        <is>
          <t>White Jumbo Paper Bag</t>
        </is>
      </c>
      <c r="C2276" s="124" t="n"/>
      <c r="D2276" s="115" t="n"/>
      <c r="E2276" s="124" t="n"/>
      <c r="F2276" s="124" t="n"/>
      <c r="G2276" s="124" t="n"/>
      <c r="H2276" s="84" t="n"/>
      <c r="I2276" s="7" t="n"/>
      <c r="J2276" s="32" t="inlineStr">
        <is>
          <t>Carandang Merchandise</t>
        </is>
      </c>
      <c r="K2276" s="24" t="n"/>
      <c r="L2276" s="36" t="n">
        <v>2.68</v>
      </c>
      <c r="M2276" s="204" t="n">
        <v>33</v>
      </c>
      <c r="N2276" s="177" t="n">
        <v>100</v>
      </c>
      <c r="O2276" s="13" t="n"/>
      <c r="P2276" s="139" t="inlineStr">
        <is>
          <t>pieces</t>
        </is>
      </c>
      <c r="Q2276" s="2" t="n"/>
      <c r="R2276" s="1" t="n"/>
      <c r="S2276" s="229">
        <f>M2276*N2276</f>
        <v/>
      </c>
      <c r="T2276" s="230">
        <f>CONCATENATE(S2276,Q2276,P2276)</f>
        <v/>
      </c>
      <c r="U2276" s="206">
        <f>L2276*M2276</f>
        <v/>
      </c>
      <c r="V2276" s="4" t="n"/>
      <c r="W2276" s="4" t="n"/>
      <c r="X2276" s="4" t="n"/>
    </row>
    <row r="2277" ht="15.75" customHeight="1" thickBot="1">
      <c r="A2277" s="186" t="n">
        <v>897</v>
      </c>
      <c r="B2277" s="214" t="inlineStr">
        <is>
          <t>Whole Kernel Corn</t>
        </is>
      </c>
      <c r="C2277" s="124" t="n"/>
      <c r="D2277" s="115" t="n"/>
      <c r="E2277" s="124" t="n"/>
      <c r="F2277" s="124" t="n"/>
      <c r="G2277" s="124" t="n"/>
      <c r="H2277" s="84" t="n"/>
      <c r="I2277" s="7" t="n"/>
      <c r="J2277" s="32" t="inlineStr">
        <is>
          <t>Jolly</t>
        </is>
      </c>
      <c r="K2277" s="24" t="n"/>
      <c r="L2277" s="36" t="n">
        <v>43.9</v>
      </c>
      <c r="M2277" s="204" t="n">
        <v>10</v>
      </c>
      <c r="N2277" s="177" t="n">
        <v>250</v>
      </c>
      <c r="O2277" s="13" t="n"/>
      <c r="P2277" s="139" t="inlineStr">
        <is>
          <t>drained weight grams</t>
        </is>
      </c>
      <c r="Q2277" s="2" t="n"/>
      <c r="R2277" s="1" t="n"/>
      <c r="S2277" s="229">
        <f>M2277*N2277</f>
        <v/>
      </c>
      <c r="T2277" s="230">
        <f>CONCATENATE(S2277,Q2277,P2277)</f>
        <v/>
      </c>
      <c r="U2277" s="206">
        <f>L2277*M2277</f>
        <v/>
      </c>
      <c r="V2277" s="4" t="n"/>
      <c r="W2277" s="4" t="n"/>
      <c r="X2277" s="4" t="n"/>
    </row>
    <row r="2278" ht="15.75" customHeight="1" thickBot="1">
      <c r="A2278" s="186" t="n">
        <v>897</v>
      </c>
      <c r="B2278" s="214" t="inlineStr">
        <is>
          <t>Whole Kernel Corn</t>
        </is>
      </c>
      <c r="C2278" s="124" t="n"/>
      <c r="D2278" s="115" t="n"/>
      <c r="E2278" s="124" t="n"/>
      <c r="F2278" s="124" t="n"/>
      <c r="G2278" s="124" t="n"/>
      <c r="H2278" s="84" t="n"/>
      <c r="I2278" s="7" t="n"/>
      <c r="J2278" s="32" t="inlineStr">
        <is>
          <t>Jolly</t>
        </is>
      </c>
      <c r="K2278" s="24" t="n"/>
      <c r="L2278" s="36" t="n">
        <v>42.3</v>
      </c>
      <c r="M2278" s="204" t="n">
        <v>6</v>
      </c>
      <c r="N2278" s="177" t="n">
        <v>425</v>
      </c>
      <c r="O2278" s="13" t="n"/>
      <c r="P2278" s="139" t="inlineStr">
        <is>
          <t>grams</t>
        </is>
      </c>
      <c r="Q2278" s="2" t="n"/>
      <c r="R2278" s="1" t="n"/>
      <c r="S2278" s="229">
        <f>M2278*N2278</f>
        <v/>
      </c>
      <c r="T2278" s="230">
        <f>CONCATENATE(S2278,Q2278,P2278)</f>
        <v/>
      </c>
      <c r="U2278" s="206">
        <f>L2278*M2278</f>
        <v/>
      </c>
      <c r="V2278" s="4" t="n"/>
      <c r="W2278" s="4" t="n"/>
      <c r="X2278" s="4" t="n"/>
    </row>
    <row r="2279" ht="15.75" customHeight="1" thickBot="1">
      <c r="A2279" s="186" t="n">
        <v>898</v>
      </c>
      <c r="B2279" s="214" t="inlineStr">
        <is>
          <t>Whole Mushroom</t>
        </is>
      </c>
      <c r="C2279" s="124" t="n"/>
      <c r="D2279" s="115" t="n"/>
      <c r="E2279" s="124" t="n"/>
      <c r="F2279" s="124" t="n"/>
      <c r="G2279" s="124" t="n"/>
      <c r="H2279" s="84" t="n"/>
      <c r="I2279" s="7" t="n"/>
      <c r="J2279" s="32" t="inlineStr">
        <is>
          <t>Jolly</t>
        </is>
      </c>
      <c r="K2279" s="24" t="n"/>
      <c r="L2279" s="36" t="n">
        <v>60.8</v>
      </c>
      <c r="M2279" s="204" t="n">
        <v>5</v>
      </c>
      <c r="N2279" s="177" t="n">
        <v>400</v>
      </c>
      <c r="O2279" s="13" t="n"/>
      <c r="P2279" s="139" t="inlineStr">
        <is>
          <t>grams</t>
        </is>
      </c>
      <c r="Q2279" s="2" t="n"/>
      <c r="R2279" s="1" t="n"/>
      <c r="S2279" s="229">
        <f>M2279*N2279</f>
        <v/>
      </c>
      <c r="T2279" s="230">
        <f>CONCATENATE(S2279,Q2279,P2279)</f>
        <v/>
      </c>
      <c r="U2279" s="206">
        <f>L2279*M2279</f>
        <v/>
      </c>
      <c r="V2279" s="4" t="n"/>
      <c r="W2279" s="4" t="n"/>
      <c r="X2279" s="4" t="n"/>
    </row>
    <row r="2280" ht="15.75" customHeight="1" thickBot="1">
      <c r="A2280" s="187" t="n">
        <v>899</v>
      </c>
      <c r="B2280" s="214" t="inlineStr">
        <is>
          <t>Whole Young Corn</t>
        </is>
      </c>
      <c r="C2280" s="124" t="n"/>
      <c r="D2280" s="115" t="n"/>
      <c r="E2280" s="124" t="n"/>
      <c r="F2280" s="124" t="n"/>
      <c r="G2280" s="124" t="n"/>
      <c r="H2280" s="84" t="n"/>
      <c r="I2280" s="7" t="n"/>
      <c r="J2280" s="32" t="inlineStr">
        <is>
          <t>Mega Prime</t>
        </is>
      </c>
      <c r="K2280" s="24" t="n"/>
      <c r="L2280" s="36" t="n">
        <v>68</v>
      </c>
      <c r="M2280" s="204" t="n">
        <v>14</v>
      </c>
      <c r="N2280" s="177" t="n">
        <v>225</v>
      </c>
      <c r="O2280" s="13" t="n"/>
      <c r="P2280" s="139" t="inlineStr">
        <is>
          <t>drained weight grams</t>
        </is>
      </c>
      <c r="Q2280" s="2" t="n"/>
      <c r="R2280" s="1" t="n"/>
      <c r="S2280" s="229">
        <f>M2280*N2280</f>
        <v/>
      </c>
      <c r="T2280" s="230">
        <f>CONCATENATE(S2280,Q2280,P2280)</f>
        <v/>
      </c>
      <c r="U2280" s="206">
        <f>L2280*M2280</f>
        <v/>
      </c>
      <c r="V2280" s="4" t="n"/>
      <c r="W2280" s="4" t="n"/>
      <c r="X2280" s="4" t="n"/>
    </row>
    <row r="2281" ht="15.75" customHeight="1" thickBot="1">
      <c r="A2281" s="187" t="n">
        <v>446</v>
      </c>
      <c r="B2281" s="214" t="inlineStr">
        <is>
          <t>Wooden Fork</t>
        </is>
      </c>
      <c r="C2281" s="124" t="n"/>
      <c r="D2281" s="115" t="n"/>
      <c r="E2281" s="124" t="n"/>
      <c r="F2281" s="124" t="n"/>
      <c r="G2281" s="124" t="n"/>
      <c r="H2281" s="84" t="n"/>
      <c r="I2281" s="7" t="n"/>
      <c r="J2281" s="32" t="n"/>
      <c r="K2281" s="24" t="n"/>
      <c r="L2281" s="36" t="n">
        <v>27</v>
      </c>
      <c r="M2281" s="204" t="n">
        <v>0</v>
      </c>
      <c r="N2281" s="177" t="n">
        <v>25</v>
      </c>
      <c r="O2281" s="13" t="n"/>
      <c r="P2281" s="139" t="inlineStr">
        <is>
          <t>pieces</t>
        </is>
      </c>
      <c r="Q2281" s="2" t="n"/>
      <c r="R2281" s="1" t="n"/>
      <c r="S2281" s="229">
        <f>M2281*N2281</f>
        <v/>
      </c>
      <c r="T2281" s="230">
        <f>CONCATENATE(S2281,Q2281,P2281)</f>
        <v/>
      </c>
      <c r="U2281" s="206">
        <f>L2281*M2281</f>
        <v/>
      </c>
      <c r="V2281" s="4" t="n"/>
      <c r="W2281" s="4" t="n"/>
      <c r="X2281" s="4" t="n"/>
    </row>
    <row r="2282" ht="15.75" customHeight="1" thickBot="1">
      <c r="A2282" s="187" t="n">
        <v>446</v>
      </c>
      <c r="B2282" s="214" t="inlineStr">
        <is>
          <t>Wooden Fork</t>
        </is>
      </c>
      <c r="C2282" s="124" t="n"/>
      <c r="D2282" s="115" t="n"/>
      <c r="E2282" s="124" t="n"/>
      <c r="F2282" s="124" t="n"/>
      <c r="G2282" s="124" t="n"/>
      <c r="H2282" s="84" t="n"/>
      <c r="I2282" s="7" t="n"/>
      <c r="J2282" s="32" t="inlineStr">
        <is>
          <t>Versa - pack by 25s'</t>
        </is>
      </c>
      <c r="K2282" s="24" t="n"/>
      <c r="L2282" s="36" t="n">
        <v>22</v>
      </c>
      <c r="M2282" s="204" t="n">
        <v>3</v>
      </c>
      <c r="N2282" s="177" t="n">
        <v>1</v>
      </c>
      <c r="O2282" s="13" t="n"/>
      <c r="P2282" s="139" t="inlineStr">
        <is>
          <t>packs</t>
        </is>
      </c>
      <c r="Q2282" s="2" t="n"/>
      <c r="R2282" s="1" t="n"/>
      <c r="S2282" s="229">
        <f>M2282*N2282</f>
        <v/>
      </c>
      <c r="T2282" s="230">
        <f>CONCATENATE(S2282,Q2282,P2282)</f>
        <v/>
      </c>
      <c r="U2282" s="206">
        <f>L2282*M2282</f>
        <v/>
      </c>
      <c r="V2282" s="4" t="n"/>
      <c r="W2282" s="4" t="n"/>
      <c r="X2282" s="4" t="n"/>
    </row>
    <row r="2283" ht="15.75" customHeight="1" thickBot="1">
      <c r="A2283" s="187" t="n">
        <v>446</v>
      </c>
      <c r="B2283" s="214" t="inlineStr">
        <is>
          <t>Wooden Fork</t>
        </is>
      </c>
      <c r="C2283" s="124" t="n"/>
      <c r="D2283" s="115" t="n"/>
      <c r="E2283" s="124" t="n"/>
      <c r="F2283" s="124" t="n"/>
      <c r="G2283" s="124" t="n"/>
      <c r="H2283" s="84" t="n"/>
      <c r="I2283" s="7" t="n"/>
      <c r="J2283" s="32" t="inlineStr">
        <is>
          <t>Bio Pack - pack by 25s'</t>
        </is>
      </c>
      <c r="K2283" s="24" t="n"/>
      <c r="L2283" s="36" t="n">
        <v>22</v>
      </c>
      <c r="M2283" s="204" t="n">
        <v>3</v>
      </c>
      <c r="N2283" s="177" t="n">
        <v>1</v>
      </c>
      <c r="O2283" s="13" t="n"/>
      <c r="P2283" s="139" t="inlineStr">
        <is>
          <t>packs</t>
        </is>
      </c>
      <c r="Q2283" s="2" t="n"/>
      <c r="R2283" s="1" t="n"/>
      <c r="S2283" s="229">
        <f>M2283*N2283</f>
        <v/>
      </c>
      <c r="T2283" s="230">
        <f>CONCATENATE(S2283,Q2283,P2283)</f>
        <v/>
      </c>
      <c r="U2283" s="206">
        <f>L2283*M2283</f>
        <v/>
      </c>
      <c r="V2283" s="4" t="n"/>
      <c r="W2283" s="4" t="n"/>
      <c r="X2283" s="4" t="n"/>
    </row>
    <row r="2284" ht="15.75" customHeight="1" thickBot="1">
      <c r="A2284" s="187" t="n">
        <v>446</v>
      </c>
      <c r="B2284" s="214" t="inlineStr">
        <is>
          <t>Wooden Fork</t>
        </is>
      </c>
      <c r="C2284" s="124" t="n"/>
      <c r="D2284" s="115" t="n"/>
      <c r="E2284" s="124" t="n"/>
      <c r="F2284" s="124" t="n"/>
      <c r="G2284" s="124" t="n"/>
      <c r="H2284" s="84" t="n"/>
      <c r="I2284" s="7" t="n"/>
      <c r="J2284" s="32" t="inlineStr">
        <is>
          <t>Carandang Merchandise</t>
        </is>
      </c>
      <c r="K2284" s="24" t="n"/>
      <c r="L2284" s="36" t="n">
        <v>22</v>
      </c>
      <c r="M2284" s="204" t="n">
        <v>6</v>
      </c>
      <c r="N2284" s="177" t="n">
        <v>1</v>
      </c>
      <c r="O2284" s="13" t="n"/>
      <c r="P2284" s="139" t="inlineStr">
        <is>
          <t>packs</t>
        </is>
      </c>
      <c r="Q2284" s="2" t="n"/>
      <c r="R2284" s="1" t="n"/>
      <c r="S2284" s="229">
        <f>M2284*N2284</f>
        <v/>
      </c>
      <c r="T2284" s="230">
        <f>CONCATENATE(S2284,Q2284,P2284)</f>
        <v/>
      </c>
      <c r="U2284" s="206">
        <f>L2284*M2284</f>
        <v/>
      </c>
      <c r="V2284" s="4" t="n"/>
      <c r="W2284" s="4" t="n"/>
      <c r="X2284" s="4" t="n"/>
    </row>
    <row r="2285" ht="15.75" customHeight="1" thickBot="1">
      <c r="A2285" s="187" t="n">
        <v>446</v>
      </c>
      <c r="B2285" s="215" t="inlineStr">
        <is>
          <t>Wooden Fork</t>
        </is>
      </c>
      <c r="C2285" s="124" t="n"/>
      <c r="D2285" s="115" t="n"/>
      <c r="E2285" s="124" t="n"/>
      <c r="F2285" s="124" t="n"/>
      <c r="G2285" s="124" t="n"/>
      <c r="H2285" s="84" t="n"/>
      <c r="I2285" s="7" t="n"/>
      <c r="J2285" s="32" t="n"/>
      <c r="K2285" s="24" t="n"/>
      <c r="L2285" s="36" t="n">
        <v>1</v>
      </c>
      <c r="M2285" s="204" t="n">
        <v>100</v>
      </c>
      <c r="N2285" s="177" t="n">
        <v>1</v>
      </c>
      <c r="O2285" s="13" t="n"/>
      <c r="P2285" s="139" t="inlineStr">
        <is>
          <t>packs</t>
        </is>
      </c>
      <c r="Q2285" s="2" t="n"/>
      <c r="R2285" s="1" t="n"/>
      <c r="S2285" s="229">
        <f>M2285*N2285</f>
        <v/>
      </c>
      <c r="T2285" s="230">
        <f>CONCATENATE(S2285,Q2285,P2285)</f>
        <v/>
      </c>
      <c r="U2285" s="206">
        <f>L2285*M2285</f>
        <v/>
      </c>
      <c r="V2285" s="4" t="n"/>
      <c r="W2285" s="4" t="n"/>
      <c r="X2285" s="4" t="n"/>
    </row>
    <row r="2286" ht="15.75" customHeight="1" thickBot="1">
      <c r="A2286" s="187" t="n">
        <v>446</v>
      </c>
      <c r="B2286" s="215" t="inlineStr">
        <is>
          <t>Wooden Fork</t>
        </is>
      </c>
      <c r="C2286" s="124" t="n"/>
      <c r="D2286" s="115" t="n"/>
      <c r="E2286" s="124" t="n"/>
      <c r="F2286" s="124" t="n"/>
      <c r="G2286" s="124" t="n"/>
      <c r="H2286" s="84" t="n"/>
      <c r="I2286" s="7" t="n"/>
      <c r="J2286" s="32" t="n"/>
      <c r="K2286" s="24" t="n"/>
      <c r="L2286" s="36" t="n">
        <v>2.08</v>
      </c>
      <c r="M2286" s="204" t="n">
        <v>2577</v>
      </c>
      <c r="N2286" s="177" t="n">
        <v>1</v>
      </c>
      <c r="O2286" s="13" t="n"/>
      <c r="P2286" s="139" t="inlineStr">
        <is>
          <t>pieces</t>
        </is>
      </c>
      <c r="Q2286" s="2" t="n"/>
      <c r="R2286" s="1" t="n"/>
      <c r="S2286" s="229">
        <f>M2286*N2286</f>
        <v/>
      </c>
      <c r="T2286" s="230">
        <f>CONCATENATE(S2286,Q2286,P2286)</f>
        <v/>
      </c>
      <c r="U2286" s="206">
        <f>L2286*M2286</f>
        <v/>
      </c>
      <c r="V2286" s="4" t="n"/>
      <c r="W2286" s="4" t="n"/>
      <c r="X2286" s="4" t="n"/>
    </row>
    <row r="2287" ht="15.75" customHeight="1" thickBot="1">
      <c r="A2287" s="187" t="n">
        <v>900</v>
      </c>
      <c r="B2287" s="214" t="inlineStr">
        <is>
          <t>Wooden Fruitfork</t>
        </is>
      </c>
      <c r="C2287" s="124" t="n"/>
      <c r="D2287" s="115" t="n"/>
      <c r="E2287" s="124" t="n"/>
      <c r="F2287" s="124" t="n"/>
      <c r="G2287" s="124" t="n"/>
      <c r="H2287" s="84" t="n"/>
      <c r="I2287" s="7" t="n"/>
      <c r="J2287" s="32" t="n"/>
      <c r="K2287" s="24" t="n"/>
      <c r="L2287" s="36" t="n">
        <v>50</v>
      </c>
      <c r="M2287" s="204" t="n">
        <v>2</v>
      </c>
      <c r="N2287" s="177" t="n">
        <v>100</v>
      </c>
      <c r="O2287" s="13" t="n"/>
      <c r="P2287" s="139" t="inlineStr">
        <is>
          <t>pieces</t>
        </is>
      </c>
      <c r="Q2287" s="2" t="n"/>
      <c r="R2287" s="1" t="n"/>
      <c r="S2287" s="229">
        <f>M2287*N2287</f>
        <v/>
      </c>
      <c r="T2287" s="230">
        <f>CONCATENATE(S2287,Q2287,P2287)</f>
        <v/>
      </c>
      <c r="U2287" s="206">
        <f>L2287*M2287</f>
        <v/>
      </c>
      <c r="V2287" s="4" t="n"/>
      <c r="W2287" s="4" t="n"/>
      <c r="X2287" s="4" t="n"/>
    </row>
    <row r="2288" ht="15.75" customHeight="1" thickBot="1">
      <c r="A2288" s="187" t="n">
        <v>901</v>
      </c>
      <c r="B2288" s="214" t="inlineStr">
        <is>
          <t>Wooden Knife</t>
        </is>
      </c>
      <c r="C2288" s="124" t="n"/>
      <c r="D2288" s="115" t="n"/>
      <c r="E2288" s="124" t="n"/>
      <c r="F2288" s="124" t="n"/>
      <c r="G2288" s="124" t="n"/>
      <c r="H2288" s="84" t="n"/>
      <c r="I2288" s="7" t="n"/>
      <c r="J2288" s="32" t="n"/>
      <c r="K2288" s="24" t="n"/>
      <c r="L2288" s="36" t="n">
        <v>27</v>
      </c>
      <c r="M2288" s="204" t="n">
        <v>1</v>
      </c>
      <c r="N2288" s="177" t="n">
        <v>25</v>
      </c>
      <c r="O2288" s="13" t="n"/>
      <c r="P2288" s="139" t="inlineStr">
        <is>
          <t>pieces</t>
        </is>
      </c>
      <c r="Q2288" s="2" t="n"/>
      <c r="R2288" s="1" t="n"/>
      <c r="S2288" s="229">
        <f>M2288*N2288</f>
        <v/>
      </c>
      <c r="T2288" s="230">
        <f>CONCATENATE(S2288,Q2288,P2288)</f>
        <v/>
      </c>
      <c r="U2288" s="206">
        <f>L2288*M2288</f>
        <v/>
      </c>
      <c r="V2288" s="4" t="n"/>
      <c r="W2288" s="4" t="n"/>
      <c r="X2288" s="4" t="n"/>
    </row>
    <row r="2289" ht="15.75" customHeight="1" thickBot="1">
      <c r="A2289" s="187" t="n">
        <v>447</v>
      </c>
      <c r="B2289" s="214" t="inlineStr">
        <is>
          <t>Wooden Spoon</t>
        </is>
      </c>
      <c r="C2289" s="124" t="n"/>
      <c r="D2289" s="115" t="n"/>
      <c r="E2289" s="124" t="n"/>
      <c r="F2289" s="124" t="n"/>
      <c r="G2289" s="124" t="n"/>
      <c r="H2289" s="84" t="n"/>
      <c r="I2289" s="7" t="n"/>
      <c r="J2289" s="32" t="inlineStr">
        <is>
          <t>Versa</t>
        </is>
      </c>
      <c r="K2289" s="24" t="n"/>
      <c r="L2289" s="36" t="n">
        <v>30</v>
      </c>
      <c r="M2289" s="204" t="n">
        <v>3</v>
      </c>
      <c r="N2289" s="177" t="n">
        <v>1</v>
      </c>
      <c r="O2289" s="13" t="n"/>
      <c r="P2289" s="139" t="inlineStr">
        <is>
          <t>packs</t>
        </is>
      </c>
      <c r="Q2289" s="2" t="n"/>
      <c r="R2289" s="1" t="n"/>
      <c r="S2289" s="229">
        <f>M2289*N2289</f>
        <v/>
      </c>
      <c r="T2289" s="230">
        <f>CONCATENATE(S2289,Q2289,P2289)</f>
        <v/>
      </c>
      <c r="U2289" s="206">
        <f>L2289*M2289</f>
        <v/>
      </c>
      <c r="V2289" s="4" t="n"/>
      <c r="W2289" s="4" t="n"/>
      <c r="X2289" s="4" t="n"/>
    </row>
    <row r="2290" ht="15.75" customHeight="1" thickBot="1">
      <c r="A2290" s="186" t="n">
        <v>447</v>
      </c>
      <c r="B2290" s="214" t="inlineStr">
        <is>
          <t>Wooden Spoon</t>
        </is>
      </c>
      <c r="C2290" s="124" t="n"/>
      <c r="D2290" s="115" t="n"/>
      <c r="E2290" s="124" t="n"/>
      <c r="F2290" s="124" t="n"/>
      <c r="G2290" s="124" t="n"/>
      <c r="H2290" s="84" t="n"/>
      <c r="I2290" s="7" t="n"/>
      <c r="J2290" s="32" t="n"/>
      <c r="K2290" s="24" t="n"/>
      <c r="L2290" s="36" t="n">
        <v>27</v>
      </c>
      <c r="M2290" s="204" t="n">
        <v>5</v>
      </c>
      <c r="N2290" s="177" t="n">
        <v>25</v>
      </c>
      <c r="O2290" s="13" t="n"/>
      <c r="P2290" s="139" t="inlineStr">
        <is>
          <t>pieces</t>
        </is>
      </c>
      <c r="Q2290" s="2" t="n"/>
      <c r="R2290" s="1" t="n"/>
      <c r="S2290" s="229">
        <f>M2290*N2290</f>
        <v/>
      </c>
      <c r="T2290" s="230">
        <f>CONCATENATE(S2290,Q2290,P2290)</f>
        <v/>
      </c>
      <c r="U2290" s="206">
        <f>L2290*M2290</f>
        <v/>
      </c>
      <c r="V2290" s="4" t="n"/>
      <c r="W2290" s="4" t="n"/>
      <c r="X2290" s="4" t="n"/>
    </row>
    <row r="2291" ht="15.75" customHeight="1" thickBot="1">
      <c r="A2291" s="186" t="n">
        <v>447</v>
      </c>
      <c r="B2291" s="214" t="inlineStr">
        <is>
          <t>Wooden Spoon</t>
        </is>
      </c>
      <c r="C2291" s="124" t="n"/>
      <c r="D2291" s="115" t="n"/>
      <c r="E2291" s="124" t="n"/>
      <c r="F2291" s="124" t="n"/>
      <c r="G2291" s="124" t="n"/>
      <c r="H2291" s="84" t="n"/>
      <c r="I2291" s="7" t="n"/>
      <c r="J2291" s="32" t="inlineStr">
        <is>
          <t>Versa - pack by 25s'</t>
        </is>
      </c>
      <c r="K2291" s="24" t="n"/>
      <c r="L2291" s="36" t="n">
        <v>22</v>
      </c>
      <c r="M2291" s="204" t="n">
        <v>3</v>
      </c>
      <c r="N2291" s="177" t="n">
        <v>1</v>
      </c>
      <c r="O2291" s="13" t="n"/>
      <c r="P2291" s="139" t="inlineStr">
        <is>
          <t>packs</t>
        </is>
      </c>
      <c r="Q2291" s="2" t="n"/>
      <c r="R2291" s="1" t="n"/>
      <c r="S2291" s="229">
        <f>M2291*N2291</f>
        <v/>
      </c>
      <c r="T2291" s="230">
        <f>CONCATENATE(S2291,Q2291,P2291)</f>
        <v/>
      </c>
      <c r="U2291" s="206">
        <f>L2291*M2291</f>
        <v/>
      </c>
      <c r="V2291" s="4" t="n"/>
      <c r="W2291" s="4" t="n"/>
      <c r="X2291" s="4" t="n"/>
    </row>
    <row r="2292" ht="15.75" customHeight="1" thickBot="1">
      <c r="A2292" s="186" t="n">
        <v>447</v>
      </c>
      <c r="B2292" s="214" t="inlineStr">
        <is>
          <t>Wooden Spoon</t>
        </is>
      </c>
      <c r="C2292" s="124" t="n"/>
      <c r="D2292" s="115" t="n"/>
      <c r="E2292" s="124" t="n"/>
      <c r="F2292" s="124" t="n"/>
      <c r="G2292" s="124" t="n"/>
      <c r="H2292" s="84" t="n"/>
      <c r="I2292" s="7" t="n"/>
      <c r="J2292" s="32" t="inlineStr">
        <is>
          <t>Versa - pack by 25s'</t>
        </is>
      </c>
      <c r="K2292" s="24" t="n"/>
      <c r="L2292" s="36" t="n">
        <v>22</v>
      </c>
      <c r="M2292" s="204" t="n">
        <v>5</v>
      </c>
      <c r="N2292" s="177" t="n">
        <v>1</v>
      </c>
      <c r="O2292" s="13" t="n"/>
      <c r="P2292" s="139" t="inlineStr">
        <is>
          <t>packs</t>
        </is>
      </c>
      <c r="Q2292" s="2" t="n"/>
      <c r="R2292" s="1" t="n"/>
      <c r="S2292" s="229">
        <f>M2292*N2292</f>
        <v/>
      </c>
      <c r="T2292" s="230">
        <f>CONCATENATE(S2292,Q2292,P2292)</f>
        <v/>
      </c>
      <c r="U2292" s="206">
        <f>L2292*M2292</f>
        <v/>
      </c>
      <c r="V2292" s="4" t="n"/>
      <c r="W2292" s="4" t="n"/>
      <c r="X2292" s="4" t="n"/>
    </row>
    <row r="2293" ht="15.75" customHeight="1" thickBot="1">
      <c r="A2293" s="186" t="n">
        <v>447</v>
      </c>
      <c r="B2293" s="214" t="inlineStr">
        <is>
          <t>Wooden Spoon</t>
        </is>
      </c>
      <c r="C2293" s="124" t="n"/>
      <c r="D2293" s="115" t="n"/>
      <c r="E2293" s="124" t="n"/>
      <c r="F2293" s="124" t="n"/>
      <c r="G2293" s="124" t="n"/>
      <c r="H2293" s="84" t="n"/>
      <c r="I2293" s="7" t="n"/>
      <c r="J2293" s="32" t="inlineStr">
        <is>
          <t>Carandang Merchandise</t>
        </is>
      </c>
      <c r="K2293" s="24" t="n"/>
      <c r="L2293" s="36" t="n">
        <v>22</v>
      </c>
      <c r="M2293" s="204" t="n">
        <v>25</v>
      </c>
      <c r="N2293" s="177" t="n">
        <v>1</v>
      </c>
      <c r="O2293" s="13" t="n"/>
      <c r="P2293" s="139" t="inlineStr">
        <is>
          <t>packs</t>
        </is>
      </c>
      <c r="Q2293" s="2" t="n"/>
      <c r="R2293" s="1" t="n"/>
      <c r="S2293" s="229">
        <f>M2293*N2293</f>
        <v/>
      </c>
      <c r="T2293" s="230">
        <f>CONCATENATE(S2293,Q2293,P2293)</f>
        <v/>
      </c>
      <c r="U2293" s="206">
        <f>L2293*M2293</f>
        <v/>
      </c>
      <c r="V2293" s="4" t="n"/>
      <c r="W2293" s="4" t="n"/>
      <c r="X2293" s="4" t="n"/>
    </row>
    <row r="2294" ht="15.75" customHeight="1" thickBot="1">
      <c r="A2294" s="186" t="n">
        <v>447</v>
      </c>
      <c r="B2294" s="215" t="inlineStr">
        <is>
          <t>Wooden Spoon</t>
        </is>
      </c>
      <c r="C2294" s="124" t="n"/>
      <c r="D2294" s="115" t="n"/>
      <c r="E2294" s="124" t="n"/>
      <c r="F2294" s="124" t="n"/>
      <c r="G2294" s="124" t="n"/>
      <c r="H2294" s="84" t="n"/>
      <c r="I2294" s="7" t="n"/>
      <c r="J2294" s="32" t="n"/>
      <c r="K2294" s="24" t="n"/>
      <c r="L2294" s="36" t="n">
        <v>1</v>
      </c>
      <c r="M2294" s="204" t="n">
        <v>183</v>
      </c>
      <c r="N2294" s="177" t="n">
        <v>1</v>
      </c>
      <c r="O2294" s="13" t="n"/>
      <c r="P2294" s="139" t="inlineStr">
        <is>
          <t>pieces</t>
        </is>
      </c>
      <c r="Q2294" s="2" t="n"/>
      <c r="R2294" s="1" t="n"/>
      <c r="S2294" s="229">
        <f>M2294*N2294</f>
        <v/>
      </c>
      <c r="T2294" s="230">
        <f>CONCATENATE(S2294,Q2294,P2294)</f>
        <v/>
      </c>
      <c r="U2294" s="206">
        <f>L2294*M2294</f>
        <v/>
      </c>
      <c r="V2294" s="4" t="n"/>
      <c r="W2294" s="4" t="n"/>
      <c r="X2294" s="4" t="n"/>
    </row>
    <row r="2295" ht="15.75" customHeight="1" thickBot="1">
      <c r="A2295" s="186" t="n">
        <v>447</v>
      </c>
      <c r="B2295" s="215" t="inlineStr">
        <is>
          <t>Wooden Spoon</t>
        </is>
      </c>
      <c r="C2295" s="124" t="n"/>
      <c r="D2295" s="115" t="n"/>
      <c r="E2295" s="124" t="n"/>
      <c r="F2295" s="124" t="n"/>
      <c r="G2295" s="124" t="n"/>
      <c r="H2295" s="84" t="n"/>
      <c r="I2295" s="7" t="n"/>
      <c r="J2295" s="32" t="n"/>
      <c r="K2295" s="24" t="n"/>
      <c r="L2295" s="36" t="n">
        <v>2.08</v>
      </c>
      <c r="M2295" s="204" t="n">
        <v>2536</v>
      </c>
      <c r="N2295" s="177" t="n">
        <v>1</v>
      </c>
      <c r="O2295" s="13" t="n"/>
      <c r="P2295" s="139" t="inlineStr">
        <is>
          <t>pieces</t>
        </is>
      </c>
      <c r="Q2295" s="2" t="n"/>
      <c r="R2295" s="1" t="n"/>
      <c r="S2295" s="229">
        <f>M2295*N2295</f>
        <v/>
      </c>
      <c r="T2295" s="230">
        <f>CONCATENATE(S2295,Q2295,P2295)</f>
        <v/>
      </c>
      <c r="U2295" s="206">
        <f>L2295*M2295</f>
        <v/>
      </c>
      <c r="V2295" s="4" t="n"/>
      <c r="W2295" s="4" t="n"/>
      <c r="X2295" s="4" t="n"/>
    </row>
    <row r="2296" ht="15.75" customHeight="1" thickBot="1">
      <c r="A2296" s="186" t="n">
        <v>447</v>
      </c>
      <c r="B2296" s="215" t="inlineStr">
        <is>
          <t>Wooden Spoon</t>
        </is>
      </c>
      <c r="C2296" s="124" t="n"/>
      <c r="D2296" s="115" t="n"/>
      <c r="E2296" s="124" t="n"/>
      <c r="F2296" s="124" t="n"/>
      <c r="G2296" s="124" t="n"/>
      <c r="H2296" s="84" t="n"/>
      <c r="I2296" s="7" t="n"/>
      <c r="J2296" s="32" t="n"/>
      <c r="K2296" s="24" t="n"/>
      <c r="L2296" s="36" t="n">
        <v>1</v>
      </c>
      <c r="M2296" s="204" t="n">
        <v>14</v>
      </c>
      <c r="N2296" s="177" t="n">
        <v>1</v>
      </c>
      <c r="O2296" s="13" t="n"/>
      <c r="P2296" s="139" t="inlineStr">
        <is>
          <t>packs</t>
        </is>
      </c>
      <c r="Q2296" s="2" t="n"/>
      <c r="R2296" s="1" t="n"/>
      <c r="S2296" s="229">
        <f>M2296*N2296</f>
        <v/>
      </c>
      <c r="T2296" s="230">
        <f>CONCATENATE(S2296,Q2296,P2296)</f>
        <v/>
      </c>
      <c r="U2296" s="206">
        <f>L2296*M2296</f>
        <v/>
      </c>
      <c r="V2296" s="4" t="n"/>
      <c r="W2296" s="4" t="n"/>
      <c r="X2296" s="4" t="n"/>
    </row>
    <row r="2297" ht="15.75" customHeight="1" thickBot="1">
      <c r="A2297" s="186" t="n">
        <v>902</v>
      </c>
      <c r="B2297" s="215" t="inlineStr">
        <is>
          <t>Wooden Stirrer</t>
        </is>
      </c>
      <c r="C2297" s="124" t="n"/>
      <c r="D2297" s="115" t="n"/>
      <c r="E2297" s="124" t="n"/>
      <c r="F2297" s="124" t="n"/>
      <c r="G2297" s="124" t="n"/>
      <c r="H2297" s="84" t="n"/>
      <c r="I2297" s="7" t="n"/>
      <c r="J2297" s="32" t="inlineStr">
        <is>
          <t>Mr Bamboo - pack by 100's</t>
        </is>
      </c>
      <c r="K2297" s="24" t="n"/>
      <c r="L2297" s="36" t="n">
        <v>25</v>
      </c>
      <c r="M2297" s="204" t="n">
        <v>4</v>
      </c>
      <c r="N2297" s="177" t="n">
        <v>1</v>
      </c>
      <c r="O2297" s="13" t="n"/>
      <c r="P2297" s="139" t="inlineStr">
        <is>
          <t>packs</t>
        </is>
      </c>
      <c r="Q2297" s="2" t="n"/>
      <c r="R2297" s="1" t="n"/>
      <c r="S2297" s="229">
        <f>M2297*N2297</f>
        <v/>
      </c>
      <c r="T2297" s="230">
        <f>CONCATENATE(S2297,Q2297,P2297)</f>
        <v/>
      </c>
      <c r="U2297" s="206">
        <f>L2297*M2297</f>
        <v/>
      </c>
      <c r="V2297" s="4" t="n"/>
      <c r="W2297" s="4" t="n"/>
      <c r="X2297" s="4" t="n"/>
    </row>
    <row r="2298" ht="15.75" customHeight="1" thickBot="1">
      <c r="A2298" s="186" t="n">
        <v>903</v>
      </c>
      <c r="B2298" s="214" t="inlineStr">
        <is>
          <t>Worcestershire Sauce</t>
        </is>
      </c>
      <c r="C2298" s="124" t="n"/>
      <c r="D2298" s="115" t="n"/>
      <c r="E2298" s="124" t="n"/>
      <c r="F2298" s="124" t="n"/>
      <c r="G2298" s="124" t="n"/>
      <c r="H2298" s="84" t="n"/>
      <c r="I2298" s="7" t="n"/>
      <c r="J2298" s="32" t="inlineStr">
        <is>
          <t>Lea &amp; Perrins</t>
        </is>
      </c>
      <c r="K2298" s="24" t="n"/>
      <c r="L2298" s="36" t="n">
        <v>98</v>
      </c>
      <c r="M2298" s="204" t="n">
        <v>1</v>
      </c>
      <c r="N2298" s="177" t="n">
        <v>150</v>
      </c>
      <c r="O2298" s="13" t="n"/>
      <c r="P2298" s="139" t="inlineStr">
        <is>
          <t>grams</t>
        </is>
      </c>
      <c r="Q2298" s="2" t="n"/>
      <c r="R2298" s="1" t="n"/>
      <c r="S2298" s="229">
        <f>M2298*N2298</f>
        <v/>
      </c>
      <c r="T2298" s="230">
        <f>CONCATENATE(S2298,Q2298,P2298)</f>
        <v/>
      </c>
      <c r="U2298" s="206">
        <f>L2298*M2298</f>
        <v/>
      </c>
      <c r="V2298" s="4" t="n"/>
      <c r="W2298" s="4" t="n"/>
      <c r="X2298" s="4" t="n"/>
    </row>
    <row r="2299" ht="15.75" customHeight="1" thickBot="1">
      <c r="A2299" s="186" t="n">
        <v>903</v>
      </c>
      <c r="B2299" s="214" t="inlineStr">
        <is>
          <t>Worcestershire Sauce</t>
        </is>
      </c>
      <c r="C2299" s="124" t="n"/>
      <c r="D2299" s="115" t="n"/>
      <c r="E2299" s="124" t="n"/>
      <c r="F2299" s="124" t="n"/>
      <c r="G2299" s="124" t="n"/>
      <c r="H2299" s="84" t="n"/>
      <c r="I2299" s="7" t="n"/>
      <c r="J2299" s="32" t="inlineStr">
        <is>
          <t>Lea &amp; Perrins</t>
        </is>
      </c>
      <c r="K2299" s="24" t="n"/>
      <c r="L2299" s="36" t="n">
        <v>239.5</v>
      </c>
      <c r="M2299" s="204" t="n">
        <v>1</v>
      </c>
      <c r="N2299" s="177" t="n">
        <v>290</v>
      </c>
      <c r="O2299" s="13" t="n"/>
      <c r="P2299" s="139" t="inlineStr">
        <is>
          <t>grams</t>
        </is>
      </c>
      <c r="Q2299" s="2" t="n"/>
      <c r="R2299" s="1" t="n"/>
      <c r="S2299" s="229">
        <f>M2299*N2299</f>
        <v/>
      </c>
      <c r="T2299" s="230">
        <f>CONCATENATE(S2299,Q2299,P2299)</f>
        <v/>
      </c>
      <c r="U2299" s="206">
        <f>L2299*M2299</f>
        <v/>
      </c>
      <c r="V2299" s="4" t="n"/>
      <c r="W2299" s="4" t="n"/>
      <c r="X2299" s="4" t="n"/>
    </row>
    <row r="2300" ht="15.75" customHeight="1" thickBot="1">
      <c r="A2300" s="186" t="n">
        <v>448</v>
      </c>
      <c r="B2300" s="214" t="inlineStr">
        <is>
          <t>Worcestireshire Sauce</t>
        </is>
      </c>
      <c r="C2300" s="124" t="n"/>
      <c r="D2300" s="115" t="n"/>
      <c r="E2300" s="124" t="n"/>
      <c r="F2300" s="124" t="n"/>
      <c r="G2300" s="124" t="n"/>
      <c r="H2300" s="84" t="n"/>
      <c r="I2300" s="7" t="n"/>
      <c r="J2300" s="32" t="inlineStr">
        <is>
          <t>Lea &amp; Perrins</t>
        </is>
      </c>
      <c r="K2300" s="24" t="n"/>
      <c r="L2300" s="36" t="n">
        <v>76</v>
      </c>
      <c r="M2300" s="204" t="n">
        <v>1</v>
      </c>
      <c r="N2300" s="177" t="n">
        <v>340</v>
      </c>
      <c r="O2300" s="13" t="n"/>
      <c r="P2300" s="139" t="inlineStr">
        <is>
          <t>grams</t>
        </is>
      </c>
      <c r="Q2300" s="2" t="n"/>
      <c r="R2300" s="1" t="n"/>
      <c r="S2300" s="229">
        <f>M2300*N2300</f>
        <v/>
      </c>
      <c r="T2300" s="230">
        <f>CONCATENATE(S2300,Q2300,P2300)</f>
        <v/>
      </c>
      <c r="U2300" s="206">
        <f>L2300*M2300</f>
        <v/>
      </c>
      <c r="V2300" s="4" t="n"/>
      <c r="W2300" s="4" t="n"/>
      <c r="X2300" s="4" t="n"/>
    </row>
    <row r="2301" ht="15.75" customHeight="1" thickBot="1">
      <c r="A2301" s="186" t="n">
        <v>904</v>
      </c>
      <c r="B2301" s="215" t="inlineStr">
        <is>
          <t>Yellow Watermelon</t>
        </is>
      </c>
      <c r="C2301" s="124" t="n"/>
      <c r="D2301" s="115" t="n"/>
      <c r="E2301" s="124" t="n"/>
      <c r="F2301" s="124" t="n"/>
      <c r="G2301" s="124" t="n"/>
      <c r="H2301" s="84" t="n"/>
      <c r="I2301" s="7" t="n"/>
      <c r="J2301" s="32" t="n"/>
      <c r="K2301" s="24" t="n"/>
      <c r="L2301" s="36" t="n">
        <v>120</v>
      </c>
      <c r="M2301" s="204" t="n">
        <v>1</v>
      </c>
      <c r="N2301" s="177" t="n">
        <v>1</v>
      </c>
      <c r="O2301" s="13" t="n"/>
      <c r="P2301" s="139" t="inlineStr">
        <is>
          <t>pieces</t>
        </is>
      </c>
      <c r="Q2301" s="2" t="n"/>
      <c r="R2301" s="1" t="n"/>
      <c r="S2301" s="229">
        <f>M2301*N2301</f>
        <v/>
      </c>
      <c r="T2301" s="230">
        <f>CONCATENATE(S2301,Q2301,P2301)</f>
        <v/>
      </c>
      <c r="U2301" s="206">
        <f>L2301*M2301</f>
        <v/>
      </c>
      <c r="V2301" s="4" t="n"/>
      <c r="W2301" s="4" t="n"/>
      <c r="X2301" s="4" t="n"/>
    </row>
    <row r="2302" ht="15.75" customHeight="1" thickBot="1">
      <c r="A2302" s="187" t="n">
        <v>905</v>
      </c>
      <c r="B2302" s="214" t="inlineStr">
        <is>
          <t>Yema</t>
        </is>
      </c>
      <c r="C2302" s="124" t="n"/>
      <c r="D2302" s="115" t="n"/>
      <c r="E2302" s="124" t="n"/>
      <c r="F2302" s="124" t="n"/>
      <c r="G2302" s="124" t="n"/>
      <c r="H2302" s="84" t="n"/>
      <c r="I2302" s="7" t="n"/>
      <c r="J2302" s="32" t="inlineStr">
        <is>
          <t>Ysanne Ktara Native Kakanin</t>
        </is>
      </c>
      <c r="K2302" s="24" t="n"/>
      <c r="L2302" s="36" t="n">
        <v>5</v>
      </c>
      <c r="M2302" s="204" t="n">
        <v>21</v>
      </c>
      <c r="N2302" s="177" t="n">
        <v>1</v>
      </c>
      <c r="O2302" s="13" t="n"/>
      <c r="P2302" s="139" t="inlineStr">
        <is>
          <t>pieces</t>
        </is>
      </c>
      <c r="Q2302" s="2" t="n"/>
      <c r="R2302" s="1" t="n"/>
      <c r="S2302" s="229">
        <f>M2302*N2302</f>
        <v/>
      </c>
      <c r="T2302" s="230">
        <f>CONCATENATE(S2302,Q2302,P2302)</f>
        <v/>
      </c>
      <c r="U2302" s="206">
        <f>L2302*M2302</f>
        <v/>
      </c>
      <c r="V2302" s="4" t="n"/>
      <c r="W2302" s="4" t="n"/>
      <c r="X2302" s="4" t="n"/>
    </row>
    <row r="2303" ht="15.75" customHeight="1" thickBot="1">
      <c r="A2303" s="186" t="str"/>
      <c r="B2303" s="124" t="n"/>
      <c r="C2303" s="124" t="n"/>
      <c r="D2303" s="115" t="n"/>
      <c r="E2303" s="124" t="n"/>
      <c r="F2303" s="124" t="n"/>
      <c r="G2303" s="124" t="n"/>
      <c r="H2303" s="84" t="n"/>
      <c r="I2303" s="7" t="n"/>
      <c r="J2303" s="32" t="n"/>
      <c r="K2303" s="24" t="n"/>
      <c r="L2303" s="36" t="n"/>
      <c r="M2303" s="204" t="n"/>
      <c r="N2303" s="177" t="n"/>
      <c r="O2303" s="13" t="n"/>
      <c r="P2303" s="139" t="n"/>
      <c r="Q2303" s="2" t="n"/>
      <c r="R2303" s="1" t="n"/>
      <c r="S2303" s="229">
        <f>M2303*N2303</f>
        <v/>
      </c>
      <c r="T2303" s="230">
        <f>CONCATENATE(S2303,Q2303,P2303)</f>
        <v/>
      </c>
      <c r="U2303" s="206">
        <f>L2303*M2303</f>
        <v/>
      </c>
      <c r="V2303" s="4" t="n"/>
      <c r="W2303" s="4" t="n"/>
      <c r="X2303" s="4" t="n"/>
    </row>
    <row r="2304" ht="15.75" customHeight="1" thickBot="1">
      <c r="A2304" s="186" t="str"/>
      <c r="B2304" s="124" t="n"/>
      <c r="C2304" s="124" t="n"/>
      <c r="D2304" s="115" t="n"/>
      <c r="E2304" s="124" t="n"/>
      <c r="F2304" s="124" t="n"/>
      <c r="G2304" s="124" t="n"/>
      <c r="H2304" s="84" t="n"/>
      <c r="I2304" s="7" t="n"/>
      <c r="J2304" s="32" t="n"/>
      <c r="K2304" s="24" t="n"/>
      <c r="L2304" s="36" t="n"/>
      <c r="M2304" s="204" t="n"/>
      <c r="N2304" s="177" t="n"/>
      <c r="O2304" s="13" t="n"/>
      <c r="P2304" s="139" t="n"/>
      <c r="Q2304" s="2" t="n"/>
      <c r="R2304" s="1" t="n"/>
      <c r="S2304" s="229">
        <f>M2304*N2304</f>
        <v/>
      </c>
      <c r="T2304" s="230">
        <f>CONCATENATE(S2304,Q2304,P2304)</f>
        <v/>
      </c>
      <c r="U2304" s="206">
        <f>L2304*M2304</f>
        <v/>
      </c>
      <c r="V2304" s="4" t="n"/>
      <c r="W2304" s="4" t="n"/>
      <c r="X2304" s="4" t="n"/>
    </row>
    <row r="2305" ht="15.75" customHeight="1" thickBot="1">
      <c r="A2305" s="186" t="str"/>
      <c r="B2305" s="124" t="n"/>
      <c r="C2305" s="124" t="n"/>
      <c r="D2305" s="115" t="n"/>
      <c r="E2305" s="124" t="n"/>
      <c r="F2305" s="124" t="n"/>
      <c r="G2305" s="124" t="n"/>
      <c r="H2305" s="84" t="n"/>
      <c r="I2305" s="7" t="n"/>
      <c r="J2305" s="32" t="n"/>
      <c r="K2305" s="24" t="n"/>
      <c r="L2305" s="36" t="n"/>
      <c r="M2305" s="204" t="n"/>
      <c r="N2305" s="177" t="n"/>
      <c r="O2305" s="13" t="n"/>
      <c r="P2305" s="139" t="n"/>
      <c r="Q2305" s="2" t="n"/>
      <c r="R2305" s="1" t="n"/>
      <c r="S2305" s="229">
        <f>M2305*N2305</f>
        <v/>
      </c>
      <c r="T2305" s="230">
        <f>CONCATENATE(S2305,Q2305,P2305)</f>
        <v/>
      </c>
      <c r="U2305" s="206">
        <f>L2305*M2305</f>
        <v/>
      </c>
      <c r="V2305" s="4" t="n"/>
      <c r="W2305" s="4" t="n"/>
      <c r="X2305" s="4" t="n"/>
    </row>
    <row r="2306" ht="15.75" customHeight="1" thickBot="1">
      <c r="A2306" s="187" t="str"/>
      <c r="B2306" s="124" t="n"/>
      <c r="C2306" s="124" t="n"/>
      <c r="D2306" s="115" t="n"/>
      <c r="E2306" s="124" t="n"/>
      <c r="F2306" s="124" t="n"/>
      <c r="G2306" s="124" t="n"/>
      <c r="H2306" s="84" t="n"/>
      <c r="I2306" s="7" t="n"/>
      <c r="J2306" s="32" t="n"/>
      <c r="K2306" s="24" t="n"/>
      <c r="L2306" s="36" t="n"/>
      <c r="M2306" s="204" t="n"/>
      <c r="N2306" s="177" t="n"/>
      <c r="O2306" s="13" t="n"/>
      <c r="P2306" s="139" t="n"/>
      <c r="Q2306" s="2" t="n"/>
      <c r="R2306" s="1" t="n"/>
      <c r="S2306" s="229">
        <f>M2306*N2306</f>
        <v/>
      </c>
      <c r="T2306" s="230">
        <f>CONCATENATE(S2306,Q2306,P2306)</f>
        <v/>
      </c>
      <c r="U2306" s="206">
        <f>L2306*M2306</f>
        <v/>
      </c>
      <c r="V2306" s="4" t="n"/>
      <c r="W2306" s="4" t="n"/>
      <c r="X2306" s="4" t="n"/>
    </row>
    <row r="2307" ht="15.75" customHeight="1" thickBot="1">
      <c r="A2307" s="187" t="str"/>
      <c r="B2307" s="124" t="n"/>
      <c r="C2307" s="124" t="n"/>
      <c r="D2307" s="115" t="n"/>
      <c r="E2307" s="124" t="n"/>
      <c r="F2307" s="124" t="n"/>
      <c r="G2307" s="124" t="n"/>
      <c r="H2307" s="84" t="n"/>
      <c r="I2307" s="7" t="n"/>
      <c r="J2307" s="32" t="n"/>
      <c r="K2307" s="24" t="n"/>
      <c r="L2307" s="36" t="n"/>
      <c r="M2307" s="204" t="n"/>
      <c r="N2307" s="177" t="n"/>
      <c r="O2307" s="13" t="n"/>
      <c r="P2307" s="139" t="n"/>
      <c r="Q2307" s="2" t="n"/>
      <c r="R2307" s="1" t="n"/>
      <c r="S2307" s="229">
        <f>M2307*N2307</f>
        <v/>
      </c>
      <c r="T2307" s="230">
        <f>CONCATENATE(S2307,Q2307,P2307)</f>
        <v/>
      </c>
      <c r="U2307" s="206">
        <f>L2307*M2307</f>
        <v/>
      </c>
      <c r="V2307" s="4" t="n"/>
      <c r="W2307" s="4" t="n"/>
      <c r="X2307" s="4" t="n"/>
    </row>
    <row r="2308" ht="15.75" customHeight="1" thickBot="1">
      <c r="A2308" s="187" t="str"/>
      <c r="B2308" s="124" t="n"/>
      <c r="C2308" s="124" t="n"/>
      <c r="D2308" s="115" t="n"/>
      <c r="E2308" s="124" t="n"/>
      <c r="F2308" s="124" t="n"/>
      <c r="G2308" s="124" t="n"/>
      <c r="H2308" s="84" t="n"/>
      <c r="I2308" s="7" t="n"/>
      <c r="J2308" s="32" t="n"/>
      <c r="K2308" s="24" t="n"/>
      <c r="L2308" s="36" t="n"/>
      <c r="M2308" s="204" t="n"/>
      <c r="N2308" s="177" t="n"/>
      <c r="O2308" s="13" t="n"/>
      <c r="P2308" s="139" t="n"/>
      <c r="Q2308" s="2" t="n"/>
      <c r="R2308" s="1" t="n"/>
      <c r="S2308" s="229">
        <f>M2308*N2308</f>
        <v/>
      </c>
      <c r="T2308" s="230">
        <f>CONCATENATE(S2308,Q2308,P2308)</f>
        <v/>
      </c>
      <c r="U2308" s="206">
        <f>L2308*M2308</f>
        <v/>
      </c>
      <c r="V2308" s="4" t="n"/>
      <c r="W2308" s="4" t="n"/>
      <c r="X2308" s="4" t="n"/>
    </row>
    <row r="2309" ht="15.75" customHeight="1" thickBot="1">
      <c r="A2309" s="186" t="str"/>
      <c r="B2309" s="124" t="n"/>
      <c r="C2309" s="124" t="n"/>
      <c r="D2309" s="115" t="n"/>
      <c r="E2309" s="124" t="n"/>
      <c r="F2309" s="124" t="n"/>
      <c r="G2309" s="124" t="n"/>
      <c r="H2309" s="84" t="n"/>
      <c r="I2309" s="7" t="n"/>
      <c r="J2309" s="32" t="n"/>
      <c r="K2309" s="24" t="n"/>
      <c r="L2309" s="36" t="n"/>
      <c r="M2309" s="204" t="n"/>
      <c r="N2309" s="177" t="n"/>
      <c r="O2309" s="13" t="n"/>
      <c r="P2309" s="139" t="n"/>
      <c r="Q2309" s="2" t="n"/>
      <c r="R2309" s="1" t="n"/>
      <c r="S2309" s="229">
        <f>M2309*N2309</f>
        <v/>
      </c>
      <c r="T2309" s="230">
        <f>CONCATENATE(S2309,Q2309,P2309)</f>
        <v/>
      </c>
      <c r="U2309" s="206">
        <f>L2309*M2309</f>
        <v/>
      </c>
      <c r="V2309" s="4" t="n"/>
      <c r="W2309" s="4" t="n"/>
      <c r="X2309" s="4" t="n"/>
    </row>
    <row r="2310" ht="15.75" customHeight="1" thickBot="1">
      <c r="A2310" s="186" t="str"/>
      <c r="B2310" s="124" t="n"/>
      <c r="C2310" s="124" t="n"/>
      <c r="D2310" s="115" t="n"/>
      <c r="E2310" s="124" t="n"/>
      <c r="F2310" s="124" t="n"/>
      <c r="G2310" s="124" t="n"/>
      <c r="H2310" s="84" t="n"/>
      <c r="I2310" s="7" t="n"/>
      <c r="J2310" s="32" t="n"/>
      <c r="K2310" s="24" t="n"/>
      <c r="L2310" s="36" t="n"/>
      <c r="M2310" s="204" t="n"/>
      <c r="N2310" s="177" t="n"/>
      <c r="O2310" s="13" t="n"/>
      <c r="P2310" s="139" t="n"/>
      <c r="Q2310" s="2" t="n"/>
      <c r="R2310" s="1" t="n"/>
      <c r="S2310" s="229">
        <f>M2310*N2310</f>
        <v/>
      </c>
      <c r="T2310" s="230">
        <f>CONCATENATE(S2310,Q2310,P2310)</f>
        <v/>
      </c>
      <c r="U2310" s="206">
        <f>L2310*M2310</f>
        <v/>
      </c>
      <c r="V2310" s="4" t="n"/>
      <c r="W2310" s="4" t="n"/>
      <c r="X2310" s="4" t="n"/>
    </row>
    <row r="2311" ht="15.75" customHeight="1" thickBot="1">
      <c r="A2311" s="186" t="str"/>
      <c r="B2311" s="124" t="n"/>
      <c r="C2311" s="124" t="n"/>
      <c r="D2311" s="115" t="n"/>
      <c r="E2311" s="124" t="n"/>
      <c r="F2311" s="124" t="n"/>
      <c r="G2311" s="124" t="n"/>
      <c r="H2311" s="84" t="n"/>
      <c r="I2311" s="7" t="n"/>
      <c r="J2311" s="32" t="n"/>
      <c r="K2311" s="24" t="n"/>
      <c r="L2311" s="36" t="n"/>
      <c r="M2311" s="204" t="n"/>
      <c r="N2311" s="177" t="n"/>
      <c r="O2311" s="13" t="n"/>
      <c r="P2311" s="139" t="n"/>
      <c r="Q2311" s="2" t="n"/>
      <c r="R2311" s="1" t="n"/>
      <c r="S2311" s="229">
        <f>M2311*N2311</f>
        <v/>
      </c>
      <c r="T2311" s="230">
        <f>CONCATENATE(S2311,Q2311,P2311)</f>
        <v/>
      </c>
      <c r="U2311" s="206">
        <f>L2311*M2311</f>
        <v/>
      </c>
      <c r="V2311" s="4" t="n"/>
      <c r="W2311" s="4" t="n"/>
      <c r="X2311" s="4" t="n"/>
    </row>
    <row r="2312" ht="15.75" customHeight="1" thickBot="1">
      <c r="A2312" s="186" t="str"/>
      <c r="B2312" s="124" t="n"/>
      <c r="C2312" s="124" t="n"/>
      <c r="D2312" s="115" t="n"/>
      <c r="E2312" s="124" t="n"/>
      <c r="F2312" s="124" t="n"/>
      <c r="G2312" s="124" t="n"/>
      <c r="H2312" s="84" t="n"/>
      <c r="I2312" s="7" t="n"/>
      <c r="J2312" s="32" t="n"/>
      <c r="K2312" s="24" t="n"/>
      <c r="L2312" s="36" t="n"/>
      <c r="M2312" s="204" t="n"/>
      <c r="N2312" s="177" t="n"/>
      <c r="O2312" s="13" t="n"/>
      <c r="P2312" s="139" t="n"/>
      <c r="Q2312" s="2" t="n"/>
      <c r="R2312" s="1" t="n"/>
      <c r="S2312" s="229">
        <f>M2312*N2312</f>
        <v/>
      </c>
      <c r="T2312" s="230">
        <f>CONCATENATE(S2312,Q2312,P2312)</f>
        <v/>
      </c>
      <c r="U2312" s="206">
        <f>L2312*M2312</f>
        <v/>
      </c>
      <c r="V2312" s="4" t="n"/>
      <c r="W2312" s="4" t="n"/>
      <c r="X2312" s="4" t="n"/>
    </row>
    <row r="2313" ht="15.75" customHeight="1" thickBot="1">
      <c r="A2313" s="186" t="str"/>
      <c r="B2313" s="124" t="n"/>
      <c r="C2313" s="124" t="n"/>
      <c r="D2313" s="115" t="n"/>
      <c r="E2313" s="124" t="n"/>
      <c r="F2313" s="124" t="n"/>
      <c r="G2313" s="124" t="n"/>
      <c r="H2313" s="84" t="n"/>
      <c r="I2313" s="7" t="n"/>
      <c r="J2313" s="32" t="n"/>
      <c r="K2313" s="24" t="n"/>
      <c r="L2313" s="36" t="n"/>
      <c r="M2313" s="204" t="n"/>
      <c r="N2313" s="177" t="n"/>
      <c r="O2313" s="13" t="n"/>
      <c r="P2313" s="139" t="n"/>
      <c r="Q2313" s="2" t="n"/>
      <c r="R2313" s="1" t="n"/>
      <c r="S2313" s="229">
        <f>M2313*N2313</f>
        <v/>
      </c>
      <c r="T2313" s="230">
        <f>CONCATENATE(S2313,Q2313,P2313)</f>
        <v/>
      </c>
      <c r="U2313" s="206">
        <f>L2313*M2313</f>
        <v/>
      </c>
      <c r="V2313" s="4" t="n"/>
      <c r="W2313" s="4" t="n"/>
      <c r="X2313" s="4" t="n"/>
    </row>
    <row r="2314" ht="15.75" customHeight="1" thickBot="1">
      <c r="A2314" s="186" t="str"/>
      <c r="B2314" s="124" t="n"/>
      <c r="C2314" s="124" t="n"/>
      <c r="D2314" s="115" t="n"/>
      <c r="E2314" s="124" t="n"/>
      <c r="F2314" s="124" t="n"/>
      <c r="G2314" s="124" t="n"/>
      <c r="H2314" s="84" t="n"/>
      <c r="I2314" s="7" t="n"/>
      <c r="J2314" s="32" t="n"/>
      <c r="K2314" s="24" t="n"/>
      <c r="L2314" s="36" t="n"/>
      <c r="M2314" s="204" t="n"/>
      <c r="N2314" s="177" t="n"/>
      <c r="O2314" s="13" t="n"/>
      <c r="P2314" s="139" t="n"/>
      <c r="Q2314" s="2" t="n"/>
      <c r="R2314" s="1" t="n"/>
      <c r="S2314" s="229">
        <f>M2314*N2314</f>
        <v/>
      </c>
      <c r="T2314" s="230">
        <f>CONCATENATE(S2314,Q2314,P2314)</f>
        <v/>
      </c>
      <c r="U2314" s="206">
        <f>L2314*M2314</f>
        <v/>
      </c>
      <c r="V2314" s="4" t="n"/>
      <c r="W2314" s="4" t="n"/>
      <c r="X2314" s="4" t="n"/>
    </row>
    <row r="2315" ht="15.75" customHeight="1" thickBot="1">
      <c r="A2315" s="186" t="str"/>
      <c r="B2315" s="124" t="n"/>
      <c r="C2315" s="124" t="n"/>
      <c r="D2315" s="115" t="n"/>
      <c r="E2315" s="124" t="n"/>
      <c r="F2315" s="124" t="n"/>
      <c r="G2315" s="124" t="n"/>
      <c r="H2315" s="84" t="n"/>
      <c r="I2315" s="7" t="n"/>
      <c r="J2315" s="32" t="n"/>
      <c r="K2315" s="24" t="n"/>
      <c r="L2315" s="36" t="n"/>
      <c r="M2315" s="204" t="n"/>
      <c r="N2315" s="177" t="n"/>
      <c r="O2315" s="13" t="n"/>
      <c r="P2315" s="139" t="n"/>
      <c r="Q2315" s="2" t="n"/>
      <c r="R2315" s="1" t="n"/>
      <c r="S2315" s="229">
        <f>M2315*N2315</f>
        <v/>
      </c>
      <c r="T2315" s="230">
        <f>CONCATENATE(S2315,Q2315,P2315)</f>
        <v/>
      </c>
      <c r="U2315" s="206">
        <f>L2315*M2315</f>
        <v/>
      </c>
      <c r="V2315" s="4" t="n"/>
      <c r="W2315" s="4" t="n"/>
      <c r="X2315" s="4" t="n"/>
    </row>
    <row r="2316" ht="15.75" customHeight="1" thickBot="1">
      <c r="A2316" s="187" t="str"/>
      <c r="B2316" s="124" t="n"/>
      <c r="C2316" s="124" t="n"/>
      <c r="D2316" s="115" t="n"/>
      <c r="E2316" s="124" t="n"/>
      <c r="F2316" s="124" t="n"/>
      <c r="G2316" s="124" t="n"/>
      <c r="H2316" s="84" t="n"/>
      <c r="I2316" s="7" t="n"/>
      <c r="J2316" s="32" t="n"/>
      <c r="K2316" s="24" t="n"/>
      <c r="L2316" s="36" t="n"/>
      <c r="M2316" s="204" t="n"/>
      <c r="N2316" s="177" t="n"/>
      <c r="O2316" s="13" t="n"/>
      <c r="P2316" s="139" t="n"/>
      <c r="Q2316" s="2" t="n"/>
      <c r="R2316" s="1" t="n"/>
      <c r="S2316" s="229">
        <f>M2316*N2316</f>
        <v/>
      </c>
      <c r="T2316" s="230">
        <f>CONCATENATE(S2316,Q2316,P2316)</f>
        <v/>
      </c>
      <c r="U2316" s="206">
        <f>L2316*M2316</f>
        <v/>
      </c>
      <c r="V2316" s="4" t="n"/>
      <c r="W2316" s="4" t="n"/>
      <c r="X2316" s="4" t="n"/>
    </row>
    <row r="2317" ht="15.75" customHeight="1" thickBot="1">
      <c r="A2317" s="186" t="str"/>
      <c r="B2317" s="124" t="n"/>
      <c r="C2317" s="124" t="n"/>
      <c r="D2317" s="115" t="n"/>
      <c r="E2317" s="124" t="n"/>
      <c r="F2317" s="124" t="n"/>
      <c r="G2317" s="124" t="n"/>
      <c r="H2317" s="84" t="n"/>
      <c r="I2317" s="7" t="n"/>
      <c r="J2317" s="32" t="n"/>
      <c r="K2317" s="24" t="n"/>
      <c r="L2317" s="36" t="n"/>
      <c r="M2317" s="204" t="n"/>
      <c r="N2317" s="177" t="n"/>
      <c r="O2317" s="13" t="n"/>
      <c r="P2317" s="139" t="n"/>
      <c r="Q2317" s="2" t="n"/>
      <c r="R2317" s="1" t="n"/>
      <c r="S2317" s="229">
        <f>M2317*N2317</f>
        <v/>
      </c>
      <c r="T2317" s="230">
        <f>CONCATENATE(S2317,Q2317,P2317)</f>
        <v/>
      </c>
      <c r="U2317" s="206">
        <f>L2317*M2317</f>
        <v/>
      </c>
      <c r="V2317" s="4" t="n"/>
      <c r="W2317" s="4" t="n"/>
      <c r="X2317" s="4" t="n"/>
    </row>
    <row r="2318" ht="15.75" customHeight="1" thickBot="1">
      <c r="A2318" s="186" t="str"/>
      <c r="B2318" s="124" t="n"/>
      <c r="C2318" s="124" t="n"/>
      <c r="D2318" s="115" t="n"/>
      <c r="E2318" s="124" t="n"/>
      <c r="F2318" s="124" t="n"/>
      <c r="G2318" s="124" t="n"/>
      <c r="H2318" s="84" t="n"/>
      <c r="I2318" s="7" t="n"/>
      <c r="J2318" s="32" t="n"/>
      <c r="K2318" s="24" t="n"/>
      <c r="L2318" s="36" t="n"/>
      <c r="M2318" s="204" t="n"/>
      <c r="N2318" s="177" t="n"/>
      <c r="O2318" s="13" t="n"/>
      <c r="P2318" s="139" t="n"/>
      <c r="Q2318" s="2" t="n"/>
      <c r="R2318" s="1" t="n"/>
      <c r="S2318" s="229">
        <f>M2318*N2318</f>
        <v/>
      </c>
      <c r="T2318" s="230">
        <f>CONCATENATE(S2318,Q2318,P2318)</f>
        <v/>
      </c>
      <c r="U2318" s="206">
        <f>L2318*M2318</f>
        <v/>
      </c>
      <c r="V2318" s="4" t="n"/>
      <c r="W2318" s="4" t="n"/>
      <c r="X2318" s="4" t="n"/>
    </row>
    <row r="2319" ht="15.75" customHeight="1" thickBot="1">
      <c r="A2319" s="186" t="str"/>
      <c r="B2319" s="124" t="n"/>
      <c r="C2319" s="124" t="n"/>
      <c r="D2319" s="115" t="n"/>
      <c r="E2319" s="124" t="n"/>
      <c r="F2319" s="124" t="n"/>
      <c r="G2319" s="124" t="n"/>
      <c r="H2319" s="84" t="n"/>
      <c r="I2319" s="7" t="n"/>
      <c r="J2319" s="32" t="n"/>
      <c r="K2319" s="24" t="n"/>
      <c r="L2319" s="36" t="n"/>
      <c r="M2319" s="204" t="n"/>
      <c r="N2319" s="177" t="n"/>
      <c r="O2319" s="13" t="n"/>
      <c r="P2319" s="139" t="n"/>
      <c r="Q2319" s="2" t="n"/>
      <c r="R2319" s="1" t="n"/>
      <c r="S2319" s="229">
        <f>M2319*N2319</f>
        <v/>
      </c>
      <c r="T2319" s="230">
        <f>CONCATENATE(S2319,Q2319,P2319)</f>
        <v/>
      </c>
      <c r="U2319" s="206">
        <f>L2319*M2319</f>
        <v/>
      </c>
      <c r="V2319" s="4" t="n"/>
      <c r="W2319" s="4" t="n"/>
      <c r="X2319" s="4" t="n"/>
    </row>
    <row r="2320" ht="15.75" customHeight="1" thickBot="1">
      <c r="A2320" s="186" t="str"/>
      <c r="B2320" s="124" t="n"/>
      <c r="C2320" s="124" t="n"/>
      <c r="D2320" s="115" t="n"/>
      <c r="E2320" s="124" t="n"/>
      <c r="F2320" s="124" t="n"/>
      <c r="G2320" s="124" t="n"/>
      <c r="H2320" s="84" t="n"/>
      <c r="I2320" s="7" t="n"/>
      <c r="J2320" s="32" t="n"/>
      <c r="K2320" s="24" t="n"/>
      <c r="L2320" s="36" t="n"/>
      <c r="M2320" s="204" t="n"/>
      <c r="N2320" s="177" t="n"/>
      <c r="O2320" s="13" t="n"/>
      <c r="P2320" s="139" t="n"/>
      <c r="Q2320" s="2" t="n"/>
      <c r="R2320" s="1" t="n"/>
      <c r="S2320" s="229">
        <f>M2320*N2320</f>
        <v/>
      </c>
      <c r="T2320" s="230">
        <f>CONCATENATE(S2320,Q2320,P2320)</f>
        <v/>
      </c>
      <c r="U2320" s="206">
        <f>L2320*M2320</f>
        <v/>
      </c>
      <c r="V2320" s="4" t="n"/>
      <c r="W2320" s="4" t="n"/>
      <c r="X2320" s="4" t="n"/>
    </row>
    <row r="2321" ht="15.75" customHeight="1" thickBot="1">
      <c r="A2321" s="186" t="str"/>
      <c r="B2321" s="124" t="n"/>
      <c r="C2321" s="124" t="n"/>
      <c r="D2321" s="115" t="n"/>
      <c r="E2321" s="124" t="n"/>
      <c r="F2321" s="124" t="n"/>
      <c r="G2321" s="124" t="n"/>
      <c r="H2321" s="84" t="n"/>
      <c r="I2321" s="7" t="n"/>
      <c r="J2321" s="32" t="n"/>
      <c r="K2321" s="24" t="n"/>
      <c r="L2321" s="36" t="n"/>
      <c r="M2321" s="204" t="n"/>
      <c r="N2321" s="177" t="n"/>
      <c r="O2321" s="13" t="n"/>
      <c r="P2321" s="139" t="n"/>
      <c r="Q2321" s="2" t="n"/>
      <c r="R2321" s="1" t="n"/>
      <c r="S2321" s="229">
        <f>M2321*N2321</f>
        <v/>
      </c>
      <c r="T2321" s="230">
        <f>CONCATENATE(S2321,Q2321,P2321)</f>
        <v/>
      </c>
      <c r="U2321" s="206">
        <f>L2321*M2321</f>
        <v/>
      </c>
      <c r="V2321" s="4" t="n"/>
      <c r="W2321" s="4" t="n"/>
      <c r="X2321" s="4" t="n"/>
    </row>
    <row r="2322" ht="15.75" customHeight="1" thickBot="1">
      <c r="A2322" s="187" t="str"/>
      <c r="B2322" s="124" t="n"/>
      <c r="C2322" s="124" t="n"/>
      <c r="D2322" s="115" t="n"/>
      <c r="E2322" s="124" t="n"/>
      <c r="F2322" s="124" t="n"/>
      <c r="G2322" s="124" t="n"/>
      <c r="H2322" s="84" t="n"/>
      <c r="I2322" s="7" t="n"/>
      <c r="J2322" s="32" t="n"/>
      <c r="K2322" s="24" t="n"/>
      <c r="L2322" s="36" t="n"/>
      <c r="M2322" s="204" t="n"/>
      <c r="N2322" s="177" t="n"/>
      <c r="O2322" s="13" t="n"/>
      <c r="P2322" s="139" t="n"/>
      <c r="Q2322" s="2" t="n"/>
      <c r="R2322" s="1" t="n"/>
      <c r="S2322" s="229">
        <f>M2322*N2322</f>
        <v/>
      </c>
      <c r="T2322" s="230">
        <f>CONCATENATE(S2322,Q2322,P2322)</f>
        <v/>
      </c>
      <c r="U2322" s="206">
        <f>L2322*M2322</f>
        <v/>
      </c>
      <c r="V2322" s="4" t="n"/>
      <c r="W2322" s="4" t="n"/>
      <c r="X2322" s="4" t="n"/>
    </row>
    <row r="2323" ht="15.75" customHeight="1" thickBot="1">
      <c r="A2323" s="186" t="str"/>
      <c r="B2323" s="124" t="n"/>
      <c r="C2323" s="124" t="n"/>
      <c r="D2323" s="115" t="n"/>
      <c r="E2323" s="124" t="n"/>
      <c r="F2323" s="124" t="n"/>
      <c r="G2323" s="124" t="n"/>
      <c r="H2323" s="84" t="n"/>
      <c r="I2323" s="7" t="n"/>
      <c r="J2323" s="32" t="n"/>
      <c r="K2323" s="24" t="n"/>
      <c r="L2323" s="36" t="n"/>
      <c r="M2323" s="204" t="n"/>
      <c r="N2323" s="177" t="n"/>
      <c r="O2323" s="13" t="n"/>
      <c r="P2323" s="139" t="n"/>
      <c r="Q2323" s="2" t="n"/>
      <c r="R2323" s="1" t="n"/>
      <c r="S2323" s="229">
        <f>M2323*N2323</f>
        <v/>
      </c>
      <c r="T2323" s="230">
        <f>CONCATENATE(S2323,Q2323,P2323)</f>
        <v/>
      </c>
      <c r="U2323" s="206">
        <f>L2323*M2323</f>
        <v/>
      </c>
      <c r="V2323" s="4" t="n"/>
      <c r="W2323" s="4" t="n"/>
      <c r="X2323" s="4" t="n"/>
    </row>
    <row r="2324" ht="15.75" customHeight="1" thickBot="1">
      <c r="A2324" s="186" t="str"/>
      <c r="B2324" s="124" t="n"/>
      <c r="C2324" s="124" t="n"/>
      <c r="D2324" s="115" t="n"/>
      <c r="E2324" s="124" t="n"/>
      <c r="F2324" s="124" t="n"/>
      <c r="G2324" s="124" t="n"/>
      <c r="H2324" s="84" t="n"/>
      <c r="I2324" s="7" t="n"/>
      <c r="J2324" s="32" t="n"/>
      <c r="K2324" s="24" t="n"/>
      <c r="L2324" s="36" t="n"/>
      <c r="M2324" s="204" t="n"/>
      <c r="N2324" s="177" t="n"/>
      <c r="O2324" s="13" t="n"/>
      <c r="P2324" s="139" t="n"/>
      <c r="Q2324" s="2" t="n"/>
      <c r="R2324" s="1" t="n"/>
      <c r="S2324" s="229">
        <f>M2324*N2324</f>
        <v/>
      </c>
      <c r="T2324" s="230">
        <f>CONCATENATE(S2324,Q2324,P2324)</f>
        <v/>
      </c>
      <c r="U2324" s="206">
        <f>L2324*M2324</f>
        <v/>
      </c>
      <c r="V2324" s="4" t="n"/>
      <c r="W2324" s="4" t="n"/>
      <c r="X2324" s="4" t="n"/>
    </row>
    <row r="2325" ht="15.75" customHeight="1" thickBot="1">
      <c r="A2325" s="186" t="str"/>
      <c r="B2325" s="124" t="n"/>
      <c r="C2325" s="124" t="n"/>
      <c r="D2325" s="115" t="n"/>
      <c r="E2325" s="124" t="n"/>
      <c r="F2325" s="124" t="n"/>
      <c r="G2325" s="124" t="n"/>
      <c r="H2325" s="84" t="n"/>
      <c r="I2325" s="7" t="n"/>
      <c r="J2325" s="32" t="n"/>
      <c r="K2325" s="24" t="n"/>
      <c r="L2325" s="36" t="n"/>
      <c r="M2325" s="204" t="n"/>
      <c r="N2325" s="177" t="n"/>
      <c r="O2325" s="13" t="n"/>
      <c r="P2325" s="139" t="n"/>
      <c r="Q2325" s="2" t="n"/>
      <c r="R2325" s="1" t="n"/>
      <c r="S2325" s="229">
        <f>M2325*N2325</f>
        <v/>
      </c>
      <c r="T2325" s="230">
        <f>CONCATENATE(S2325,Q2325,P2325)</f>
        <v/>
      </c>
      <c r="U2325" s="206">
        <f>L2325*M2325</f>
        <v/>
      </c>
      <c r="V2325" s="4" t="n"/>
      <c r="W2325" s="4" t="n"/>
      <c r="X2325" s="4" t="n"/>
    </row>
    <row r="2326" ht="15.75" customHeight="1" thickBot="1">
      <c r="A2326" s="186" t="str"/>
      <c r="B2326" s="124" t="n"/>
      <c r="C2326" s="124" t="n"/>
      <c r="D2326" s="115" t="n"/>
      <c r="E2326" s="124" t="n"/>
      <c r="F2326" s="124" t="n"/>
      <c r="G2326" s="124" t="n"/>
      <c r="H2326" s="84" t="n"/>
      <c r="I2326" s="7" t="n"/>
      <c r="J2326" s="32" t="n"/>
      <c r="K2326" s="24" t="n"/>
      <c r="L2326" s="36" t="n"/>
      <c r="M2326" s="204" t="n"/>
      <c r="N2326" s="177" t="n"/>
      <c r="O2326" s="13" t="n"/>
      <c r="P2326" s="139" t="n"/>
      <c r="Q2326" s="2" t="n"/>
      <c r="R2326" s="1" t="n"/>
      <c r="S2326" s="229">
        <f>M2326*N2326</f>
        <v/>
      </c>
      <c r="T2326" s="230">
        <f>CONCATENATE(S2326,Q2326,P2326)</f>
        <v/>
      </c>
      <c r="U2326" s="206">
        <f>L2326*M2326</f>
        <v/>
      </c>
      <c r="V2326" s="4" t="n"/>
      <c r="W2326" s="4" t="n"/>
      <c r="X2326" s="4" t="n"/>
    </row>
    <row r="2327" ht="15.75" customHeight="1" thickBot="1">
      <c r="A2327" s="186" t="str"/>
      <c r="B2327" s="124" t="n"/>
      <c r="C2327" s="124" t="n"/>
      <c r="D2327" s="115" t="n"/>
      <c r="E2327" s="124" t="n"/>
      <c r="F2327" s="124" t="n"/>
      <c r="G2327" s="124" t="n"/>
      <c r="H2327" s="84" t="n"/>
      <c r="I2327" s="7" t="n"/>
      <c r="J2327" s="32" t="n"/>
      <c r="K2327" s="24" t="n"/>
      <c r="L2327" s="36" t="n"/>
      <c r="M2327" s="204" t="n"/>
      <c r="N2327" s="177" t="n"/>
      <c r="O2327" s="13" t="n"/>
      <c r="P2327" s="139" t="n"/>
      <c r="Q2327" s="2" t="n"/>
      <c r="R2327" s="1" t="n"/>
      <c r="S2327" s="229">
        <f>M2327*N2327</f>
        <v/>
      </c>
      <c r="T2327" s="230">
        <f>CONCATENATE(S2327,Q2327,P2327)</f>
        <v/>
      </c>
      <c r="U2327" s="206">
        <f>L2327*M2327</f>
        <v/>
      </c>
      <c r="V2327" s="4" t="n"/>
      <c r="W2327" s="4" t="n"/>
      <c r="X2327" s="4" t="n"/>
    </row>
    <row r="2328" ht="15.75" customHeight="1" thickBot="1">
      <c r="A2328" s="186" t="str"/>
      <c r="B2328" s="124" t="n"/>
      <c r="C2328" s="124" t="n"/>
      <c r="D2328" s="115" t="n"/>
      <c r="E2328" s="124" t="n"/>
      <c r="F2328" s="124" t="n"/>
      <c r="G2328" s="124" t="n"/>
      <c r="H2328" s="84" t="n"/>
      <c r="I2328" s="7" t="n"/>
      <c r="J2328" s="32" t="n"/>
      <c r="K2328" s="24" t="n"/>
      <c r="L2328" s="36" t="n"/>
      <c r="M2328" s="204" t="n"/>
      <c r="N2328" s="177" t="n"/>
      <c r="O2328" s="13" t="n"/>
      <c r="P2328" s="139" t="n"/>
      <c r="Q2328" s="2" t="n"/>
      <c r="R2328" s="1" t="n"/>
      <c r="S2328" s="229">
        <f>M2328*N2328</f>
        <v/>
      </c>
      <c r="T2328" s="230">
        <f>CONCATENATE(S2328,Q2328,P2328)</f>
        <v/>
      </c>
      <c r="U2328" s="206">
        <f>L2328*M2328</f>
        <v/>
      </c>
      <c r="V2328" s="4" t="n"/>
      <c r="W2328" s="4" t="n"/>
      <c r="X2328" s="4" t="n"/>
    </row>
    <row r="2329" ht="15.75" customHeight="1" thickBot="1">
      <c r="A2329" s="186" t="str"/>
      <c r="B2329" s="124" t="n"/>
      <c r="C2329" s="124" t="n"/>
      <c r="D2329" s="115" t="n"/>
      <c r="E2329" s="124" t="n"/>
      <c r="F2329" s="124" t="n"/>
      <c r="G2329" s="124" t="n"/>
      <c r="H2329" s="84" t="n"/>
      <c r="I2329" s="7" t="n"/>
      <c r="J2329" s="32" t="n"/>
      <c r="K2329" s="24" t="n"/>
      <c r="L2329" s="36" t="n"/>
      <c r="M2329" s="204" t="n"/>
      <c r="N2329" s="177" t="n"/>
      <c r="O2329" s="13" t="n"/>
      <c r="P2329" s="139" t="n"/>
      <c r="Q2329" s="2" t="n"/>
      <c r="R2329" s="1" t="n"/>
      <c r="S2329" s="229">
        <f>M2329*N2329</f>
        <v/>
      </c>
      <c r="T2329" s="230">
        <f>CONCATENATE(S2329,Q2329,P2329)</f>
        <v/>
      </c>
      <c r="U2329" s="206">
        <f>L2329*M2329</f>
        <v/>
      </c>
      <c r="V2329" s="4" t="n"/>
      <c r="W2329" s="4" t="n"/>
      <c r="X2329" s="4" t="n"/>
    </row>
    <row r="2330" ht="15.75" customHeight="1" thickBot="1">
      <c r="A2330" s="186" t="str"/>
      <c r="B2330" s="124" t="n"/>
      <c r="C2330" s="124" t="n"/>
      <c r="D2330" s="115" t="n"/>
      <c r="E2330" s="124" t="n"/>
      <c r="F2330" s="124" t="n"/>
      <c r="G2330" s="124" t="n"/>
      <c r="H2330" s="84" t="n"/>
      <c r="I2330" s="7" t="n"/>
      <c r="J2330" s="32" t="n"/>
      <c r="K2330" s="24" t="n"/>
      <c r="L2330" s="36" t="n"/>
      <c r="M2330" s="204" t="n"/>
      <c r="N2330" s="177" t="n"/>
      <c r="O2330" s="13" t="n"/>
      <c r="P2330" s="139" t="n"/>
      <c r="Q2330" s="2" t="n"/>
      <c r="R2330" s="1" t="n"/>
      <c r="S2330" s="229">
        <f>M2330*N2330</f>
        <v/>
      </c>
      <c r="T2330" s="230">
        <f>CONCATENATE(S2330,Q2330,P2330)</f>
        <v/>
      </c>
      <c r="U2330" s="206">
        <f>L2330*M2330</f>
        <v/>
      </c>
      <c r="V2330" s="4" t="n"/>
      <c r="W2330" s="4" t="n"/>
      <c r="X2330" s="4" t="n"/>
    </row>
    <row r="2331" ht="15.75" customHeight="1" thickBot="1">
      <c r="A2331" s="186" t="str"/>
      <c r="B2331" s="124" t="n"/>
      <c r="C2331" s="124" t="n"/>
      <c r="D2331" s="115" t="n"/>
      <c r="E2331" s="124" t="n"/>
      <c r="F2331" s="124" t="n"/>
      <c r="G2331" s="124" t="n"/>
      <c r="H2331" s="84" t="n"/>
      <c r="I2331" s="7" t="n"/>
      <c r="J2331" s="32" t="n"/>
      <c r="K2331" s="24" t="n"/>
      <c r="L2331" s="36" t="n"/>
      <c r="M2331" s="204" t="n"/>
      <c r="N2331" s="177" t="n"/>
      <c r="O2331" s="13" t="n"/>
      <c r="P2331" s="139" t="n"/>
      <c r="Q2331" s="2" t="n"/>
      <c r="R2331" s="1" t="n"/>
      <c r="S2331" s="229">
        <f>M2331*N2331</f>
        <v/>
      </c>
      <c r="T2331" s="230">
        <f>CONCATENATE(S2331,Q2331,P2331)</f>
        <v/>
      </c>
      <c r="U2331" s="206">
        <f>L2331*M2331</f>
        <v/>
      </c>
      <c r="V2331" s="4" t="n"/>
      <c r="W2331" s="4" t="n"/>
      <c r="X2331" s="4" t="n"/>
    </row>
    <row r="2332" ht="15.75" customHeight="1" thickBot="1">
      <c r="A2332" s="186" t="str"/>
      <c r="B2332" s="124" t="n"/>
      <c r="C2332" s="124" t="n"/>
      <c r="D2332" s="115" t="n"/>
      <c r="E2332" s="124" t="n"/>
      <c r="F2332" s="124" t="n"/>
      <c r="G2332" s="124" t="n"/>
      <c r="H2332" s="84" t="n"/>
      <c r="I2332" s="7" t="n"/>
      <c r="J2332" s="32" t="n"/>
      <c r="K2332" s="24" t="n"/>
      <c r="L2332" s="36" t="n"/>
      <c r="M2332" s="204" t="n"/>
      <c r="N2332" s="177" t="n"/>
      <c r="O2332" s="13" t="n"/>
      <c r="P2332" s="139" t="n"/>
      <c r="Q2332" s="2" t="n"/>
      <c r="R2332" s="1" t="n"/>
      <c r="S2332" s="229">
        <f>M2332*N2332</f>
        <v/>
      </c>
      <c r="T2332" s="230">
        <f>CONCATENATE(S2332,Q2332,P2332)</f>
        <v/>
      </c>
      <c r="U2332" s="206">
        <f>L2332*M2332</f>
        <v/>
      </c>
      <c r="V2332" s="4" t="n"/>
      <c r="W2332" s="4" t="n"/>
      <c r="X2332" s="4" t="n"/>
    </row>
    <row r="2333" ht="15.75" customHeight="1" thickBot="1">
      <c r="A2333" s="186" t="str"/>
      <c r="B2333" s="124" t="n"/>
      <c r="C2333" s="124" t="n"/>
      <c r="D2333" s="115" t="n"/>
      <c r="E2333" s="124" t="n"/>
      <c r="F2333" s="124" t="n"/>
      <c r="G2333" s="124" t="n"/>
      <c r="H2333" s="84" t="n"/>
      <c r="I2333" s="7" t="n"/>
      <c r="J2333" s="32" t="n"/>
      <c r="K2333" s="24" t="n"/>
      <c r="L2333" s="36" t="n"/>
      <c r="M2333" s="204" t="n"/>
      <c r="N2333" s="177" t="n"/>
      <c r="O2333" s="13" t="n"/>
      <c r="P2333" s="139" t="n"/>
      <c r="Q2333" s="2" t="n"/>
      <c r="R2333" s="1" t="n"/>
      <c r="S2333" s="229">
        <f>M2333*N2333</f>
        <v/>
      </c>
      <c r="T2333" s="230">
        <f>CONCATENATE(S2333,Q2333,P2333)</f>
        <v/>
      </c>
      <c r="U2333" s="206">
        <f>L2333*M2333</f>
        <v/>
      </c>
      <c r="V2333" s="4" t="n"/>
      <c r="W2333" s="4" t="n"/>
      <c r="X2333" s="4" t="n"/>
    </row>
    <row r="2334" ht="15.75" customHeight="1" thickBot="1">
      <c r="A2334" s="186" t="str"/>
      <c r="B2334" s="124" t="n"/>
      <c r="C2334" s="124" t="n"/>
      <c r="D2334" s="115" t="n"/>
      <c r="E2334" s="124" t="n"/>
      <c r="F2334" s="124" t="n"/>
      <c r="G2334" s="124" t="n"/>
      <c r="H2334" s="84" t="n"/>
      <c r="I2334" s="7" t="n"/>
      <c r="J2334" s="32" t="n"/>
      <c r="K2334" s="24" t="n"/>
      <c r="L2334" s="36" t="n"/>
      <c r="M2334" s="204" t="n"/>
      <c r="N2334" s="177" t="n"/>
      <c r="O2334" s="13" t="n"/>
      <c r="P2334" s="139" t="n"/>
      <c r="Q2334" s="2" t="n"/>
      <c r="R2334" s="1" t="n"/>
      <c r="S2334" s="229">
        <f>M2334*N2334</f>
        <v/>
      </c>
      <c r="T2334" s="230">
        <f>CONCATENATE(S2334,Q2334,P2334)</f>
        <v/>
      </c>
      <c r="U2334" s="206">
        <f>L2334*M2334</f>
        <v/>
      </c>
      <c r="V2334" s="4" t="n"/>
      <c r="W2334" s="4" t="n"/>
      <c r="X2334" s="4" t="n"/>
    </row>
    <row r="2335" ht="15.75" customHeight="1" thickBot="1">
      <c r="A2335" s="186" t="str"/>
      <c r="B2335" s="124" t="n"/>
      <c r="C2335" s="124" t="n"/>
      <c r="D2335" s="115" t="n"/>
      <c r="E2335" s="124" t="n"/>
      <c r="F2335" s="124" t="n"/>
      <c r="G2335" s="124" t="n"/>
      <c r="H2335" s="84" t="n"/>
      <c r="I2335" s="7" t="n"/>
      <c r="J2335" s="32" t="n"/>
      <c r="K2335" s="24" t="n"/>
      <c r="L2335" s="36" t="n"/>
      <c r="M2335" s="204" t="n"/>
      <c r="N2335" s="177" t="n"/>
      <c r="O2335" s="13" t="n"/>
      <c r="P2335" s="139" t="n"/>
      <c r="Q2335" s="2" t="n"/>
      <c r="R2335" s="1" t="n"/>
      <c r="S2335" s="229">
        <f>M2335*N2335</f>
        <v/>
      </c>
      <c r="T2335" s="230">
        <f>CONCATENATE(S2335,Q2335,P2335)</f>
        <v/>
      </c>
      <c r="U2335" s="206">
        <f>L2335*M2335</f>
        <v/>
      </c>
      <c r="V2335" s="4" t="n"/>
      <c r="W2335" s="4" t="n"/>
      <c r="X2335" s="4" t="n"/>
    </row>
    <row r="2336" ht="15.75" customHeight="1" thickBot="1">
      <c r="A2336" s="186" t="str"/>
      <c r="B2336" s="124" t="n"/>
      <c r="C2336" s="124" t="n"/>
      <c r="D2336" s="115" t="n"/>
      <c r="E2336" s="124" t="n"/>
      <c r="F2336" s="124" t="n"/>
      <c r="G2336" s="124" t="n"/>
      <c r="H2336" s="84" t="n"/>
      <c r="I2336" s="7" t="n"/>
      <c r="J2336" s="32" t="n"/>
      <c r="K2336" s="24" t="n"/>
      <c r="L2336" s="36" t="n"/>
      <c r="M2336" s="204" t="n"/>
      <c r="N2336" s="177" t="n"/>
      <c r="O2336" s="13" t="n"/>
      <c r="P2336" s="139" t="n"/>
      <c r="Q2336" s="2" t="n"/>
      <c r="R2336" s="1" t="n"/>
      <c r="S2336" s="229">
        <f>M2336*N2336</f>
        <v/>
      </c>
      <c r="T2336" s="230">
        <f>CONCATENATE(S2336,Q2336,P2336)</f>
        <v/>
      </c>
      <c r="U2336" s="206">
        <f>L2336*M2336</f>
        <v/>
      </c>
      <c r="V2336" s="4" t="n"/>
      <c r="W2336" s="4" t="n"/>
      <c r="X2336" s="4" t="n"/>
    </row>
    <row r="2337" ht="15.75" customHeight="1" thickBot="1">
      <c r="A2337" s="186" t="str"/>
      <c r="B2337" s="124" t="n"/>
      <c r="C2337" s="124" t="n"/>
      <c r="D2337" s="115" t="n"/>
      <c r="E2337" s="124" t="n"/>
      <c r="F2337" s="124" t="n"/>
      <c r="G2337" s="124" t="n"/>
      <c r="H2337" s="84" t="n"/>
      <c r="I2337" s="7" t="n"/>
      <c r="J2337" s="32" t="n"/>
      <c r="K2337" s="24" t="n"/>
      <c r="L2337" s="36" t="n"/>
      <c r="M2337" s="204" t="n"/>
      <c r="N2337" s="177" t="n"/>
      <c r="O2337" s="13" t="n"/>
      <c r="P2337" s="139" t="n"/>
      <c r="Q2337" s="2" t="n"/>
      <c r="R2337" s="1" t="n"/>
      <c r="S2337" s="229">
        <f>M2337*N2337</f>
        <v/>
      </c>
      <c r="T2337" s="230">
        <f>CONCATENATE(S2337,Q2337,P2337)</f>
        <v/>
      </c>
      <c r="U2337" s="206">
        <f>L2337*M2337</f>
        <v/>
      </c>
      <c r="V2337" s="4" t="n"/>
      <c r="W2337" s="4" t="n"/>
      <c r="X2337" s="4" t="n"/>
    </row>
    <row r="2338" ht="15.75" customHeight="1" thickBot="1">
      <c r="A2338" s="186" t="str"/>
      <c r="B2338" s="124" t="n"/>
      <c r="C2338" s="124" t="n"/>
      <c r="D2338" s="115" t="n"/>
      <c r="E2338" s="124" t="n"/>
      <c r="F2338" s="124" t="n"/>
      <c r="G2338" s="124" t="n"/>
      <c r="H2338" s="84" t="n"/>
      <c r="I2338" s="7" t="n"/>
      <c r="J2338" s="32" t="n"/>
      <c r="K2338" s="24" t="n"/>
      <c r="L2338" s="36" t="n"/>
      <c r="M2338" s="204" t="n"/>
      <c r="N2338" s="177" t="n"/>
      <c r="O2338" s="13" t="n"/>
      <c r="P2338" s="139" t="n"/>
      <c r="Q2338" s="2" t="n"/>
      <c r="R2338" s="1" t="n"/>
      <c r="S2338" s="229">
        <f>M2338*N2338</f>
        <v/>
      </c>
      <c r="T2338" s="230">
        <f>CONCATENATE(S2338,Q2338,P2338)</f>
        <v/>
      </c>
      <c r="U2338" s="206">
        <f>L2338*M2338</f>
        <v/>
      </c>
      <c r="V2338" s="4" t="n"/>
      <c r="W2338" s="4" t="n"/>
      <c r="X2338" s="4" t="n"/>
    </row>
    <row r="2339" ht="15.75" customHeight="1" thickBot="1">
      <c r="A2339" s="186" t="str"/>
      <c r="B2339" s="124" t="n"/>
      <c r="C2339" s="124" t="n"/>
      <c r="D2339" s="115" t="n"/>
      <c r="E2339" s="124" t="n"/>
      <c r="F2339" s="124" t="n"/>
      <c r="G2339" s="124" t="n"/>
      <c r="H2339" s="84" t="n"/>
      <c r="I2339" s="7" t="n"/>
      <c r="J2339" s="32" t="n"/>
      <c r="K2339" s="24" t="n"/>
      <c r="L2339" s="36" t="n"/>
      <c r="M2339" s="204" t="n"/>
      <c r="N2339" s="177" t="n"/>
      <c r="O2339" s="13" t="n"/>
      <c r="P2339" s="139" t="n"/>
      <c r="Q2339" s="2" t="n"/>
      <c r="R2339" s="1" t="n"/>
      <c r="S2339" s="229">
        <f>M2339*N2339</f>
        <v/>
      </c>
      <c r="T2339" s="230">
        <f>CONCATENATE(S2339,Q2339,P2339)</f>
        <v/>
      </c>
      <c r="U2339" s="206">
        <f>L2339*M2339</f>
        <v/>
      </c>
      <c r="V2339" s="4" t="n"/>
      <c r="W2339" s="4" t="n"/>
      <c r="X2339" s="4" t="n"/>
    </row>
    <row r="2340" ht="15.75" customHeight="1" thickBot="1">
      <c r="A2340" s="186" t="str"/>
      <c r="B2340" s="124" t="n"/>
      <c r="C2340" s="124" t="n"/>
      <c r="D2340" s="115" t="n"/>
      <c r="E2340" s="124" t="n"/>
      <c r="F2340" s="124" t="n"/>
      <c r="G2340" s="124" t="n"/>
      <c r="H2340" s="84" t="n"/>
      <c r="I2340" s="7" t="n"/>
      <c r="J2340" s="32" t="n"/>
      <c r="K2340" s="24" t="n"/>
      <c r="L2340" s="36" t="n"/>
      <c r="M2340" s="204" t="n"/>
      <c r="N2340" s="177" t="n"/>
      <c r="O2340" s="13" t="n"/>
      <c r="P2340" s="139" t="n"/>
      <c r="Q2340" s="2" t="n"/>
      <c r="R2340" s="1" t="n"/>
      <c r="S2340" s="229">
        <f>M2340*N2340</f>
        <v/>
      </c>
      <c r="T2340" s="230">
        <f>CONCATENATE(S2340,Q2340,P2340)</f>
        <v/>
      </c>
      <c r="U2340" s="206">
        <f>L2340*M2340</f>
        <v/>
      </c>
      <c r="V2340" s="4" t="n"/>
      <c r="W2340" s="4" t="n"/>
      <c r="X2340" s="4" t="n"/>
    </row>
    <row r="2341" ht="15.75" customHeight="1" thickBot="1">
      <c r="A2341" s="186" t="str"/>
      <c r="B2341" s="124" t="n"/>
      <c r="C2341" s="124" t="n"/>
      <c r="D2341" s="115" t="n"/>
      <c r="E2341" s="124" t="n"/>
      <c r="F2341" s="124" t="n"/>
      <c r="G2341" s="124" t="n"/>
      <c r="H2341" s="84" t="n"/>
      <c r="I2341" s="7" t="n"/>
      <c r="J2341" s="32" t="n"/>
      <c r="K2341" s="24" t="n"/>
      <c r="L2341" s="36" t="n"/>
      <c r="M2341" s="204" t="n"/>
      <c r="N2341" s="177" t="n"/>
      <c r="O2341" s="13" t="n"/>
      <c r="P2341" s="139" t="n"/>
      <c r="Q2341" s="2" t="n"/>
      <c r="R2341" s="1" t="n"/>
      <c r="S2341" s="229">
        <f>M2341*N2341</f>
        <v/>
      </c>
      <c r="T2341" s="230">
        <f>CONCATENATE(S2341,Q2341,P2341)</f>
        <v/>
      </c>
      <c r="U2341" s="206">
        <f>L2341*M2341</f>
        <v/>
      </c>
      <c r="V2341" s="4" t="n"/>
      <c r="W2341" s="4" t="n"/>
      <c r="X2341" s="4" t="n"/>
    </row>
    <row r="2342" ht="15.75" customHeight="1" thickBot="1">
      <c r="A2342" s="186" t="str"/>
      <c r="B2342" s="124" t="n"/>
      <c r="C2342" s="124" t="n"/>
      <c r="D2342" s="115" t="n"/>
      <c r="E2342" s="124" t="n"/>
      <c r="F2342" s="124" t="n"/>
      <c r="G2342" s="124" t="n"/>
      <c r="H2342" s="84" t="n"/>
      <c r="I2342" s="7" t="n"/>
      <c r="J2342" s="32" t="n"/>
      <c r="K2342" s="24" t="n"/>
      <c r="L2342" s="36" t="n"/>
      <c r="M2342" s="204" t="n"/>
      <c r="N2342" s="177" t="n"/>
      <c r="O2342" s="13" t="n"/>
      <c r="P2342" s="139" t="n"/>
      <c r="Q2342" s="2" t="n"/>
      <c r="R2342" s="1" t="n"/>
      <c r="S2342" s="229">
        <f>M2342*N2342</f>
        <v/>
      </c>
      <c r="T2342" s="230">
        <f>CONCATENATE(S2342,Q2342,P2342)</f>
        <v/>
      </c>
      <c r="U2342" s="206">
        <f>L2342*M2342</f>
        <v/>
      </c>
      <c r="V2342" s="4" t="n"/>
      <c r="W2342" s="4" t="n"/>
      <c r="X2342" s="4" t="n"/>
    </row>
    <row r="2343" ht="15.75" customHeight="1" thickBot="1">
      <c r="A2343" s="186" t="str"/>
      <c r="B2343" s="124" t="n"/>
      <c r="C2343" s="124" t="n"/>
      <c r="D2343" s="115" t="n"/>
      <c r="E2343" s="124" t="n"/>
      <c r="F2343" s="124" t="n"/>
      <c r="G2343" s="124" t="n"/>
      <c r="H2343" s="84" t="n"/>
      <c r="I2343" s="7" t="n"/>
      <c r="J2343" s="32" t="n"/>
      <c r="K2343" s="24" t="n"/>
      <c r="L2343" s="36" t="n"/>
      <c r="M2343" s="204" t="n"/>
      <c r="N2343" s="177" t="n"/>
      <c r="O2343" s="13" t="n"/>
      <c r="P2343" s="139" t="n"/>
      <c r="Q2343" s="2" t="n"/>
      <c r="R2343" s="1" t="n"/>
      <c r="S2343" s="229">
        <f>M2343*N2343</f>
        <v/>
      </c>
      <c r="T2343" s="230">
        <f>CONCATENATE(S2343,Q2343,P2343)</f>
        <v/>
      </c>
      <c r="U2343" s="206">
        <f>L2343*M2343</f>
        <v/>
      </c>
      <c r="V2343" s="4" t="n"/>
      <c r="W2343" s="4" t="n"/>
      <c r="X2343" s="4" t="n"/>
    </row>
    <row r="2344" ht="15.75" customHeight="1" thickBot="1">
      <c r="A2344" s="186" t="str"/>
      <c r="B2344" s="124" t="n"/>
      <c r="C2344" s="124" t="n"/>
      <c r="D2344" s="115" t="n"/>
      <c r="E2344" s="124" t="n"/>
      <c r="F2344" s="124" t="n"/>
      <c r="G2344" s="124" t="n"/>
      <c r="H2344" s="84" t="n"/>
      <c r="I2344" s="7" t="n"/>
      <c r="J2344" s="32" t="n"/>
      <c r="K2344" s="24" t="n"/>
      <c r="L2344" s="36" t="n"/>
      <c r="M2344" s="204" t="n"/>
      <c r="N2344" s="177" t="n"/>
      <c r="O2344" s="13" t="n"/>
      <c r="P2344" s="139" t="n"/>
      <c r="Q2344" s="2" t="n"/>
      <c r="R2344" s="1" t="n"/>
      <c r="S2344" s="229">
        <f>M2344*N2344</f>
        <v/>
      </c>
      <c r="T2344" s="230">
        <f>CONCATENATE(S2344,Q2344,P2344)</f>
        <v/>
      </c>
      <c r="U2344" s="206">
        <f>L2344*M2344</f>
        <v/>
      </c>
      <c r="V2344" s="4" t="n"/>
      <c r="W2344" s="4" t="n"/>
      <c r="X2344" s="4" t="n"/>
    </row>
    <row r="2345" ht="15.75" customHeight="1" thickBot="1">
      <c r="A2345" s="186" t="str"/>
      <c r="B2345" s="124" t="n"/>
      <c r="C2345" s="124" t="n"/>
      <c r="D2345" s="115" t="n"/>
      <c r="E2345" s="124" t="n"/>
      <c r="F2345" s="124" t="n"/>
      <c r="G2345" s="124" t="n"/>
      <c r="H2345" s="84" t="n"/>
      <c r="I2345" s="7" t="n"/>
      <c r="J2345" s="32" t="n"/>
      <c r="K2345" s="24" t="n"/>
      <c r="L2345" s="36" t="n"/>
      <c r="M2345" s="204" t="n"/>
      <c r="N2345" s="177" t="n"/>
      <c r="O2345" s="13" t="n"/>
      <c r="P2345" s="139" t="n"/>
      <c r="Q2345" s="2" t="n"/>
      <c r="R2345" s="1" t="n"/>
      <c r="S2345" s="229">
        <f>M2345*N2345</f>
        <v/>
      </c>
      <c r="T2345" s="230">
        <f>CONCATENATE(S2345,Q2345,P2345)</f>
        <v/>
      </c>
      <c r="U2345" s="206">
        <f>L2345*M2345</f>
        <v/>
      </c>
      <c r="V2345" s="4" t="n"/>
      <c r="W2345" s="4" t="n"/>
      <c r="X2345" s="4" t="n"/>
    </row>
    <row r="2346" ht="15.75" customHeight="1" thickBot="1">
      <c r="A2346" s="186" t="str"/>
      <c r="B2346" s="124" t="n"/>
      <c r="C2346" s="124" t="n"/>
      <c r="D2346" s="115" t="n"/>
      <c r="E2346" s="124" t="n"/>
      <c r="F2346" s="124" t="n"/>
      <c r="G2346" s="124" t="n"/>
      <c r="H2346" s="84" t="n"/>
      <c r="I2346" s="7" t="n"/>
      <c r="J2346" s="32" t="n"/>
      <c r="K2346" s="24" t="n"/>
      <c r="L2346" s="36" t="n"/>
      <c r="M2346" s="204" t="n"/>
      <c r="N2346" s="177" t="n"/>
      <c r="O2346" s="13" t="n"/>
      <c r="P2346" s="139" t="n"/>
      <c r="Q2346" s="2" t="n"/>
      <c r="R2346" s="1" t="n"/>
      <c r="S2346" s="229">
        <f>M2346*N2346</f>
        <v/>
      </c>
      <c r="T2346" s="230">
        <f>CONCATENATE(S2346,Q2346,P2346)</f>
        <v/>
      </c>
      <c r="U2346" s="206">
        <f>L2346*M2346</f>
        <v/>
      </c>
      <c r="V2346" s="4" t="n"/>
      <c r="W2346" s="4" t="n"/>
      <c r="X2346" s="4" t="n"/>
    </row>
    <row r="2347" ht="15.75" customHeight="1" thickBot="1">
      <c r="A2347" s="186" t="str"/>
      <c r="B2347" s="124" t="n"/>
      <c r="C2347" s="124" t="n"/>
      <c r="D2347" s="115" t="n"/>
      <c r="E2347" s="124" t="n"/>
      <c r="F2347" s="124" t="n"/>
      <c r="G2347" s="124" t="n"/>
      <c r="H2347" s="84" t="n"/>
      <c r="I2347" s="7" t="n"/>
      <c r="J2347" s="32" t="n"/>
      <c r="K2347" s="24" t="n"/>
      <c r="L2347" s="36" t="n"/>
      <c r="M2347" s="204" t="n"/>
      <c r="N2347" s="177" t="n"/>
      <c r="O2347" s="13" t="n"/>
      <c r="P2347" s="139" t="n"/>
      <c r="Q2347" s="2" t="n"/>
      <c r="R2347" s="1" t="n"/>
      <c r="S2347" s="229">
        <f>M2347*N2347</f>
        <v/>
      </c>
      <c r="T2347" s="230">
        <f>CONCATENATE(S2347,Q2347,P2347)</f>
        <v/>
      </c>
      <c r="U2347" s="206">
        <f>L2347*M2347</f>
        <v/>
      </c>
      <c r="V2347" s="4" t="n"/>
      <c r="W2347" s="4" t="n"/>
      <c r="X2347" s="4" t="n"/>
    </row>
    <row r="2348" ht="15.75" customHeight="1" thickBot="1">
      <c r="A2348" s="186" t="str"/>
      <c r="B2348" s="124" t="n"/>
      <c r="C2348" s="124" t="n"/>
      <c r="D2348" s="115" t="n"/>
      <c r="E2348" s="124" t="n"/>
      <c r="F2348" s="124" t="n"/>
      <c r="G2348" s="124" t="n"/>
      <c r="H2348" s="84" t="n"/>
      <c r="I2348" s="7" t="n"/>
      <c r="J2348" s="32" t="n"/>
      <c r="K2348" s="24" t="n"/>
      <c r="L2348" s="36" t="n"/>
      <c r="M2348" s="204" t="n"/>
      <c r="N2348" s="177" t="n"/>
      <c r="O2348" s="13" t="n"/>
      <c r="P2348" s="139" t="n"/>
      <c r="Q2348" s="2" t="n"/>
      <c r="R2348" s="1" t="n"/>
      <c r="S2348" s="229">
        <f>M2348*N2348</f>
        <v/>
      </c>
      <c r="T2348" s="230">
        <f>CONCATENATE(S2348,Q2348,P2348)</f>
        <v/>
      </c>
      <c r="U2348" s="206">
        <f>L2348*M2348</f>
        <v/>
      </c>
      <c r="V2348" s="4" t="n"/>
      <c r="W2348" s="4" t="n"/>
      <c r="X2348" s="4" t="n"/>
    </row>
    <row r="2349" ht="15.75" customHeight="1" thickBot="1">
      <c r="A2349" s="186" t="str"/>
      <c r="B2349" s="124" t="n"/>
      <c r="C2349" s="124" t="n"/>
      <c r="D2349" s="115" t="n"/>
      <c r="E2349" s="124" t="n"/>
      <c r="F2349" s="124" t="n"/>
      <c r="G2349" s="124" t="n"/>
      <c r="H2349" s="84" t="n"/>
      <c r="I2349" s="7" t="n"/>
      <c r="J2349" s="32" t="n"/>
      <c r="K2349" s="24" t="n"/>
      <c r="L2349" s="36" t="n"/>
      <c r="M2349" s="204" t="n"/>
      <c r="N2349" s="177" t="n"/>
      <c r="O2349" s="13" t="n"/>
      <c r="P2349" s="139" t="n"/>
      <c r="Q2349" s="2" t="n"/>
      <c r="R2349" s="1" t="n"/>
      <c r="S2349" s="229">
        <f>M2349*N2349</f>
        <v/>
      </c>
      <c r="T2349" s="230">
        <f>CONCATENATE(S2349,Q2349,P2349)</f>
        <v/>
      </c>
      <c r="U2349" s="206">
        <f>L2349*M2349</f>
        <v/>
      </c>
      <c r="V2349" s="4" t="n"/>
      <c r="W2349" s="4" t="n"/>
      <c r="X2349" s="4" t="n"/>
    </row>
    <row r="2350" ht="15.75" customHeight="1" thickBot="1">
      <c r="A2350" s="186" t="str"/>
      <c r="B2350" s="124" t="n"/>
      <c r="C2350" s="124" t="n"/>
      <c r="D2350" s="115" t="n"/>
      <c r="E2350" s="124" t="n"/>
      <c r="F2350" s="124" t="n"/>
      <c r="G2350" s="124" t="n"/>
      <c r="H2350" s="84" t="n"/>
      <c r="I2350" s="7" t="n"/>
      <c r="J2350" s="32" t="n"/>
      <c r="K2350" s="24" t="n"/>
      <c r="L2350" s="36" t="n"/>
      <c r="M2350" s="204" t="n"/>
      <c r="N2350" s="177" t="n"/>
      <c r="O2350" s="13" t="n"/>
      <c r="P2350" s="139" t="n"/>
      <c r="Q2350" s="2" t="n"/>
      <c r="R2350" s="1" t="n"/>
      <c r="S2350" s="229">
        <f>M2350*N2350</f>
        <v/>
      </c>
      <c r="T2350" s="230">
        <f>CONCATENATE(S2350,Q2350,P2350)</f>
        <v/>
      </c>
      <c r="U2350" s="206">
        <f>L2350*M2350</f>
        <v/>
      </c>
      <c r="V2350" s="4" t="n"/>
      <c r="W2350" s="4" t="n"/>
      <c r="X2350" s="4" t="n"/>
    </row>
    <row r="2351" ht="15.75" customHeight="1" thickBot="1">
      <c r="A2351" s="186" t="str"/>
      <c r="B2351" s="124" t="n"/>
      <c r="C2351" s="124" t="n"/>
      <c r="D2351" s="115" t="n"/>
      <c r="E2351" s="124" t="n"/>
      <c r="F2351" s="124" t="n"/>
      <c r="G2351" s="124" t="n"/>
      <c r="H2351" s="84" t="n"/>
      <c r="I2351" s="7" t="n"/>
      <c r="J2351" s="32" t="n"/>
      <c r="K2351" s="24" t="n"/>
      <c r="L2351" s="36" t="n"/>
      <c r="M2351" s="204" t="n"/>
      <c r="N2351" s="177" t="n"/>
      <c r="O2351" s="13" t="n"/>
      <c r="P2351" s="139" t="n"/>
      <c r="Q2351" s="2" t="n"/>
      <c r="R2351" s="1" t="n"/>
      <c r="S2351" s="229">
        <f>M2351*N2351</f>
        <v/>
      </c>
      <c r="T2351" s="230">
        <f>CONCATENATE(S2351,Q2351,P2351)</f>
        <v/>
      </c>
      <c r="U2351" s="206">
        <f>L2351*M2351</f>
        <v/>
      </c>
      <c r="V2351" s="4" t="n"/>
      <c r="W2351" s="4" t="n"/>
      <c r="X2351" s="4" t="n"/>
    </row>
    <row r="2352" ht="15.75" customHeight="1" thickBot="1">
      <c r="A2352" s="186" t="str"/>
      <c r="B2352" s="124" t="n"/>
      <c r="C2352" s="124" t="n"/>
      <c r="D2352" s="115" t="n"/>
      <c r="E2352" s="124" t="n"/>
      <c r="F2352" s="124" t="n"/>
      <c r="G2352" s="124" t="n"/>
      <c r="H2352" s="84" t="n"/>
      <c r="I2352" s="7" t="n"/>
      <c r="J2352" s="32" t="n"/>
      <c r="K2352" s="24" t="n"/>
      <c r="L2352" s="36" t="n"/>
      <c r="M2352" s="204" t="n"/>
      <c r="N2352" s="177" t="n"/>
      <c r="O2352" s="13" t="n"/>
      <c r="P2352" s="139" t="n"/>
      <c r="Q2352" s="2" t="n"/>
      <c r="R2352" s="1" t="n"/>
      <c r="S2352" s="229">
        <f>M2352*N2352</f>
        <v/>
      </c>
      <c r="T2352" s="230">
        <f>CONCATENATE(S2352,Q2352,P2352)</f>
        <v/>
      </c>
      <c r="U2352" s="206">
        <f>L2352*M2352</f>
        <v/>
      </c>
      <c r="V2352" s="4" t="n"/>
      <c r="W2352" s="4" t="n"/>
      <c r="X2352" s="4" t="n"/>
    </row>
    <row r="2353" ht="15.75" customHeight="1" thickBot="1">
      <c r="A2353" s="186" t="str"/>
      <c r="B2353" s="124" t="n"/>
      <c r="C2353" s="124" t="n"/>
      <c r="D2353" s="115" t="n"/>
      <c r="E2353" s="124" t="n"/>
      <c r="F2353" s="124" t="n"/>
      <c r="G2353" s="124" t="n"/>
      <c r="H2353" s="84" t="n"/>
      <c r="I2353" s="7" t="n"/>
      <c r="J2353" s="32" t="n"/>
      <c r="K2353" s="24" t="n"/>
      <c r="L2353" s="36" t="n"/>
      <c r="M2353" s="204" t="n"/>
      <c r="N2353" s="177" t="n"/>
      <c r="O2353" s="13" t="n"/>
      <c r="P2353" s="139" t="n"/>
      <c r="Q2353" s="2" t="n"/>
      <c r="R2353" s="1" t="n"/>
      <c r="S2353" s="229">
        <f>M2353*N2353</f>
        <v/>
      </c>
      <c r="T2353" s="230">
        <f>CONCATENATE(S2353,Q2353,P2353)</f>
        <v/>
      </c>
      <c r="U2353" s="206">
        <f>L2353*M2353</f>
        <v/>
      </c>
      <c r="V2353" s="4" t="n"/>
      <c r="W2353" s="4" t="n"/>
      <c r="X2353" s="4" t="n"/>
    </row>
    <row r="2354" ht="15.75" customHeight="1" thickBot="1">
      <c r="A2354" s="186" t="str"/>
      <c r="B2354" s="124" t="n"/>
      <c r="C2354" s="124" t="n"/>
      <c r="D2354" s="115" t="n"/>
      <c r="E2354" s="124" t="n"/>
      <c r="F2354" s="124" t="n"/>
      <c r="G2354" s="124" t="n"/>
      <c r="H2354" s="84" t="n"/>
      <c r="I2354" s="7" t="n"/>
      <c r="J2354" s="32" t="n"/>
      <c r="K2354" s="24" t="n"/>
      <c r="L2354" s="36" t="n"/>
      <c r="M2354" s="204" t="n"/>
      <c r="N2354" s="177" t="n"/>
      <c r="O2354" s="13" t="n"/>
      <c r="P2354" s="139" t="n"/>
      <c r="Q2354" s="2" t="n"/>
      <c r="R2354" s="1" t="n"/>
      <c r="S2354" s="229">
        <f>M2354*N2354</f>
        <v/>
      </c>
      <c r="T2354" s="230">
        <f>CONCATENATE(S2354,Q2354,P2354)</f>
        <v/>
      </c>
      <c r="U2354" s="206">
        <f>L2354*M2354</f>
        <v/>
      </c>
      <c r="V2354" s="4" t="n"/>
      <c r="W2354" s="4" t="n"/>
      <c r="X2354" s="4" t="n"/>
    </row>
    <row r="2355" ht="15.75" customHeight="1" thickBot="1">
      <c r="A2355" s="186" t="str"/>
      <c r="B2355" s="124" t="n"/>
      <c r="C2355" s="124" t="n"/>
      <c r="D2355" s="115" t="n"/>
      <c r="E2355" s="124" t="n"/>
      <c r="F2355" s="124" t="n"/>
      <c r="G2355" s="124" t="n"/>
      <c r="H2355" s="84" t="n"/>
      <c r="I2355" s="7" t="n"/>
      <c r="J2355" s="32" t="n"/>
      <c r="K2355" s="24" t="n"/>
      <c r="L2355" s="36" t="n"/>
      <c r="M2355" s="204" t="n"/>
      <c r="N2355" s="177" t="n"/>
      <c r="O2355" s="13" t="n"/>
      <c r="P2355" s="139" t="n"/>
      <c r="Q2355" s="2" t="n"/>
      <c r="R2355" s="1" t="n"/>
      <c r="S2355" s="229">
        <f>M2355*N2355</f>
        <v/>
      </c>
      <c r="T2355" s="230">
        <f>CONCATENATE(S2355,Q2355,P2355)</f>
        <v/>
      </c>
      <c r="U2355" s="206">
        <f>L2355*M2355</f>
        <v/>
      </c>
      <c r="V2355" s="4" t="n"/>
      <c r="W2355" s="4" t="n"/>
      <c r="X2355" s="4" t="n"/>
    </row>
    <row r="2356" ht="15.75" customHeight="1" thickBot="1">
      <c r="A2356" s="186" t="str"/>
      <c r="B2356" s="124" t="n"/>
      <c r="C2356" s="124" t="n"/>
      <c r="D2356" s="115" t="n"/>
      <c r="E2356" s="124" t="n"/>
      <c r="F2356" s="124" t="n"/>
      <c r="G2356" s="124" t="n"/>
      <c r="H2356" s="84" t="n"/>
      <c r="I2356" s="7" t="n"/>
      <c r="J2356" s="32" t="n"/>
      <c r="K2356" s="24" t="n"/>
      <c r="L2356" s="36" t="n"/>
      <c r="M2356" s="204" t="n"/>
      <c r="N2356" s="177" t="n"/>
      <c r="O2356" s="13" t="n"/>
      <c r="P2356" s="139" t="n"/>
      <c r="Q2356" s="2" t="n"/>
      <c r="R2356" s="1" t="n"/>
      <c r="S2356" s="229">
        <f>M2356*N2356</f>
        <v/>
      </c>
      <c r="T2356" s="230">
        <f>CONCATENATE(S2356,Q2356,P2356)</f>
        <v/>
      </c>
      <c r="U2356" s="206">
        <f>L2356*M2356</f>
        <v/>
      </c>
      <c r="V2356" s="4" t="n"/>
      <c r="W2356" s="4" t="n"/>
      <c r="X2356" s="4" t="n"/>
    </row>
    <row r="2357" ht="15.75" customHeight="1" thickBot="1">
      <c r="A2357" s="186" t="str"/>
      <c r="B2357" s="124" t="n"/>
      <c r="C2357" s="124" t="n"/>
      <c r="D2357" s="115" t="n"/>
      <c r="E2357" s="124" t="n"/>
      <c r="F2357" s="124" t="n"/>
      <c r="G2357" s="124" t="n"/>
      <c r="H2357" s="84" t="n"/>
      <c r="I2357" s="7" t="n"/>
      <c r="J2357" s="32" t="n"/>
      <c r="K2357" s="24" t="n"/>
      <c r="L2357" s="36" t="n"/>
      <c r="M2357" s="204" t="n"/>
      <c r="N2357" s="177" t="n"/>
      <c r="O2357" s="13" t="n"/>
      <c r="P2357" s="139" t="n"/>
      <c r="Q2357" s="2" t="n"/>
      <c r="R2357" s="1" t="n"/>
      <c r="S2357" s="229">
        <f>M2357*N2357</f>
        <v/>
      </c>
      <c r="T2357" s="230">
        <f>CONCATENATE(S2357,Q2357,P2357)</f>
        <v/>
      </c>
      <c r="U2357" s="206">
        <f>L2357*M2357</f>
        <v/>
      </c>
      <c r="V2357" s="4" t="n"/>
      <c r="W2357" s="4" t="n"/>
      <c r="X2357" s="4" t="n"/>
    </row>
    <row r="2358" ht="15.75" customHeight="1" thickBot="1">
      <c r="A2358" s="186" t="str"/>
      <c r="B2358" s="124" t="n"/>
      <c r="C2358" s="124" t="n"/>
      <c r="D2358" s="115" t="n"/>
      <c r="E2358" s="124" t="n"/>
      <c r="F2358" s="124" t="n"/>
      <c r="G2358" s="124" t="n"/>
      <c r="H2358" s="84" t="n"/>
      <c r="I2358" s="7" t="n"/>
      <c r="J2358" s="32" t="n"/>
      <c r="K2358" s="24" t="n"/>
      <c r="L2358" s="36" t="n"/>
      <c r="M2358" s="204" t="n"/>
      <c r="N2358" s="177" t="n"/>
      <c r="O2358" s="13" t="n"/>
      <c r="P2358" s="139" t="n"/>
      <c r="Q2358" s="2" t="n"/>
      <c r="R2358" s="1" t="n"/>
      <c r="S2358" s="229">
        <f>M2358*N2358</f>
        <v/>
      </c>
      <c r="T2358" s="230">
        <f>CONCATENATE(S2358,Q2358,P2358)</f>
        <v/>
      </c>
      <c r="U2358" s="206">
        <f>L2358*M2358</f>
        <v/>
      </c>
      <c r="V2358" s="4" t="n"/>
      <c r="W2358" s="4" t="n"/>
      <c r="X2358" s="4" t="n"/>
    </row>
    <row r="2359" ht="15.75" customHeight="1" thickBot="1">
      <c r="A2359" s="186" t="str"/>
      <c r="B2359" s="124" t="n"/>
      <c r="C2359" s="124" t="n"/>
      <c r="D2359" s="115" t="n"/>
      <c r="E2359" s="124" t="n"/>
      <c r="F2359" s="124" t="n"/>
      <c r="G2359" s="124" t="n"/>
      <c r="H2359" s="84" t="n"/>
      <c r="I2359" s="7" t="n"/>
      <c r="J2359" s="32" t="n"/>
      <c r="K2359" s="24" t="n"/>
      <c r="L2359" s="36" t="n"/>
      <c r="M2359" s="204" t="n"/>
      <c r="N2359" s="177" t="n"/>
      <c r="O2359" s="13" t="n"/>
      <c r="P2359" s="139" t="n"/>
      <c r="Q2359" s="2" t="n"/>
      <c r="R2359" s="1" t="n"/>
      <c r="S2359" s="229">
        <f>M2359*N2359</f>
        <v/>
      </c>
      <c r="T2359" s="230">
        <f>CONCATENATE(S2359,Q2359,P2359)</f>
        <v/>
      </c>
      <c r="U2359" s="206">
        <f>L2359*M2359</f>
        <v/>
      </c>
      <c r="V2359" s="4" t="n"/>
      <c r="W2359" s="4" t="n"/>
      <c r="X2359" s="4" t="n"/>
    </row>
    <row r="2360" ht="15.75" customHeight="1" thickBot="1">
      <c r="A2360" s="186" t="str"/>
      <c r="B2360" s="124" t="n"/>
      <c r="C2360" s="124" t="n"/>
      <c r="D2360" s="115" t="n"/>
      <c r="E2360" s="124" t="n"/>
      <c r="F2360" s="124" t="n"/>
      <c r="G2360" s="124" t="n"/>
      <c r="H2360" s="84" t="n"/>
      <c r="I2360" s="7" t="n"/>
      <c r="J2360" s="32" t="n"/>
      <c r="K2360" s="24" t="n"/>
      <c r="L2360" s="36" t="n"/>
      <c r="M2360" s="204" t="n"/>
      <c r="N2360" s="177" t="n"/>
      <c r="O2360" s="13" t="n"/>
      <c r="P2360" s="139" t="n"/>
      <c r="Q2360" s="2" t="n"/>
      <c r="R2360" s="1" t="n"/>
      <c r="S2360" s="229">
        <f>M2360*N2360</f>
        <v/>
      </c>
      <c r="T2360" s="230">
        <f>CONCATENATE(S2360,Q2360,P2360)</f>
        <v/>
      </c>
      <c r="U2360" s="206">
        <f>L2360*M2360</f>
        <v/>
      </c>
      <c r="V2360" s="4" t="n"/>
      <c r="W2360" s="4" t="n"/>
      <c r="X2360" s="4" t="n"/>
    </row>
    <row r="2361" ht="15.75" customHeight="1" thickBot="1">
      <c r="A2361" s="186" t="str"/>
      <c r="B2361" s="124" t="n"/>
      <c r="C2361" s="124" t="n"/>
      <c r="D2361" s="115" t="n"/>
      <c r="E2361" s="124" t="n"/>
      <c r="F2361" s="124" t="n"/>
      <c r="G2361" s="124" t="n"/>
      <c r="H2361" s="84" t="n"/>
      <c r="I2361" s="7" t="n"/>
      <c r="J2361" s="32" t="n"/>
      <c r="K2361" s="24" t="n"/>
      <c r="L2361" s="36" t="n"/>
      <c r="M2361" s="204" t="n"/>
      <c r="N2361" s="177" t="n"/>
      <c r="O2361" s="13" t="n"/>
      <c r="P2361" s="139" t="n"/>
      <c r="Q2361" s="2" t="n"/>
      <c r="R2361" s="1" t="n"/>
      <c r="S2361" s="229">
        <f>M2361*N2361</f>
        <v/>
      </c>
      <c r="T2361" s="230">
        <f>CONCATENATE(S2361,Q2361,P2361)</f>
        <v/>
      </c>
      <c r="U2361" s="206">
        <f>L2361*M2361</f>
        <v/>
      </c>
      <c r="V2361" s="4" t="n"/>
      <c r="W2361" s="4" t="n"/>
      <c r="X2361" s="4" t="n"/>
    </row>
    <row r="2362" ht="15.75" customHeight="1" thickBot="1">
      <c r="A2362" s="186" t="str"/>
      <c r="B2362" s="124" t="n"/>
      <c r="C2362" s="124" t="n"/>
      <c r="D2362" s="115" t="n"/>
      <c r="E2362" s="124" t="n"/>
      <c r="F2362" s="124" t="n"/>
      <c r="G2362" s="124" t="n"/>
      <c r="H2362" s="84" t="n"/>
      <c r="I2362" s="7" t="n"/>
      <c r="J2362" s="32" t="n"/>
      <c r="K2362" s="24" t="n"/>
      <c r="L2362" s="36" t="n"/>
      <c r="M2362" s="204" t="n"/>
      <c r="N2362" s="177" t="n"/>
      <c r="O2362" s="13" t="n"/>
      <c r="P2362" s="139" t="n"/>
      <c r="Q2362" s="2" t="n"/>
      <c r="R2362" s="1" t="n"/>
      <c r="S2362" s="229">
        <f>M2362*N2362</f>
        <v/>
      </c>
      <c r="T2362" s="230">
        <f>CONCATENATE(S2362,Q2362,P2362)</f>
        <v/>
      </c>
      <c r="U2362" s="206">
        <f>L2362*M2362</f>
        <v/>
      </c>
      <c r="V2362" s="4" t="n"/>
      <c r="W2362" s="4" t="n"/>
      <c r="X2362" s="4" t="n"/>
    </row>
    <row r="2363" ht="15.75" customHeight="1" thickBot="1">
      <c r="A2363" s="186" t="str"/>
      <c r="B2363" s="124" t="n"/>
      <c r="C2363" s="124" t="n"/>
      <c r="D2363" s="115" t="n"/>
      <c r="E2363" s="124" t="n"/>
      <c r="F2363" s="124" t="n"/>
      <c r="G2363" s="124" t="n"/>
      <c r="H2363" s="84" t="n"/>
      <c r="I2363" s="7" t="n"/>
      <c r="J2363" s="32" t="n"/>
      <c r="K2363" s="24" t="n"/>
      <c r="L2363" s="36" t="n"/>
      <c r="M2363" s="204" t="n"/>
      <c r="N2363" s="177" t="n"/>
      <c r="O2363" s="13" t="n"/>
      <c r="P2363" s="139" t="n"/>
      <c r="Q2363" s="2" t="n"/>
      <c r="R2363" s="1" t="n"/>
      <c r="S2363" s="229">
        <f>M2363*N2363</f>
        <v/>
      </c>
      <c r="T2363" s="230">
        <f>CONCATENATE(S2363,Q2363,P2363)</f>
        <v/>
      </c>
      <c r="U2363" s="206">
        <f>L2363*M2363</f>
        <v/>
      </c>
      <c r="V2363" s="4" t="n"/>
      <c r="W2363" s="4" t="n"/>
      <c r="X2363" s="4" t="n"/>
    </row>
    <row r="2364" ht="15.75" customHeight="1" thickBot="1">
      <c r="A2364" s="186" t="str"/>
      <c r="B2364" s="124" t="n"/>
      <c r="C2364" s="124" t="n"/>
      <c r="D2364" s="115" t="n"/>
      <c r="E2364" s="124" t="n"/>
      <c r="F2364" s="124" t="n"/>
      <c r="G2364" s="124" t="n"/>
      <c r="H2364" s="84" t="n"/>
      <c r="I2364" s="7" t="n"/>
      <c r="J2364" s="32" t="n"/>
      <c r="K2364" s="24" t="n"/>
      <c r="L2364" s="36" t="n"/>
      <c r="M2364" s="204" t="n"/>
      <c r="N2364" s="177" t="n"/>
      <c r="O2364" s="13" t="n"/>
      <c r="P2364" s="139" t="n"/>
      <c r="Q2364" s="2" t="n"/>
      <c r="R2364" s="1" t="n"/>
      <c r="S2364" s="229">
        <f>M2364*N2364</f>
        <v/>
      </c>
      <c r="T2364" s="230">
        <f>CONCATENATE(S2364,Q2364,P2364)</f>
        <v/>
      </c>
      <c r="U2364" s="206">
        <f>L2364*M2364</f>
        <v/>
      </c>
      <c r="V2364" s="4" t="n"/>
      <c r="W2364" s="4" t="n"/>
      <c r="X2364" s="4" t="n"/>
    </row>
    <row r="2365" ht="15.75" customHeight="1" thickBot="1">
      <c r="A2365" s="186" t="str"/>
      <c r="B2365" s="124" t="n"/>
      <c r="C2365" s="124" t="n"/>
      <c r="D2365" s="115" t="n"/>
      <c r="E2365" s="124" t="n"/>
      <c r="F2365" s="124" t="n"/>
      <c r="G2365" s="124" t="n"/>
      <c r="H2365" s="84" t="n"/>
      <c r="I2365" s="7" t="n"/>
      <c r="J2365" s="32" t="n"/>
      <c r="K2365" s="24" t="n"/>
      <c r="L2365" s="36" t="n"/>
      <c r="M2365" s="204" t="n"/>
      <c r="N2365" s="177" t="n"/>
      <c r="O2365" s="13" t="n"/>
      <c r="P2365" s="139" t="n"/>
      <c r="Q2365" s="2" t="n"/>
      <c r="R2365" s="1" t="n"/>
      <c r="S2365" s="229">
        <f>M2365*N2365</f>
        <v/>
      </c>
      <c r="T2365" s="230">
        <f>CONCATENATE(S2365,Q2365,P2365)</f>
        <v/>
      </c>
      <c r="U2365" s="206">
        <f>L2365*M2365</f>
        <v/>
      </c>
      <c r="V2365" s="4" t="n"/>
      <c r="W2365" s="4" t="n"/>
      <c r="X2365" s="4" t="n"/>
    </row>
    <row r="2366" ht="15.75" customHeight="1" thickBot="1">
      <c r="A2366" s="186" t="str"/>
      <c r="B2366" s="124" t="n"/>
      <c r="C2366" s="124" t="n"/>
      <c r="D2366" s="115" t="n"/>
      <c r="E2366" s="124" t="n"/>
      <c r="F2366" s="124" t="n"/>
      <c r="G2366" s="124" t="n"/>
      <c r="H2366" s="84" t="n"/>
      <c r="I2366" s="7" t="n"/>
      <c r="J2366" s="32" t="n"/>
      <c r="K2366" s="24" t="n"/>
      <c r="L2366" s="36" t="n"/>
      <c r="M2366" s="204" t="n"/>
      <c r="N2366" s="177" t="n"/>
      <c r="O2366" s="13" t="n"/>
      <c r="P2366" s="139" t="n"/>
      <c r="Q2366" s="2" t="n"/>
      <c r="R2366" s="1" t="n"/>
      <c r="S2366" s="229">
        <f>M2366*N2366</f>
        <v/>
      </c>
      <c r="T2366" s="230">
        <f>CONCATENATE(S2366,Q2366,P2366)</f>
        <v/>
      </c>
      <c r="U2366" s="206">
        <f>L2366*M2366</f>
        <v/>
      </c>
      <c r="V2366" s="4" t="n"/>
      <c r="W2366" s="4" t="n"/>
      <c r="X2366" s="4" t="n"/>
    </row>
    <row r="2367" ht="15.75" customHeight="1" thickBot="1">
      <c r="A2367" s="186" t="str"/>
      <c r="B2367" s="124" t="n"/>
      <c r="C2367" s="124" t="n"/>
      <c r="D2367" s="115" t="n"/>
      <c r="E2367" s="124" t="n"/>
      <c r="F2367" s="124" t="n"/>
      <c r="G2367" s="124" t="n"/>
      <c r="H2367" s="84" t="n"/>
      <c r="I2367" s="7" t="n"/>
      <c r="J2367" s="32" t="n"/>
      <c r="K2367" s="24" t="n"/>
      <c r="L2367" s="36" t="n"/>
      <c r="M2367" s="204" t="n"/>
      <c r="N2367" s="177" t="n"/>
      <c r="O2367" s="13" t="n"/>
      <c r="P2367" s="139" t="n"/>
      <c r="Q2367" s="2" t="n"/>
      <c r="R2367" s="1" t="n"/>
      <c r="S2367" s="229">
        <f>M2367*N2367</f>
        <v/>
      </c>
      <c r="T2367" s="230">
        <f>CONCATENATE(S2367,Q2367,P2367)</f>
        <v/>
      </c>
      <c r="U2367" s="206">
        <f>L2367*M2367</f>
        <v/>
      </c>
      <c r="V2367" s="4" t="n"/>
      <c r="W2367" s="4" t="n"/>
      <c r="X2367" s="4" t="n"/>
    </row>
    <row r="2368" ht="15.75" customHeight="1" thickBot="1">
      <c r="A2368" s="186" t="str"/>
      <c r="B2368" s="124" t="n"/>
      <c r="C2368" s="124" t="n"/>
      <c r="D2368" s="115" t="n"/>
      <c r="E2368" s="124" t="n"/>
      <c r="F2368" s="124" t="n"/>
      <c r="G2368" s="124" t="n"/>
      <c r="H2368" s="84" t="n"/>
      <c r="I2368" s="7" t="n"/>
      <c r="J2368" s="32" t="n"/>
      <c r="K2368" s="24" t="n"/>
      <c r="L2368" s="36" t="n"/>
      <c r="M2368" s="204" t="n"/>
      <c r="N2368" s="177" t="n"/>
      <c r="O2368" s="13" t="n"/>
      <c r="P2368" s="139" t="n"/>
      <c r="Q2368" s="2" t="n"/>
      <c r="R2368" s="1" t="n"/>
      <c r="S2368" s="229">
        <f>M2368*N2368</f>
        <v/>
      </c>
      <c r="T2368" s="230">
        <f>CONCATENATE(S2368,Q2368,P2368)</f>
        <v/>
      </c>
      <c r="U2368" s="206">
        <f>L2368*M2368</f>
        <v/>
      </c>
      <c r="V2368" s="4" t="n"/>
      <c r="W2368" s="4" t="n"/>
      <c r="X2368" s="4" t="n"/>
    </row>
    <row r="2369" ht="15.75" customHeight="1" thickBot="1">
      <c r="A2369" s="186" t="str"/>
      <c r="B2369" s="124" t="n"/>
      <c r="C2369" s="124" t="n"/>
      <c r="D2369" s="115" t="n"/>
      <c r="E2369" s="124" t="n"/>
      <c r="F2369" s="124" t="n"/>
      <c r="G2369" s="124" t="n"/>
      <c r="H2369" s="84" t="n"/>
      <c r="I2369" s="7" t="n"/>
      <c r="J2369" s="32" t="n"/>
      <c r="K2369" s="24" t="n"/>
      <c r="L2369" s="36" t="n"/>
      <c r="M2369" s="204" t="n"/>
      <c r="N2369" s="177" t="n"/>
      <c r="O2369" s="13" t="n"/>
      <c r="P2369" s="139" t="n"/>
      <c r="Q2369" s="2" t="n"/>
      <c r="R2369" s="1" t="n"/>
      <c r="S2369" s="229">
        <f>M2369*N2369</f>
        <v/>
      </c>
      <c r="T2369" s="230">
        <f>CONCATENATE(S2369,Q2369,P2369)</f>
        <v/>
      </c>
      <c r="U2369" s="206">
        <f>L2369*M2369</f>
        <v/>
      </c>
      <c r="V2369" s="4" t="n"/>
      <c r="W2369" s="4" t="n"/>
      <c r="X2369" s="4" t="n"/>
    </row>
    <row r="2370" ht="15.75" customHeight="1" thickBot="1">
      <c r="A2370" s="186" t="str"/>
      <c r="B2370" s="124" t="n"/>
      <c r="C2370" s="124" t="n"/>
      <c r="D2370" s="115" t="n"/>
      <c r="E2370" s="124" t="n"/>
      <c r="F2370" s="124" t="n"/>
      <c r="G2370" s="124" t="n"/>
      <c r="H2370" s="84" t="n"/>
      <c r="I2370" s="7" t="n"/>
      <c r="J2370" s="32" t="n"/>
      <c r="K2370" s="24" t="n"/>
      <c r="L2370" s="36" t="n"/>
      <c r="M2370" s="204" t="n"/>
      <c r="N2370" s="177" t="n"/>
      <c r="O2370" s="13" t="n"/>
      <c r="P2370" s="139" t="n"/>
      <c r="Q2370" s="2" t="n"/>
      <c r="R2370" s="1" t="n"/>
      <c r="S2370" s="229">
        <f>M2370*N2370</f>
        <v/>
      </c>
      <c r="T2370" s="230">
        <f>CONCATENATE(S2370,Q2370,P2370)</f>
        <v/>
      </c>
      <c r="U2370" s="206">
        <f>L2370*M2370</f>
        <v/>
      </c>
      <c r="V2370" s="4" t="n"/>
      <c r="W2370" s="4" t="n"/>
      <c r="X2370" s="4" t="n"/>
    </row>
    <row r="2371" ht="15.75" customHeight="1" thickBot="1">
      <c r="A2371" s="186" t="str"/>
      <c r="B2371" s="124" t="n"/>
      <c r="C2371" s="124" t="n"/>
      <c r="D2371" s="115" t="n"/>
      <c r="E2371" s="124" t="n"/>
      <c r="F2371" s="124" t="n"/>
      <c r="G2371" s="124" t="n"/>
      <c r="H2371" s="84" t="n"/>
      <c r="I2371" s="7" t="n"/>
      <c r="J2371" s="32" t="n"/>
      <c r="K2371" s="24" t="n"/>
      <c r="L2371" s="36" t="n"/>
      <c r="M2371" s="204" t="n"/>
      <c r="N2371" s="177" t="n"/>
      <c r="O2371" s="13" t="n"/>
      <c r="P2371" s="139" t="n"/>
      <c r="Q2371" s="2" t="n"/>
      <c r="R2371" s="1" t="n"/>
      <c r="S2371" s="229">
        <f>M2371*N2371</f>
        <v/>
      </c>
      <c r="T2371" s="230">
        <f>CONCATENATE(S2371,Q2371,P2371)</f>
        <v/>
      </c>
      <c r="U2371" s="206">
        <f>L2371*M2371</f>
        <v/>
      </c>
      <c r="V2371" s="4" t="n"/>
      <c r="W2371" s="4" t="n"/>
      <c r="X2371" s="4" t="n"/>
    </row>
    <row r="2372" ht="15.75" customHeight="1" thickBot="1">
      <c r="A2372" s="186" t="str"/>
      <c r="B2372" s="124" t="n"/>
      <c r="C2372" s="124" t="n"/>
      <c r="D2372" s="115" t="n"/>
      <c r="E2372" s="124" t="n"/>
      <c r="F2372" s="124" t="n"/>
      <c r="G2372" s="124" t="n"/>
      <c r="H2372" s="84" t="n"/>
      <c r="I2372" s="7" t="n"/>
      <c r="J2372" s="32" t="n"/>
      <c r="K2372" s="24" t="n"/>
      <c r="L2372" s="36" t="n"/>
      <c r="M2372" s="204" t="n"/>
      <c r="N2372" s="177" t="n"/>
      <c r="O2372" s="13" t="n"/>
      <c r="P2372" s="139" t="n"/>
      <c r="Q2372" s="2" t="n"/>
      <c r="R2372" s="1" t="n"/>
      <c r="S2372" s="229">
        <f>M2372*N2372</f>
        <v/>
      </c>
      <c r="T2372" s="230">
        <f>CONCATENATE(S2372,Q2372,P2372)</f>
        <v/>
      </c>
      <c r="U2372" s="206">
        <f>L2372*M2372</f>
        <v/>
      </c>
      <c r="V2372" s="4" t="n"/>
      <c r="W2372" s="4" t="n"/>
      <c r="X2372" s="4" t="n"/>
    </row>
    <row r="2373" ht="15.75" customHeight="1" thickBot="1">
      <c r="A2373" s="186" t="str"/>
      <c r="B2373" s="124" t="n"/>
      <c r="C2373" s="124" t="n"/>
      <c r="D2373" s="115" t="n"/>
      <c r="E2373" s="124" t="n"/>
      <c r="F2373" s="124" t="n"/>
      <c r="G2373" s="124" t="n"/>
      <c r="H2373" s="84" t="n"/>
      <c r="I2373" s="7" t="n"/>
      <c r="J2373" s="32" t="n"/>
      <c r="K2373" s="24" t="n"/>
      <c r="L2373" s="36" t="n"/>
      <c r="M2373" s="204" t="n"/>
      <c r="N2373" s="177" t="n"/>
      <c r="O2373" s="13" t="n"/>
      <c r="P2373" s="139" t="n"/>
      <c r="Q2373" s="2" t="n"/>
      <c r="R2373" s="1" t="n"/>
      <c r="S2373" s="229">
        <f>M2373*N2373</f>
        <v/>
      </c>
      <c r="T2373" s="230">
        <f>CONCATENATE(S2373,Q2373,P2373)</f>
        <v/>
      </c>
      <c r="U2373" s="206">
        <f>L2373*M2373</f>
        <v/>
      </c>
      <c r="V2373" s="4" t="n"/>
      <c r="W2373" s="4" t="n"/>
      <c r="X2373" s="4" t="n"/>
    </row>
    <row r="2374" ht="15.75" customHeight="1" thickBot="1">
      <c r="A2374" s="186" t="str"/>
      <c r="B2374" s="124" t="n"/>
      <c r="C2374" s="124" t="n"/>
      <c r="D2374" s="115" t="n"/>
      <c r="E2374" s="124" t="n"/>
      <c r="F2374" s="124" t="n"/>
      <c r="G2374" s="124" t="n"/>
      <c r="H2374" s="84" t="n"/>
      <c r="I2374" s="7" t="n"/>
      <c r="J2374" s="32" t="n"/>
      <c r="K2374" s="24" t="n"/>
      <c r="L2374" s="36" t="n"/>
      <c r="M2374" s="204" t="n"/>
      <c r="N2374" s="177" t="n"/>
      <c r="O2374" s="13" t="n"/>
      <c r="P2374" s="139" t="n"/>
      <c r="Q2374" s="2" t="n"/>
      <c r="R2374" s="1" t="n"/>
      <c r="S2374" s="229">
        <f>M2374*N2374</f>
        <v/>
      </c>
      <c r="T2374" s="230">
        <f>CONCATENATE(S2374,Q2374,P2374)</f>
        <v/>
      </c>
      <c r="U2374" s="206">
        <f>L2374*M2374</f>
        <v/>
      </c>
      <c r="V2374" s="4" t="n"/>
      <c r="W2374" s="4" t="n"/>
      <c r="X2374" s="4" t="n"/>
    </row>
    <row r="2375" ht="15.75" customHeight="1" thickBot="1">
      <c r="A2375" s="186" t="str"/>
      <c r="B2375" s="124" t="n"/>
      <c r="C2375" s="124" t="n"/>
      <c r="D2375" s="115" t="n"/>
      <c r="E2375" s="124" t="n"/>
      <c r="F2375" s="124" t="n"/>
      <c r="G2375" s="124" t="n"/>
      <c r="H2375" s="84" t="n"/>
      <c r="I2375" s="7" t="n"/>
      <c r="J2375" s="32" t="n"/>
      <c r="K2375" s="24" t="n"/>
      <c r="L2375" s="36" t="n"/>
      <c r="M2375" s="204" t="n"/>
      <c r="N2375" s="177" t="n"/>
      <c r="O2375" s="13" t="n"/>
      <c r="P2375" s="139" t="n"/>
      <c r="Q2375" s="2" t="n"/>
      <c r="R2375" s="1" t="n"/>
      <c r="S2375" s="229">
        <f>M2375*N2375</f>
        <v/>
      </c>
      <c r="T2375" s="230">
        <f>CONCATENATE(S2375,Q2375,P2375)</f>
        <v/>
      </c>
      <c r="U2375" s="206">
        <f>L2375*M2375</f>
        <v/>
      </c>
      <c r="V2375" s="4" t="n"/>
      <c r="W2375" s="4" t="n"/>
      <c r="X2375" s="4" t="n"/>
    </row>
    <row r="2376" ht="15.75" customHeight="1" thickBot="1">
      <c r="A2376" s="186" t="str"/>
      <c r="B2376" s="124" t="n"/>
      <c r="C2376" s="124" t="n"/>
      <c r="D2376" s="115" t="n"/>
      <c r="E2376" s="124" t="n"/>
      <c r="F2376" s="124" t="n"/>
      <c r="G2376" s="124" t="n"/>
      <c r="H2376" s="84" t="n"/>
      <c r="I2376" s="7" t="n"/>
      <c r="J2376" s="32" t="n"/>
      <c r="K2376" s="24" t="n"/>
      <c r="L2376" s="36" t="n"/>
      <c r="M2376" s="204" t="n"/>
      <c r="N2376" s="177" t="n"/>
      <c r="O2376" s="13" t="n"/>
      <c r="P2376" s="139" t="n"/>
      <c r="Q2376" s="2" t="n"/>
      <c r="R2376" s="1" t="n"/>
      <c r="S2376" s="229">
        <f>M2376*N2376</f>
        <v/>
      </c>
      <c r="T2376" s="230">
        <f>CONCATENATE(S2376,Q2376,P2376)</f>
        <v/>
      </c>
      <c r="U2376" s="206">
        <f>L2376*M2376</f>
        <v/>
      </c>
      <c r="V2376" s="4" t="n"/>
      <c r="W2376" s="4" t="n"/>
      <c r="X2376" s="4" t="n"/>
    </row>
    <row r="2377" ht="15.75" customHeight="1" thickBot="1">
      <c r="A2377" s="186" t="str"/>
      <c r="B2377" s="124" t="n"/>
      <c r="C2377" s="124" t="n"/>
      <c r="D2377" s="115" t="n"/>
      <c r="E2377" s="124" t="n"/>
      <c r="F2377" s="124" t="n"/>
      <c r="G2377" s="124" t="n"/>
      <c r="H2377" s="84" t="n"/>
      <c r="I2377" s="7" t="n"/>
      <c r="J2377" s="32" t="n"/>
      <c r="K2377" s="24" t="n"/>
      <c r="L2377" s="36" t="n"/>
      <c r="M2377" s="204" t="n"/>
      <c r="N2377" s="177" t="n"/>
      <c r="O2377" s="13" t="n"/>
      <c r="P2377" s="139" t="n"/>
      <c r="Q2377" s="2" t="n"/>
      <c r="R2377" s="1" t="n"/>
      <c r="S2377" s="229">
        <f>M2377*N2377</f>
        <v/>
      </c>
      <c r="T2377" s="230">
        <f>CONCATENATE(S2377,Q2377,P2377)</f>
        <v/>
      </c>
      <c r="U2377" s="206">
        <f>L2377*M2377</f>
        <v/>
      </c>
      <c r="V2377" s="4" t="n"/>
      <c r="W2377" s="4" t="n"/>
      <c r="X2377" s="4" t="n"/>
    </row>
    <row r="2378" ht="15.75" customHeight="1" thickBot="1">
      <c r="A2378" s="186" t="str"/>
      <c r="B2378" s="124" t="n"/>
      <c r="C2378" s="124" t="n"/>
      <c r="D2378" s="115" t="n"/>
      <c r="E2378" s="124" t="n"/>
      <c r="F2378" s="124" t="n"/>
      <c r="G2378" s="124" t="n"/>
      <c r="H2378" s="84" t="n"/>
      <c r="I2378" s="7" t="n"/>
      <c r="J2378" s="32" t="n"/>
      <c r="K2378" s="24" t="n"/>
      <c r="L2378" s="36" t="n"/>
      <c r="M2378" s="204" t="n"/>
      <c r="N2378" s="177" t="n"/>
      <c r="O2378" s="13" t="n"/>
      <c r="P2378" s="139" t="n"/>
      <c r="Q2378" s="2" t="n"/>
      <c r="R2378" s="1" t="n"/>
      <c r="S2378" s="229">
        <f>M2378*N2378</f>
        <v/>
      </c>
      <c r="T2378" s="230">
        <f>CONCATENATE(S2378,Q2378,P2378)</f>
        <v/>
      </c>
      <c r="U2378" s="206">
        <f>L2378*M2378</f>
        <v/>
      </c>
      <c r="V2378" s="4" t="n"/>
      <c r="W2378" s="4" t="n"/>
      <c r="X2378" s="4" t="n"/>
    </row>
    <row r="2379" ht="15.75" customHeight="1" thickBot="1">
      <c r="A2379" s="186" t="str"/>
      <c r="B2379" s="124" t="n"/>
      <c r="C2379" s="124" t="n"/>
      <c r="D2379" s="115" t="n"/>
      <c r="E2379" s="124" t="n"/>
      <c r="F2379" s="124" t="n"/>
      <c r="G2379" s="124" t="n"/>
      <c r="H2379" s="84" t="n"/>
      <c r="I2379" s="7" t="n"/>
      <c r="J2379" s="32" t="n"/>
      <c r="K2379" s="24" t="n"/>
      <c r="L2379" s="36" t="n"/>
      <c r="M2379" s="204" t="n"/>
      <c r="N2379" s="177" t="n"/>
      <c r="O2379" s="13" t="n"/>
      <c r="P2379" s="139" t="n"/>
      <c r="Q2379" s="2" t="n"/>
      <c r="R2379" s="1" t="n"/>
      <c r="S2379" s="229">
        <f>M2379*N2379</f>
        <v/>
      </c>
      <c r="T2379" s="230">
        <f>CONCATENATE(S2379,Q2379,P2379)</f>
        <v/>
      </c>
      <c r="U2379" s="206">
        <f>L2379*M2379</f>
        <v/>
      </c>
      <c r="V2379" s="4" t="n"/>
      <c r="W2379" s="4" t="n"/>
      <c r="X2379" s="4" t="n"/>
    </row>
    <row r="2380" ht="15.75" customHeight="1" thickBot="1">
      <c r="A2380" s="186" t="str"/>
      <c r="B2380" s="124" t="n"/>
      <c r="C2380" s="124" t="n"/>
      <c r="D2380" s="115" t="n"/>
      <c r="E2380" s="124" t="n"/>
      <c r="F2380" s="124" t="n"/>
      <c r="G2380" s="124" t="n"/>
      <c r="H2380" s="84" t="n"/>
      <c r="I2380" s="7" t="n"/>
      <c r="J2380" s="32" t="n"/>
      <c r="K2380" s="24" t="n"/>
      <c r="L2380" s="36" t="n"/>
      <c r="M2380" s="204" t="n"/>
      <c r="N2380" s="177" t="n"/>
      <c r="O2380" s="13" t="n"/>
      <c r="P2380" s="139" t="n"/>
      <c r="Q2380" s="2" t="n"/>
      <c r="R2380" s="1" t="n"/>
      <c r="S2380" s="229">
        <f>M2380*N2380</f>
        <v/>
      </c>
      <c r="T2380" s="230">
        <f>CONCATENATE(S2380,Q2380,P2380)</f>
        <v/>
      </c>
      <c r="U2380" s="206">
        <f>L2380*M2380</f>
        <v/>
      </c>
      <c r="V2380" s="4" t="n"/>
      <c r="W2380" s="4" t="n"/>
      <c r="X2380" s="4" t="n"/>
    </row>
    <row r="2381" ht="15.75" customHeight="1" thickBot="1">
      <c r="A2381" s="186" t="str"/>
      <c r="B2381" s="124" t="n"/>
      <c r="C2381" s="124" t="n"/>
      <c r="D2381" s="115" t="n"/>
      <c r="E2381" s="124" t="n"/>
      <c r="F2381" s="124" t="n"/>
      <c r="G2381" s="124" t="n"/>
      <c r="H2381" s="84" t="n"/>
      <c r="I2381" s="7" t="n"/>
      <c r="J2381" s="32" t="n"/>
      <c r="K2381" s="24" t="n"/>
      <c r="L2381" s="36" t="n"/>
      <c r="M2381" s="204" t="n"/>
      <c r="N2381" s="177" t="n"/>
      <c r="O2381" s="13" t="n"/>
      <c r="P2381" s="139" t="n"/>
      <c r="Q2381" s="2" t="n"/>
      <c r="R2381" s="1" t="n"/>
      <c r="S2381" s="229">
        <f>M2381*N2381</f>
        <v/>
      </c>
      <c r="T2381" s="230">
        <f>CONCATENATE(S2381,Q2381,P2381)</f>
        <v/>
      </c>
      <c r="U2381" s="206">
        <f>L2381*M2381</f>
        <v/>
      </c>
      <c r="V2381" s="4" t="n"/>
      <c r="W2381" s="4" t="n"/>
      <c r="X2381" s="4" t="n"/>
    </row>
    <row r="2382" ht="15.75" customHeight="1" thickBot="1">
      <c r="A2382" s="186" t="str"/>
      <c r="B2382" s="124" t="n"/>
      <c r="C2382" s="124" t="n"/>
      <c r="D2382" s="115" t="n"/>
      <c r="E2382" s="124" t="n"/>
      <c r="F2382" s="124" t="n"/>
      <c r="G2382" s="124" t="n"/>
      <c r="H2382" s="84" t="n"/>
      <c r="I2382" s="7" t="n"/>
      <c r="J2382" s="32" t="n"/>
      <c r="K2382" s="24" t="n"/>
      <c r="L2382" s="36" t="n"/>
      <c r="M2382" s="204" t="n"/>
      <c r="N2382" s="177" t="n"/>
      <c r="O2382" s="13" t="n"/>
      <c r="P2382" s="139" t="n"/>
      <c r="Q2382" s="2" t="n"/>
      <c r="R2382" s="1" t="n"/>
      <c r="S2382" s="229">
        <f>M2382*N2382</f>
        <v/>
      </c>
      <c r="T2382" s="230">
        <f>CONCATENATE(S2382,Q2382,P2382)</f>
        <v/>
      </c>
      <c r="U2382" s="206">
        <f>L2382*M2382</f>
        <v/>
      </c>
      <c r="V2382" s="4" t="n"/>
      <c r="W2382" s="4" t="n"/>
      <c r="X2382" s="4" t="n"/>
    </row>
    <row r="2383" ht="15.75" customHeight="1" thickBot="1">
      <c r="A2383" s="186" t="str"/>
      <c r="B2383" s="124" t="n"/>
      <c r="C2383" s="124" t="n"/>
      <c r="D2383" s="115" t="n"/>
      <c r="E2383" s="124" t="n"/>
      <c r="F2383" s="124" t="n"/>
      <c r="G2383" s="124" t="n"/>
      <c r="H2383" s="84" t="n"/>
      <c r="I2383" s="7" t="n"/>
      <c r="J2383" s="32" t="n"/>
      <c r="K2383" s="24" t="n"/>
      <c r="L2383" s="36" t="n"/>
      <c r="M2383" s="204" t="n"/>
      <c r="N2383" s="177" t="n"/>
      <c r="O2383" s="13" t="n"/>
      <c r="P2383" s="139" t="n"/>
      <c r="Q2383" s="2" t="n"/>
      <c r="R2383" s="1" t="n"/>
      <c r="S2383" s="229">
        <f>M2383*N2383</f>
        <v/>
      </c>
      <c r="T2383" s="230">
        <f>CONCATENATE(S2383,Q2383,P2383)</f>
        <v/>
      </c>
      <c r="U2383" s="206">
        <f>L2383*M2383</f>
        <v/>
      </c>
      <c r="V2383" s="4" t="n"/>
      <c r="W2383" s="4" t="n"/>
      <c r="X2383" s="4" t="n"/>
    </row>
    <row r="2384" ht="15.75" customHeight="1" thickBot="1">
      <c r="A2384" s="186" t="str"/>
      <c r="B2384" s="124" t="n"/>
      <c r="C2384" s="124" t="n"/>
      <c r="D2384" s="115" t="n"/>
      <c r="E2384" s="124" t="n"/>
      <c r="F2384" s="124" t="n"/>
      <c r="G2384" s="124" t="n"/>
      <c r="H2384" s="84" t="n"/>
      <c r="I2384" s="7" t="n"/>
      <c r="J2384" s="32" t="n"/>
      <c r="K2384" s="24" t="n"/>
      <c r="L2384" s="36" t="n"/>
      <c r="M2384" s="204" t="n"/>
      <c r="N2384" s="177" t="n"/>
      <c r="O2384" s="13" t="n"/>
      <c r="P2384" s="139" t="n"/>
      <c r="Q2384" s="2" t="n"/>
      <c r="R2384" s="1" t="n"/>
      <c r="S2384" s="229">
        <f>M2384*N2384</f>
        <v/>
      </c>
      <c r="T2384" s="230">
        <f>CONCATENATE(S2384,Q2384,P2384)</f>
        <v/>
      </c>
      <c r="U2384" s="206">
        <f>L2384*M2384</f>
        <v/>
      </c>
      <c r="V2384" s="4" t="n"/>
      <c r="W2384" s="4" t="n"/>
      <c r="X2384" s="4" t="n"/>
    </row>
    <row r="2385" ht="15.75" customHeight="1" thickBot="1">
      <c r="A2385" s="186" t="str"/>
      <c r="B2385" s="124" t="n"/>
      <c r="C2385" s="124" t="n"/>
      <c r="D2385" s="115" t="n"/>
      <c r="E2385" s="124" t="n"/>
      <c r="F2385" s="124" t="n"/>
      <c r="G2385" s="124" t="n"/>
      <c r="H2385" s="84" t="n"/>
      <c r="I2385" s="7" t="n"/>
      <c r="J2385" s="32" t="n"/>
      <c r="K2385" s="24" t="n"/>
      <c r="L2385" s="36" t="n"/>
      <c r="M2385" s="204" t="n"/>
      <c r="N2385" s="177" t="n"/>
      <c r="O2385" s="13" t="n"/>
      <c r="P2385" s="139" t="n"/>
      <c r="Q2385" s="2" t="n"/>
      <c r="R2385" s="1" t="n"/>
      <c r="S2385" s="229">
        <f>M2385*N2385</f>
        <v/>
      </c>
      <c r="T2385" s="230">
        <f>CONCATENATE(S2385,Q2385,P2385)</f>
        <v/>
      </c>
      <c r="U2385" s="206">
        <f>L2385*M2385</f>
        <v/>
      </c>
      <c r="V2385" s="4" t="n"/>
      <c r="W2385" s="4" t="n"/>
      <c r="X2385" s="4" t="n"/>
    </row>
    <row r="2386" ht="15.75" customHeight="1" thickBot="1">
      <c r="A2386" s="186" t="str"/>
      <c r="B2386" s="124" t="n"/>
      <c r="C2386" s="124" t="n"/>
      <c r="D2386" s="115" t="n"/>
      <c r="E2386" s="124" t="n"/>
      <c r="F2386" s="124" t="n"/>
      <c r="G2386" s="124" t="n"/>
      <c r="H2386" s="84" t="n"/>
      <c r="I2386" s="7" t="n"/>
      <c r="J2386" s="32" t="n"/>
      <c r="K2386" s="24" t="n"/>
      <c r="L2386" s="36" t="n"/>
      <c r="M2386" s="204" t="n"/>
      <c r="N2386" s="177" t="n"/>
      <c r="O2386" s="13" t="n"/>
      <c r="P2386" s="139" t="n"/>
      <c r="Q2386" s="2" t="n"/>
      <c r="R2386" s="1" t="n"/>
      <c r="S2386" s="229">
        <f>M2386*N2386</f>
        <v/>
      </c>
      <c r="T2386" s="230">
        <f>CONCATENATE(S2386,Q2386,P2386)</f>
        <v/>
      </c>
      <c r="U2386" s="206">
        <f>L2386*M2386</f>
        <v/>
      </c>
      <c r="V2386" s="4" t="n"/>
      <c r="W2386" s="4" t="n"/>
      <c r="X2386" s="4" t="n"/>
    </row>
    <row r="2387" ht="15.75" customHeight="1" thickBot="1">
      <c r="A2387" s="186" t="str"/>
      <c r="B2387" s="124" t="n"/>
      <c r="C2387" s="124" t="n"/>
      <c r="D2387" s="115" t="n"/>
      <c r="E2387" s="124" t="n"/>
      <c r="F2387" s="124" t="n"/>
      <c r="G2387" s="124" t="n"/>
      <c r="H2387" s="84" t="n"/>
      <c r="I2387" s="7" t="n"/>
      <c r="J2387" s="32" t="n"/>
      <c r="K2387" s="24" t="n"/>
      <c r="L2387" s="36" t="n"/>
      <c r="M2387" s="204" t="n"/>
      <c r="N2387" s="177" t="n"/>
      <c r="O2387" s="13" t="n"/>
      <c r="P2387" s="139" t="n"/>
      <c r="Q2387" s="2" t="n"/>
      <c r="R2387" s="1" t="n"/>
      <c r="S2387" s="229">
        <f>M2387*N2387</f>
        <v/>
      </c>
      <c r="T2387" s="230">
        <f>CONCATENATE(S2387,Q2387,P2387)</f>
        <v/>
      </c>
      <c r="U2387" s="206">
        <f>L2387*M2387</f>
        <v/>
      </c>
      <c r="V2387" s="4" t="n"/>
      <c r="W2387" s="4" t="n"/>
      <c r="X2387" s="4" t="n"/>
    </row>
    <row r="2388" ht="15.75" customHeight="1" thickBot="1">
      <c r="A2388" s="186" t="str"/>
      <c r="B2388" s="124" t="n"/>
      <c r="C2388" s="124" t="n"/>
      <c r="D2388" s="115" t="n"/>
      <c r="E2388" s="124" t="n"/>
      <c r="F2388" s="124" t="n"/>
      <c r="G2388" s="124" t="n"/>
      <c r="H2388" s="84" t="n"/>
      <c r="I2388" s="7" t="n"/>
      <c r="J2388" s="32" t="n"/>
      <c r="K2388" s="24" t="n"/>
      <c r="L2388" s="36" t="n"/>
      <c r="M2388" s="204" t="n"/>
      <c r="N2388" s="177" t="n"/>
      <c r="O2388" s="13" t="n"/>
      <c r="P2388" s="139" t="n"/>
      <c r="Q2388" s="2" t="n"/>
      <c r="R2388" s="1" t="n"/>
      <c r="S2388" s="229">
        <f>M2388*N2388</f>
        <v/>
      </c>
      <c r="T2388" s="230">
        <f>CONCATENATE(S2388,Q2388,P2388)</f>
        <v/>
      </c>
      <c r="U2388" s="206">
        <f>L2388*M2388</f>
        <v/>
      </c>
      <c r="V2388" s="4" t="n"/>
      <c r="W2388" s="4" t="n"/>
      <c r="X2388" s="4" t="n"/>
    </row>
    <row r="2389" ht="15.75" customHeight="1" thickBot="1">
      <c r="A2389" s="186" t="str"/>
      <c r="B2389" s="124" t="n"/>
      <c r="C2389" s="124" t="n"/>
      <c r="D2389" s="115" t="n"/>
      <c r="E2389" s="124" t="n"/>
      <c r="F2389" s="124" t="n"/>
      <c r="G2389" s="124" t="n"/>
      <c r="H2389" s="84" t="n"/>
      <c r="I2389" s="7" t="n"/>
      <c r="J2389" s="32" t="n"/>
      <c r="K2389" s="24" t="n"/>
      <c r="L2389" s="36" t="n"/>
      <c r="M2389" s="204" t="n"/>
      <c r="N2389" s="177" t="n"/>
      <c r="O2389" s="13" t="n"/>
      <c r="P2389" s="139" t="n"/>
      <c r="Q2389" s="2" t="n"/>
      <c r="R2389" s="1" t="n"/>
      <c r="S2389" s="229">
        <f>M2389*N2389</f>
        <v/>
      </c>
      <c r="T2389" s="230">
        <f>CONCATENATE(S2389,Q2389,P2389)</f>
        <v/>
      </c>
      <c r="U2389" s="206">
        <f>L2389*M2389</f>
        <v/>
      </c>
      <c r="V2389" s="4" t="n"/>
      <c r="W2389" s="4" t="n"/>
      <c r="X2389" s="4" t="n"/>
    </row>
    <row r="2390" ht="15.75" customHeight="1" thickBot="1">
      <c r="A2390" s="186" t="str"/>
      <c r="B2390" s="124" t="n"/>
      <c r="C2390" s="124" t="n"/>
      <c r="D2390" s="115" t="n"/>
      <c r="E2390" s="124" t="n"/>
      <c r="F2390" s="124" t="n"/>
      <c r="G2390" s="124" t="n"/>
      <c r="H2390" s="84" t="n"/>
      <c r="I2390" s="7" t="n"/>
      <c r="J2390" s="32" t="n"/>
      <c r="K2390" s="24" t="n"/>
      <c r="L2390" s="36" t="n"/>
      <c r="M2390" s="204" t="n"/>
      <c r="N2390" s="177" t="n"/>
      <c r="O2390" s="13" t="n"/>
      <c r="P2390" s="139" t="n"/>
      <c r="Q2390" s="2" t="n"/>
      <c r="R2390" s="1" t="n"/>
      <c r="S2390" s="229">
        <f>M2390*N2390</f>
        <v/>
      </c>
      <c r="T2390" s="230">
        <f>CONCATENATE(S2390,Q2390,P2390)</f>
        <v/>
      </c>
      <c r="U2390" s="206">
        <f>L2390*M2390</f>
        <v/>
      </c>
      <c r="V2390" s="4" t="n"/>
      <c r="W2390" s="4" t="n"/>
      <c r="X2390" s="4" t="n"/>
    </row>
    <row r="2391" ht="15.75" customHeight="1" thickBot="1">
      <c r="A2391" s="186" t="str"/>
      <c r="B2391" s="124" t="n"/>
      <c r="C2391" s="124" t="n"/>
      <c r="D2391" s="115" t="n"/>
      <c r="E2391" s="124" t="n"/>
      <c r="F2391" s="124" t="n"/>
      <c r="G2391" s="124" t="n"/>
      <c r="H2391" s="84" t="n"/>
      <c r="I2391" s="7" t="n"/>
      <c r="J2391" s="32" t="n"/>
      <c r="K2391" s="24" t="n"/>
      <c r="L2391" s="36" t="n"/>
      <c r="M2391" s="204" t="n"/>
      <c r="N2391" s="177" t="n"/>
      <c r="O2391" s="13" t="n"/>
      <c r="P2391" s="139" t="n"/>
      <c r="Q2391" s="2" t="n"/>
      <c r="R2391" s="1" t="n"/>
      <c r="S2391" s="229">
        <f>M2391*N2391</f>
        <v/>
      </c>
      <c r="T2391" s="230">
        <f>CONCATENATE(S2391,Q2391,P2391)</f>
        <v/>
      </c>
      <c r="U2391" s="206">
        <f>L2391*M2391</f>
        <v/>
      </c>
      <c r="V2391" s="4" t="n"/>
      <c r="W2391" s="4" t="n"/>
      <c r="X2391" s="4" t="n"/>
    </row>
    <row r="2392" ht="15.75" customHeight="1" thickBot="1">
      <c r="A2392" s="186" t="str"/>
      <c r="B2392" s="124" t="n"/>
      <c r="C2392" s="124" t="n"/>
      <c r="D2392" s="115" t="n"/>
      <c r="E2392" s="124" t="n"/>
      <c r="F2392" s="124" t="n"/>
      <c r="G2392" s="124" t="n"/>
      <c r="H2392" s="84" t="n"/>
      <c r="I2392" s="7" t="n"/>
      <c r="J2392" s="32" t="n"/>
      <c r="K2392" s="24" t="n"/>
      <c r="L2392" s="36" t="n"/>
      <c r="M2392" s="204" t="n"/>
      <c r="N2392" s="177" t="n"/>
      <c r="O2392" s="13" t="n"/>
      <c r="P2392" s="139" t="n"/>
      <c r="Q2392" s="2" t="n"/>
      <c r="R2392" s="1" t="n"/>
      <c r="S2392" s="229">
        <f>M2392*N2392</f>
        <v/>
      </c>
      <c r="T2392" s="230">
        <f>CONCATENATE(S2392,Q2392,P2392)</f>
        <v/>
      </c>
      <c r="U2392" s="206">
        <f>L2392*M2392</f>
        <v/>
      </c>
      <c r="V2392" s="4" t="n"/>
      <c r="W2392" s="4" t="n"/>
      <c r="X2392" s="4" t="n"/>
    </row>
    <row r="2393" ht="15.75" customHeight="1" thickBot="1">
      <c r="A2393" s="186" t="str"/>
      <c r="B2393" s="124" t="n"/>
      <c r="C2393" s="124" t="n"/>
      <c r="D2393" s="115" t="n"/>
      <c r="E2393" s="124" t="n"/>
      <c r="F2393" s="124" t="n"/>
      <c r="G2393" s="124" t="n"/>
      <c r="H2393" s="84" t="n"/>
      <c r="I2393" s="7" t="n"/>
      <c r="J2393" s="32" t="n"/>
      <c r="K2393" s="24" t="n"/>
      <c r="L2393" s="36" t="n"/>
      <c r="M2393" s="204" t="n"/>
      <c r="N2393" s="177" t="n"/>
      <c r="O2393" s="13" t="n"/>
      <c r="P2393" s="139" t="n"/>
      <c r="Q2393" s="2" t="n"/>
      <c r="R2393" s="1" t="n"/>
      <c r="S2393" s="229">
        <f>M2393*N2393</f>
        <v/>
      </c>
      <c r="T2393" s="230">
        <f>CONCATENATE(S2393,Q2393,P2393)</f>
        <v/>
      </c>
      <c r="U2393" s="206">
        <f>L2393*M2393</f>
        <v/>
      </c>
      <c r="V2393" s="4" t="n"/>
      <c r="W2393" s="4" t="n"/>
      <c r="X2393" s="4" t="n"/>
    </row>
    <row r="2394" ht="15.75" customHeight="1" thickBot="1">
      <c r="A2394" s="186" t="str"/>
      <c r="B2394" s="124" t="n"/>
      <c r="C2394" s="124" t="n"/>
      <c r="D2394" s="115" t="n"/>
      <c r="E2394" s="124" t="n"/>
      <c r="F2394" s="124" t="n"/>
      <c r="G2394" s="124" t="n"/>
      <c r="H2394" s="84" t="n"/>
      <c r="I2394" s="7" t="n"/>
      <c r="J2394" s="32" t="n"/>
      <c r="K2394" s="24" t="n"/>
      <c r="L2394" s="36" t="n"/>
      <c r="M2394" s="204" t="n"/>
      <c r="N2394" s="177" t="n"/>
      <c r="O2394" s="13" t="n"/>
      <c r="P2394" s="139" t="n"/>
      <c r="Q2394" s="2" t="n"/>
      <c r="R2394" s="1" t="n"/>
      <c r="S2394" s="229">
        <f>M2394*N2394</f>
        <v/>
      </c>
      <c r="T2394" s="230">
        <f>CONCATENATE(S2394,Q2394,P2394)</f>
        <v/>
      </c>
      <c r="U2394" s="206">
        <f>L2394*M2394</f>
        <v/>
      </c>
      <c r="V2394" s="4" t="n"/>
      <c r="W2394" s="4" t="n"/>
      <c r="X2394" s="4" t="n"/>
    </row>
    <row r="2395" ht="15.75" customHeight="1" thickBot="1">
      <c r="A2395" s="186" t="str"/>
      <c r="B2395" s="124" t="n"/>
      <c r="C2395" s="124" t="n"/>
      <c r="D2395" s="115" t="n"/>
      <c r="E2395" s="124" t="n"/>
      <c r="F2395" s="124" t="n"/>
      <c r="G2395" s="124" t="n"/>
      <c r="H2395" s="84" t="n"/>
      <c r="I2395" s="7" t="n"/>
      <c r="J2395" s="32" t="n"/>
      <c r="K2395" s="24" t="n"/>
      <c r="L2395" s="36" t="n"/>
      <c r="M2395" s="204" t="n"/>
      <c r="N2395" s="177" t="n"/>
      <c r="O2395" s="13" t="n"/>
      <c r="P2395" s="139" t="n"/>
      <c r="Q2395" s="2" t="n"/>
      <c r="R2395" s="1" t="n"/>
      <c r="S2395" s="229">
        <f>M2395*N2395</f>
        <v/>
      </c>
      <c r="T2395" s="230">
        <f>CONCATENATE(S2395,Q2395,P2395)</f>
        <v/>
      </c>
      <c r="U2395" s="206">
        <f>L2395*M2395</f>
        <v/>
      </c>
      <c r="V2395" s="4" t="n"/>
      <c r="W2395" s="4" t="n"/>
      <c r="X2395" s="4" t="n"/>
    </row>
    <row r="2396" ht="15.75" customHeight="1" thickBot="1">
      <c r="A2396" s="186" t="str"/>
      <c r="B2396" s="124" t="n"/>
      <c r="C2396" s="124" t="n"/>
      <c r="D2396" s="115" t="n"/>
      <c r="E2396" s="124" t="n"/>
      <c r="F2396" s="124" t="n"/>
      <c r="G2396" s="124" t="n"/>
      <c r="H2396" s="84" t="n"/>
      <c r="I2396" s="7" t="n"/>
      <c r="J2396" s="32" t="n"/>
      <c r="K2396" s="24" t="n"/>
      <c r="L2396" s="36" t="n"/>
      <c r="M2396" s="204" t="n"/>
      <c r="N2396" s="177" t="n"/>
      <c r="O2396" s="13" t="n"/>
      <c r="P2396" s="139" t="n"/>
      <c r="Q2396" s="2" t="n"/>
      <c r="R2396" s="1" t="n"/>
      <c r="S2396" s="229">
        <f>M2396*N2396</f>
        <v/>
      </c>
      <c r="T2396" s="230">
        <f>CONCATENATE(S2396,Q2396,P2396)</f>
        <v/>
      </c>
      <c r="U2396" s="206">
        <f>L2396*M2396</f>
        <v/>
      </c>
      <c r="V2396" s="4" t="n"/>
      <c r="W2396" s="4" t="n"/>
      <c r="X2396" s="4" t="n"/>
    </row>
    <row r="2397" ht="15.75" customHeight="1" thickBot="1">
      <c r="A2397" s="186" t="str"/>
      <c r="B2397" s="124" t="n"/>
      <c r="C2397" s="124" t="n"/>
      <c r="D2397" s="115" t="n"/>
      <c r="E2397" s="124" t="n"/>
      <c r="F2397" s="124" t="n"/>
      <c r="G2397" s="124" t="n"/>
      <c r="H2397" s="84" t="n"/>
      <c r="I2397" s="7" t="n"/>
      <c r="J2397" s="32" t="n"/>
      <c r="K2397" s="24" t="n"/>
      <c r="L2397" s="36" t="n"/>
      <c r="M2397" s="204" t="n"/>
      <c r="N2397" s="177" t="n"/>
      <c r="O2397" s="13" t="n"/>
      <c r="P2397" s="139" t="n"/>
      <c r="Q2397" s="2" t="n"/>
      <c r="R2397" s="1" t="n"/>
      <c r="S2397" s="229">
        <f>M2397*N2397</f>
        <v/>
      </c>
      <c r="T2397" s="230">
        <f>CONCATENATE(S2397,Q2397,P2397)</f>
        <v/>
      </c>
      <c r="U2397" s="206">
        <f>L2397*M2397</f>
        <v/>
      </c>
      <c r="V2397" s="4" t="n"/>
      <c r="W2397" s="4" t="n"/>
      <c r="X2397" s="4" t="n"/>
    </row>
    <row r="2398" ht="15.75" customHeight="1" thickBot="1">
      <c r="A2398" s="186" t="str"/>
      <c r="B2398" s="124" t="n"/>
      <c r="C2398" s="124" t="n"/>
      <c r="D2398" s="115" t="n"/>
      <c r="E2398" s="124" t="n"/>
      <c r="F2398" s="124" t="n"/>
      <c r="G2398" s="124" t="n"/>
      <c r="H2398" s="84" t="n"/>
      <c r="I2398" s="7" t="n"/>
      <c r="J2398" s="32" t="n"/>
      <c r="K2398" s="24" t="n"/>
      <c r="L2398" s="36" t="n"/>
      <c r="M2398" s="204" t="n"/>
      <c r="N2398" s="177" t="n"/>
      <c r="O2398" s="13" t="n"/>
      <c r="P2398" s="139" t="n"/>
      <c r="Q2398" s="2" t="n"/>
      <c r="R2398" s="1" t="n"/>
      <c r="S2398" s="229">
        <f>M2398*N2398</f>
        <v/>
      </c>
      <c r="T2398" s="230">
        <f>CONCATENATE(S2398,Q2398,P2398)</f>
        <v/>
      </c>
      <c r="U2398" s="206">
        <f>L2398*M2398</f>
        <v/>
      </c>
      <c r="V2398" s="4" t="n"/>
      <c r="W2398" s="4" t="n"/>
      <c r="X2398" s="4" t="n"/>
    </row>
    <row r="2399" ht="15.75" customHeight="1" thickBot="1">
      <c r="A2399" s="186" t="str"/>
      <c r="B2399" s="124" t="n"/>
      <c r="C2399" s="124" t="n"/>
      <c r="D2399" s="115" t="n"/>
      <c r="E2399" s="124" t="n"/>
      <c r="F2399" s="124" t="n"/>
      <c r="G2399" s="124" t="n"/>
      <c r="H2399" s="84" t="n"/>
      <c r="I2399" s="7" t="n"/>
      <c r="J2399" s="32" t="n"/>
      <c r="K2399" s="24" t="n"/>
      <c r="L2399" s="36" t="n"/>
      <c r="M2399" s="204" t="n"/>
      <c r="N2399" s="177" t="n"/>
      <c r="O2399" s="13" t="n"/>
      <c r="P2399" s="139" t="n"/>
      <c r="Q2399" s="2" t="n"/>
      <c r="R2399" s="1" t="n"/>
      <c r="S2399" s="229">
        <f>M2399*N2399</f>
        <v/>
      </c>
      <c r="T2399" s="230">
        <f>CONCATENATE(S2399,Q2399,P2399)</f>
        <v/>
      </c>
      <c r="U2399" s="206">
        <f>L2399*M2399</f>
        <v/>
      </c>
      <c r="V2399" s="4" t="n"/>
      <c r="W2399" s="4" t="n"/>
      <c r="X2399" s="4" t="n"/>
    </row>
    <row r="2400" ht="15.75" customHeight="1" thickBot="1">
      <c r="A2400" s="186" t="str"/>
      <c r="B2400" s="124" t="n"/>
      <c r="C2400" s="124" t="n"/>
      <c r="D2400" s="115" t="n"/>
      <c r="E2400" s="124" t="n"/>
      <c r="F2400" s="124" t="n"/>
      <c r="G2400" s="124" t="n"/>
      <c r="H2400" s="84" t="n"/>
      <c r="I2400" s="7" t="n"/>
      <c r="J2400" s="32" t="n"/>
      <c r="K2400" s="24" t="n"/>
      <c r="L2400" s="36" t="n"/>
      <c r="M2400" s="204" t="n"/>
      <c r="N2400" s="177" t="n"/>
      <c r="O2400" s="13" t="n"/>
      <c r="P2400" s="139" t="n"/>
      <c r="Q2400" s="2" t="n"/>
      <c r="R2400" s="1" t="n"/>
      <c r="S2400" s="229">
        <f>M2400*N2400</f>
        <v/>
      </c>
      <c r="T2400" s="230">
        <f>CONCATENATE(S2400,Q2400,P2400)</f>
        <v/>
      </c>
      <c r="U2400" s="206">
        <f>L2400*M2400</f>
        <v/>
      </c>
      <c r="V2400" s="4" t="n"/>
      <c r="W2400" s="4" t="n"/>
      <c r="X2400" s="4" t="n"/>
    </row>
    <row r="2401" ht="15.75" customHeight="1" thickBot="1">
      <c r="A2401" s="186" t="str"/>
      <c r="B2401" s="124" t="n"/>
      <c r="C2401" s="124" t="n"/>
      <c r="D2401" s="115" t="n"/>
      <c r="E2401" s="124" t="n"/>
      <c r="F2401" s="124" t="n"/>
      <c r="G2401" s="124" t="n"/>
      <c r="H2401" s="84" t="n"/>
      <c r="I2401" s="7" t="n"/>
      <c r="J2401" s="32" t="n"/>
      <c r="K2401" s="24" t="n"/>
      <c r="L2401" s="36" t="n"/>
      <c r="M2401" s="204" t="n"/>
      <c r="N2401" s="177" t="n"/>
      <c r="O2401" s="13" t="n"/>
      <c r="P2401" s="139" t="n"/>
      <c r="Q2401" s="2" t="n"/>
      <c r="R2401" s="1" t="n"/>
      <c r="S2401" s="229">
        <f>M2401*N2401</f>
        <v/>
      </c>
      <c r="T2401" s="230">
        <f>CONCATENATE(S2401,Q2401,P2401)</f>
        <v/>
      </c>
      <c r="U2401" s="206">
        <f>L2401*M2401</f>
        <v/>
      </c>
      <c r="V2401" s="4" t="n"/>
      <c r="W2401" s="4" t="n"/>
      <c r="X2401" s="4" t="n"/>
    </row>
    <row r="2402" ht="15.75" customHeight="1" thickBot="1">
      <c r="A2402" s="186" t="str"/>
      <c r="B2402" s="124" t="n"/>
      <c r="C2402" s="124" t="n"/>
      <c r="D2402" s="115" t="n"/>
      <c r="E2402" s="124" t="n"/>
      <c r="F2402" s="124" t="n"/>
      <c r="G2402" s="124" t="n"/>
      <c r="H2402" s="84" t="n"/>
      <c r="I2402" s="7" t="n"/>
      <c r="J2402" s="32" t="n"/>
      <c r="K2402" s="24" t="n"/>
      <c r="L2402" s="36" t="n"/>
      <c r="M2402" s="204" t="n"/>
      <c r="N2402" s="177" t="n"/>
      <c r="O2402" s="13" t="n"/>
      <c r="P2402" s="139" t="n"/>
      <c r="Q2402" s="2" t="n"/>
      <c r="R2402" s="1" t="n"/>
      <c r="S2402" s="229">
        <f>M2402*N2402</f>
        <v/>
      </c>
      <c r="T2402" s="230">
        <f>CONCATENATE(S2402,Q2402,P2402)</f>
        <v/>
      </c>
      <c r="U2402" s="206">
        <f>L2402*M2402</f>
        <v/>
      </c>
      <c r="V2402" s="4" t="n"/>
      <c r="W2402" s="4" t="n"/>
      <c r="X2402" s="4" t="n"/>
    </row>
    <row r="2403" ht="15.75" customHeight="1" thickBot="1">
      <c r="A2403" s="186" t="str"/>
      <c r="B2403" s="124" t="n"/>
      <c r="C2403" s="124" t="n"/>
      <c r="D2403" s="115" t="n"/>
      <c r="E2403" s="124" t="n"/>
      <c r="F2403" s="124" t="n"/>
      <c r="G2403" s="124" t="n"/>
      <c r="H2403" s="84" t="n"/>
      <c r="I2403" s="7" t="n"/>
      <c r="J2403" s="32" t="n"/>
      <c r="K2403" s="24" t="n"/>
      <c r="L2403" s="36" t="n"/>
      <c r="M2403" s="204" t="n"/>
      <c r="N2403" s="177" t="n"/>
      <c r="O2403" s="13" t="n"/>
      <c r="P2403" s="139" t="n"/>
      <c r="Q2403" s="2" t="n"/>
      <c r="R2403" s="1" t="n"/>
      <c r="S2403" s="229">
        <f>M2403*N2403</f>
        <v/>
      </c>
      <c r="T2403" s="230">
        <f>CONCATENATE(S2403,Q2403,P2403)</f>
        <v/>
      </c>
      <c r="U2403" s="206">
        <f>L2403*M2403</f>
        <v/>
      </c>
      <c r="V2403" s="4" t="n"/>
      <c r="W2403" s="4" t="n"/>
      <c r="X2403" s="4" t="n"/>
    </row>
    <row r="2404" ht="15.75" customHeight="1" thickBot="1">
      <c r="A2404" s="186" t="str"/>
      <c r="B2404" s="124" t="n"/>
      <c r="C2404" s="124" t="n"/>
      <c r="D2404" s="115" t="n"/>
      <c r="E2404" s="124" t="n"/>
      <c r="F2404" s="124" t="n"/>
      <c r="G2404" s="124" t="n"/>
      <c r="H2404" s="84" t="n"/>
      <c r="I2404" s="7" t="n"/>
      <c r="J2404" s="32" t="n"/>
      <c r="K2404" s="24" t="n"/>
      <c r="L2404" s="36" t="n"/>
      <c r="M2404" s="204" t="n"/>
      <c r="N2404" s="177" t="n"/>
      <c r="O2404" s="13" t="n"/>
      <c r="P2404" s="139" t="n"/>
      <c r="Q2404" s="2" t="n"/>
      <c r="R2404" s="1" t="n"/>
      <c r="S2404" s="229">
        <f>M2404*N2404</f>
        <v/>
      </c>
      <c r="T2404" s="230">
        <f>CONCATENATE(S2404,Q2404,P2404)</f>
        <v/>
      </c>
      <c r="U2404" s="206">
        <f>L2404*M2404</f>
        <v/>
      </c>
      <c r="V2404" s="4" t="n"/>
      <c r="W2404" s="4" t="n"/>
      <c r="X2404" s="4" t="n"/>
    </row>
    <row r="2405" ht="15.75" customHeight="1" thickBot="1">
      <c r="A2405" s="186" t="str"/>
      <c r="B2405" s="124" t="n"/>
      <c r="C2405" s="124" t="n"/>
      <c r="D2405" s="115" t="n"/>
      <c r="E2405" s="124" t="n"/>
      <c r="F2405" s="124" t="n"/>
      <c r="G2405" s="124" t="n"/>
      <c r="H2405" s="84" t="n"/>
      <c r="I2405" s="7" t="n"/>
      <c r="J2405" s="32" t="n"/>
      <c r="K2405" s="24" t="n"/>
      <c r="L2405" s="36" t="n"/>
      <c r="M2405" s="204" t="n"/>
      <c r="N2405" s="177" t="n"/>
      <c r="O2405" s="13" t="n"/>
      <c r="P2405" s="139" t="n"/>
      <c r="Q2405" s="2" t="n"/>
      <c r="R2405" s="1" t="n"/>
      <c r="S2405" s="229">
        <f>M2405*N2405</f>
        <v/>
      </c>
      <c r="T2405" s="230">
        <f>CONCATENATE(S2405,Q2405,P2405)</f>
        <v/>
      </c>
      <c r="U2405" s="206">
        <f>L2405*M2405</f>
        <v/>
      </c>
      <c r="V2405" s="4" t="n"/>
      <c r="W2405" s="4" t="n"/>
      <c r="X2405" s="4" t="n"/>
    </row>
    <row r="2406" ht="15.75" customHeight="1" thickBot="1">
      <c r="A2406" s="186" t="str"/>
      <c r="B2406" s="124" t="n"/>
      <c r="C2406" s="124" t="n"/>
      <c r="D2406" s="115" t="n"/>
      <c r="E2406" s="124" t="n"/>
      <c r="F2406" s="124" t="n"/>
      <c r="G2406" s="124" t="n"/>
      <c r="H2406" s="84" t="n"/>
      <c r="I2406" s="7" t="n"/>
      <c r="J2406" s="32" t="n"/>
      <c r="K2406" s="24" t="n"/>
      <c r="L2406" s="36" t="n"/>
      <c r="M2406" s="204" t="n"/>
      <c r="N2406" s="177" t="n"/>
      <c r="O2406" s="13" t="n"/>
      <c r="P2406" s="139" t="n"/>
      <c r="Q2406" s="2" t="n"/>
      <c r="R2406" s="1" t="n"/>
      <c r="S2406" s="229">
        <f>M2406*N2406</f>
        <v/>
      </c>
      <c r="T2406" s="230">
        <f>CONCATENATE(S2406,Q2406,P2406)</f>
        <v/>
      </c>
      <c r="U2406" s="206">
        <f>L2406*M2406</f>
        <v/>
      </c>
      <c r="V2406" s="4" t="n"/>
      <c r="W2406" s="4" t="n"/>
      <c r="X2406" s="4" t="n"/>
    </row>
    <row r="2407" ht="15.75" customHeight="1" thickBot="1">
      <c r="A2407" s="186" t="str"/>
      <c r="B2407" s="124" t="n"/>
      <c r="C2407" s="124" t="n"/>
      <c r="D2407" s="115" t="n"/>
      <c r="E2407" s="124" t="n"/>
      <c r="F2407" s="124" t="n"/>
      <c r="G2407" s="124" t="n"/>
      <c r="H2407" s="84" t="n"/>
      <c r="I2407" s="7" t="n"/>
      <c r="J2407" s="32" t="n"/>
      <c r="K2407" s="24" t="n"/>
      <c r="L2407" s="36" t="n"/>
      <c r="M2407" s="204" t="n"/>
      <c r="N2407" s="177" t="n"/>
      <c r="O2407" s="13" t="n"/>
      <c r="P2407" s="139" t="n"/>
      <c r="Q2407" s="2" t="n"/>
      <c r="R2407" s="1" t="n"/>
      <c r="S2407" s="229">
        <f>M2407*N2407</f>
        <v/>
      </c>
      <c r="T2407" s="230">
        <f>CONCATENATE(S2407,Q2407,P2407)</f>
        <v/>
      </c>
      <c r="U2407" s="206">
        <f>L2407*M2407</f>
        <v/>
      </c>
      <c r="V2407" s="4" t="n"/>
      <c r="W2407" s="4" t="n"/>
      <c r="X2407" s="4" t="n"/>
    </row>
    <row r="2408" ht="15.75" customHeight="1" thickBot="1">
      <c r="A2408" s="186" t="str"/>
      <c r="B2408" s="124" t="n"/>
      <c r="C2408" s="124" t="n"/>
      <c r="D2408" s="115" t="n"/>
      <c r="E2408" s="124" t="n"/>
      <c r="F2408" s="124" t="n"/>
      <c r="G2408" s="124" t="n"/>
      <c r="H2408" s="84" t="n"/>
      <c r="I2408" s="7" t="n"/>
      <c r="J2408" s="32" t="n"/>
      <c r="K2408" s="24" t="n"/>
      <c r="L2408" s="36" t="n"/>
      <c r="M2408" s="204" t="n"/>
      <c r="N2408" s="177" t="n"/>
      <c r="O2408" s="13" t="n"/>
      <c r="P2408" s="139" t="n"/>
      <c r="Q2408" s="2" t="n"/>
      <c r="R2408" s="1" t="n"/>
      <c r="S2408" s="229">
        <f>M2408*N2408</f>
        <v/>
      </c>
      <c r="T2408" s="230">
        <f>CONCATENATE(S2408,Q2408,P2408)</f>
        <v/>
      </c>
      <c r="U2408" s="206">
        <f>L2408*M2408</f>
        <v/>
      </c>
      <c r="V2408" s="4" t="n"/>
      <c r="W2408" s="4" t="n"/>
      <c r="X2408" s="4" t="n"/>
    </row>
    <row r="2409" ht="15.75" customHeight="1" thickBot="1">
      <c r="A2409" s="186" t="str"/>
      <c r="B2409" s="124" t="n"/>
      <c r="C2409" s="124" t="n"/>
      <c r="D2409" s="115" t="n"/>
      <c r="E2409" s="124" t="n"/>
      <c r="F2409" s="124" t="n"/>
      <c r="G2409" s="124" t="n"/>
      <c r="H2409" s="84" t="n"/>
      <c r="I2409" s="7" t="n"/>
      <c r="J2409" s="32" t="n"/>
      <c r="K2409" s="24" t="n"/>
      <c r="L2409" s="36" t="n"/>
      <c r="M2409" s="204" t="n"/>
      <c r="N2409" s="177" t="n"/>
      <c r="O2409" s="13" t="n"/>
      <c r="P2409" s="139" t="n"/>
      <c r="Q2409" s="2" t="n"/>
      <c r="R2409" s="1" t="n"/>
      <c r="S2409" s="229">
        <f>M2409*N2409</f>
        <v/>
      </c>
      <c r="T2409" s="230">
        <f>CONCATENATE(S2409,Q2409,P2409)</f>
        <v/>
      </c>
      <c r="U2409" s="206">
        <f>L2409*M2409</f>
        <v/>
      </c>
      <c r="V2409" s="4" t="n"/>
      <c r="W2409" s="4" t="n"/>
      <c r="X2409" s="4" t="n"/>
    </row>
    <row r="2410" ht="15.75" customHeight="1" thickBot="1">
      <c r="A2410" s="186" t="str"/>
      <c r="B2410" s="124" t="n"/>
      <c r="C2410" s="124" t="n"/>
      <c r="D2410" s="115" t="n"/>
      <c r="E2410" s="124" t="n"/>
      <c r="F2410" s="124" t="n"/>
      <c r="G2410" s="124" t="n"/>
      <c r="H2410" s="84" t="n"/>
      <c r="I2410" s="7" t="n"/>
      <c r="J2410" s="32" t="n"/>
      <c r="K2410" s="24" t="n"/>
      <c r="L2410" s="36" t="n"/>
      <c r="M2410" s="204" t="n"/>
      <c r="N2410" s="177" t="n"/>
      <c r="O2410" s="13" t="n"/>
      <c r="P2410" s="139" t="n"/>
      <c r="Q2410" s="2" t="n"/>
      <c r="R2410" s="1" t="n"/>
      <c r="S2410" s="229">
        <f>M2410*N2410</f>
        <v/>
      </c>
      <c r="T2410" s="230">
        <f>CONCATENATE(S2410,Q2410,P2410)</f>
        <v/>
      </c>
      <c r="U2410" s="206">
        <f>L2410*M2410</f>
        <v/>
      </c>
      <c r="V2410" s="4" t="n"/>
      <c r="W2410" s="4" t="n"/>
      <c r="X2410" s="4" t="n"/>
    </row>
    <row r="2411" ht="15.75" customHeight="1" thickBot="1">
      <c r="A2411" s="186" t="str"/>
      <c r="B2411" s="124" t="n"/>
      <c r="C2411" s="124" t="n"/>
      <c r="D2411" s="115" t="n"/>
      <c r="E2411" s="124" t="n"/>
      <c r="F2411" s="124" t="n"/>
      <c r="G2411" s="124" t="n"/>
      <c r="H2411" s="84" t="n"/>
      <c r="I2411" s="7" t="n"/>
      <c r="J2411" s="32" t="n"/>
      <c r="K2411" s="24" t="n"/>
      <c r="L2411" s="36" t="n"/>
      <c r="M2411" s="204" t="n"/>
      <c r="N2411" s="177" t="n"/>
      <c r="O2411" s="13" t="n"/>
      <c r="P2411" s="139" t="n"/>
      <c r="Q2411" s="2" t="n"/>
      <c r="R2411" s="1" t="n"/>
      <c r="S2411" s="229">
        <f>M2411*N2411</f>
        <v/>
      </c>
      <c r="T2411" s="230">
        <f>CONCATENATE(S2411,Q2411,P2411)</f>
        <v/>
      </c>
      <c r="U2411" s="206">
        <f>L2411*M2411</f>
        <v/>
      </c>
      <c r="V2411" s="4" t="n"/>
      <c r="W2411" s="4" t="n"/>
      <c r="X2411" s="4" t="n"/>
    </row>
    <row r="2412" ht="15.75" customHeight="1" thickBot="1">
      <c r="A2412" s="186" t="str"/>
      <c r="B2412" s="124" t="n"/>
      <c r="C2412" s="124" t="n"/>
      <c r="D2412" s="115" t="n"/>
      <c r="E2412" s="124" t="n"/>
      <c r="F2412" s="124" t="n"/>
      <c r="G2412" s="124" t="n"/>
      <c r="H2412" s="84" t="n"/>
      <c r="I2412" s="7" t="n"/>
      <c r="J2412" s="32" t="n"/>
      <c r="K2412" s="24" t="n"/>
      <c r="L2412" s="36" t="n"/>
      <c r="M2412" s="204" t="n"/>
      <c r="N2412" s="177" t="n"/>
      <c r="O2412" s="13" t="n"/>
      <c r="P2412" s="139" t="n"/>
      <c r="Q2412" s="2" t="n"/>
      <c r="R2412" s="1" t="n"/>
      <c r="S2412" s="229">
        <f>M2412*N2412</f>
        <v/>
      </c>
      <c r="T2412" s="230">
        <f>CONCATENATE(S2412,Q2412,P2412)</f>
        <v/>
      </c>
      <c r="U2412" s="206">
        <f>L2412*M2412</f>
        <v/>
      </c>
      <c r="V2412" s="4" t="n"/>
      <c r="W2412" s="4" t="n"/>
      <c r="X2412" s="4" t="n"/>
    </row>
    <row r="2413" ht="15.75" customHeight="1" thickBot="1">
      <c r="A2413" s="186" t="str"/>
      <c r="B2413" s="124" t="n"/>
      <c r="C2413" s="124" t="n"/>
      <c r="D2413" s="115" t="n"/>
      <c r="E2413" s="124" t="n"/>
      <c r="F2413" s="124" t="n"/>
      <c r="G2413" s="124" t="n"/>
      <c r="H2413" s="84" t="n"/>
      <c r="I2413" s="7" t="n"/>
      <c r="J2413" s="32" t="n"/>
      <c r="K2413" s="24" t="n"/>
      <c r="L2413" s="36" t="n"/>
      <c r="M2413" s="204" t="n"/>
      <c r="N2413" s="177" t="n"/>
      <c r="O2413" s="13" t="n"/>
      <c r="P2413" s="139" t="n"/>
      <c r="Q2413" s="2" t="n"/>
      <c r="R2413" s="1" t="n"/>
      <c r="S2413" s="229">
        <f>M2413*N2413</f>
        <v/>
      </c>
      <c r="T2413" s="230">
        <f>CONCATENATE(S2413,Q2413,P2413)</f>
        <v/>
      </c>
      <c r="U2413" s="206">
        <f>L2413*M2413</f>
        <v/>
      </c>
      <c r="V2413" s="4" t="n"/>
      <c r="W2413" s="4" t="n"/>
      <c r="X2413" s="4" t="n"/>
    </row>
    <row r="2414" ht="15.75" customHeight="1" thickBot="1">
      <c r="A2414" s="186" t="str"/>
      <c r="B2414" s="124" t="n"/>
      <c r="C2414" s="124" t="n"/>
      <c r="D2414" s="115" t="n"/>
      <c r="E2414" s="124" t="n"/>
      <c r="F2414" s="124" t="n"/>
      <c r="G2414" s="124" t="n"/>
      <c r="H2414" s="84" t="n"/>
      <c r="I2414" s="7" t="n"/>
      <c r="J2414" s="32" t="n"/>
      <c r="K2414" s="24" t="n"/>
      <c r="L2414" s="36" t="n"/>
      <c r="M2414" s="204" t="n"/>
      <c r="N2414" s="177" t="n"/>
      <c r="O2414" s="13" t="n"/>
      <c r="P2414" s="139" t="n"/>
      <c r="Q2414" s="2" t="n"/>
      <c r="R2414" s="1" t="n"/>
      <c r="S2414" s="229">
        <f>M2414*N2414</f>
        <v/>
      </c>
      <c r="T2414" s="230">
        <f>CONCATENATE(S2414,Q2414,P2414)</f>
        <v/>
      </c>
      <c r="U2414" s="206">
        <f>L2414*M2414</f>
        <v/>
      </c>
      <c r="V2414" s="4" t="n"/>
      <c r="W2414" s="4" t="n"/>
      <c r="X2414" s="4" t="n"/>
    </row>
    <row r="2415" ht="15.75" customHeight="1" thickBot="1">
      <c r="A2415" s="186" t="str"/>
      <c r="B2415" s="124" t="n"/>
      <c r="C2415" s="124" t="n"/>
      <c r="D2415" s="115" t="n"/>
      <c r="E2415" s="124" t="n"/>
      <c r="F2415" s="124" t="n"/>
      <c r="G2415" s="124" t="n"/>
      <c r="H2415" s="84" t="n"/>
      <c r="I2415" s="7" t="n"/>
      <c r="J2415" s="32" t="n"/>
      <c r="K2415" s="24" t="n"/>
      <c r="L2415" s="36" t="n"/>
      <c r="M2415" s="204" t="n"/>
      <c r="N2415" s="177" t="n"/>
      <c r="O2415" s="13" t="n"/>
      <c r="P2415" s="139" t="n"/>
      <c r="Q2415" s="2" t="n"/>
      <c r="R2415" s="1" t="n"/>
      <c r="S2415" s="229">
        <f>M2415*N2415</f>
        <v/>
      </c>
      <c r="T2415" s="230">
        <f>CONCATENATE(S2415,Q2415,P2415)</f>
        <v/>
      </c>
      <c r="U2415" s="206">
        <f>L2415*M2415</f>
        <v/>
      </c>
      <c r="V2415" s="4" t="n"/>
      <c r="W2415" s="4" t="n"/>
      <c r="X2415" s="4" t="n"/>
    </row>
    <row r="2416" ht="15.75" customHeight="1" thickBot="1">
      <c r="A2416" s="186" t="str"/>
      <c r="B2416" s="124" t="n"/>
      <c r="C2416" s="124" t="n"/>
      <c r="D2416" s="115" t="n"/>
      <c r="E2416" s="124" t="n"/>
      <c r="F2416" s="124" t="n"/>
      <c r="G2416" s="124" t="n"/>
      <c r="H2416" s="84" t="n"/>
      <c r="I2416" s="7" t="n"/>
      <c r="J2416" s="32" t="n"/>
      <c r="K2416" s="24" t="n"/>
      <c r="L2416" s="36" t="n"/>
      <c r="M2416" s="204" t="n"/>
      <c r="N2416" s="177" t="n"/>
      <c r="O2416" s="13" t="n"/>
      <c r="P2416" s="139" t="n"/>
      <c r="Q2416" s="2" t="n"/>
      <c r="R2416" s="1" t="n"/>
      <c r="S2416" s="229">
        <f>M2416*N2416</f>
        <v/>
      </c>
      <c r="T2416" s="230">
        <f>CONCATENATE(S2416,Q2416,P2416)</f>
        <v/>
      </c>
      <c r="U2416" s="206">
        <f>L2416*M2416</f>
        <v/>
      </c>
      <c r="V2416" s="4" t="n"/>
      <c r="W2416" s="4" t="n"/>
      <c r="X2416" s="4" t="n"/>
    </row>
    <row r="2417" ht="15.75" customHeight="1" thickBot="1">
      <c r="A2417" s="186" t="str"/>
      <c r="B2417" s="124" t="n"/>
      <c r="C2417" s="124" t="n"/>
      <c r="D2417" s="115" t="n"/>
      <c r="E2417" s="124" t="n"/>
      <c r="F2417" s="124" t="n"/>
      <c r="G2417" s="124" t="n"/>
      <c r="H2417" s="84" t="n"/>
      <c r="I2417" s="7" t="n"/>
      <c r="J2417" s="32" t="n"/>
      <c r="K2417" s="24" t="n"/>
      <c r="L2417" s="36" t="n"/>
      <c r="M2417" s="204" t="n"/>
      <c r="N2417" s="177" t="n"/>
      <c r="O2417" s="13" t="n"/>
      <c r="P2417" s="139" t="n"/>
      <c r="Q2417" s="2" t="n"/>
      <c r="R2417" s="1" t="n"/>
      <c r="S2417" s="229">
        <f>M2417*N2417</f>
        <v/>
      </c>
      <c r="T2417" s="230">
        <f>CONCATENATE(S2417,Q2417,P2417)</f>
        <v/>
      </c>
      <c r="U2417" s="206">
        <f>L2417*M2417</f>
        <v/>
      </c>
      <c r="V2417" s="4" t="n"/>
      <c r="W2417" s="4" t="n"/>
      <c r="X2417" s="4" t="n"/>
    </row>
    <row r="2418" ht="15.75" customHeight="1" thickBot="1">
      <c r="A2418" s="186" t="str"/>
      <c r="B2418" s="124" t="n"/>
      <c r="C2418" s="124" t="n"/>
      <c r="D2418" s="115" t="n"/>
      <c r="E2418" s="124" t="n"/>
      <c r="F2418" s="124" t="n"/>
      <c r="G2418" s="124" t="n"/>
      <c r="H2418" s="84" t="n"/>
      <c r="I2418" s="7" t="n"/>
      <c r="J2418" s="32" t="n"/>
      <c r="K2418" s="24" t="n"/>
      <c r="L2418" s="36" t="n"/>
      <c r="M2418" s="204" t="n"/>
      <c r="N2418" s="177" t="n"/>
      <c r="O2418" s="13" t="n"/>
      <c r="P2418" s="139" t="n"/>
      <c r="Q2418" s="2" t="n"/>
      <c r="R2418" s="1" t="n"/>
      <c r="S2418" s="229">
        <f>M2418*N2418</f>
        <v/>
      </c>
      <c r="T2418" s="230">
        <f>CONCATENATE(S2418,Q2418,P2418)</f>
        <v/>
      </c>
      <c r="U2418" s="206">
        <f>L2418*M2418</f>
        <v/>
      </c>
      <c r="V2418" s="4" t="n"/>
      <c r="W2418" s="4" t="n"/>
      <c r="X2418" s="4" t="n"/>
    </row>
    <row r="2419" ht="15.75" customHeight="1" thickBot="1">
      <c r="A2419" s="186" t="str"/>
      <c r="B2419" s="124" t="n"/>
      <c r="C2419" s="124" t="n"/>
      <c r="D2419" s="115" t="n"/>
      <c r="E2419" s="124" t="n"/>
      <c r="F2419" s="124" t="n"/>
      <c r="G2419" s="124" t="n"/>
      <c r="H2419" s="84" t="n"/>
      <c r="I2419" s="7" t="n"/>
      <c r="J2419" s="32" t="n"/>
      <c r="K2419" s="24" t="n"/>
      <c r="L2419" s="36" t="n"/>
      <c r="M2419" s="204" t="n"/>
      <c r="N2419" s="177" t="n"/>
      <c r="O2419" s="13" t="n"/>
      <c r="P2419" s="139" t="n"/>
      <c r="Q2419" s="2" t="n"/>
      <c r="R2419" s="1" t="n"/>
      <c r="S2419" s="229">
        <f>M2419*N2419</f>
        <v/>
      </c>
      <c r="T2419" s="230">
        <f>CONCATENATE(S2419,Q2419,P2419)</f>
        <v/>
      </c>
      <c r="U2419" s="206">
        <f>L2419*M2419</f>
        <v/>
      </c>
      <c r="V2419" s="4" t="n"/>
      <c r="W2419" s="4" t="n"/>
      <c r="X2419" s="4" t="n"/>
    </row>
    <row r="2420" ht="15.75" customHeight="1" thickBot="1">
      <c r="A2420" s="186" t="str"/>
      <c r="B2420" s="124" t="n"/>
      <c r="C2420" s="124" t="n"/>
      <c r="D2420" s="115" t="n"/>
      <c r="E2420" s="124" t="n"/>
      <c r="F2420" s="124" t="n"/>
      <c r="G2420" s="124" t="n"/>
      <c r="H2420" s="84" t="n"/>
      <c r="I2420" s="7" t="n"/>
      <c r="J2420" s="32" t="n"/>
      <c r="K2420" s="24" t="n"/>
      <c r="L2420" s="36" t="n"/>
      <c r="M2420" s="204" t="n"/>
      <c r="N2420" s="177" t="n"/>
      <c r="O2420" s="13" t="n"/>
      <c r="P2420" s="139" t="n"/>
      <c r="Q2420" s="2" t="n"/>
      <c r="R2420" s="1" t="n"/>
      <c r="S2420" s="229">
        <f>M2420*N2420</f>
        <v/>
      </c>
      <c r="T2420" s="230">
        <f>CONCATENATE(S2420,Q2420,P2420)</f>
        <v/>
      </c>
      <c r="U2420" s="206">
        <f>L2420*M2420</f>
        <v/>
      </c>
      <c r="V2420" s="4" t="n"/>
      <c r="W2420" s="4" t="n"/>
      <c r="X2420" s="4" t="n"/>
    </row>
    <row r="2421" ht="15.75" customHeight="1" thickBot="1">
      <c r="A2421" s="186" t="str"/>
      <c r="B2421" s="124" t="n"/>
      <c r="C2421" s="124" t="n"/>
      <c r="D2421" s="115" t="n"/>
      <c r="E2421" s="124" t="n"/>
      <c r="F2421" s="124" t="n"/>
      <c r="G2421" s="124" t="n"/>
      <c r="H2421" s="84" t="n"/>
      <c r="I2421" s="7" t="n"/>
      <c r="J2421" s="32" t="n"/>
      <c r="K2421" s="24" t="n"/>
      <c r="L2421" s="36" t="n"/>
      <c r="M2421" s="204" t="n"/>
      <c r="N2421" s="177" t="n"/>
      <c r="O2421" s="13" t="n"/>
      <c r="P2421" s="139" t="n"/>
      <c r="Q2421" s="2" t="n"/>
      <c r="R2421" s="1" t="n"/>
      <c r="S2421" s="229">
        <f>M2421*N2421</f>
        <v/>
      </c>
      <c r="T2421" s="230">
        <f>CONCATENATE(S2421,Q2421,P2421)</f>
        <v/>
      </c>
      <c r="U2421" s="206">
        <f>L2421*M2421</f>
        <v/>
      </c>
      <c r="V2421" s="4" t="n"/>
      <c r="W2421" s="4" t="n"/>
      <c r="X2421" s="4" t="n"/>
    </row>
    <row r="2422" ht="15.75" customHeight="1" thickBot="1">
      <c r="A2422" s="186" t="str"/>
      <c r="B2422" s="124" t="n"/>
      <c r="C2422" s="124" t="n"/>
      <c r="D2422" s="115" t="n"/>
      <c r="E2422" s="124" t="n"/>
      <c r="F2422" s="124" t="n"/>
      <c r="G2422" s="124" t="n"/>
      <c r="H2422" s="84" t="n"/>
      <c r="I2422" s="7" t="n"/>
      <c r="J2422" s="32" t="n"/>
      <c r="K2422" s="24" t="n"/>
      <c r="L2422" s="36" t="n"/>
      <c r="M2422" s="204" t="n"/>
      <c r="N2422" s="177" t="n"/>
      <c r="O2422" s="13" t="n"/>
      <c r="P2422" s="139" t="n"/>
      <c r="Q2422" s="2" t="n"/>
      <c r="R2422" s="1" t="n"/>
      <c r="S2422" s="229">
        <f>M2422*N2422</f>
        <v/>
      </c>
      <c r="T2422" s="230">
        <f>CONCATENATE(S2422,Q2422,P2422)</f>
        <v/>
      </c>
      <c r="U2422" s="206">
        <f>L2422*M2422</f>
        <v/>
      </c>
      <c r="V2422" s="4" t="n"/>
      <c r="W2422" s="4" t="n"/>
      <c r="X2422" s="4" t="n"/>
    </row>
    <row r="2423" ht="15.75" customHeight="1" thickBot="1">
      <c r="A2423" s="186" t="str"/>
      <c r="B2423" s="124" t="n"/>
      <c r="C2423" s="124" t="n"/>
      <c r="D2423" s="115" t="n"/>
      <c r="E2423" s="124" t="n"/>
      <c r="F2423" s="124" t="n"/>
      <c r="G2423" s="124" t="n"/>
      <c r="H2423" s="84" t="n"/>
      <c r="I2423" s="7" t="n"/>
      <c r="J2423" s="32" t="n"/>
      <c r="K2423" s="24" t="n"/>
      <c r="L2423" s="36" t="n"/>
      <c r="M2423" s="204" t="n"/>
      <c r="N2423" s="177" t="n"/>
      <c r="O2423" s="13" t="n"/>
      <c r="P2423" s="139" t="n"/>
      <c r="Q2423" s="2" t="n"/>
      <c r="R2423" s="1" t="n"/>
      <c r="S2423" s="229">
        <f>M2423*N2423</f>
        <v/>
      </c>
      <c r="T2423" s="230">
        <f>CONCATENATE(S2423,Q2423,P2423)</f>
        <v/>
      </c>
      <c r="U2423" s="206">
        <f>L2423*M2423</f>
        <v/>
      </c>
      <c r="V2423" s="4" t="n"/>
      <c r="W2423" s="4" t="n"/>
      <c r="X2423" s="4" t="n"/>
    </row>
    <row r="2424" ht="15.75" customHeight="1" thickBot="1">
      <c r="A2424" s="186" t="str"/>
      <c r="B2424" s="124" t="n"/>
      <c r="C2424" s="124" t="n"/>
      <c r="D2424" s="115" t="n"/>
      <c r="E2424" s="124" t="n"/>
      <c r="F2424" s="124" t="n"/>
      <c r="G2424" s="124" t="n"/>
      <c r="H2424" s="84" t="n"/>
      <c r="I2424" s="7" t="n"/>
      <c r="J2424" s="32" t="n"/>
      <c r="K2424" s="24" t="n"/>
      <c r="L2424" s="36" t="n"/>
      <c r="M2424" s="204" t="n"/>
      <c r="N2424" s="177" t="n"/>
      <c r="O2424" s="13" t="n"/>
      <c r="P2424" s="139" t="n"/>
      <c r="Q2424" s="2" t="n"/>
      <c r="R2424" s="1" t="n"/>
      <c r="S2424" s="229">
        <f>M2424*N2424</f>
        <v/>
      </c>
      <c r="T2424" s="230">
        <f>CONCATENATE(S2424,Q2424,P2424)</f>
        <v/>
      </c>
      <c r="U2424" s="206">
        <f>L2424*M2424</f>
        <v/>
      </c>
      <c r="V2424" s="4" t="n"/>
      <c r="W2424" s="4" t="n"/>
      <c r="X2424" s="4" t="n"/>
    </row>
    <row r="2425" ht="15.75" customHeight="1" thickBot="1">
      <c r="A2425" s="186" t="str"/>
      <c r="B2425" s="124" t="n"/>
      <c r="C2425" s="124" t="n"/>
      <c r="D2425" s="115" t="n"/>
      <c r="E2425" s="124" t="n"/>
      <c r="F2425" s="124" t="n"/>
      <c r="G2425" s="124" t="n"/>
      <c r="H2425" s="84" t="n"/>
      <c r="I2425" s="7" t="n"/>
      <c r="J2425" s="32" t="n"/>
      <c r="K2425" s="24" t="n"/>
      <c r="L2425" s="36" t="n"/>
      <c r="M2425" s="204" t="n"/>
      <c r="N2425" s="177" t="n"/>
      <c r="O2425" s="13" t="n"/>
      <c r="P2425" s="139" t="n"/>
      <c r="Q2425" s="2" t="n"/>
      <c r="R2425" s="1" t="n"/>
      <c r="S2425" s="229">
        <f>M2425*N2425</f>
        <v/>
      </c>
      <c r="T2425" s="230">
        <f>CONCATENATE(S2425,Q2425,P2425)</f>
        <v/>
      </c>
      <c r="U2425" s="206">
        <f>L2425*M2425</f>
        <v/>
      </c>
      <c r="V2425" s="4" t="n"/>
      <c r="W2425" s="4" t="n"/>
      <c r="X2425" s="4" t="n"/>
    </row>
    <row r="2426" ht="15.75" customHeight="1" thickBot="1">
      <c r="A2426" s="186" t="str"/>
      <c r="B2426" s="124" t="n"/>
      <c r="C2426" s="124" t="n"/>
      <c r="D2426" s="115" t="n"/>
      <c r="E2426" s="124" t="n"/>
      <c r="F2426" s="124" t="n"/>
      <c r="G2426" s="124" t="n"/>
      <c r="H2426" s="84" t="n"/>
      <c r="I2426" s="7" t="n"/>
      <c r="J2426" s="32" t="n"/>
      <c r="K2426" s="24" t="n"/>
      <c r="L2426" s="36" t="n"/>
      <c r="M2426" s="204" t="n"/>
      <c r="N2426" s="177" t="n"/>
      <c r="O2426" s="13" t="n"/>
      <c r="P2426" s="139" t="n"/>
      <c r="Q2426" s="2" t="n"/>
      <c r="R2426" s="1" t="n"/>
      <c r="S2426" s="229">
        <f>M2426*N2426</f>
        <v/>
      </c>
      <c r="T2426" s="230">
        <f>CONCATENATE(S2426,Q2426,P2426)</f>
        <v/>
      </c>
      <c r="U2426" s="206">
        <f>L2426*M2426</f>
        <v/>
      </c>
      <c r="V2426" s="4" t="n"/>
      <c r="W2426" s="4" t="n"/>
      <c r="X2426" s="4" t="n"/>
    </row>
    <row r="2427" ht="15.75" customHeight="1" thickBot="1">
      <c r="A2427" s="186" t="str"/>
      <c r="B2427" s="124" t="n"/>
      <c r="C2427" s="124" t="n"/>
      <c r="D2427" s="115" t="n"/>
      <c r="E2427" s="124" t="n"/>
      <c r="F2427" s="124" t="n"/>
      <c r="G2427" s="124" t="n"/>
      <c r="H2427" s="84" t="n"/>
      <c r="I2427" s="7" t="n"/>
      <c r="J2427" s="32" t="n"/>
      <c r="K2427" s="24" t="n"/>
      <c r="L2427" s="36" t="n"/>
      <c r="M2427" s="204" t="n"/>
      <c r="N2427" s="177" t="n"/>
      <c r="O2427" s="13" t="n"/>
      <c r="P2427" s="139" t="n"/>
      <c r="Q2427" s="2" t="n"/>
      <c r="R2427" s="1" t="n"/>
      <c r="S2427" s="229">
        <f>M2427*N2427</f>
        <v/>
      </c>
      <c r="T2427" s="230">
        <f>CONCATENATE(S2427,Q2427,P2427)</f>
        <v/>
      </c>
      <c r="U2427" s="206">
        <f>L2427*M2427</f>
        <v/>
      </c>
      <c r="V2427" s="4" t="n"/>
      <c r="W2427" s="4" t="n"/>
      <c r="X2427" s="4" t="n"/>
    </row>
    <row r="2428" ht="15.75" customHeight="1" thickBot="1">
      <c r="A2428" s="186" t="str"/>
      <c r="B2428" s="124" t="n"/>
      <c r="C2428" s="124" t="n"/>
      <c r="D2428" s="115" t="n"/>
      <c r="E2428" s="124" t="n"/>
      <c r="F2428" s="124" t="n"/>
      <c r="G2428" s="124" t="n"/>
      <c r="H2428" s="84" t="n"/>
      <c r="I2428" s="7" t="n"/>
      <c r="J2428" s="32" t="n"/>
      <c r="K2428" s="24" t="n"/>
      <c r="L2428" s="36" t="n"/>
      <c r="M2428" s="204" t="n"/>
      <c r="N2428" s="177" t="n"/>
      <c r="O2428" s="13" t="n"/>
      <c r="P2428" s="139" t="n"/>
      <c r="Q2428" s="2" t="n"/>
      <c r="R2428" s="1" t="n"/>
      <c r="S2428" s="229">
        <f>M2428*N2428</f>
        <v/>
      </c>
      <c r="T2428" s="230">
        <f>CONCATENATE(S2428,Q2428,P2428)</f>
        <v/>
      </c>
      <c r="U2428" s="206">
        <f>L2428*M2428</f>
        <v/>
      </c>
      <c r="V2428" s="4" t="n"/>
      <c r="W2428" s="4" t="n"/>
      <c r="X2428" s="4" t="n"/>
    </row>
    <row r="2429" ht="15.75" customHeight="1" thickBot="1">
      <c r="A2429" s="186" t="str"/>
      <c r="B2429" s="124" t="n"/>
      <c r="C2429" s="124" t="n"/>
      <c r="D2429" s="115" t="n"/>
      <c r="E2429" s="124" t="n"/>
      <c r="F2429" s="124" t="n"/>
      <c r="G2429" s="124" t="n"/>
      <c r="H2429" s="84" t="n"/>
      <c r="I2429" s="7" t="n"/>
      <c r="J2429" s="32" t="n"/>
      <c r="K2429" s="24" t="n"/>
      <c r="L2429" s="36" t="n"/>
      <c r="M2429" s="204" t="n"/>
      <c r="N2429" s="177" t="n"/>
      <c r="O2429" s="13" t="n"/>
      <c r="P2429" s="139" t="n"/>
      <c r="Q2429" s="2" t="n"/>
      <c r="R2429" s="1" t="n"/>
      <c r="S2429" s="229">
        <f>M2429*N2429</f>
        <v/>
      </c>
      <c r="T2429" s="230">
        <f>CONCATENATE(S2429,Q2429,P2429)</f>
        <v/>
      </c>
      <c r="U2429" s="206">
        <f>L2429*M2429</f>
        <v/>
      </c>
      <c r="V2429" s="4" t="n"/>
      <c r="W2429" s="4" t="n"/>
      <c r="X2429" s="4" t="n"/>
    </row>
    <row r="2430" ht="15.75" customHeight="1" thickBot="1">
      <c r="A2430" s="186" t="str"/>
      <c r="B2430" s="124" t="n"/>
      <c r="C2430" s="124" t="n"/>
      <c r="D2430" s="115" t="n"/>
      <c r="E2430" s="124" t="n"/>
      <c r="F2430" s="124" t="n"/>
      <c r="G2430" s="124" t="n"/>
      <c r="H2430" s="84" t="n"/>
      <c r="I2430" s="7" t="n"/>
      <c r="J2430" s="32" t="n"/>
      <c r="K2430" s="24" t="n"/>
      <c r="L2430" s="36" t="n"/>
      <c r="M2430" s="204" t="n"/>
      <c r="N2430" s="177" t="n"/>
      <c r="O2430" s="13" t="n"/>
      <c r="P2430" s="139" t="n"/>
      <c r="Q2430" s="2" t="n"/>
      <c r="R2430" s="1" t="n"/>
      <c r="S2430" s="229">
        <f>M2430*N2430</f>
        <v/>
      </c>
      <c r="T2430" s="230">
        <f>CONCATENATE(S2430,Q2430,P2430)</f>
        <v/>
      </c>
      <c r="U2430" s="206">
        <f>L2430*M2430</f>
        <v/>
      </c>
      <c r="V2430" s="4" t="n"/>
      <c r="W2430" s="4" t="n"/>
      <c r="X2430" s="4" t="n"/>
    </row>
    <row r="2431" ht="15.75" customHeight="1" thickBot="1">
      <c r="A2431" s="186" t="str"/>
      <c r="B2431" s="124" t="n"/>
      <c r="C2431" s="124" t="n"/>
      <c r="D2431" s="115" t="n"/>
      <c r="E2431" s="124" t="n"/>
      <c r="F2431" s="124" t="n"/>
      <c r="G2431" s="124" t="n"/>
      <c r="H2431" s="84" t="n"/>
      <c r="I2431" s="7" t="n"/>
      <c r="J2431" s="32" t="n"/>
      <c r="K2431" s="24" t="n"/>
      <c r="L2431" s="36" t="n"/>
      <c r="M2431" s="204" t="n"/>
      <c r="N2431" s="177" t="n"/>
      <c r="O2431" s="13" t="n"/>
      <c r="P2431" s="139" t="n"/>
      <c r="Q2431" s="2" t="n"/>
      <c r="R2431" s="1" t="n"/>
      <c r="S2431" s="229">
        <f>M2431*N2431</f>
        <v/>
      </c>
      <c r="T2431" s="230">
        <f>CONCATENATE(S2431,Q2431,P2431)</f>
        <v/>
      </c>
      <c r="U2431" s="206">
        <f>L2431*M2431</f>
        <v/>
      </c>
      <c r="V2431" s="4" t="n"/>
      <c r="W2431" s="4" t="n"/>
      <c r="X2431" s="4" t="n"/>
    </row>
    <row r="2432" ht="15.75" customHeight="1" thickBot="1">
      <c r="A2432" s="186" t="str"/>
      <c r="B2432" s="124" t="n"/>
      <c r="C2432" s="124" t="n"/>
      <c r="D2432" s="115" t="n"/>
      <c r="E2432" s="124" t="n"/>
      <c r="F2432" s="124" t="n"/>
      <c r="G2432" s="124" t="n"/>
      <c r="H2432" s="84" t="n"/>
      <c r="I2432" s="7" t="n"/>
      <c r="J2432" s="32" t="n"/>
      <c r="K2432" s="24" t="n"/>
      <c r="L2432" s="36" t="n"/>
      <c r="M2432" s="204" t="n"/>
      <c r="N2432" s="177" t="n"/>
      <c r="O2432" s="13" t="n"/>
      <c r="P2432" s="139" t="n"/>
      <c r="Q2432" s="2" t="n"/>
      <c r="R2432" s="1" t="n"/>
      <c r="S2432" s="229">
        <f>M2432*N2432</f>
        <v/>
      </c>
      <c r="T2432" s="230">
        <f>CONCATENATE(S2432,Q2432,P2432)</f>
        <v/>
      </c>
      <c r="U2432" s="206">
        <f>L2432*M2432</f>
        <v/>
      </c>
      <c r="V2432" s="4" t="n"/>
      <c r="W2432" s="4" t="n"/>
      <c r="X2432" s="4" t="n"/>
    </row>
    <row r="2433" ht="15.75" customHeight="1" thickBot="1">
      <c r="A2433" s="186" t="str"/>
      <c r="B2433" s="124" t="n"/>
      <c r="C2433" s="124" t="n"/>
      <c r="D2433" s="115" t="n"/>
      <c r="E2433" s="124" t="n"/>
      <c r="F2433" s="124" t="n"/>
      <c r="G2433" s="124" t="n"/>
      <c r="H2433" s="84" t="n"/>
      <c r="I2433" s="7" t="n"/>
      <c r="J2433" s="32" t="n"/>
      <c r="K2433" s="24" t="n"/>
      <c r="L2433" s="36" t="n"/>
      <c r="M2433" s="204" t="n"/>
      <c r="N2433" s="177" t="n"/>
      <c r="O2433" s="13" t="n"/>
      <c r="P2433" s="139" t="n"/>
      <c r="Q2433" s="2" t="n"/>
      <c r="R2433" s="1" t="n"/>
      <c r="S2433" s="229">
        <f>M2433*N2433</f>
        <v/>
      </c>
      <c r="T2433" s="230">
        <f>CONCATENATE(S2433,Q2433,P2433)</f>
        <v/>
      </c>
      <c r="U2433" s="206">
        <f>L2433*M2433</f>
        <v/>
      </c>
      <c r="V2433" s="4" t="n"/>
      <c r="W2433" s="4" t="n"/>
      <c r="X2433" s="4" t="n"/>
    </row>
    <row r="2434" ht="15.75" customHeight="1" thickBot="1">
      <c r="A2434" s="186" t="str"/>
      <c r="B2434" s="124" t="n"/>
      <c r="C2434" s="124" t="n"/>
      <c r="D2434" s="115" t="n"/>
      <c r="E2434" s="124" t="n"/>
      <c r="F2434" s="124" t="n"/>
      <c r="G2434" s="124" t="n"/>
      <c r="H2434" s="84" t="n"/>
      <c r="I2434" s="7" t="n"/>
      <c r="J2434" s="32" t="n"/>
      <c r="K2434" s="24" t="n"/>
      <c r="L2434" s="36" t="n"/>
      <c r="M2434" s="204" t="n"/>
      <c r="N2434" s="177" t="n"/>
      <c r="O2434" s="13" t="n"/>
      <c r="P2434" s="139" t="n"/>
      <c r="Q2434" s="2" t="n"/>
      <c r="R2434" s="1" t="n"/>
      <c r="S2434" s="229">
        <f>M2434*N2434</f>
        <v/>
      </c>
      <c r="T2434" s="230">
        <f>CONCATENATE(S2434,Q2434,P2434)</f>
        <v/>
      </c>
      <c r="U2434" s="206">
        <f>L2434*M2434</f>
        <v/>
      </c>
      <c r="V2434" s="4" t="n"/>
      <c r="W2434" s="4" t="n"/>
      <c r="X2434" s="4" t="n"/>
    </row>
    <row r="2435" ht="15.75" customHeight="1" thickBot="1">
      <c r="A2435" s="186" t="str"/>
      <c r="B2435" s="124" t="n"/>
      <c r="C2435" s="124" t="n"/>
      <c r="D2435" s="115" t="n"/>
      <c r="E2435" s="124" t="n"/>
      <c r="F2435" s="124" t="n"/>
      <c r="G2435" s="124" t="n"/>
      <c r="H2435" s="84" t="n"/>
      <c r="I2435" s="7" t="n"/>
      <c r="J2435" s="32" t="n"/>
      <c r="K2435" s="24" t="n"/>
      <c r="L2435" s="36" t="n"/>
      <c r="M2435" s="204" t="n"/>
      <c r="N2435" s="177" t="n"/>
      <c r="O2435" s="13" t="n"/>
      <c r="P2435" s="139" t="n"/>
      <c r="Q2435" s="2" t="n"/>
      <c r="R2435" s="1" t="n"/>
      <c r="S2435" s="229">
        <f>M2435*N2435</f>
        <v/>
      </c>
      <c r="T2435" s="230">
        <f>CONCATENATE(S2435,Q2435,P2435)</f>
        <v/>
      </c>
      <c r="U2435" s="206">
        <f>L2435*M2435</f>
        <v/>
      </c>
      <c r="V2435" s="4" t="n"/>
      <c r="W2435" s="4" t="n"/>
      <c r="X2435" s="4" t="n"/>
    </row>
    <row r="2436" ht="15.75" customHeight="1" thickBot="1">
      <c r="A2436" s="186" t="str"/>
      <c r="B2436" s="124" t="n"/>
      <c r="C2436" s="124" t="n"/>
      <c r="D2436" s="115" t="n"/>
      <c r="E2436" s="124" t="n"/>
      <c r="F2436" s="124" t="n"/>
      <c r="G2436" s="124" t="n"/>
      <c r="H2436" s="84" t="n"/>
      <c r="I2436" s="7" t="n"/>
      <c r="J2436" s="32" t="n"/>
      <c r="K2436" s="24" t="n"/>
      <c r="L2436" s="36" t="n"/>
      <c r="M2436" s="204" t="n"/>
      <c r="N2436" s="177" t="n"/>
      <c r="O2436" s="13" t="n"/>
      <c r="P2436" s="139" t="n"/>
      <c r="Q2436" s="2" t="n"/>
      <c r="R2436" s="1" t="n"/>
      <c r="S2436" s="229">
        <f>M2436*N2436</f>
        <v/>
      </c>
      <c r="T2436" s="230">
        <f>CONCATENATE(S2436,Q2436,P2436)</f>
        <v/>
      </c>
      <c r="U2436" s="206">
        <f>L2436*M2436</f>
        <v/>
      </c>
      <c r="V2436" s="4" t="n"/>
      <c r="W2436" s="4" t="n"/>
      <c r="X2436" s="4" t="n"/>
    </row>
    <row r="2437" ht="15.75" customHeight="1" thickBot="1">
      <c r="A2437" s="186" t="str"/>
      <c r="B2437" s="124" t="n"/>
      <c r="C2437" s="124" t="n"/>
      <c r="D2437" s="115" t="n"/>
      <c r="E2437" s="124" t="n"/>
      <c r="F2437" s="124" t="n"/>
      <c r="G2437" s="124" t="n"/>
      <c r="H2437" s="84" t="n"/>
      <c r="I2437" s="7" t="n"/>
      <c r="J2437" s="32" t="n"/>
      <c r="K2437" s="24" t="n"/>
      <c r="L2437" s="36" t="n"/>
      <c r="M2437" s="204" t="n"/>
      <c r="N2437" s="177" t="n"/>
      <c r="O2437" s="13" t="n"/>
      <c r="P2437" s="139" t="n"/>
      <c r="Q2437" s="2" t="n"/>
      <c r="R2437" s="1" t="n"/>
      <c r="S2437" s="229">
        <f>M2437*N2437</f>
        <v/>
      </c>
      <c r="T2437" s="230">
        <f>CONCATENATE(S2437,Q2437,P2437)</f>
        <v/>
      </c>
      <c r="U2437" s="206">
        <f>L2437*M2437</f>
        <v/>
      </c>
      <c r="V2437" s="4" t="n"/>
      <c r="W2437" s="4" t="n"/>
      <c r="X2437" s="4" t="n"/>
    </row>
    <row r="2438" ht="15.75" customHeight="1" thickBot="1">
      <c r="A2438" s="186" t="str"/>
      <c r="B2438" s="124" t="n"/>
      <c r="C2438" s="124" t="n"/>
      <c r="D2438" s="115" t="n"/>
      <c r="E2438" s="124" t="n"/>
      <c r="F2438" s="124" t="n"/>
      <c r="G2438" s="124" t="n"/>
      <c r="H2438" s="84" t="n"/>
      <c r="I2438" s="7" t="n"/>
      <c r="J2438" s="32" t="n"/>
      <c r="K2438" s="24" t="n"/>
      <c r="L2438" s="36" t="n"/>
      <c r="M2438" s="204" t="n"/>
      <c r="N2438" s="177" t="n"/>
      <c r="O2438" s="13" t="n"/>
      <c r="P2438" s="139" t="n"/>
      <c r="Q2438" s="2" t="n"/>
      <c r="R2438" s="1" t="n"/>
      <c r="S2438" s="229">
        <f>M2438*N2438</f>
        <v/>
      </c>
      <c r="T2438" s="230">
        <f>CONCATENATE(S2438,Q2438,P2438)</f>
        <v/>
      </c>
      <c r="U2438" s="206">
        <f>L2438*M2438</f>
        <v/>
      </c>
      <c r="V2438" s="4" t="n"/>
      <c r="W2438" s="4" t="n"/>
      <c r="X2438" s="4" t="n"/>
    </row>
    <row r="2439" ht="15.75" customHeight="1" thickBot="1">
      <c r="A2439" s="186" t="str"/>
      <c r="B2439" s="124" t="n"/>
      <c r="C2439" s="124" t="n"/>
      <c r="D2439" s="115" t="n"/>
      <c r="E2439" s="124" t="n"/>
      <c r="F2439" s="124" t="n"/>
      <c r="G2439" s="124" t="n"/>
      <c r="H2439" s="84" t="n"/>
      <c r="I2439" s="7" t="n"/>
      <c r="J2439" s="32" t="n"/>
      <c r="K2439" s="24" t="n"/>
      <c r="L2439" s="36" t="n"/>
      <c r="M2439" s="204" t="n"/>
      <c r="N2439" s="177" t="n"/>
      <c r="O2439" s="13" t="n"/>
      <c r="P2439" s="139" t="n"/>
      <c r="Q2439" s="2" t="n"/>
      <c r="R2439" s="1" t="n"/>
      <c r="S2439" s="229">
        <f>M2439*N2439</f>
        <v/>
      </c>
      <c r="T2439" s="230">
        <f>CONCATENATE(S2439,Q2439,P2439)</f>
        <v/>
      </c>
      <c r="U2439" s="206">
        <f>L2439*M2439</f>
        <v/>
      </c>
      <c r="V2439" s="4" t="n"/>
      <c r="W2439" s="4" t="n"/>
      <c r="X2439" s="4" t="n"/>
    </row>
    <row r="2440" ht="15.75" customHeight="1" thickBot="1">
      <c r="A2440" s="186" t="str"/>
      <c r="B2440" s="124" t="n"/>
      <c r="C2440" s="124" t="n"/>
      <c r="D2440" s="115" t="n"/>
      <c r="E2440" s="124" t="n"/>
      <c r="F2440" s="124" t="n"/>
      <c r="G2440" s="124" t="n"/>
      <c r="H2440" s="84" t="n"/>
      <c r="I2440" s="7" t="n"/>
      <c r="J2440" s="32" t="n"/>
      <c r="K2440" s="24" t="n"/>
      <c r="L2440" s="36" t="n"/>
      <c r="M2440" s="204" t="n"/>
      <c r="N2440" s="177" t="n"/>
      <c r="O2440" s="13" t="n"/>
      <c r="P2440" s="139" t="n"/>
      <c r="Q2440" s="2" t="n"/>
      <c r="R2440" s="1" t="n"/>
      <c r="S2440" s="229">
        <f>M2440*N2440</f>
        <v/>
      </c>
      <c r="T2440" s="230">
        <f>CONCATENATE(S2440,Q2440,P2440)</f>
        <v/>
      </c>
      <c r="U2440" s="206">
        <f>L2440*M2440</f>
        <v/>
      </c>
      <c r="V2440" s="4" t="n"/>
      <c r="W2440" s="4" t="n"/>
      <c r="X2440" s="4" t="n"/>
    </row>
    <row r="2441" ht="15.75" customHeight="1" thickBot="1">
      <c r="A2441" s="186" t="str"/>
      <c r="B2441" s="124" t="n"/>
      <c r="C2441" s="124" t="n"/>
      <c r="D2441" s="115" t="n"/>
      <c r="E2441" s="124" t="n"/>
      <c r="F2441" s="124" t="n"/>
      <c r="G2441" s="124" t="n"/>
      <c r="H2441" s="84" t="n"/>
      <c r="I2441" s="7" t="n"/>
      <c r="J2441" s="32" t="n"/>
      <c r="K2441" s="24" t="n"/>
      <c r="L2441" s="36" t="n"/>
      <c r="M2441" s="204" t="n"/>
      <c r="N2441" s="177" t="n"/>
      <c r="O2441" s="13" t="n"/>
      <c r="P2441" s="139" t="n"/>
      <c r="Q2441" s="2" t="n"/>
      <c r="R2441" s="1" t="n"/>
      <c r="S2441" s="229">
        <f>M2441*N2441</f>
        <v/>
      </c>
      <c r="T2441" s="230">
        <f>CONCATENATE(S2441,Q2441,P2441)</f>
        <v/>
      </c>
      <c r="U2441" s="206">
        <f>L2441*M2441</f>
        <v/>
      </c>
      <c r="V2441" s="4" t="n"/>
      <c r="W2441" s="4" t="n"/>
      <c r="X2441" s="4" t="n"/>
    </row>
    <row r="2442" ht="15.75" customHeight="1" thickBot="1">
      <c r="A2442" s="186" t="str"/>
      <c r="B2442" s="124" t="n"/>
      <c r="C2442" s="124" t="n"/>
      <c r="D2442" s="115" t="n"/>
      <c r="E2442" s="124" t="n"/>
      <c r="F2442" s="124" t="n"/>
      <c r="G2442" s="124" t="n"/>
      <c r="H2442" s="84" t="n"/>
      <c r="I2442" s="7" t="n"/>
      <c r="J2442" s="32" t="n"/>
      <c r="K2442" s="24" t="n"/>
      <c r="L2442" s="36" t="n"/>
      <c r="M2442" s="204" t="n"/>
      <c r="N2442" s="177" t="n"/>
      <c r="O2442" s="13" t="n"/>
      <c r="P2442" s="139" t="n"/>
      <c r="Q2442" s="2" t="n"/>
      <c r="R2442" s="1" t="n"/>
      <c r="S2442" s="229">
        <f>M2442*N2442</f>
        <v/>
      </c>
      <c r="T2442" s="230">
        <f>CONCATENATE(S2442,Q2442,P2442)</f>
        <v/>
      </c>
      <c r="U2442" s="206">
        <f>L2442*M2442</f>
        <v/>
      </c>
      <c r="V2442" s="4" t="n"/>
      <c r="W2442" s="4" t="n"/>
      <c r="X2442" s="4" t="n"/>
    </row>
    <row r="2443" ht="15.75" customHeight="1" thickBot="1">
      <c r="A2443" s="186" t="str"/>
      <c r="B2443" s="124" t="n"/>
      <c r="C2443" s="124" t="n"/>
      <c r="D2443" s="115" t="n"/>
      <c r="E2443" s="124" t="n"/>
      <c r="F2443" s="124" t="n"/>
      <c r="G2443" s="124" t="n"/>
      <c r="H2443" s="84" t="n"/>
      <c r="I2443" s="7" t="n"/>
      <c r="J2443" s="32" t="n"/>
      <c r="K2443" s="24" t="n"/>
      <c r="L2443" s="36" t="n"/>
      <c r="M2443" s="204" t="n"/>
      <c r="N2443" s="177" t="n"/>
      <c r="O2443" s="13" t="n"/>
      <c r="P2443" s="139" t="n"/>
      <c r="Q2443" s="2" t="n"/>
      <c r="R2443" s="1" t="n"/>
      <c r="S2443" s="229">
        <f>M2443*N2443</f>
        <v/>
      </c>
      <c r="T2443" s="230">
        <f>CONCATENATE(S2443,Q2443,P2443)</f>
        <v/>
      </c>
      <c r="U2443" s="206">
        <f>L2443*M2443</f>
        <v/>
      </c>
      <c r="V2443" s="4" t="n"/>
      <c r="W2443" s="4" t="n"/>
      <c r="X2443" s="4" t="n"/>
    </row>
    <row r="2444" ht="15.75" customHeight="1" thickBot="1">
      <c r="A2444" s="186" t="str"/>
      <c r="B2444" s="124" t="n"/>
      <c r="C2444" s="124" t="n"/>
      <c r="D2444" s="115" t="n"/>
      <c r="E2444" s="124" t="n"/>
      <c r="F2444" s="124" t="n"/>
      <c r="G2444" s="124" t="n"/>
      <c r="H2444" s="84" t="n"/>
      <c r="I2444" s="7" t="n"/>
      <c r="J2444" s="32" t="n"/>
      <c r="K2444" s="24" t="n"/>
      <c r="L2444" s="36" t="n"/>
      <c r="M2444" s="204" t="n"/>
      <c r="N2444" s="177" t="n"/>
      <c r="O2444" s="13" t="n"/>
      <c r="P2444" s="139" t="n"/>
      <c r="Q2444" s="2" t="n"/>
      <c r="R2444" s="1" t="n"/>
      <c r="S2444" s="229">
        <f>M2444*N2444</f>
        <v/>
      </c>
      <c r="T2444" s="230">
        <f>CONCATENATE(S2444,Q2444,P2444)</f>
        <v/>
      </c>
      <c r="U2444" s="206">
        <f>L2444*M2444</f>
        <v/>
      </c>
      <c r="V2444" s="4" t="n"/>
      <c r="W2444" s="4" t="n"/>
      <c r="X2444" s="4" t="n"/>
    </row>
    <row r="2445" ht="15.75" customHeight="1" thickBot="1">
      <c r="A2445" s="186" t="str"/>
      <c r="B2445" s="124" t="n"/>
      <c r="C2445" s="124" t="n"/>
      <c r="D2445" s="115" t="n"/>
      <c r="E2445" s="124" t="n"/>
      <c r="F2445" s="124" t="n"/>
      <c r="G2445" s="124" t="n"/>
      <c r="H2445" s="84" t="n"/>
      <c r="I2445" s="7" t="n"/>
      <c r="J2445" s="32" t="n"/>
      <c r="K2445" s="24" t="n"/>
      <c r="L2445" s="36" t="n"/>
      <c r="M2445" s="204" t="n"/>
      <c r="N2445" s="177" t="n"/>
      <c r="O2445" s="13" t="n"/>
      <c r="P2445" s="139" t="n"/>
      <c r="Q2445" s="2" t="n"/>
      <c r="R2445" s="1" t="n"/>
      <c r="S2445" s="229">
        <f>M2445*N2445</f>
        <v/>
      </c>
      <c r="T2445" s="230">
        <f>CONCATENATE(S2445,Q2445,P2445)</f>
        <v/>
      </c>
      <c r="U2445" s="206">
        <f>L2445*M2445</f>
        <v/>
      </c>
      <c r="V2445" s="4" t="n"/>
      <c r="W2445" s="4" t="n"/>
      <c r="X2445" s="4" t="n"/>
    </row>
    <row r="2446" ht="15.75" customHeight="1" thickBot="1">
      <c r="A2446" s="186" t="str"/>
      <c r="B2446" s="124" t="n"/>
      <c r="C2446" s="124" t="n"/>
      <c r="D2446" s="115" t="n"/>
      <c r="E2446" s="124" t="n"/>
      <c r="F2446" s="124" t="n"/>
      <c r="G2446" s="124" t="n"/>
      <c r="H2446" s="84" t="n"/>
      <c r="I2446" s="7" t="n"/>
      <c r="J2446" s="32" t="n"/>
      <c r="K2446" s="24" t="n"/>
      <c r="L2446" s="36" t="n"/>
      <c r="M2446" s="204" t="n"/>
      <c r="N2446" s="177" t="n"/>
      <c r="O2446" s="13" t="n"/>
      <c r="P2446" s="139" t="n"/>
      <c r="Q2446" s="2" t="n"/>
      <c r="R2446" s="1" t="n"/>
      <c r="S2446" s="229">
        <f>M2446*N2446</f>
        <v/>
      </c>
      <c r="T2446" s="230">
        <f>CONCATENATE(S2446,Q2446,P2446)</f>
        <v/>
      </c>
      <c r="U2446" s="206">
        <f>L2446*M2446</f>
        <v/>
      </c>
      <c r="V2446" s="4" t="n"/>
      <c r="W2446" s="4" t="n"/>
      <c r="X2446" s="4" t="n"/>
    </row>
    <row r="2447" ht="15.75" customHeight="1" thickBot="1">
      <c r="A2447" s="186" t="str"/>
      <c r="B2447" s="124" t="n"/>
      <c r="C2447" s="124" t="n"/>
      <c r="D2447" s="115" t="n"/>
      <c r="E2447" s="124" t="n"/>
      <c r="F2447" s="124" t="n"/>
      <c r="G2447" s="124" t="n"/>
      <c r="H2447" s="84" t="n"/>
      <c r="I2447" s="7" t="n"/>
      <c r="J2447" s="32" t="n"/>
      <c r="K2447" s="24" t="n"/>
      <c r="L2447" s="36" t="n"/>
      <c r="M2447" s="204" t="n"/>
      <c r="N2447" s="177" t="n"/>
      <c r="O2447" s="13" t="n"/>
      <c r="P2447" s="139" t="n"/>
      <c r="Q2447" s="2" t="n"/>
      <c r="R2447" s="1" t="n"/>
      <c r="S2447" s="229">
        <f>M2447*N2447</f>
        <v/>
      </c>
      <c r="T2447" s="230">
        <f>CONCATENATE(S2447,Q2447,P2447)</f>
        <v/>
      </c>
      <c r="U2447" s="206">
        <f>L2447*M2447</f>
        <v/>
      </c>
      <c r="V2447" s="4" t="n"/>
      <c r="W2447" s="4" t="n"/>
      <c r="X2447" s="4" t="n"/>
    </row>
    <row r="2448" ht="15.75" customHeight="1" thickBot="1">
      <c r="A2448" s="186" t="str"/>
      <c r="B2448" s="124" t="n"/>
      <c r="C2448" s="124" t="n"/>
      <c r="D2448" s="115" t="n"/>
      <c r="E2448" s="124" t="n"/>
      <c r="F2448" s="124" t="n"/>
      <c r="G2448" s="124" t="n"/>
      <c r="H2448" s="84" t="n"/>
      <c r="I2448" s="7" t="n"/>
      <c r="J2448" s="32" t="n"/>
      <c r="K2448" s="24" t="n"/>
      <c r="L2448" s="36" t="n"/>
      <c r="M2448" s="204" t="n"/>
      <c r="N2448" s="177" t="n"/>
      <c r="O2448" s="13" t="n"/>
      <c r="P2448" s="139" t="n"/>
      <c r="Q2448" s="2" t="n"/>
      <c r="R2448" s="1" t="n"/>
      <c r="S2448" s="229">
        <f>M2448*N2448</f>
        <v/>
      </c>
      <c r="T2448" s="230">
        <f>CONCATENATE(S2448,Q2448,P2448)</f>
        <v/>
      </c>
      <c r="U2448" s="206">
        <f>L2448*M2448</f>
        <v/>
      </c>
      <c r="V2448" s="4" t="n"/>
      <c r="W2448" s="4" t="n"/>
      <c r="X2448" s="4" t="n"/>
    </row>
    <row r="2449" ht="15.75" customHeight="1" thickBot="1">
      <c r="A2449" s="186" t="str"/>
      <c r="B2449" s="124" t="n"/>
      <c r="C2449" s="124" t="n"/>
      <c r="D2449" s="115" t="n"/>
      <c r="E2449" s="124" t="n"/>
      <c r="F2449" s="124" t="n"/>
      <c r="G2449" s="124" t="n"/>
      <c r="H2449" s="84" t="n"/>
      <c r="I2449" s="7" t="n"/>
      <c r="J2449" s="32" t="n"/>
      <c r="K2449" s="24" t="n"/>
      <c r="L2449" s="36" t="n"/>
      <c r="M2449" s="204" t="n"/>
      <c r="N2449" s="177" t="n"/>
      <c r="O2449" s="13" t="n"/>
      <c r="P2449" s="139" t="n"/>
      <c r="Q2449" s="2" t="n"/>
      <c r="R2449" s="1" t="n"/>
      <c r="S2449" s="229">
        <f>M2449*N2449</f>
        <v/>
      </c>
      <c r="T2449" s="230">
        <f>CONCATENATE(S2449,Q2449,P2449)</f>
        <v/>
      </c>
      <c r="U2449" s="206">
        <f>L2449*M2449</f>
        <v/>
      </c>
      <c r="V2449" s="4" t="n"/>
      <c r="W2449" s="4" t="n"/>
      <c r="X2449" s="4" t="n"/>
    </row>
    <row r="2450" ht="15.75" customHeight="1" thickBot="1">
      <c r="A2450" s="186" t="str"/>
      <c r="B2450" s="124" t="n"/>
      <c r="C2450" s="124" t="n"/>
      <c r="D2450" s="115" t="n"/>
      <c r="E2450" s="124" t="n"/>
      <c r="F2450" s="124" t="n"/>
      <c r="G2450" s="124" t="n"/>
      <c r="H2450" s="84" t="n"/>
      <c r="I2450" s="7" t="n"/>
      <c r="J2450" s="32" t="n"/>
      <c r="K2450" s="24" t="n"/>
      <c r="L2450" s="36" t="n"/>
      <c r="M2450" s="204" t="n"/>
      <c r="N2450" s="177" t="n"/>
      <c r="O2450" s="13" t="n"/>
      <c r="P2450" s="139" t="n"/>
      <c r="Q2450" s="2" t="n"/>
      <c r="R2450" s="1" t="n"/>
      <c r="S2450" s="229">
        <f>M2450*N2450</f>
        <v/>
      </c>
      <c r="T2450" s="230">
        <f>CONCATENATE(S2450,Q2450,P2450)</f>
        <v/>
      </c>
      <c r="U2450" s="206">
        <f>L2450*M2450</f>
        <v/>
      </c>
      <c r="V2450" s="4" t="n"/>
      <c r="W2450" s="4" t="n"/>
      <c r="X2450" s="4" t="n"/>
    </row>
    <row r="2451" ht="15.75" customHeight="1" thickBot="1">
      <c r="A2451" s="186" t="str"/>
      <c r="B2451" s="124" t="n"/>
      <c r="C2451" s="124" t="n"/>
      <c r="D2451" s="115" t="n"/>
      <c r="E2451" s="124" t="n"/>
      <c r="F2451" s="124" t="n"/>
      <c r="G2451" s="124" t="n"/>
      <c r="H2451" s="84" t="n"/>
      <c r="I2451" s="7" t="n"/>
      <c r="J2451" s="32" t="n"/>
      <c r="K2451" s="24" t="n"/>
      <c r="L2451" s="36" t="n"/>
      <c r="M2451" s="204" t="n"/>
      <c r="N2451" s="177" t="n"/>
      <c r="O2451" s="13" t="n"/>
      <c r="P2451" s="139" t="n"/>
      <c r="Q2451" s="2" t="n"/>
      <c r="R2451" s="1" t="n"/>
      <c r="S2451" s="229">
        <f>M2451*N2451</f>
        <v/>
      </c>
      <c r="T2451" s="230">
        <f>CONCATENATE(S2451,Q2451,P2451)</f>
        <v/>
      </c>
      <c r="U2451" s="206">
        <f>L2451*M2451</f>
        <v/>
      </c>
      <c r="V2451" s="4" t="n"/>
      <c r="W2451" s="4" t="n"/>
      <c r="X2451" s="4" t="n"/>
    </row>
    <row r="2452" ht="15.75" customHeight="1" thickBot="1">
      <c r="A2452" s="186" t="str"/>
      <c r="B2452" s="124" t="n"/>
      <c r="C2452" s="124" t="n"/>
      <c r="D2452" s="115" t="n"/>
      <c r="E2452" s="124" t="n"/>
      <c r="F2452" s="124" t="n"/>
      <c r="G2452" s="124" t="n"/>
      <c r="H2452" s="84" t="n"/>
      <c r="I2452" s="7" t="n"/>
      <c r="J2452" s="32" t="n"/>
      <c r="K2452" s="24" t="n"/>
      <c r="L2452" s="36" t="n"/>
      <c r="M2452" s="204" t="n"/>
      <c r="N2452" s="177" t="n"/>
      <c r="O2452" s="13" t="n"/>
      <c r="P2452" s="139" t="n"/>
      <c r="Q2452" s="2" t="n"/>
      <c r="R2452" s="1" t="n"/>
      <c r="S2452" s="229">
        <f>M2452*N2452</f>
        <v/>
      </c>
      <c r="T2452" s="230">
        <f>CONCATENATE(S2452,Q2452,P2452)</f>
        <v/>
      </c>
      <c r="U2452" s="206">
        <f>L2452*M2452</f>
        <v/>
      </c>
      <c r="V2452" s="4" t="n"/>
      <c r="W2452" s="4" t="n"/>
      <c r="X2452" s="4" t="n"/>
    </row>
    <row r="2453" ht="15.75" customHeight="1" thickBot="1">
      <c r="A2453" s="186" t="str"/>
      <c r="B2453" s="124" t="n"/>
      <c r="C2453" s="124" t="n"/>
      <c r="D2453" s="115" t="n"/>
      <c r="E2453" s="124" t="n"/>
      <c r="F2453" s="124" t="n"/>
      <c r="G2453" s="124" t="n"/>
      <c r="H2453" s="84" t="n"/>
      <c r="I2453" s="7" t="n"/>
      <c r="J2453" s="32" t="n"/>
      <c r="K2453" s="24" t="n"/>
      <c r="L2453" s="36" t="n"/>
      <c r="M2453" s="204" t="n"/>
      <c r="N2453" s="177" t="n"/>
      <c r="O2453" s="13" t="n"/>
      <c r="P2453" s="139" t="n"/>
      <c r="Q2453" s="2" t="n"/>
      <c r="R2453" s="1" t="n"/>
      <c r="S2453" s="229">
        <f>M2453*N2453</f>
        <v/>
      </c>
      <c r="T2453" s="230">
        <f>CONCATENATE(S2453,Q2453,P2453)</f>
        <v/>
      </c>
      <c r="U2453" s="206">
        <f>L2453*M2453</f>
        <v/>
      </c>
      <c r="V2453" s="4" t="n"/>
      <c r="W2453" s="4" t="n"/>
      <c r="X2453" s="4" t="n"/>
    </row>
    <row r="2454" ht="15.75" customHeight="1" thickBot="1">
      <c r="A2454" s="186" t="str"/>
      <c r="B2454" s="124" t="n"/>
      <c r="C2454" s="124" t="n"/>
      <c r="D2454" s="115" t="n"/>
      <c r="E2454" s="124" t="n"/>
      <c r="F2454" s="124" t="n"/>
      <c r="G2454" s="124" t="n"/>
      <c r="H2454" s="84" t="n"/>
      <c r="I2454" s="7" t="n"/>
      <c r="J2454" s="32" t="n"/>
      <c r="K2454" s="24" t="n"/>
      <c r="L2454" s="36" t="n"/>
      <c r="M2454" s="204" t="n"/>
      <c r="N2454" s="177" t="n"/>
      <c r="O2454" s="13" t="n"/>
      <c r="P2454" s="139" t="n"/>
      <c r="Q2454" s="2" t="n"/>
      <c r="R2454" s="1" t="n"/>
      <c r="S2454" s="229">
        <f>M2454*N2454</f>
        <v/>
      </c>
      <c r="T2454" s="230">
        <f>CONCATENATE(S2454,Q2454,P2454)</f>
        <v/>
      </c>
      <c r="U2454" s="206">
        <f>L2454*M2454</f>
        <v/>
      </c>
      <c r="V2454" s="4" t="n"/>
      <c r="W2454" s="4" t="n"/>
      <c r="X2454" s="4" t="n"/>
    </row>
    <row r="2455" ht="15.75" customHeight="1" thickBot="1">
      <c r="A2455" s="186" t="str"/>
      <c r="B2455" s="124" t="n"/>
      <c r="C2455" s="124" t="n"/>
      <c r="D2455" s="115" t="n"/>
      <c r="E2455" s="124" t="n"/>
      <c r="F2455" s="124" t="n"/>
      <c r="G2455" s="124" t="n"/>
      <c r="H2455" s="84" t="n"/>
      <c r="I2455" s="7" t="n"/>
      <c r="J2455" s="32" t="n"/>
      <c r="K2455" s="24" t="n"/>
      <c r="L2455" s="36" t="n"/>
      <c r="M2455" s="204" t="n"/>
      <c r="N2455" s="177" t="n"/>
      <c r="O2455" s="13" t="n"/>
      <c r="P2455" s="139" t="n"/>
      <c r="Q2455" s="2" t="n"/>
      <c r="R2455" s="1" t="n"/>
      <c r="S2455" s="229">
        <f>M2455*N2455</f>
        <v/>
      </c>
      <c r="T2455" s="230">
        <f>CONCATENATE(S2455,Q2455,P2455)</f>
        <v/>
      </c>
      <c r="U2455" s="206">
        <f>L2455*M2455</f>
        <v/>
      </c>
      <c r="V2455" s="4" t="n"/>
      <c r="W2455" s="4" t="n"/>
      <c r="X2455" s="4" t="n"/>
    </row>
    <row r="2456" ht="15.75" customHeight="1" thickBot="1">
      <c r="A2456" s="186" t="str"/>
      <c r="B2456" s="124" t="n"/>
      <c r="C2456" s="124" t="n"/>
      <c r="D2456" s="115" t="n"/>
      <c r="E2456" s="124" t="n"/>
      <c r="F2456" s="124" t="n"/>
      <c r="G2456" s="124" t="n"/>
      <c r="H2456" s="84" t="n"/>
      <c r="I2456" s="7" t="n"/>
      <c r="J2456" s="32" t="n"/>
      <c r="K2456" s="24" t="n"/>
      <c r="L2456" s="36" t="n"/>
      <c r="M2456" s="204" t="n"/>
      <c r="N2456" s="177" t="n"/>
      <c r="O2456" s="13" t="n"/>
      <c r="P2456" s="139" t="n"/>
      <c r="Q2456" s="2" t="n"/>
      <c r="R2456" s="1" t="n"/>
      <c r="S2456" s="229">
        <f>M2456*N2456</f>
        <v/>
      </c>
      <c r="T2456" s="230">
        <f>CONCATENATE(S2456,Q2456,P2456)</f>
        <v/>
      </c>
      <c r="U2456" s="206">
        <f>L2456*M2456</f>
        <v/>
      </c>
      <c r="V2456" s="4" t="n"/>
      <c r="W2456" s="4" t="n"/>
      <c r="X2456" s="4" t="n"/>
    </row>
    <row r="2457" ht="15.75" customHeight="1" thickBot="1">
      <c r="A2457" s="186" t="str"/>
      <c r="B2457" s="124" t="n"/>
      <c r="C2457" s="124" t="n"/>
      <c r="D2457" s="115" t="n"/>
      <c r="E2457" s="124" t="n"/>
      <c r="F2457" s="124" t="n"/>
      <c r="G2457" s="124" t="n"/>
      <c r="H2457" s="84" t="n"/>
      <c r="I2457" s="7" t="n"/>
      <c r="J2457" s="32" t="n"/>
      <c r="K2457" s="24" t="n"/>
      <c r="L2457" s="36" t="n"/>
      <c r="M2457" s="204" t="n"/>
      <c r="N2457" s="177" t="n"/>
      <c r="O2457" s="13" t="n"/>
      <c r="P2457" s="139" t="n"/>
      <c r="Q2457" s="2" t="n"/>
      <c r="R2457" s="1" t="n"/>
      <c r="S2457" s="229">
        <f>M2457*N2457</f>
        <v/>
      </c>
      <c r="T2457" s="230">
        <f>CONCATENATE(S2457,Q2457,P2457)</f>
        <v/>
      </c>
      <c r="U2457" s="206">
        <f>L2457*M2457</f>
        <v/>
      </c>
      <c r="V2457" s="4" t="n"/>
      <c r="W2457" s="4" t="n"/>
      <c r="X2457" s="4" t="n"/>
    </row>
    <row r="2458" ht="15.75" customHeight="1" thickBot="1">
      <c r="A2458" s="186" t="str"/>
      <c r="B2458" s="124" t="n"/>
      <c r="C2458" s="124" t="n"/>
      <c r="D2458" s="115" t="n"/>
      <c r="E2458" s="124" t="n"/>
      <c r="F2458" s="124" t="n"/>
      <c r="G2458" s="124" t="n"/>
      <c r="H2458" s="84" t="n"/>
      <c r="I2458" s="7" t="n"/>
      <c r="J2458" s="32" t="n"/>
      <c r="K2458" s="24" t="n"/>
      <c r="L2458" s="36" t="n"/>
      <c r="M2458" s="204" t="n"/>
      <c r="N2458" s="177" t="n"/>
      <c r="O2458" s="13" t="n"/>
      <c r="P2458" s="139" t="n"/>
      <c r="Q2458" s="2" t="n"/>
      <c r="R2458" s="1" t="n"/>
      <c r="S2458" s="229">
        <f>M2458*N2458</f>
        <v/>
      </c>
      <c r="T2458" s="230">
        <f>CONCATENATE(S2458,Q2458,P2458)</f>
        <v/>
      </c>
      <c r="U2458" s="206">
        <f>L2458*M2458</f>
        <v/>
      </c>
      <c r="V2458" s="4" t="n"/>
      <c r="W2458" s="4" t="n"/>
      <c r="X2458" s="4" t="n"/>
    </row>
    <row r="2459" ht="15.75" customHeight="1" thickBot="1">
      <c r="A2459" s="186" t="str"/>
      <c r="B2459" s="124" t="n"/>
      <c r="C2459" s="124" t="n"/>
      <c r="D2459" s="115" t="n"/>
      <c r="E2459" s="124" t="n"/>
      <c r="F2459" s="124" t="n"/>
      <c r="G2459" s="124" t="n"/>
      <c r="H2459" s="84" t="n"/>
      <c r="I2459" s="7" t="n"/>
      <c r="J2459" s="32" t="n"/>
      <c r="K2459" s="24" t="n"/>
      <c r="L2459" s="36" t="n"/>
      <c r="M2459" s="204" t="n"/>
      <c r="N2459" s="177" t="n"/>
      <c r="O2459" s="13" t="n"/>
      <c r="P2459" s="139" t="n"/>
      <c r="Q2459" s="2" t="n"/>
      <c r="R2459" s="1" t="n"/>
      <c r="S2459" s="229">
        <f>M2459*N2459</f>
        <v/>
      </c>
      <c r="T2459" s="230">
        <f>CONCATENATE(S2459,Q2459,P2459)</f>
        <v/>
      </c>
      <c r="U2459" s="206">
        <f>L2459*M2459</f>
        <v/>
      </c>
      <c r="V2459" s="4" t="n"/>
      <c r="W2459" s="4" t="n"/>
      <c r="X2459" s="4" t="n"/>
    </row>
    <row r="2460" ht="15.75" customHeight="1" thickBot="1">
      <c r="A2460" s="186" t="str"/>
      <c r="B2460" s="124" t="n"/>
      <c r="C2460" s="124" t="n"/>
      <c r="D2460" s="115" t="n"/>
      <c r="E2460" s="124" t="n"/>
      <c r="F2460" s="124" t="n"/>
      <c r="G2460" s="124" t="n"/>
      <c r="H2460" s="84" t="n"/>
      <c r="I2460" s="7" t="n"/>
      <c r="J2460" s="32" t="n"/>
      <c r="K2460" s="24" t="n"/>
      <c r="L2460" s="36" t="n"/>
      <c r="M2460" s="204" t="n"/>
      <c r="N2460" s="177" t="n"/>
      <c r="O2460" s="13" t="n"/>
      <c r="P2460" s="139" t="n"/>
      <c r="Q2460" s="2" t="n"/>
      <c r="R2460" s="1" t="n"/>
      <c r="S2460" s="229">
        <f>M2460*N2460</f>
        <v/>
      </c>
      <c r="T2460" s="230">
        <f>CONCATENATE(S2460,Q2460,P2460)</f>
        <v/>
      </c>
      <c r="U2460" s="206">
        <f>L2460*M2460</f>
        <v/>
      </c>
      <c r="V2460" s="4" t="n"/>
      <c r="W2460" s="4" t="n"/>
      <c r="X2460" s="4" t="n"/>
    </row>
    <row r="2461" ht="15.75" customHeight="1" thickBot="1">
      <c r="A2461" s="186" t="str"/>
      <c r="B2461" s="124" t="n"/>
      <c r="C2461" s="124" t="n"/>
      <c r="D2461" s="115" t="n"/>
      <c r="E2461" s="124" t="n"/>
      <c r="F2461" s="124" t="n"/>
      <c r="G2461" s="124" t="n"/>
      <c r="H2461" s="84" t="n"/>
      <c r="I2461" s="7" t="n"/>
      <c r="J2461" s="32" t="n"/>
      <c r="K2461" s="24" t="n"/>
      <c r="L2461" s="36" t="n"/>
      <c r="M2461" s="204" t="n"/>
      <c r="N2461" s="177" t="n"/>
      <c r="O2461" s="13" t="n"/>
      <c r="P2461" s="139" t="n"/>
      <c r="Q2461" s="2" t="n"/>
      <c r="R2461" s="1" t="n"/>
      <c r="S2461" s="229">
        <f>M2461*N2461</f>
        <v/>
      </c>
      <c r="T2461" s="230">
        <f>CONCATENATE(S2461,Q2461,P2461)</f>
        <v/>
      </c>
      <c r="U2461" s="206">
        <f>L2461*M2461</f>
        <v/>
      </c>
      <c r="V2461" s="4" t="n"/>
      <c r="W2461" s="4" t="n"/>
      <c r="X2461" s="4" t="n"/>
    </row>
    <row r="2462" ht="15.75" customHeight="1" thickBot="1">
      <c r="A2462" s="186" t="str"/>
      <c r="B2462" s="124" t="n"/>
      <c r="C2462" s="124" t="n"/>
      <c r="D2462" s="115" t="n"/>
      <c r="E2462" s="124" t="n"/>
      <c r="F2462" s="124" t="n"/>
      <c r="G2462" s="124" t="n"/>
      <c r="H2462" s="84" t="n"/>
      <c r="I2462" s="7" t="n"/>
      <c r="J2462" s="32" t="n"/>
      <c r="K2462" s="24" t="n"/>
      <c r="L2462" s="36" t="n"/>
      <c r="M2462" s="204" t="n"/>
      <c r="N2462" s="177" t="n"/>
      <c r="O2462" s="13" t="n"/>
      <c r="P2462" s="139" t="n"/>
      <c r="Q2462" s="2" t="n"/>
      <c r="R2462" s="1" t="n"/>
      <c r="S2462" s="229">
        <f>M2462*N2462</f>
        <v/>
      </c>
      <c r="T2462" s="230">
        <f>CONCATENATE(S2462,Q2462,P2462)</f>
        <v/>
      </c>
      <c r="U2462" s="206">
        <f>L2462*M2462</f>
        <v/>
      </c>
      <c r="V2462" s="4" t="n"/>
      <c r="W2462" s="4" t="n"/>
      <c r="X2462" s="4" t="n"/>
    </row>
    <row r="2463" ht="15.75" customHeight="1" thickBot="1">
      <c r="A2463" s="186" t="str"/>
      <c r="B2463" s="124" t="n"/>
      <c r="C2463" s="124" t="n"/>
      <c r="D2463" s="115" t="n"/>
      <c r="E2463" s="124" t="n"/>
      <c r="F2463" s="124" t="n"/>
      <c r="G2463" s="124" t="n"/>
      <c r="H2463" s="84" t="n"/>
      <c r="I2463" s="7" t="n"/>
      <c r="J2463" s="32" t="n"/>
      <c r="K2463" s="24" t="n"/>
      <c r="L2463" s="36" t="n"/>
      <c r="M2463" s="204" t="n"/>
      <c r="N2463" s="177" t="n"/>
      <c r="O2463" s="13" t="n"/>
      <c r="P2463" s="139" t="n"/>
      <c r="Q2463" s="2" t="n"/>
      <c r="R2463" s="1" t="n"/>
      <c r="S2463" s="229">
        <f>M2463*N2463</f>
        <v/>
      </c>
      <c r="T2463" s="230">
        <f>CONCATENATE(S2463,Q2463,P2463)</f>
        <v/>
      </c>
      <c r="U2463" s="206">
        <f>L2463*M2463</f>
        <v/>
      </c>
      <c r="V2463" s="4" t="n"/>
      <c r="W2463" s="4" t="n"/>
      <c r="X2463" s="4" t="n"/>
    </row>
    <row r="2464" ht="15.75" customHeight="1" thickBot="1">
      <c r="A2464" s="186" t="str"/>
      <c r="B2464" s="124" t="n"/>
      <c r="C2464" s="124" t="n"/>
      <c r="D2464" s="115" t="n"/>
      <c r="E2464" s="124" t="n"/>
      <c r="F2464" s="124" t="n"/>
      <c r="G2464" s="124" t="n"/>
      <c r="H2464" s="84" t="n"/>
      <c r="I2464" s="7" t="n"/>
      <c r="J2464" s="32" t="n"/>
      <c r="K2464" s="24" t="n"/>
      <c r="L2464" s="36" t="n"/>
      <c r="M2464" s="204" t="n"/>
      <c r="N2464" s="177" t="n"/>
      <c r="O2464" s="13" t="n"/>
      <c r="P2464" s="139" t="n"/>
      <c r="Q2464" s="2" t="n"/>
      <c r="R2464" s="1" t="n"/>
      <c r="S2464" s="229">
        <f>M2464*N2464</f>
        <v/>
      </c>
      <c r="T2464" s="230">
        <f>CONCATENATE(S2464,Q2464,P2464)</f>
        <v/>
      </c>
      <c r="U2464" s="206">
        <f>L2464*M2464</f>
        <v/>
      </c>
      <c r="V2464" s="4" t="n"/>
      <c r="W2464" s="4" t="n"/>
      <c r="X2464" s="4" t="n"/>
    </row>
    <row r="2465" ht="15.75" customHeight="1" thickBot="1">
      <c r="A2465" s="186" t="str"/>
      <c r="B2465" s="124" t="n"/>
      <c r="C2465" s="124" t="n"/>
      <c r="D2465" s="115" t="n"/>
      <c r="E2465" s="124" t="n"/>
      <c r="F2465" s="124" t="n"/>
      <c r="G2465" s="124" t="n"/>
      <c r="H2465" s="84" t="n"/>
      <c r="I2465" s="7" t="n"/>
      <c r="J2465" s="32" t="n"/>
      <c r="K2465" s="24" t="n"/>
      <c r="L2465" s="36" t="n"/>
      <c r="M2465" s="204" t="n"/>
      <c r="N2465" s="177" t="n"/>
      <c r="O2465" s="13" t="n"/>
      <c r="P2465" s="139" t="n"/>
      <c r="Q2465" s="2" t="n"/>
      <c r="R2465" s="1" t="n"/>
      <c r="S2465" s="229">
        <f>M2465*N2465</f>
        <v/>
      </c>
      <c r="T2465" s="230">
        <f>CONCATENATE(S2465,Q2465,P2465)</f>
        <v/>
      </c>
      <c r="U2465" s="206">
        <f>L2465*M2465</f>
        <v/>
      </c>
      <c r="V2465" s="4" t="n"/>
      <c r="W2465" s="4" t="n"/>
      <c r="X2465" s="4" t="n"/>
    </row>
    <row r="2466" ht="15.75" customHeight="1" thickBot="1">
      <c r="A2466" s="186" t="str"/>
      <c r="B2466" s="124" t="n"/>
      <c r="C2466" s="124" t="n"/>
      <c r="D2466" s="115" t="n"/>
      <c r="E2466" s="124" t="n"/>
      <c r="F2466" s="124" t="n"/>
      <c r="G2466" s="124" t="n"/>
      <c r="H2466" s="84" t="n"/>
      <c r="I2466" s="7" t="n"/>
      <c r="J2466" s="32" t="n"/>
      <c r="K2466" s="24" t="n"/>
      <c r="L2466" s="36" t="n"/>
      <c r="M2466" s="204" t="n"/>
      <c r="N2466" s="177" t="n"/>
      <c r="O2466" s="13" t="n"/>
      <c r="P2466" s="139" t="n"/>
      <c r="Q2466" s="2" t="n"/>
      <c r="R2466" s="1" t="n"/>
      <c r="S2466" s="229">
        <f>M2466*N2466</f>
        <v/>
      </c>
      <c r="T2466" s="230">
        <f>CONCATENATE(S2466,Q2466,P2466)</f>
        <v/>
      </c>
      <c r="U2466" s="206">
        <f>L2466*M2466</f>
        <v/>
      </c>
      <c r="V2466" s="4" t="n"/>
      <c r="W2466" s="4" t="n"/>
      <c r="X2466" s="4" t="n"/>
    </row>
    <row r="2467" ht="15.75" customHeight="1" thickBot="1">
      <c r="A2467" s="186" t="str"/>
      <c r="B2467" s="124" t="n"/>
      <c r="C2467" s="124" t="n"/>
      <c r="D2467" s="115" t="n"/>
      <c r="E2467" s="124" t="n"/>
      <c r="F2467" s="124" t="n"/>
      <c r="G2467" s="124" t="n"/>
      <c r="H2467" s="84" t="n"/>
      <c r="I2467" s="7" t="n"/>
      <c r="J2467" s="32" t="n"/>
      <c r="K2467" s="24" t="n"/>
      <c r="L2467" s="36" t="n"/>
      <c r="M2467" s="204" t="n"/>
      <c r="N2467" s="177" t="n"/>
      <c r="O2467" s="13" t="n"/>
      <c r="P2467" s="139" t="n"/>
      <c r="Q2467" s="2" t="n"/>
      <c r="R2467" s="1" t="n"/>
      <c r="S2467" s="229">
        <f>M2467*N2467</f>
        <v/>
      </c>
      <c r="T2467" s="230">
        <f>CONCATENATE(S2467,Q2467,P2467)</f>
        <v/>
      </c>
      <c r="U2467" s="206">
        <f>L2467*M2467</f>
        <v/>
      </c>
      <c r="V2467" s="4" t="n"/>
      <c r="W2467" s="4" t="n"/>
      <c r="X2467" s="4" t="n"/>
    </row>
    <row r="2468" ht="15.75" customHeight="1" thickBot="1">
      <c r="A2468" s="186" t="str"/>
      <c r="B2468" s="124" t="n"/>
      <c r="C2468" s="124" t="n"/>
      <c r="D2468" s="115" t="n"/>
      <c r="E2468" s="124" t="n"/>
      <c r="F2468" s="124" t="n"/>
      <c r="G2468" s="124" t="n"/>
      <c r="H2468" s="84" t="n"/>
      <c r="I2468" s="7" t="n"/>
      <c r="J2468" s="32" t="n"/>
      <c r="K2468" s="24" t="n"/>
      <c r="L2468" s="36" t="n"/>
      <c r="M2468" s="204" t="n"/>
      <c r="N2468" s="177" t="n"/>
      <c r="O2468" s="13" t="n"/>
      <c r="P2468" s="139" t="n"/>
      <c r="Q2468" s="2" t="n"/>
      <c r="R2468" s="1" t="n"/>
      <c r="S2468" s="229">
        <f>M2468*N2468</f>
        <v/>
      </c>
      <c r="T2468" s="230">
        <f>CONCATENATE(S2468,Q2468,P2468)</f>
        <v/>
      </c>
      <c r="U2468" s="206">
        <f>L2468*M2468</f>
        <v/>
      </c>
      <c r="V2468" s="4" t="n"/>
      <c r="W2468" s="4" t="n"/>
      <c r="X2468" s="4" t="n"/>
    </row>
    <row r="2469" ht="15.75" customHeight="1" thickBot="1">
      <c r="A2469" s="186" t="str"/>
      <c r="B2469" s="124" t="n"/>
      <c r="C2469" s="124" t="n"/>
      <c r="D2469" s="115" t="n"/>
      <c r="E2469" s="124" t="n"/>
      <c r="F2469" s="124" t="n"/>
      <c r="G2469" s="124" t="n"/>
      <c r="H2469" s="84" t="n"/>
      <c r="I2469" s="7" t="n"/>
      <c r="J2469" s="32" t="n"/>
      <c r="K2469" s="24" t="n"/>
      <c r="L2469" s="36" t="n"/>
      <c r="M2469" s="204" t="n"/>
      <c r="N2469" s="177" t="n"/>
      <c r="O2469" s="13" t="n"/>
      <c r="P2469" s="139" t="n"/>
      <c r="Q2469" s="2" t="n"/>
      <c r="R2469" s="1" t="n"/>
      <c r="S2469" s="229">
        <f>M2469*N2469</f>
        <v/>
      </c>
      <c r="T2469" s="230">
        <f>CONCATENATE(S2469,Q2469,P2469)</f>
        <v/>
      </c>
      <c r="U2469" s="206">
        <f>L2469*M2469</f>
        <v/>
      </c>
      <c r="V2469" s="4" t="n"/>
      <c r="W2469" s="4" t="n"/>
      <c r="X2469" s="4" t="n"/>
    </row>
    <row r="2470" ht="15.75" customHeight="1" thickBot="1">
      <c r="A2470" s="186" t="str"/>
      <c r="B2470" s="124" t="n"/>
      <c r="C2470" s="124" t="n"/>
      <c r="D2470" s="115" t="n"/>
      <c r="E2470" s="124" t="n"/>
      <c r="F2470" s="124" t="n"/>
      <c r="G2470" s="124" t="n"/>
      <c r="H2470" s="84" t="n"/>
      <c r="I2470" s="7" t="n"/>
      <c r="J2470" s="32" t="n"/>
      <c r="K2470" s="24" t="n"/>
      <c r="L2470" s="36" t="n"/>
      <c r="M2470" s="204" t="n"/>
      <c r="N2470" s="177" t="n"/>
      <c r="O2470" s="13" t="n"/>
      <c r="P2470" s="139" t="n"/>
      <c r="Q2470" s="2" t="n"/>
      <c r="R2470" s="1" t="n"/>
      <c r="S2470" s="229">
        <f>M2470*N2470</f>
        <v/>
      </c>
      <c r="T2470" s="230">
        <f>CONCATENATE(S2470,Q2470,P2470)</f>
        <v/>
      </c>
      <c r="U2470" s="206">
        <f>L2470*M2470</f>
        <v/>
      </c>
      <c r="V2470" s="4" t="n"/>
      <c r="W2470" s="4" t="n"/>
      <c r="X2470" s="4" t="n"/>
    </row>
    <row r="2471" ht="15.75" customHeight="1" thickBot="1">
      <c r="A2471" s="186" t="str"/>
      <c r="B2471" s="124" t="n"/>
      <c r="C2471" s="124" t="n"/>
      <c r="D2471" s="115" t="n"/>
      <c r="E2471" s="124" t="n"/>
      <c r="F2471" s="124" t="n"/>
      <c r="G2471" s="124" t="n"/>
      <c r="H2471" s="84" t="n"/>
      <c r="I2471" s="7" t="n"/>
      <c r="J2471" s="32" t="n"/>
      <c r="K2471" s="24" t="n"/>
      <c r="L2471" s="36" t="n"/>
      <c r="M2471" s="204" t="n"/>
      <c r="N2471" s="177" t="n"/>
      <c r="O2471" s="13" t="n"/>
      <c r="P2471" s="139" t="n"/>
      <c r="Q2471" s="2" t="n"/>
      <c r="R2471" s="1" t="n"/>
      <c r="S2471" s="229">
        <f>M2471*N2471</f>
        <v/>
      </c>
      <c r="T2471" s="230">
        <f>CONCATENATE(S2471,Q2471,P2471)</f>
        <v/>
      </c>
      <c r="U2471" s="206">
        <f>L2471*M2471</f>
        <v/>
      </c>
      <c r="V2471" s="4" t="n"/>
      <c r="W2471" s="4" t="n"/>
      <c r="X2471" s="4" t="n"/>
    </row>
    <row r="2472" ht="15.75" customHeight="1" thickBot="1">
      <c r="A2472" s="186" t="str"/>
      <c r="B2472" s="124" t="n"/>
      <c r="C2472" s="124" t="n"/>
      <c r="D2472" s="115" t="n"/>
      <c r="E2472" s="124" t="n"/>
      <c r="F2472" s="124" t="n"/>
      <c r="G2472" s="124" t="n"/>
      <c r="H2472" s="84" t="n"/>
      <c r="I2472" s="7" t="n"/>
      <c r="J2472" s="32" t="n"/>
      <c r="K2472" s="24" t="n"/>
      <c r="L2472" s="36" t="n"/>
      <c r="M2472" s="204" t="n"/>
      <c r="N2472" s="177" t="n"/>
      <c r="O2472" s="13" t="n"/>
      <c r="P2472" s="139" t="n"/>
      <c r="Q2472" s="2" t="n"/>
      <c r="R2472" s="1" t="n"/>
      <c r="S2472" s="229">
        <f>M2472*N2472</f>
        <v/>
      </c>
      <c r="T2472" s="230">
        <f>CONCATENATE(S2472,Q2472,P2472)</f>
        <v/>
      </c>
      <c r="U2472" s="206">
        <f>L2472*M2472</f>
        <v/>
      </c>
      <c r="V2472" s="4" t="n"/>
      <c r="W2472" s="4" t="n"/>
      <c r="X2472" s="4" t="n"/>
    </row>
    <row r="2473" ht="15.75" customHeight="1" thickBot="1">
      <c r="A2473" s="186" t="str"/>
      <c r="B2473" s="124" t="n"/>
      <c r="C2473" s="124" t="n"/>
      <c r="D2473" s="115" t="n"/>
      <c r="E2473" s="124" t="n"/>
      <c r="F2473" s="124" t="n"/>
      <c r="G2473" s="124" t="n"/>
      <c r="H2473" s="84" t="n"/>
      <c r="I2473" s="7" t="n"/>
      <c r="J2473" s="32" t="n"/>
      <c r="K2473" s="24" t="n"/>
      <c r="L2473" s="36" t="n"/>
      <c r="M2473" s="204" t="n"/>
      <c r="N2473" s="177" t="n"/>
      <c r="O2473" s="13" t="n"/>
      <c r="P2473" s="139" t="n"/>
      <c r="Q2473" s="2" t="n"/>
      <c r="R2473" s="1" t="n"/>
      <c r="S2473" s="229">
        <f>M2473*N2473</f>
        <v/>
      </c>
      <c r="T2473" s="230">
        <f>CONCATENATE(S2473,Q2473,P2473)</f>
        <v/>
      </c>
      <c r="U2473" s="206">
        <f>L2473*M2473</f>
        <v/>
      </c>
      <c r="V2473" s="4" t="n"/>
      <c r="W2473" s="4" t="n"/>
      <c r="X2473" s="4" t="n"/>
    </row>
    <row r="2474" ht="15.75" customHeight="1" thickBot="1">
      <c r="A2474" s="186" t="str"/>
      <c r="B2474" s="124" t="n"/>
      <c r="C2474" s="124" t="n"/>
      <c r="D2474" s="115" t="n"/>
      <c r="E2474" s="124" t="n"/>
      <c r="F2474" s="124" t="n"/>
      <c r="G2474" s="124" t="n"/>
      <c r="H2474" s="84" t="n"/>
      <c r="I2474" s="7" t="n"/>
      <c r="J2474" s="32" t="n"/>
      <c r="K2474" s="24" t="n"/>
      <c r="L2474" s="36" t="n"/>
      <c r="M2474" s="204" t="n"/>
      <c r="N2474" s="177" t="n"/>
      <c r="O2474" s="13" t="n"/>
      <c r="P2474" s="139" t="n"/>
      <c r="Q2474" s="2" t="n"/>
      <c r="R2474" s="1" t="n"/>
      <c r="S2474" s="229">
        <f>M2474*N2474</f>
        <v/>
      </c>
      <c r="T2474" s="230">
        <f>CONCATENATE(S2474,Q2474,P2474)</f>
        <v/>
      </c>
      <c r="U2474" s="206">
        <f>L2474*M2474</f>
        <v/>
      </c>
      <c r="V2474" s="4" t="n"/>
      <c r="W2474" s="4" t="n"/>
      <c r="X2474" s="4" t="n"/>
    </row>
    <row r="2475" ht="15.75" customHeight="1" thickBot="1">
      <c r="A2475" s="186" t="str"/>
      <c r="B2475" s="124" t="n"/>
      <c r="C2475" s="124" t="n"/>
      <c r="D2475" s="115" t="n"/>
      <c r="E2475" s="124" t="n"/>
      <c r="F2475" s="124" t="n"/>
      <c r="G2475" s="124" t="n"/>
      <c r="H2475" s="84" t="n"/>
      <c r="I2475" s="7" t="n"/>
      <c r="J2475" s="32" t="n"/>
      <c r="K2475" s="24" t="n"/>
      <c r="L2475" s="36" t="n"/>
      <c r="M2475" s="204" t="n"/>
      <c r="N2475" s="177" t="n"/>
      <c r="O2475" s="13" t="n"/>
      <c r="P2475" s="139" t="n"/>
      <c r="Q2475" s="2" t="n"/>
      <c r="R2475" s="1" t="n"/>
      <c r="S2475" s="229">
        <f>M2475*N2475</f>
        <v/>
      </c>
      <c r="T2475" s="230">
        <f>CONCATENATE(S2475,Q2475,P2475)</f>
        <v/>
      </c>
      <c r="U2475" s="206">
        <f>L2475*M2475</f>
        <v/>
      </c>
      <c r="V2475" s="4" t="n"/>
      <c r="W2475" s="4" t="n"/>
      <c r="X2475" s="4" t="n"/>
    </row>
    <row r="2476" ht="15.75" customHeight="1" thickBot="1">
      <c r="A2476" s="186" t="str"/>
      <c r="B2476" s="124" t="n"/>
      <c r="C2476" s="124" t="n"/>
      <c r="D2476" s="115" t="n"/>
      <c r="E2476" s="124" t="n"/>
      <c r="F2476" s="124" t="n"/>
      <c r="G2476" s="124" t="n"/>
      <c r="H2476" s="84" t="n"/>
      <c r="I2476" s="7" t="n"/>
      <c r="J2476" s="32" t="n"/>
      <c r="K2476" s="24" t="n"/>
      <c r="L2476" s="36" t="n"/>
      <c r="M2476" s="204" t="n"/>
      <c r="N2476" s="177" t="n"/>
      <c r="O2476" s="13" t="n"/>
      <c r="P2476" s="139" t="n"/>
      <c r="Q2476" s="2" t="n"/>
      <c r="R2476" s="1" t="n"/>
      <c r="S2476" s="229">
        <f>M2476*N2476</f>
        <v/>
      </c>
      <c r="T2476" s="230">
        <f>CONCATENATE(S2476,Q2476,P2476)</f>
        <v/>
      </c>
      <c r="U2476" s="206">
        <f>L2476*M2476</f>
        <v/>
      </c>
      <c r="V2476" s="4" t="n"/>
      <c r="W2476" s="4" t="n"/>
      <c r="X2476" s="4" t="n"/>
    </row>
    <row r="2477" ht="15.75" customHeight="1" thickBot="1">
      <c r="A2477" s="186" t="str"/>
      <c r="B2477" s="124" t="n"/>
      <c r="C2477" s="124" t="n"/>
      <c r="D2477" s="115" t="n"/>
      <c r="E2477" s="124" t="n"/>
      <c r="F2477" s="124" t="n"/>
      <c r="G2477" s="124" t="n"/>
      <c r="H2477" s="84" t="n"/>
      <c r="I2477" s="7" t="n"/>
      <c r="J2477" s="32" t="n"/>
      <c r="K2477" s="24" t="n"/>
      <c r="L2477" s="36" t="n"/>
      <c r="M2477" s="204" t="n"/>
      <c r="N2477" s="177" t="n"/>
      <c r="O2477" s="13" t="n"/>
      <c r="P2477" s="139" t="n"/>
      <c r="Q2477" s="2" t="n"/>
      <c r="R2477" s="1" t="n"/>
      <c r="S2477" s="229">
        <f>M2477*N2477</f>
        <v/>
      </c>
      <c r="T2477" s="230">
        <f>CONCATENATE(S2477,Q2477,P2477)</f>
        <v/>
      </c>
      <c r="U2477" s="206">
        <f>L2477*M2477</f>
        <v/>
      </c>
      <c r="V2477" s="4" t="n"/>
      <c r="W2477" s="4" t="n"/>
      <c r="X2477" s="4" t="n"/>
    </row>
    <row r="2478" ht="15.75" customHeight="1" thickBot="1">
      <c r="A2478" s="186" t="str"/>
      <c r="B2478" s="124" t="n"/>
      <c r="C2478" s="124" t="n"/>
      <c r="D2478" s="115" t="n"/>
      <c r="E2478" s="124" t="n"/>
      <c r="F2478" s="124" t="n"/>
      <c r="G2478" s="124" t="n"/>
      <c r="H2478" s="84" t="n"/>
      <c r="I2478" s="7" t="n"/>
      <c r="J2478" s="32" t="n"/>
      <c r="K2478" s="24" t="n"/>
      <c r="L2478" s="36" t="n"/>
      <c r="M2478" s="204" t="n"/>
      <c r="N2478" s="177" t="n"/>
      <c r="O2478" s="13" t="n"/>
      <c r="P2478" s="139" t="n"/>
      <c r="Q2478" s="2" t="n"/>
      <c r="R2478" s="1" t="n"/>
      <c r="S2478" s="229">
        <f>M2478*N2478</f>
        <v/>
      </c>
      <c r="T2478" s="230">
        <f>CONCATENATE(S2478,Q2478,P2478)</f>
        <v/>
      </c>
      <c r="U2478" s="206">
        <f>L2478*M2478</f>
        <v/>
      </c>
      <c r="V2478" s="4" t="n"/>
      <c r="W2478" s="4" t="n"/>
      <c r="X2478" s="4" t="n"/>
    </row>
    <row r="2479" ht="15.75" customHeight="1" thickBot="1">
      <c r="A2479" s="186" t="str"/>
      <c r="B2479" s="124" t="n"/>
      <c r="C2479" s="124" t="n"/>
      <c r="D2479" s="115" t="n"/>
      <c r="E2479" s="124" t="n"/>
      <c r="F2479" s="124" t="n"/>
      <c r="G2479" s="124" t="n"/>
      <c r="H2479" s="84" t="n"/>
      <c r="I2479" s="7" t="n"/>
      <c r="J2479" s="32" t="n"/>
      <c r="K2479" s="24" t="n"/>
      <c r="L2479" s="36" t="n"/>
      <c r="M2479" s="204" t="n"/>
      <c r="N2479" s="177" t="n"/>
      <c r="O2479" s="13" t="n"/>
      <c r="P2479" s="139" t="n"/>
      <c r="Q2479" s="2" t="n"/>
      <c r="R2479" s="1" t="n"/>
      <c r="S2479" s="229">
        <f>M2479*N2479</f>
        <v/>
      </c>
      <c r="T2479" s="230">
        <f>CONCATENATE(S2479,Q2479,P2479)</f>
        <v/>
      </c>
      <c r="U2479" s="206">
        <f>L2479*M2479</f>
        <v/>
      </c>
      <c r="V2479" s="4" t="n"/>
      <c r="W2479" s="4" t="n"/>
      <c r="X2479" s="4" t="n"/>
    </row>
    <row r="2480" ht="15.75" customHeight="1" thickBot="1">
      <c r="A2480" s="186" t="str"/>
      <c r="B2480" s="124" t="n"/>
      <c r="C2480" s="124" t="n"/>
      <c r="D2480" s="115" t="n"/>
      <c r="E2480" s="124" t="n"/>
      <c r="F2480" s="124" t="n"/>
      <c r="G2480" s="124" t="n"/>
      <c r="H2480" s="84" t="n"/>
      <c r="I2480" s="7" t="n"/>
      <c r="J2480" s="32" t="n"/>
      <c r="K2480" s="24" t="n"/>
      <c r="L2480" s="36" t="n"/>
      <c r="M2480" s="204" t="n"/>
      <c r="N2480" s="177" t="n"/>
      <c r="O2480" s="13" t="n"/>
      <c r="P2480" s="139" t="n"/>
      <c r="Q2480" s="2" t="n"/>
      <c r="R2480" s="1" t="n"/>
      <c r="S2480" s="229">
        <f>M2480*N2480</f>
        <v/>
      </c>
      <c r="T2480" s="230">
        <f>CONCATENATE(S2480,Q2480,P2480)</f>
        <v/>
      </c>
      <c r="U2480" s="206">
        <f>L2480*M2480</f>
        <v/>
      </c>
      <c r="V2480" s="4" t="n"/>
      <c r="W2480" s="4" t="n"/>
      <c r="X2480" s="4" t="n"/>
    </row>
    <row r="2481" ht="15.75" customHeight="1" thickBot="1">
      <c r="A2481" s="186" t="str"/>
      <c r="B2481" s="124" t="n"/>
      <c r="C2481" s="124" t="n"/>
      <c r="D2481" s="115" t="n"/>
      <c r="E2481" s="124" t="n"/>
      <c r="F2481" s="124" t="n"/>
      <c r="G2481" s="124" t="n"/>
      <c r="H2481" s="84" t="n"/>
      <c r="I2481" s="7" t="n"/>
      <c r="J2481" s="32" t="n"/>
      <c r="K2481" s="24" t="n"/>
      <c r="L2481" s="36" t="n"/>
      <c r="M2481" s="204" t="n"/>
      <c r="N2481" s="177" t="n"/>
      <c r="O2481" s="13" t="n"/>
      <c r="P2481" s="139" t="n"/>
      <c r="Q2481" s="2" t="n"/>
      <c r="R2481" s="1" t="n"/>
      <c r="S2481" s="229">
        <f>M2481*N2481</f>
        <v/>
      </c>
      <c r="T2481" s="230">
        <f>CONCATENATE(S2481,Q2481,P2481)</f>
        <v/>
      </c>
      <c r="U2481" s="206">
        <f>L2481*M2481</f>
        <v/>
      </c>
      <c r="V2481" s="4" t="n"/>
      <c r="W2481" s="4" t="n"/>
      <c r="X2481" s="4" t="n"/>
    </row>
    <row r="2482" ht="15.75" customHeight="1" thickBot="1">
      <c r="A2482" s="186" t="str"/>
      <c r="B2482" s="124" t="n"/>
      <c r="C2482" s="124" t="n"/>
      <c r="D2482" s="115" t="n"/>
      <c r="E2482" s="124" t="n"/>
      <c r="F2482" s="124" t="n"/>
      <c r="G2482" s="124" t="n"/>
      <c r="H2482" s="84" t="n"/>
      <c r="I2482" s="7" t="n"/>
      <c r="J2482" s="32" t="n"/>
      <c r="K2482" s="24" t="n"/>
      <c r="L2482" s="36" t="n"/>
      <c r="M2482" s="204" t="n"/>
      <c r="N2482" s="177" t="n"/>
      <c r="O2482" s="13" t="n"/>
      <c r="P2482" s="139" t="n"/>
      <c r="Q2482" s="2" t="n"/>
      <c r="R2482" s="1" t="n"/>
      <c r="S2482" s="229">
        <f>M2482*N2482</f>
        <v/>
      </c>
      <c r="T2482" s="230">
        <f>CONCATENATE(S2482,Q2482,P2482)</f>
        <v/>
      </c>
      <c r="U2482" s="206">
        <f>L2482*M2482</f>
        <v/>
      </c>
      <c r="V2482" s="4" t="n"/>
      <c r="W2482" s="4" t="n"/>
      <c r="X2482" s="4" t="n"/>
    </row>
    <row r="2483" ht="15.75" customHeight="1" thickBot="1">
      <c r="A2483" s="186" t="str"/>
      <c r="B2483" s="124" t="n"/>
      <c r="C2483" s="124" t="n"/>
      <c r="D2483" s="115" t="n"/>
      <c r="E2483" s="124" t="n"/>
      <c r="F2483" s="124" t="n"/>
      <c r="G2483" s="124" t="n"/>
      <c r="H2483" s="84" t="n"/>
      <c r="I2483" s="7" t="n"/>
      <c r="J2483" s="32" t="n"/>
      <c r="K2483" s="24" t="n"/>
      <c r="L2483" s="36" t="n"/>
      <c r="M2483" s="204" t="n"/>
      <c r="N2483" s="177" t="n"/>
      <c r="O2483" s="13" t="n"/>
      <c r="P2483" s="139" t="n"/>
      <c r="Q2483" s="2" t="n"/>
      <c r="R2483" s="1" t="n"/>
      <c r="S2483" s="229">
        <f>M2483*N2483</f>
        <v/>
      </c>
      <c r="T2483" s="230">
        <f>CONCATENATE(S2483,Q2483,P2483)</f>
        <v/>
      </c>
      <c r="U2483" s="206">
        <f>L2483*M2483</f>
        <v/>
      </c>
      <c r="V2483" s="4" t="n"/>
      <c r="W2483" s="4" t="n"/>
      <c r="X2483" s="4" t="n"/>
    </row>
    <row r="2484" ht="15.75" customHeight="1" thickBot="1">
      <c r="A2484" s="186" t="str"/>
      <c r="B2484" s="124" t="n"/>
      <c r="C2484" s="124" t="n"/>
      <c r="D2484" s="115" t="n"/>
      <c r="E2484" s="124" t="n"/>
      <c r="F2484" s="124" t="n"/>
      <c r="G2484" s="124" t="n"/>
      <c r="H2484" s="84" t="n"/>
      <c r="I2484" s="7" t="n"/>
      <c r="J2484" s="32" t="n"/>
      <c r="K2484" s="24" t="n"/>
      <c r="L2484" s="36" t="n"/>
      <c r="M2484" s="204" t="n"/>
      <c r="N2484" s="177" t="n"/>
      <c r="O2484" s="13" t="n"/>
      <c r="P2484" s="139" t="n"/>
      <c r="Q2484" s="2" t="n"/>
      <c r="R2484" s="1" t="n"/>
      <c r="S2484" s="229">
        <f>M2484*N2484</f>
        <v/>
      </c>
      <c r="T2484" s="230">
        <f>CONCATENATE(S2484,Q2484,P2484)</f>
        <v/>
      </c>
      <c r="U2484" s="206">
        <f>L2484*M2484</f>
        <v/>
      </c>
      <c r="V2484" s="4" t="n"/>
      <c r="W2484" s="4" t="n"/>
      <c r="X2484" s="4" t="n"/>
    </row>
    <row r="2485" ht="15.75" customHeight="1" thickBot="1">
      <c r="A2485" s="186" t="str"/>
      <c r="B2485" s="124" t="n"/>
      <c r="C2485" s="124" t="n"/>
      <c r="D2485" s="115" t="n"/>
      <c r="E2485" s="124" t="n"/>
      <c r="F2485" s="124" t="n"/>
      <c r="G2485" s="124" t="n"/>
      <c r="H2485" s="84" t="n"/>
      <c r="I2485" s="7" t="n"/>
      <c r="J2485" s="32" t="n"/>
      <c r="K2485" s="24" t="n"/>
      <c r="L2485" s="36" t="n"/>
      <c r="M2485" s="204" t="n"/>
      <c r="N2485" s="177" t="n"/>
      <c r="O2485" s="13" t="n"/>
      <c r="P2485" s="139" t="n"/>
      <c r="Q2485" s="2" t="n"/>
      <c r="R2485" s="1" t="n"/>
      <c r="S2485" s="229">
        <f>M2485*N2485</f>
        <v/>
      </c>
      <c r="T2485" s="230">
        <f>CONCATENATE(S2485,Q2485,P2485)</f>
        <v/>
      </c>
      <c r="U2485" s="206">
        <f>L2485*M2485</f>
        <v/>
      </c>
      <c r="V2485" s="4" t="n"/>
      <c r="W2485" s="4" t="n"/>
      <c r="X2485" s="4" t="n"/>
    </row>
    <row r="2486" ht="15.75" customHeight="1" thickBot="1">
      <c r="A2486" s="186" t="str"/>
      <c r="B2486" s="124" t="n"/>
      <c r="C2486" s="124" t="n"/>
      <c r="D2486" s="115" t="n"/>
      <c r="E2486" s="124" t="n"/>
      <c r="F2486" s="124" t="n"/>
      <c r="G2486" s="124" t="n"/>
      <c r="H2486" s="84" t="n"/>
      <c r="I2486" s="7" t="n"/>
      <c r="J2486" s="32" t="n"/>
      <c r="K2486" s="24" t="n"/>
      <c r="L2486" s="36" t="n"/>
      <c r="M2486" s="204" t="n"/>
      <c r="N2486" s="177" t="n"/>
      <c r="O2486" s="13" t="n"/>
      <c r="P2486" s="139" t="n"/>
      <c r="Q2486" s="2" t="n"/>
      <c r="R2486" s="1" t="n"/>
      <c r="S2486" s="229">
        <f>M2486*N2486</f>
        <v/>
      </c>
      <c r="T2486" s="230">
        <f>CONCATENATE(S2486,Q2486,P2486)</f>
        <v/>
      </c>
      <c r="U2486" s="206">
        <f>L2486*M2486</f>
        <v/>
      </c>
      <c r="V2486" s="4" t="n"/>
      <c r="W2486" s="4" t="n"/>
      <c r="X2486" s="4" t="n"/>
    </row>
    <row r="2487" ht="15.75" customHeight="1" thickBot="1">
      <c r="A2487" s="186" t="str"/>
      <c r="B2487" s="124" t="n"/>
      <c r="C2487" s="124" t="n"/>
      <c r="D2487" s="115" t="n"/>
      <c r="E2487" s="124" t="n"/>
      <c r="F2487" s="124" t="n"/>
      <c r="G2487" s="124" t="n"/>
      <c r="H2487" s="84" t="n"/>
      <c r="I2487" s="7" t="n"/>
      <c r="J2487" s="32" t="n"/>
      <c r="K2487" s="24" t="n"/>
      <c r="L2487" s="36" t="n"/>
      <c r="M2487" s="204" t="n"/>
      <c r="N2487" s="177" t="n"/>
      <c r="O2487" s="13" t="n"/>
      <c r="P2487" s="139" t="n"/>
      <c r="Q2487" s="2" t="n"/>
      <c r="R2487" s="1" t="n"/>
      <c r="S2487" s="229">
        <f>M2487*N2487</f>
        <v/>
      </c>
      <c r="T2487" s="230">
        <f>CONCATENATE(S2487,Q2487,P2487)</f>
        <v/>
      </c>
      <c r="U2487" s="206">
        <f>L2487*M2487</f>
        <v/>
      </c>
      <c r="V2487" s="4" t="n"/>
      <c r="W2487" s="4" t="n"/>
      <c r="X2487" s="4" t="n"/>
    </row>
    <row r="2488" ht="15.75" customHeight="1" thickBot="1">
      <c r="A2488" s="186" t="str"/>
      <c r="B2488" s="124" t="n"/>
      <c r="C2488" s="124" t="n"/>
      <c r="D2488" s="115" t="n"/>
      <c r="E2488" s="124" t="n"/>
      <c r="F2488" s="124" t="n"/>
      <c r="G2488" s="124" t="n"/>
      <c r="H2488" s="84" t="n"/>
      <c r="I2488" s="7" t="n"/>
      <c r="J2488" s="32" t="n"/>
      <c r="K2488" s="24" t="n"/>
      <c r="L2488" s="36" t="n"/>
      <c r="M2488" s="204" t="n"/>
      <c r="N2488" s="177" t="n"/>
      <c r="O2488" s="13" t="n"/>
      <c r="P2488" s="139" t="n"/>
      <c r="Q2488" s="2" t="n"/>
      <c r="R2488" s="1" t="n"/>
      <c r="S2488" s="229">
        <f>M2488*N2488</f>
        <v/>
      </c>
      <c r="T2488" s="230">
        <f>CONCATENATE(S2488,Q2488,P2488)</f>
        <v/>
      </c>
      <c r="U2488" s="206">
        <f>L2488*M2488</f>
        <v/>
      </c>
      <c r="V2488" s="4" t="n"/>
      <c r="W2488" s="4" t="n"/>
      <c r="X2488" s="4" t="n"/>
    </row>
    <row r="2489" ht="15.75" customHeight="1" thickBot="1">
      <c r="A2489" s="186" t="str"/>
      <c r="B2489" s="124" t="n"/>
      <c r="C2489" s="124" t="n"/>
      <c r="D2489" s="115" t="n"/>
      <c r="E2489" s="124" t="n"/>
      <c r="F2489" s="124" t="n"/>
      <c r="G2489" s="124" t="n"/>
      <c r="H2489" s="84" t="n"/>
      <c r="I2489" s="7" t="n"/>
      <c r="J2489" s="32" t="n"/>
      <c r="K2489" s="24" t="n"/>
      <c r="L2489" s="36" t="n"/>
      <c r="M2489" s="204" t="n"/>
      <c r="N2489" s="177" t="n"/>
      <c r="O2489" s="13" t="n"/>
      <c r="P2489" s="139" t="n"/>
      <c r="Q2489" s="2" t="n"/>
      <c r="R2489" s="1" t="n"/>
      <c r="S2489" s="229">
        <f>M2489*N2489</f>
        <v/>
      </c>
      <c r="T2489" s="230">
        <f>CONCATENATE(S2489,Q2489,P2489)</f>
        <v/>
      </c>
      <c r="U2489" s="206">
        <f>L2489*M2489</f>
        <v/>
      </c>
      <c r="V2489" s="4" t="n"/>
      <c r="W2489" s="4" t="n"/>
      <c r="X2489" s="4" t="n"/>
    </row>
    <row r="2490" ht="15.75" customHeight="1" thickBot="1">
      <c r="A2490" s="186" t="str"/>
      <c r="B2490" s="124" t="n"/>
      <c r="C2490" s="124" t="n"/>
      <c r="D2490" s="115" t="n"/>
      <c r="E2490" s="124" t="n"/>
      <c r="F2490" s="124" t="n"/>
      <c r="G2490" s="124" t="n"/>
      <c r="H2490" s="84" t="n"/>
      <c r="I2490" s="7" t="n"/>
      <c r="J2490" s="32" t="n"/>
      <c r="K2490" s="24" t="n"/>
      <c r="L2490" s="36" t="n"/>
      <c r="M2490" s="204" t="n"/>
      <c r="N2490" s="177" t="n"/>
      <c r="O2490" s="13" t="n"/>
      <c r="P2490" s="139" t="n"/>
      <c r="Q2490" s="2" t="n"/>
      <c r="R2490" s="1" t="n"/>
      <c r="S2490" s="229">
        <f>M2490*N2490</f>
        <v/>
      </c>
      <c r="T2490" s="230">
        <f>CONCATENATE(S2490,Q2490,P2490)</f>
        <v/>
      </c>
      <c r="U2490" s="206">
        <f>L2490*M2490</f>
        <v/>
      </c>
      <c r="V2490" s="4" t="n"/>
      <c r="W2490" s="4" t="n"/>
      <c r="X2490" s="4" t="n"/>
    </row>
    <row r="2491" ht="15.75" customHeight="1" thickBot="1">
      <c r="A2491" s="186" t="str"/>
      <c r="B2491" s="124" t="n"/>
      <c r="C2491" s="124" t="n"/>
      <c r="D2491" s="115" t="n"/>
      <c r="E2491" s="124" t="n"/>
      <c r="F2491" s="124" t="n"/>
      <c r="G2491" s="124" t="n"/>
      <c r="H2491" s="84" t="n"/>
      <c r="I2491" s="7" t="n"/>
      <c r="J2491" s="32" t="n"/>
      <c r="K2491" s="24" t="n"/>
      <c r="L2491" s="36" t="n"/>
      <c r="M2491" s="204" t="n"/>
      <c r="N2491" s="177" t="n"/>
      <c r="O2491" s="13" t="n"/>
      <c r="P2491" s="139" t="n"/>
      <c r="Q2491" s="2" t="n"/>
      <c r="R2491" s="1" t="n"/>
      <c r="S2491" s="229">
        <f>M2491*N2491</f>
        <v/>
      </c>
      <c r="T2491" s="230">
        <f>CONCATENATE(S2491,Q2491,P2491)</f>
        <v/>
      </c>
      <c r="U2491" s="206">
        <f>L2491*M2491</f>
        <v/>
      </c>
      <c r="V2491" s="4" t="n"/>
      <c r="W2491" s="4" t="n"/>
      <c r="X2491" s="4" t="n"/>
    </row>
    <row r="2492" ht="15.75" customHeight="1" thickBot="1">
      <c r="A2492" s="186" t="str"/>
      <c r="B2492" s="124" t="n"/>
      <c r="C2492" s="124" t="n"/>
      <c r="D2492" s="115" t="n"/>
      <c r="E2492" s="124" t="n"/>
      <c r="F2492" s="124" t="n"/>
      <c r="G2492" s="124" t="n"/>
      <c r="H2492" s="84" t="n"/>
      <c r="I2492" s="7" t="n"/>
      <c r="J2492" s="32" t="n"/>
      <c r="K2492" s="24" t="n"/>
      <c r="L2492" s="36" t="n"/>
      <c r="M2492" s="204" t="n"/>
      <c r="N2492" s="177" t="n"/>
      <c r="O2492" s="13" t="n"/>
      <c r="P2492" s="139" t="n"/>
      <c r="Q2492" s="2" t="n"/>
      <c r="R2492" s="1" t="n"/>
      <c r="S2492" s="229">
        <f>M2492*N2492</f>
        <v/>
      </c>
      <c r="T2492" s="230">
        <f>CONCATENATE(S2492,Q2492,P2492)</f>
        <v/>
      </c>
      <c r="U2492" s="206">
        <f>L2492*M2492</f>
        <v/>
      </c>
      <c r="V2492" s="4" t="n"/>
      <c r="W2492" s="4" t="n"/>
      <c r="X2492" s="4" t="n"/>
    </row>
    <row r="2493" ht="15.75" customHeight="1" thickBot="1">
      <c r="A2493" s="186" t="str"/>
      <c r="B2493" s="124" t="n"/>
      <c r="C2493" s="124" t="n"/>
      <c r="D2493" s="115" t="n"/>
      <c r="E2493" s="124" t="n"/>
      <c r="F2493" s="124" t="n"/>
      <c r="G2493" s="124" t="n"/>
      <c r="H2493" s="84" t="n"/>
      <c r="I2493" s="7" t="n"/>
      <c r="J2493" s="32" t="n"/>
      <c r="K2493" s="24" t="n"/>
      <c r="L2493" s="36" t="n"/>
      <c r="M2493" s="204" t="n"/>
      <c r="N2493" s="177" t="n"/>
      <c r="O2493" s="13" t="n"/>
      <c r="P2493" s="139" t="n"/>
      <c r="Q2493" s="2" t="n"/>
      <c r="R2493" s="1" t="n"/>
      <c r="S2493" s="229">
        <f>M2493*N2493</f>
        <v/>
      </c>
      <c r="T2493" s="230">
        <f>CONCATENATE(S2493,Q2493,P2493)</f>
        <v/>
      </c>
      <c r="U2493" s="206">
        <f>L2493*M2493</f>
        <v/>
      </c>
      <c r="V2493" s="4" t="n"/>
      <c r="W2493" s="4" t="n"/>
      <c r="X2493" s="4" t="n"/>
    </row>
    <row r="2494" ht="15.75" customHeight="1" thickBot="1">
      <c r="A2494" s="186" t="str"/>
      <c r="B2494" s="124" t="n"/>
      <c r="C2494" s="124" t="n"/>
      <c r="D2494" s="115" t="n"/>
      <c r="E2494" s="124" t="n"/>
      <c r="F2494" s="124" t="n"/>
      <c r="G2494" s="124" t="n"/>
      <c r="H2494" s="84" t="n"/>
      <c r="I2494" s="7" t="n"/>
      <c r="J2494" s="32" t="n"/>
      <c r="K2494" s="24" t="n"/>
      <c r="L2494" s="36" t="n"/>
      <c r="M2494" s="204" t="n"/>
      <c r="N2494" s="177" t="n"/>
      <c r="O2494" s="13" t="n"/>
      <c r="P2494" s="139" t="n"/>
      <c r="Q2494" s="2" t="n"/>
      <c r="R2494" s="1" t="n"/>
      <c r="S2494" s="229">
        <f>M2494*N2494</f>
        <v/>
      </c>
      <c r="T2494" s="230">
        <f>CONCATENATE(S2494,Q2494,P2494)</f>
        <v/>
      </c>
      <c r="U2494" s="206">
        <f>L2494*M2494</f>
        <v/>
      </c>
      <c r="V2494" s="4" t="n"/>
      <c r="W2494" s="4" t="n"/>
      <c r="X2494" s="4" t="n"/>
    </row>
    <row r="2495" ht="15.75" customHeight="1" thickBot="1">
      <c r="A2495" s="186" t="str"/>
      <c r="B2495" s="124" t="n"/>
      <c r="C2495" s="124" t="n"/>
      <c r="D2495" s="115" t="n"/>
      <c r="E2495" s="124" t="n"/>
      <c r="F2495" s="124" t="n"/>
      <c r="G2495" s="124" t="n"/>
      <c r="H2495" s="84" t="n"/>
      <c r="I2495" s="7" t="n"/>
      <c r="J2495" s="32" t="n"/>
      <c r="K2495" s="24" t="n"/>
      <c r="L2495" s="36" t="n"/>
      <c r="M2495" s="204" t="n"/>
      <c r="N2495" s="177" t="n"/>
      <c r="O2495" s="13" t="n"/>
      <c r="P2495" s="139" t="n"/>
      <c r="Q2495" s="2" t="n"/>
      <c r="R2495" s="1" t="n"/>
      <c r="S2495" s="229">
        <f>M2495*N2495</f>
        <v/>
      </c>
      <c r="T2495" s="230">
        <f>CONCATENATE(S2495,Q2495,P2495)</f>
        <v/>
      </c>
      <c r="U2495" s="206">
        <f>L2495*M2495</f>
        <v/>
      </c>
      <c r="V2495" s="4" t="n"/>
      <c r="W2495" s="4" t="n"/>
      <c r="X2495" s="4" t="n"/>
    </row>
    <row r="2496" ht="15.75" customHeight="1" thickBot="1">
      <c r="A2496" s="186" t="str"/>
      <c r="B2496" s="124" t="n"/>
      <c r="C2496" s="124" t="n"/>
      <c r="D2496" s="115" t="n"/>
      <c r="E2496" s="124" t="n"/>
      <c r="F2496" s="124" t="n"/>
      <c r="G2496" s="124" t="n"/>
      <c r="H2496" s="84" t="n"/>
      <c r="I2496" s="7" t="n"/>
      <c r="J2496" s="32" t="n"/>
      <c r="K2496" s="24" t="n"/>
      <c r="L2496" s="36" t="n"/>
      <c r="M2496" s="204" t="n"/>
      <c r="N2496" s="177" t="n"/>
      <c r="O2496" s="13" t="n"/>
      <c r="P2496" s="139" t="n"/>
      <c r="Q2496" s="2" t="n"/>
      <c r="R2496" s="1" t="n"/>
      <c r="S2496" s="229">
        <f>M2496*N2496</f>
        <v/>
      </c>
      <c r="T2496" s="230">
        <f>CONCATENATE(S2496,Q2496,P2496)</f>
        <v/>
      </c>
      <c r="U2496" s="206">
        <f>L2496*M2496</f>
        <v/>
      </c>
      <c r="V2496" s="4" t="n"/>
      <c r="W2496" s="4" t="n"/>
      <c r="X2496" s="4" t="n"/>
    </row>
    <row r="2497" ht="15.75" customHeight="1" thickBot="1">
      <c r="A2497" s="186" t="str"/>
      <c r="B2497" s="124" t="n"/>
      <c r="C2497" s="124" t="n"/>
      <c r="D2497" s="115" t="n"/>
      <c r="E2497" s="124" t="n"/>
      <c r="F2497" s="124" t="n"/>
      <c r="G2497" s="124" t="n"/>
      <c r="H2497" s="84" t="n"/>
      <c r="I2497" s="7" t="n"/>
      <c r="J2497" s="32" t="n"/>
      <c r="K2497" s="24" t="n"/>
      <c r="L2497" s="36" t="n"/>
      <c r="M2497" s="204" t="n"/>
      <c r="N2497" s="177" t="n"/>
      <c r="O2497" s="13" t="n"/>
      <c r="P2497" s="139" t="n"/>
      <c r="Q2497" s="2" t="n"/>
      <c r="R2497" s="1" t="n"/>
      <c r="S2497" s="229">
        <f>M2497*N2497</f>
        <v/>
      </c>
      <c r="T2497" s="230">
        <f>CONCATENATE(S2497,Q2497,P2497)</f>
        <v/>
      </c>
      <c r="U2497" s="206">
        <f>L2497*M2497</f>
        <v/>
      </c>
      <c r="V2497" s="4" t="n"/>
      <c r="W2497" s="4" t="n"/>
      <c r="X2497" s="4" t="n"/>
    </row>
    <row r="2498" ht="15.75" customHeight="1" thickBot="1">
      <c r="A2498" s="186" t="str"/>
      <c r="B2498" s="124" t="n"/>
      <c r="C2498" s="124" t="n"/>
      <c r="D2498" s="115" t="n"/>
      <c r="E2498" s="124" t="n"/>
      <c r="F2498" s="124" t="n"/>
      <c r="G2498" s="124" t="n"/>
      <c r="H2498" s="84" t="n"/>
      <c r="I2498" s="7" t="n"/>
      <c r="J2498" s="32" t="n"/>
      <c r="K2498" s="24" t="n"/>
      <c r="L2498" s="36" t="n"/>
      <c r="M2498" s="204" t="n"/>
      <c r="N2498" s="177" t="n"/>
      <c r="O2498" s="13" t="n"/>
      <c r="P2498" s="139" t="n"/>
      <c r="Q2498" s="2" t="n"/>
      <c r="R2498" s="1" t="n"/>
      <c r="S2498" s="229">
        <f>M2498*N2498</f>
        <v/>
      </c>
      <c r="T2498" s="230">
        <f>CONCATENATE(S2498,Q2498,P2498)</f>
        <v/>
      </c>
      <c r="U2498" s="206">
        <f>L2498*M2498</f>
        <v/>
      </c>
      <c r="V2498" s="4" t="n"/>
      <c r="W2498" s="4" t="n"/>
      <c r="X2498" s="4" t="n"/>
    </row>
    <row r="2499" ht="15.75" customHeight="1" thickBot="1">
      <c r="A2499" s="186" t="str"/>
      <c r="B2499" s="124" t="n"/>
      <c r="C2499" s="124" t="n"/>
      <c r="D2499" s="115" t="n"/>
      <c r="E2499" s="124" t="n"/>
      <c r="F2499" s="124" t="n"/>
      <c r="G2499" s="124" t="n"/>
      <c r="H2499" s="84" t="n"/>
      <c r="I2499" s="7" t="n"/>
      <c r="J2499" s="32" t="n"/>
      <c r="K2499" s="24" t="n"/>
      <c r="L2499" s="36" t="n"/>
      <c r="M2499" s="204" t="n"/>
      <c r="N2499" s="177" t="n"/>
      <c r="O2499" s="13" t="n"/>
      <c r="P2499" s="139" t="n"/>
      <c r="Q2499" s="2" t="n"/>
      <c r="R2499" s="1" t="n"/>
      <c r="S2499" s="229">
        <f>M2499*N2499</f>
        <v/>
      </c>
      <c r="T2499" s="230">
        <f>CONCATENATE(S2499,Q2499,P2499)</f>
        <v/>
      </c>
      <c r="U2499" s="206">
        <f>L2499*M2499</f>
        <v/>
      </c>
      <c r="V2499" s="4" t="n"/>
      <c r="W2499" s="4" t="n"/>
      <c r="X2499" s="4" t="n"/>
    </row>
    <row r="2500" ht="15.75" customHeight="1" thickBot="1">
      <c r="A2500" s="186" t="str"/>
      <c r="B2500" s="124" t="n"/>
      <c r="C2500" s="124" t="n"/>
      <c r="D2500" s="115" t="n"/>
      <c r="E2500" s="124" t="n"/>
      <c r="F2500" s="124" t="n"/>
      <c r="G2500" s="124" t="n"/>
      <c r="H2500" s="84" t="n"/>
      <c r="I2500" s="7" t="n"/>
      <c r="J2500" s="32" t="n"/>
      <c r="K2500" s="24" t="n"/>
      <c r="L2500" s="36" t="n"/>
      <c r="M2500" s="204" t="n"/>
      <c r="N2500" s="177" t="n"/>
      <c r="O2500" s="13" t="n"/>
      <c r="P2500" s="139" t="n"/>
      <c r="Q2500" s="2" t="n"/>
      <c r="R2500" s="1" t="n"/>
      <c r="S2500" s="229">
        <f>M2500*N2500</f>
        <v/>
      </c>
      <c r="T2500" s="230">
        <f>CONCATENATE(S2500,Q2500,P2500)</f>
        <v/>
      </c>
      <c r="U2500" s="206">
        <f>L2500*M2500</f>
        <v/>
      </c>
      <c r="V2500" s="4" t="n"/>
      <c r="W2500" s="4" t="n"/>
      <c r="X2500" s="4" t="n"/>
    </row>
    <row r="2501" ht="15.75" customHeight="1" thickBot="1">
      <c r="A2501" s="186" t="str"/>
      <c r="B2501" s="124" t="n"/>
      <c r="C2501" s="124" t="n"/>
      <c r="D2501" s="115" t="n"/>
      <c r="E2501" s="124" t="n"/>
      <c r="F2501" s="124" t="n"/>
      <c r="G2501" s="124" t="n"/>
      <c r="H2501" s="84" t="n"/>
      <c r="I2501" s="7" t="n"/>
      <c r="J2501" s="32" t="n"/>
      <c r="K2501" s="24" t="n"/>
      <c r="L2501" s="36" t="n"/>
      <c r="M2501" s="204" t="n"/>
      <c r="N2501" s="177" t="n"/>
      <c r="O2501" s="13" t="n"/>
      <c r="P2501" s="139" t="n"/>
      <c r="Q2501" s="2" t="n"/>
      <c r="R2501" s="1" t="n"/>
      <c r="S2501" s="229">
        <f>M2501*N2501</f>
        <v/>
      </c>
      <c r="T2501" s="230">
        <f>CONCATENATE(S2501,Q2501,P2501)</f>
        <v/>
      </c>
      <c r="U2501" s="206">
        <f>L2501*M2501</f>
        <v/>
      </c>
      <c r="V2501" s="4" t="n"/>
      <c r="W2501" s="4" t="n"/>
      <c r="X2501" s="4" t="n"/>
    </row>
    <row r="2502" ht="15.75" customHeight="1" thickBot="1">
      <c r="A2502" s="186" t="str"/>
      <c r="B2502" s="124" t="n"/>
      <c r="C2502" s="124" t="n"/>
      <c r="D2502" s="115" t="n"/>
      <c r="E2502" s="124" t="n"/>
      <c r="F2502" s="124" t="n"/>
      <c r="G2502" s="124" t="n"/>
      <c r="H2502" s="84" t="n"/>
      <c r="I2502" s="7" t="n"/>
      <c r="J2502" s="32" t="n"/>
      <c r="K2502" s="24" t="n"/>
      <c r="L2502" s="36" t="n"/>
      <c r="M2502" s="204" t="n"/>
      <c r="N2502" s="177" t="n"/>
      <c r="O2502" s="13" t="n"/>
      <c r="P2502" s="139" t="n"/>
      <c r="Q2502" s="2" t="n"/>
      <c r="R2502" s="1" t="n"/>
      <c r="S2502" s="229">
        <f>M2502*N2502</f>
        <v/>
      </c>
      <c r="T2502" s="230">
        <f>CONCATENATE(S2502,Q2502,P2502)</f>
        <v/>
      </c>
      <c r="U2502" s="206">
        <f>L2502*M2502</f>
        <v/>
      </c>
      <c r="V2502" s="4" t="n"/>
      <c r="W2502" s="4" t="n"/>
      <c r="X2502" s="4" t="n"/>
    </row>
    <row r="2503" ht="15.75" customHeight="1" thickBot="1">
      <c r="A2503" s="186" t="str"/>
      <c r="B2503" s="124" t="n"/>
      <c r="C2503" s="124" t="n"/>
      <c r="D2503" s="115" t="n"/>
      <c r="E2503" s="124" t="n"/>
      <c r="F2503" s="124" t="n"/>
      <c r="G2503" s="124" t="n"/>
      <c r="H2503" s="84" t="n"/>
      <c r="I2503" s="7" t="n"/>
      <c r="J2503" s="32" t="n"/>
      <c r="K2503" s="24" t="n"/>
      <c r="L2503" s="36" t="n"/>
      <c r="M2503" s="204" t="n"/>
      <c r="N2503" s="177" t="n"/>
      <c r="O2503" s="13" t="n"/>
      <c r="P2503" s="139" t="n"/>
      <c r="Q2503" s="2" t="n"/>
      <c r="R2503" s="1" t="n"/>
      <c r="S2503" s="229">
        <f>M2503*N2503</f>
        <v/>
      </c>
      <c r="T2503" s="230">
        <f>CONCATENATE(S2503,Q2503,P2503)</f>
        <v/>
      </c>
      <c r="U2503" s="206">
        <f>L2503*M2503</f>
        <v/>
      </c>
      <c r="V2503" s="4" t="n"/>
      <c r="W2503" s="4" t="n"/>
      <c r="X2503" s="4" t="n"/>
    </row>
    <row r="2504" ht="15.75" customHeight="1" thickBot="1">
      <c r="A2504" s="186" t="str"/>
      <c r="B2504" s="124" t="n"/>
      <c r="C2504" s="124" t="n"/>
      <c r="D2504" s="115" t="n"/>
      <c r="E2504" s="124" t="n"/>
      <c r="F2504" s="124" t="n"/>
      <c r="G2504" s="124" t="n"/>
      <c r="H2504" s="84" t="n"/>
      <c r="I2504" s="7" t="n"/>
      <c r="J2504" s="32" t="n"/>
      <c r="K2504" s="24" t="n"/>
      <c r="L2504" s="36" t="n"/>
      <c r="M2504" s="204" t="n"/>
      <c r="N2504" s="177" t="n"/>
      <c r="O2504" s="13" t="n"/>
      <c r="P2504" s="139" t="n"/>
      <c r="Q2504" s="2" t="n"/>
      <c r="R2504" s="1" t="n"/>
      <c r="S2504" s="229">
        <f>M2504*N2504</f>
        <v/>
      </c>
      <c r="T2504" s="230">
        <f>CONCATENATE(S2504,Q2504,P2504)</f>
        <v/>
      </c>
      <c r="U2504" s="206">
        <f>L2504*M2504</f>
        <v/>
      </c>
      <c r="V2504" s="4" t="n"/>
      <c r="W2504" s="4" t="n"/>
      <c r="X2504" s="4" t="n"/>
    </row>
    <row r="2505" ht="15.75" customHeight="1" thickBot="1">
      <c r="A2505" s="186" t="str"/>
      <c r="B2505" s="124" t="n"/>
      <c r="C2505" s="124" t="n"/>
      <c r="D2505" s="115" t="n"/>
      <c r="E2505" s="124" t="n"/>
      <c r="F2505" s="124" t="n"/>
      <c r="G2505" s="124" t="n"/>
      <c r="H2505" s="84" t="n"/>
      <c r="I2505" s="7" t="n"/>
      <c r="J2505" s="32" t="n"/>
      <c r="K2505" s="24" t="n"/>
      <c r="L2505" s="36" t="n"/>
      <c r="M2505" s="204" t="n"/>
      <c r="N2505" s="177" t="n"/>
      <c r="O2505" s="13" t="n"/>
      <c r="P2505" s="139" t="n"/>
      <c r="Q2505" s="2" t="n"/>
      <c r="R2505" s="1" t="n"/>
      <c r="S2505" s="229">
        <f>M2505*N2505</f>
        <v/>
      </c>
      <c r="T2505" s="230">
        <f>CONCATENATE(S2505,Q2505,P2505)</f>
        <v/>
      </c>
      <c r="U2505" s="206">
        <f>L2505*M2505</f>
        <v/>
      </c>
      <c r="V2505" s="4" t="n"/>
      <c r="W2505" s="4" t="n"/>
      <c r="X2505" s="4" t="n"/>
    </row>
    <row r="2506" ht="15.75" customHeight="1" thickBot="1">
      <c r="A2506" s="186" t="str"/>
      <c r="B2506" s="124" t="n"/>
      <c r="C2506" s="124" t="n"/>
      <c r="D2506" s="115" t="n"/>
      <c r="E2506" s="124" t="n"/>
      <c r="F2506" s="124" t="n"/>
      <c r="G2506" s="124" t="n"/>
      <c r="H2506" s="84" t="n"/>
      <c r="I2506" s="7" t="n"/>
      <c r="J2506" s="32" t="n"/>
      <c r="K2506" s="24" t="n"/>
      <c r="L2506" s="36" t="n"/>
      <c r="M2506" s="204" t="n"/>
      <c r="N2506" s="177" t="n"/>
      <c r="O2506" s="13" t="n"/>
      <c r="P2506" s="139" t="n"/>
      <c r="Q2506" s="2" t="n"/>
      <c r="R2506" s="1" t="n"/>
      <c r="S2506" s="229">
        <f>M2506*N2506</f>
        <v/>
      </c>
      <c r="T2506" s="230">
        <f>CONCATENATE(S2506,Q2506,P2506)</f>
        <v/>
      </c>
      <c r="U2506" s="206">
        <f>L2506*M2506</f>
        <v/>
      </c>
      <c r="V2506" s="4" t="n"/>
      <c r="W2506" s="4" t="n"/>
      <c r="X2506" s="4" t="n"/>
    </row>
    <row r="2507" ht="15.75" customHeight="1" thickBot="1">
      <c r="A2507" s="186" t="str"/>
      <c r="B2507" s="124" t="n"/>
      <c r="C2507" s="124" t="n"/>
      <c r="D2507" s="115" t="n"/>
      <c r="E2507" s="124" t="n"/>
      <c r="F2507" s="124" t="n"/>
      <c r="G2507" s="124" t="n"/>
      <c r="H2507" s="84" t="n"/>
      <c r="I2507" s="7" t="n"/>
      <c r="J2507" s="32" t="n"/>
      <c r="K2507" s="24" t="n"/>
      <c r="L2507" s="36" t="n"/>
      <c r="M2507" s="204" t="n"/>
      <c r="N2507" s="177" t="n"/>
      <c r="O2507" s="13" t="n"/>
      <c r="P2507" s="139" t="n"/>
      <c r="Q2507" s="2" t="n"/>
      <c r="R2507" s="1" t="n"/>
      <c r="S2507" s="229">
        <f>M2507*N2507</f>
        <v/>
      </c>
      <c r="T2507" s="230">
        <f>CONCATENATE(S2507,Q2507,P2507)</f>
        <v/>
      </c>
      <c r="U2507" s="206">
        <f>L2507*M2507</f>
        <v/>
      </c>
      <c r="V2507" s="4" t="n"/>
      <c r="W2507" s="4" t="n"/>
      <c r="X2507" s="4" t="n"/>
    </row>
    <row r="2508" ht="15.75" customHeight="1" thickBot="1">
      <c r="A2508" s="186" t="str"/>
      <c r="B2508" s="124" t="n"/>
      <c r="C2508" s="124" t="n"/>
      <c r="D2508" s="115" t="n"/>
      <c r="E2508" s="124" t="n"/>
      <c r="F2508" s="124" t="n"/>
      <c r="G2508" s="124" t="n"/>
      <c r="H2508" s="84" t="n"/>
      <c r="I2508" s="7" t="n"/>
      <c r="J2508" s="32" t="n"/>
      <c r="K2508" s="24" t="n"/>
      <c r="L2508" s="36" t="n"/>
      <c r="M2508" s="204" t="n"/>
      <c r="N2508" s="177" t="n"/>
      <c r="O2508" s="13" t="n"/>
      <c r="P2508" s="139" t="n"/>
      <c r="Q2508" s="2" t="n"/>
      <c r="R2508" s="1" t="n"/>
      <c r="S2508" s="229">
        <f>M2508*N2508</f>
        <v/>
      </c>
      <c r="T2508" s="230">
        <f>CONCATENATE(S2508,Q2508,P2508)</f>
        <v/>
      </c>
      <c r="U2508" s="206">
        <f>L2508*M2508</f>
        <v/>
      </c>
      <c r="V2508" s="4" t="n"/>
      <c r="W2508" s="4" t="n"/>
      <c r="X2508" s="4" t="n"/>
    </row>
    <row r="2509" ht="15.75" customHeight="1" thickBot="1">
      <c r="A2509" s="186" t="str"/>
      <c r="B2509" s="124" t="n"/>
      <c r="C2509" s="124" t="n"/>
      <c r="D2509" s="115" t="n"/>
      <c r="E2509" s="124" t="n"/>
      <c r="F2509" s="124" t="n"/>
      <c r="G2509" s="124" t="n"/>
      <c r="H2509" s="84" t="n"/>
      <c r="I2509" s="7" t="n"/>
      <c r="J2509" s="32" t="n"/>
      <c r="K2509" s="24" t="n"/>
      <c r="L2509" s="36" t="n"/>
      <c r="M2509" s="204" t="n"/>
      <c r="N2509" s="177" t="n"/>
      <c r="O2509" s="13" t="n"/>
      <c r="P2509" s="139" t="n"/>
      <c r="Q2509" s="2" t="n"/>
      <c r="R2509" s="1" t="n"/>
      <c r="S2509" s="229">
        <f>M2509*N2509</f>
        <v/>
      </c>
      <c r="T2509" s="230">
        <f>CONCATENATE(S2509,Q2509,P2509)</f>
        <v/>
      </c>
      <c r="U2509" s="206">
        <f>L2509*M2509</f>
        <v/>
      </c>
      <c r="V2509" s="4" t="n"/>
      <c r="W2509" s="4" t="n"/>
      <c r="X2509" s="4" t="n"/>
    </row>
    <row r="2510" ht="15.75" customHeight="1" thickBot="1">
      <c r="A2510" s="186" t="str"/>
      <c r="B2510" s="124" t="n"/>
      <c r="C2510" s="124" t="n"/>
      <c r="D2510" s="115" t="n"/>
      <c r="E2510" s="124" t="n"/>
      <c r="F2510" s="124" t="n"/>
      <c r="G2510" s="124" t="n"/>
      <c r="H2510" s="84" t="n"/>
      <c r="I2510" s="7" t="n"/>
      <c r="J2510" s="32" t="n"/>
      <c r="K2510" s="24" t="n"/>
      <c r="L2510" s="36" t="n"/>
      <c r="M2510" s="204" t="n"/>
      <c r="N2510" s="177" t="n"/>
      <c r="O2510" s="13" t="n"/>
      <c r="P2510" s="139" t="n"/>
      <c r="Q2510" s="2" t="n"/>
      <c r="R2510" s="1" t="n"/>
      <c r="S2510" s="229">
        <f>M2510*N2510</f>
        <v/>
      </c>
      <c r="T2510" s="230">
        <f>CONCATENATE(S2510,Q2510,P2510)</f>
        <v/>
      </c>
      <c r="U2510" s="206">
        <f>L2510*M2510</f>
        <v/>
      </c>
      <c r="V2510" s="4" t="n"/>
      <c r="W2510" s="4" t="n"/>
      <c r="X2510" s="4" t="n"/>
    </row>
    <row r="2511" ht="15.75" customHeight="1" thickBot="1">
      <c r="A2511" s="186" t="str"/>
      <c r="B2511" s="124" t="n"/>
      <c r="C2511" s="124" t="n"/>
      <c r="D2511" s="115" t="n"/>
      <c r="E2511" s="124" t="n"/>
      <c r="F2511" s="124" t="n"/>
      <c r="G2511" s="124" t="n"/>
      <c r="H2511" s="84" t="n"/>
      <c r="I2511" s="7" t="n"/>
      <c r="J2511" s="32" t="n"/>
      <c r="K2511" s="24" t="n"/>
      <c r="L2511" s="36" t="n"/>
      <c r="M2511" s="204" t="n"/>
      <c r="N2511" s="177" t="n"/>
      <c r="O2511" s="13" t="n"/>
      <c r="P2511" s="139" t="n"/>
      <c r="Q2511" s="2" t="n"/>
      <c r="R2511" s="1" t="n"/>
      <c r="S2511" s="229">
        <f>M2511*N2511</f>
        <v/>
      </c>
      <c r="T2511" s="230">
        <f>CONCATENATE(S2511,Q2511,P2511)</f>
        <v/>
      </c>
      <c r="U2511" s="206">
        <f>L2511*M2511</f>
        <v/>
      </c>
      <c r="V2511" s="4" t="n"/>
      <c r="W2511" s="4" t="n"/>
      <c r="X2511" s="4" t="n"/>
    </row>
    <row r="2512" ht="15.75" customHeight="1" thickBot="1">
      <c r="A2512" s="186" t="str"/>
      <c r="B2512" s="124" t="n"/>
      <c r="C2512" s="124" t="n"/>
      <c r="D2512" s="115" t="n"/>
      <c r="E2512" s="124" t="n"/>
      <c r="F2512" s="124" t="n"/>
      <c r="G2512" s="124" t="n"/>
      <c r="H2512" s="84" t="n"/>
      <c r="I2512" s="7" t="n"/>
      <c r="J2512" s="32" t="n"/>
      <c r="K2512" s="24" t="n"/>
      <c r="L2512" s="36" t="n"/>
      <c r="M2512" s="204" t="n"/>
      <c r="N2512" s="177" t="n"/>
      <c r="O2512" s="13" t="n"/>
      <c r="P2512" s="139" t="n"/>
      <c r="Q2512" s="2" t="n"/>
      <c r="R2512" s="1" t="n"/>
      <c r="S2512" s="229">
        <f>M2512*N2512</f>
        <v/>
      </c>
      <c r="T2512" s="230">
        <f>CONCATENATE(S2512,Q2512,P2512)</f>
        <v/>
      </c>
      <c r="U2512" s="206">
        <f>L2512*M2512</f>
        <v/>
      </c>
      <c r="V2512" s="4" t="n"/>
      <c r="W2512" s="4" t="n"/>
      <c r="X2512" s="4" t="n"/>
    </row>
    <row r="2513" ht="15.75" customHeight="1" thickBot="1">
      <c r="A2513" s="186" t="str"/>
      <c r="B2513" s="124" t="n"/>
      <c r="C2513" s="124" t="n"/>
      <c r="D2513" s="115" t="n"/>
      <c r="E2513" s="124" t="n"/>
      <c r="F2513" s="124" t="n"/>
      <c r="G2513" s="124" t="n"/>
      <c r="H2513" s="84" t="n"/>
      <c r="I2513" s="7" t="n"/>
      <c r="J2513" s="32" t="n"/>
      <c r="K2513" s="24" t="n"/>
      <c r="L2513" s="36" t="n"/>
      <c r="M2513" s="204" t="n"/>
      <c r="N2513" s="177" t="n"/>
      <c r="O2513" s="13" t="n"/>
      <c r="P2513" s="139" t="n"/>
      <c r="Q2513" s="2" t="n"/>
      <c r="R2513" s="1" t="n"/>
      <c r="S2513" s="229">
        <f>M2513*N2513</f>
        <v/>
      </c>
      <c r="T2513" s="230">
        <f>CONCATENATE(S2513,Q2513,P2513)</f>
        <v/>
      </c>
      <c r="U2513" s="206">
        <f>L2513*M2513</f>
        <v/>
      </c>
      <c r="V2513" s="4" t="n"/>
      <c r="W2513" s="4" t="n"/>
      <c r="X2513" s="4" t="n"/>
    </row>
    <row r="2514" ht="15.75" customHeight="1" thickBot="1">
      <c r="A2514" s="186" t="str"/>
      <c r="B2514" s="124" t="n"/>
      <c r="C2514" s="124" t="n"/>
      <c r="D2514" s="115" t="n"/>
      <c r="E2514" s="124" t="n"/>
      <c r="F2514" s="124" t="n"/>
      <c r="G2514" s="124" t="n"/>
      <c r="H2514" s="84" t="n"/>
      <c r="I2514" s="7" t="n"/>
      <c r="J2514" s="32" t="n"/>
      <c r="K2514" s="24" t="n"/>
      <c r="L2514" s="36" t="n"/>
      <c r="M2514" s="204" t="n"/>
      <c r="N2514" s="177" t="n"/>
      <c r="O2514" s="13" t="n"/>
      <c r="P2514" s="139" t="n"/>
      <c r="Q2514" s="2" t="n"/>
      <c r="R2514" s="1" t="n"/>
      <c r="S2514" s="229">
        <f>M2514*N2514</f>
        <v/>
      </c>
      <c r="T2514" s="230">
        <f>CONCATENATE(S2514,Q2514,P2514)</f>
        <v/>
      </c>
      <c r="U2514" s="206">
        <f>L2514*M2514</f>
        <v/>
      </c>
      <c r="V2514" s="4" t="n"/>
      <c r="W2514" s="4" t="n"/>
      <c r="X2514" s="4" t="n"/>
    </row>
    <row r="2515" ht="15.75" customHeight="1" thickBot="1">
      <c r="A2515" s="186" t="str"/>
      <c r="B2515" s="124" t="n"/>
      <c r="C2515" s="124" t="n"/>
      <c r="D2515" s="115" t="n"/>
      <c r="E2515" s="124" t="n"/>
      <c r="F2515" s="124" t="n"/>
      <c r="G2515" s="124" t="n"/>
      <c r="H2515" s="84" t="n"/>
      <c r="I2515" s="7" t="n"/>
      <c r="J2515" s="32" t="n"/>
      <c r="K2515" s="24" t="n"/>
      <c r="L2515" s="36" t="n"/>
      <c r="M2515" s="204" t="n"/>
      <c r="N2515" s="177" t="n"/>
      <c r="O2515" s="13" t="n"/>
      <c r="P2515" s="139" t="n"/>
      <c r="Q2515" s="2" t="n"/>
      <c r="R2515" s="1" t="n"/>
      <c r="S2515" s="229">
        <f>M2515*N2515</f>
        <v/>
      </c>
      <c r="T2515" s="230">
        <f>CONCATENATE(S2515,Q2515,P2515)</f>
        <v/>
      </c>
      <c r="U2515" s="206">
        <f>L2515*M2515</f>
        <v/>
      </c>
      <c r="V2515" s="4" t="n"/>
      <c r="W2515" s="4" t="n"/>
      <c r="X2515" s="4" t="n"/>
    </row>
    <row r="2516" ht="15.75" customHeight="1" thickBot="1">
      <c r="A2516" s="186" t="str"/>
      <c r="B2516" s="124" t="n"/>
      <c r="C2516" s="124" t="n"/>
      <c r="D2516" s="115" t="n"/>
      <c r="E2516" s="124" t="n"/>
      <c r="F2516" s="124" t="n"/>
      <c r="G2516" s="124" t="n"/>
      <c r="H2516" s="84" t="n"/>
      <c r="I2516" s="7" t="n"/>
      <c r="J2516" s="32" t="n"/>
      <c r="K2516" s="24" t="n"/>
      <c r="L2516" s="36" t="n"/>
      <c r="M2516" s="204" t="n"/>
      <c r="N2516" s="177" t="n"/>
      <c r="O2516" s="13" t="n"/>
      <c r="P2516" s="139" t="n"/>
      <c r="Q2516" s="2" t="n"/>
      <c r="R2516" s="1" t="n"/>
      <c r="S2516" s="229">
        <f>M2516*N2516</f>
        <v/>
      </c>
      <c r="T2516" s="230">
        <f>CONCATENATE(S2516,Q2516,P2516)</f>
        <v/>
      </c>
      <c r="U2516" s="206">
        <f>L2516*M2516</f>
        <v/>
      </c>
      <c r="V2516" s="4" t="n"/>
      <c r="W2516" s="4" t="n"/>
      <c r="X2516" s="4" t="n"/>
    </row>
    <row r="2517" ht="15.75" customHeight="1" thickBot="1">
      <c r="A2517" s="186" t="str"/>
      <c r="B2517" s="124" t="n"/>
      <c r="C2517" s="124" t="n"/>
      <c r="D2517" s="115" t="n"/>
      <c r="E2517" s="124" t="n"/>
      <c r="F2517" s="124" t="n"/>
      <c r="G2517" s="124" t="n"/>
      <c r="H2517" s="84" t="n"/>
      <c r="I2517" s="7" t="n"/>
      <c r="J2517" s="32" t="n"/>
      <c r="K2517" s="24" t="n"/>
      <c r="L2517" s="36" t="n"/>
      <c r="M2517" s="204" t="n"/>
      <c r="N2517" s="177" t="n"/>
      <c r="O2517" s="13" t="n"/>
      <c r="P2517" s="139" t="n"/>
      <c r="Q2517" s="2" t="n"/>
      <c r="R2517" s="1" t="n"/>
      <c r="S2517" s="229">
        <f>M2517*N2517</f>
        <v/>
      </c>
      <c r="T2517" s="230">
        <f>CONCATENATE(S2517,Q2517,P2517)</f>
        <v/>
      </c>
      <c r="U2517" s="206">
        <f>L2517*M2517</f>
        <v/>
      </c>
      <c r="V2517" s="4" t="n"/>
      <c r="W2517" s="4" t="n"/>
      <c r="X2517" s="4" t="n"/>
    </row>
    <row r="2518" ht="15.75" customHeight="1" thickBot="1">
      <c r="A2518" s="186" t="str"/>
      <c r="B2518" s="124" t="n"/>
      <c r="C2518" s="124" t="n"/>
      <c r="D2518" s="115" t="n"/>
      <c r="E2518" s="124" t="n"/>
      <c r="F2518" s="124" t="n"/>
      <c r="G2518" s="124" t="n"/>
      <c r="H2518" s="84" t="n"/>
      <c r="I2518" s="7" t="n"/>
      <c r="J2518" s="32" t="n"/>
      <c r="K2518" s="24" t="n"/>
      <c r="L2518" s="36" t="n"/>
      <c r="M2518" s="204" t="n"/>
      <c r="N2518" s="177" t="n"/>
      <c r="O2518" s="13" t="n"/>
      <c r="P2518" s="139" t="n"/>
      <c r="Q2518" s="2" t="n"/>
      <c r="R2518" s="1" t="n"/>
      <c r="S2518" s="229">
        <f>M2518*N2518</f>
        <v/>
      </c>
      <c r="T2518" s="230">
        <f>CONCATENATE(S2518,Q2518,P2518)</f>
        <v/>
      </c>
      <c r="U2518" s="206">
        <f>L2518*M2518</f>
        <v/>
      </c>
      <c r="V2518" s="4" t="n"/>
      <c r="W2518" s="4" t="n"/>
      <c r="X2518" s="4" t="n"/>
    </row>
    <row r="2519" ht="15.75" customHeight="1" thickBot="1">
      <c r="A2519" s="186" t="str"/>
      <c r="B2519" s="124" t="n"/>
      <c r="C2519" s="124" t="n"/>
      <c r="D2519" s="115" t="n"/>
      <c r="E2519" s="124" t="n"/>
      <c r="F2519" s="124" t="n"/>
      <c r="G2519" s="124" t="n"/>
      <c r="H2519" s="84" t="n"/>
      <c r="I2519" s="7" t="n"/>
      <c r="J2519" s="32" t="n"/>
      <c r="K2519" s="24" t="n"/>
      <c r="L2519" s="36" t="n"/>
      <c r="M2519" s="204" t="n"/>
      <c r="N2519" s="177" t="n"/>
      <c r="O2519" s="13" t="n"/>
      <c r="P2519" s="139" t="n"/>
      <c r="Q2519" s="2" t="n"/>
      <c r="R2519" s="1" t="n"/>
      <c r="S2519" s="229">
        <f>M2519*N2519</f>
        <v/>
      </c>
      <c r="T2519" s="230">
        <f>CONCATENATE(S2519,Q2519,P2519)</f>
        <v/>
      </c>
      <c r="U2519" s="206">
        <f>L2519*M2519</f>
        <v/>
      </c>
      <c r="V2519" s="4" t="n"/>
      <c r="W2519" s="4" t="n"/>
      <c r="X2519" s="4" t="n"/>
    </row>
    <row r="2520" ht="15.75" customHeight="1" thickBot="1">
      <c r="A2520" s="186" t="str"/>
      <c r="B2520" s="124" t="n"/>
      <c r="C2520" s="124" t="n"/>
      <c r="D2520" s="115" t="n"/>
      <c r="E2520" s="124" t="n"/>
      <c r="F2520" s="124" t="n"/>
      <c r="G2520" s="124" t="n"/>
      <c r="H2520" s="84" t="n"/>
      <c r="I2520" s="7" t="n"/>
      <c r="J2520" s="32" t="n"/>
      <c r="K2520" s="24" t="n"/>
      <c r="L2520" s="36" t="n"/>
      <c r="M2520" s="204" t="n"/>
      <c r="N2520" s="177" t="n"/>
      <c r="O2520" s="13" t="n"/>
      <c r="P2520" s="139" t="n"/>
      <c r="Q2520" s="2" t="n"/>
      <c r="R2520" s="1" t="n"/>
      <c r="S2520" s="229">
        <f>M2520*N2520</f>
        <v/>
      </c>
      <c r="T2520" s="230">
        <f>CONCATENATE(S2520,Q2520,P2520)</f>
        <v/>
      </c>
      <c r="U2520" s="206">
        <f>L2520*M2520</f>
        <v/>
      </c>
      <c r="V2520" s="4" t="n"/>
      <c r="W2520" s="4" t="n"/>
      <c r="X2520" s="4" t="n"/>
    </row>
    <row r="2521" ht="15.75" customHeight="1" thickBot="1">
      <c r="A2521" s="186" t="str"/>
      <c r="B2521" s="124" t="n"/>
      <c r="C2521" s="124" t="n"/>
      <c r="D2521" s="115" t="n"/>
      <c r="E2521" s="124" t="n"/>
      <c r="F2521" s="124" t="n"/>
      <c r="G2521" s="124" t="n"/>
      <c r="H2521" s="84" t="n"/>
      <c r="I2521" s="7" t="n"/>
      <c r="J2521" s="32" t="n"/>
      <c r="K2521" s="24" t="n"/>
      <c r="L2521" s="36" t="n"/>
      <c r="M2521" s="204" t="n"/>
      <c r="N2521" s="177" t="n"/>
      <c r="O2521" s="13" t="n"/>
      <c r="P2521" s="139" t="n"/>
      <c r="Q2521" s="2" t="n"/>
      <c r="R2521" s="1" t="n"/>
      <c r="S2521" s="229">
        <f>M2521*N2521</f>
        <v/>
      </c>
      <c r="T2521" s="230">
        <f>CONCATENATE(S2521,Q2521,P2521)</f>
        <v/>
      </c>
      <c r="U2521" s="206">
        <f>L2521*M2521</f>
        <v/>
      </c>
      <c r="V2521" s="4" t="n"/>
      <c r="W2521" s="4" t="n"/>
      <c r="X2521" s="4" t="n"/>
    </row>
    <row r="2522" ht="15.75" customHeight="1" thickBot="1">
      <c r="A2522" s="186" t="str"/>
      <c r="B2522" s="124" t="n"/>
      <c r="C2522" s="124" t="n"/>
      <c r="D2522" s="115" t="n"/>
      <c r="E2522" s="124" t="n"/>
      <c r="F2522" s="124" t="n"/>
      <c r="G2522" s="124" t="n"/>
      <c r="H2522" s="84" t="n"/>
      <c r="I2522" s="7" t="n"/>
      <c r="J2522" s="32" t="n"/>
      <c r="K2522" s="24" t="n"/>
      <c r="L2522" s="36" t="n"/>
      <c r="M2522" s="204" t="n"/>
      <c r="N2522" s="177" t="n"/>
      <c r="O2522" s="13" t="n"/>
      <c r="P2522" s="139" t="n"/>
      <c r="Q2522" s="2" t="n"/>
      <c r="R2522" s="1" t="n"/>
      <c r="S2522" s="229">
        <f>M2522*N2522</f>
        <v/>
      </c>
      <c r="T2522" s="230">
        <f>CONCATENATE(S2522,Q2522,P2522)</f>
        <v/>
      </c>
      <c r="U2522" s="206">
        <f>L2522*M2522</f>
        <v/>
      </c>
      <c r="V2522" s="4" t="n"/>
      <c r="W2522" s="4" t="n"/>
      <c r="X2522" s="4" t="n"/>
    </row>
    <row r="2523" ht="15.75" customHeight="1" thickBot="1">
      <c r="A2523" s="186" t="str"/>
      <c r="B2523" s="124" t="n"/>
      <c r="C2523" s="124" t="n"/>
      <c r="D2523" s="115" t="n"/>
      <c r="E2523" s="124" t="n"/>
      <c r="F2523" s="124" t="n"/>
      <c r="G2523" s="124" t="n"/>
      <c r="H2523" s="84" t="n"/>
      <c r="I2523" s="7" t="n"/>
      <c r="J2523" s="32" t="n"/>
      <c r="K2523" s="24" t="n"/>
      <c r="L2523" s="36" t="n"/>
      <c r="M2523" s="204" t="n"/>
      <c r="N2523" s="177" t="n"/>
      <c r="O2523" s="13" t="n"/>
      <c r="P2523" s="139" t="n"/>
      <c r="Q2523" s="2" t="n"/>
      <c r="R2523" s="1" t="n"/>
      <c r="S2523" s="229">
        <f>M2523*N2523</f>
        <v/>
      </c>
      <c r="T2523" s="230">
        <f>CONCATENATE(S2523,Q2523,P2523)</f>
        <v/>
      </c>
      <c r="U2523" s="206">
        <f>L2523*M2523</f>
        <v/>
      </c>
      <c r="V2523" s="4" t="n"/>
      <c r="W2523" s="4" t="n"/>
      <c r="X2523" s="4" t="n"/>
    </row>
    <row r="2524" ht="15.75" customHeight="1" thickBot="1">
      <c r="A2524" s="186" t="str"/>
      <c r="B2524" s="124" t="n"/>
      <c r="C2524" s="124" t="n"/>
      <c r="D2524" s="115" t="n"/>
      <c r="E2524" s="124" t="n"/>
      <c r="F2524" s="124" t="n"/>
      <c r="G2524" s="124" t="n"/>
      <c r="H2524" s="84" t="n"/>
      <c r="I2524" s="7" t="n"/>
      <c r="J2524" s="32" t="n"/>
      <c r="K2524" s="24" t="n"/>
      <c r="L2524" s="36" t="n"/>
      <c r="M2524" s="204" t="n"/>
      <c r="N2524" s="177" t="n"/>
      <c r="O2524" s="13" t="n"/>
      <c r="P2524" s="139" t="n"/>
      <c r="Q2524" s="2" t="n"/>
      <c r="R2524" s="1" t="n"/>
      <c r="S2524" s="229">
        <f>M2524*N2524</f>
        <v/>
      </c>
      <c r="T2524" s="230">
        <f>CONCATENATE(S2524,Q2524,P2524)</f>
        <v/>
      </c>
      <c r="U2524" s="206">
        <f>L2524*M2524</f>
        <v/>
      </c>
      <c r="V2524" s="4" t="n"/>
      <c r="W2524" s="4" t="n"/>
      <c r="X2524" s="4" t="n"/>
    </row>
    <row r="2525" ht="15.75" customHeight="1" thickBot="1">
      <c r="A2525" s="186" t="str"/>
      <c r="B2525" s="124" t="n"/>
      <c r="C2525" s="124" t="n"/>
      <c r="D2525" s="115" t="n"/>
      <c r="E2525" s="124" t="n"/>
      <c r="F2525" s="124" t="n"/>
      <c r="G2525" s="124" t="n"/>
      <c r="H2525" s="84" t="n"/>
      <c r="I2525" s="7" t="n"/>
      <c r="J2525" s="32" t="n"/>
      <c r="K2525" s="24" t="n"/>
      <c r="L2525" s="36" t="n"/>
      <c r="M2525" s="204" t="n"/>
      <c r="N2525" s="177" t="n"/>
      <c r="O2525" s="13" t="n"/>
      <c r="P2525" s="139" t="n"/>
      <c r="Q2525" s="2" t="n"/>
      <c r="R2525" s="1" t="n"/>
      <c r="S2525" s="229">
        <f>M2525*N2525</f>
        <v/>
      </c>
      <c r="T2525" s="230">
        <f>CONCATENATE(S2525,Q2525,P2525)</f>
        <v/>
      </c>
      <c r="U2525" s="206">
        <f>L2525*M2525</f>
        <v/>
      </c>
      <c r="V2525" s="4" t="n"/>
      <c r="W2525" s="4" t="n"/>
      <c r="X2525" s="4" t="n"/>
    </row>
    <row r="2526" ht="15.75" customHeight="1" thickBot="1">
      <c r="A2526" s="186" t="str"/>
      <c r="B2526" s="124" t="n"/>
      <c r="C2526" s="124" t="n"/>
      <c r="D2526" s="115" t="n"/>
      <c r="E2526" s="124" t="n"/>
      <c r="F2526" s="124" t="n"/>
      <c r="G2526" s="124" t="n"/>
      <c r="H2526" s="84" t="n"/>
      <c r="I2526" s="7" t="n"/>
      <c r="J2526" s="32" t="n"/>
      <c r="K2526" s="24" t="n"/>
      <c r="L2526" s="36" t="n"/>
      <c r="M2526" s="204" t="n"/>
      <c r="N2526" s="177" t="n"/>
      <c r="O2526" s="13" t="n"/>
      <c r="P2526" s="139" t="n"/>
      <c r="Q2526" s="2" t="n"/>
      <c r="R2526" s="1" t="n"/>
      <c r="S2526" s="229">
        <f>M2526*N2526</f>
        <v/>
      </c>
      <c r="T2526" s="230">
        <f>CONCATENATE(S2526,Q2526,P2526)</f>
        <v/>
      </c>
      <c r="U2526" s="206">
        <f>L2526*M2526</f>
        <v/>
      </c>
      <c r="V2526" s="4" t="n"/>
      <c r="W2526" s="4" t="n"/>
      <c r="X2526" s="4" t="n"/>
    </row>
    <row r="2527" ht="15.75" customHeight="1" thickBot="1">
      <c r="A2527" s="186" t="str"/>
      <c r="B2527" s="124" t="n"/>
      <c r="C2527" s="124" t="n"/>
      <c r="D2527" s="115" t="n"/>
      <c r="E2527" s="124" t="n"/>
      <c r="F2527" s="124" t="n"/>
      <c r="G2527" s="124" t="n"/>
      <c r="H2527" s="84" t="n"/>
      <c r="I2527" s="7" t="n"/>
      <c r="J2527" s="32" t="n"/>
      <c r="K2527" s="24" t="n"/>
      <c r="L2527" s="36" t="n"/>
      <c r="M2527" s="204" t="n"/>
      <c r="N2527" s="177" t="n"/>
      <c r="O2527" s="13" t="n"/>
      <c r="P2527" s="139" t="n"/>
      <c r="Q2527" s="2" t="n"/>
      <c r="R2527" s="1" t="n"/>
      <c r="S2527" s="229">
        <f>M2527*N2527</f>
        <v/>
      </c>
      <c r="T2527" s="230">
        <f>CONCATENATE(S2527,Q2527,P2527)</f>
        <v/>
      </c>
      <c r="U2527" s="206">
        <f>L2527*M2527</f>
        <v/>
      </c>
      <c r="V2527" s="4" t="n"/>
      <c r="W2527" s="4" t="n"/>
      <c r="X2527" s="4" t="n"/>
    </row>
    <row r="2528" ht="15.75" customHeight="1" thickBot="1">
      <c r="A2528" s="186" t="str"/>
      <c r="B2528" s="124" t="n"/>
      <c r="C2528" s="124" t="n"/>
      <c r="D2528" s="115" t="n"/>
      <c r="E2528" s="124" t="n"/>
      <c r="F2528" s="124" t="n"/>
      <c r="G2528" s="124" t="n"/>
      <c r="H2528" s="84" t="n"/>
      <c r="I2528" s="7" t="n"/>
      <c r="J2528" s="32" t="n"/>
      <c r="K2528" s="24" t="n"/>
      <c r="L2528" s="36" t="n"/>
      <c r="M2528" s="204" t="n"/>
      <c r="N2528" s="177" t="n"/>
      <c r="O2528" s="13" t="n"/>
      <c r="P2528" s="139" t="n"/>
      <c r="Q2528" s="2" t="n"/>
      <c r="R2528" s="1" t="n"/>
      <c r="S2528" s="229">
        <f>M2528*N2528</f>
        <v/>
      </c>
      <c r="T2528" s="230">
        <f>CONCATENATE(S2528,Q2528,P2528)</f>
        <v/>
      </c>
      <c r="U2528" s="206">
        <f>L2528*M2528</f>
        <v/>
      </c>
      <c r="V2528" s="4" t="n"/>
      <c r="W2528" s="4" t="n"/>
      <c r="X2528" s="4" t="n"/>
    </row>
    <row r="2529" ht="15.75" customHeight="1" thickBot="1">
      <c r="A2529" s="186" t="str"/>
      <c r="B2529" s="124" t="n"/>
      <c r="C2529" s="124" t="n"/>
      <c r="D2529" s="115" t="n"/>
      <c r="E2529" s="124" t="n"/>
      <c r="F2529" s="124" t="n"/>
      <c r="G2529" s="124" t="n"/>
      <c r="H2529" s="84" t="n"/>
      <c r="I2529" s="7" t="n"/>
      <c r="J2529" s="32" t="n"/>
      <c r="K2529" s="24" t="n"/>
      <c r="L2529" s="36" t="n"/>
      <c r="M2529" s="204" t="n"/>
      <c r="N2529" s="177" t="n"/>
      <c r="O2529" s="13" t="n"/>
      <c r="P2529" s="139" t="n"/>
      <c r="Q2529" s="2" t="n"/>
      <c r="R2529" s="1" t="n"/>
      <c r="S2529" s="229">
        <f>M2529*N2529</f>
        <v/>
      </c>
      <c r="T2529" s="230">
        <f>CONCATENATE(S2529,Q2529,P2529)</f>
        <v/>
      </c>
      <c r="U2529" s="206">
        <f>L2529*M2529</f>
        <v/>
      </c>
      <c r="V2529" s="4" t="n"/>
      <c r="W2529" s="4" t="n"/>
      <c r="X2529" s="4" t="n"/>
    </row>
    <row r="2530" ht="15.75" customHeight="1" thickBot="1">
      <c r="A2530" s="186" t="str"/>
      <c r="B2530" s="124" t="n"/>
      <c r="C2530" s="124" t="n"/>
      <c r="D2530" s="115" t="n"/>
      <c r="E2530" s="124" t="n"/>
      <c r="F2530" s="124" t="n"/>
      <c r="G2530" s="124" t="n"/>
      <c r="H2530" s="84" t="n"/>
      <c r="I2530" s="7" t="n"/>
      <c r="J2530" s="32" t="n"/>
      <c r="K2530" s="24" t="n"/>
      <c r="L2530" s="36" t="n"/>
      <c r="M2530" s="204" t="n"/>
      <c r="N2530" s="177" t="n"/>
      <c r="O2530" s="13" t="n"/>
      <c r="P2530" s="139" t="n"/>
      <c r="Q2530" s="2" t="n"/>
      <c r="R2530" s="1" t="n"/>
      <c r="S2530" s="229">
        <f>M2530*N2530</f>
        <v/>
      </c>
      <c r="T2530" s="230">
        <f>CONCATENATE(S2530,Q2530,P2530)</f>
        <v/>
      </c>
      <c r="U2530" s="206">
        <f>L2530*M2530</f>
        <v/>
      </c>
      <c r="V2530" s="4" t="n"/>
      <c r="W2530" s="4" t="n"/>
      <c r="X2530" s="4" t="n"/>
    </row>
    <row r="2531" ht="15.75" customHeight="1" thickBot="1">
      <c r="A2531" s="186" t="str"/>
      <c r="B2531" s="124" t="n"/>
      <c r="C2531" s="124" t="n"/>
      <c r="D2531" s="115" t="n"/>
      <c r="E2531" s="124" t="n"/>
      <c r="F2531" s="124" t="n"/>
      <c r="G2531" s="124" t="n"/>
      <c r="H2531" s="84" t="n"/>
      <c r="I2531" s="7" t="n"/>
      <c r="J2531" s="32" t="n"/>
      <c r="K2531" s="24" t="n"/>
      <c r="L2531" s="36" t="n"/>
      <c r="M2531" s="204" t="n"/>
      <c r="N2531" s="177" t="n"/>
      <c r="O2531" s="13" t="n"/>
      <c r="P2531" s="139" t="n"/>
      <c r="Q2531" s="2" t="n"/>
      <c r="R2531" s="1" t="n"/>
      <c r="S2531" s="229">
        <f>M2531*N2531</f>
        <v/>
      </c>
      <c r="T2531" s="230">
        <f>CONCATENATE(S2531,Q2531,P2531)</f>
        <v/>
      </c>
      <c r="U2531" s="206">
        <f>L2531*M2531</f>
        <v/>
      </c>
      <c r="V2531" s="4" t="n"/>
      <c r="W2531" s="4" t="n"/>
      <c r="X2531" s="4" t="n"/>
    </row>
    <row r="2532" ht="15.75" customHeight="1" thickBot="1">
      <c r="A2532" s="186" t="str"/>
      <c r="B2532" s="124" t="n"/>
      <c r="C2532" s="124" t="n"/>
      <c r="D2532" s="115" t="n"/>
      <c r="E2532" s="124" t="n"/>
      <c r="F2532" s="124" t="n"/>
      <c r="G2532" s="124" t="n"/>
      <c r="H2532" s="84" t="n"/>
      <c r="I2532" s="7" t="n"/>
      <c r="J2532" s="32" t="n"/>
      <c r="K2532" s="24" t="n"/>
      <c r="L2532" s="36" t="n"/>
      <c r="M2532" s="204" t="n"/>
      <c r="N2532" s="177" t="n"/>
      <c r="O2532" s="13" t="n"/>
      <c r="P2532" s="139" t="n"/>
      <c r="Q2532" s="2" t="n"/>
      <c r="R2532" s="1" t="n"/>
      <c r="S2532" s="229">
        <f>M2532*N2532</f>
        <v/>
      </c>
      <c r="T2532" s="230">
        <f>CONCATENATE(S2532,Q2532,P2532)</f>
        <v/>
      </c>
      <c r="U2532" s="206">
        <f>L2532*M2532</f>
        <v/>
      </c>
      <c r="V2532" s="4" t="n"/>
      <c r="W2532" s="4" t="n"/>
      <c r="X2532" s="4" t="n"/>
    </row>
    <row r="2533" ht="15.75" customHeight="1" thickBot="1">
      <c r="A2533" s="186" t="str"/>
      <c r="B2533" s="124" t="n"/>
      <c r="C2533" s="124" t="n"/>
      <c r="D2533" s="115" t="n"/>
      <c r="E2533" s="124" t="n"/>
      <c r="F2533" s="124" t="n"/>
      <c r="G2533" s="124" t="n"/>
      <c r="H2533" s="84" t="n"/>
      <c r="I2533" s="7" t="n"/>
      <c r="J2533" s="32" t="n"/>
      <c r="K2533" s="24" t="n"/>
      <c r="L2533" s="36" t="n"/>
      <c r="M2533" s="204" t="n"/>
      <c r="N2533" s="177" t="n"/>
      <c r="O2533" s="13" t="n"/>
      <c r="P2533" s="139" t="n"/>
      <c r="Q2533" s="2" t="n"/>
      <c r="R2533" s="1" t="n"/>
      <c r="S2533" s="229">
        <f>M2533*N2533</f>
        <v/>
      </c>
      <c r="T2533" s="230">
        <f>CONCATENATE(S2533,Q2533,P2533)</f>
        <v/>
      </c>
      <c r="U2533" s="206">
        <f>L2533*M2533</f>
        <v/>
      </c>
      <c r="V2533" s="4" t="n"/>
      <c r="W2533" s="4" t="n"/>
      <c r="X2533" s="4" t="n"/>
    </row>
    <row r="2534" ht="15.75" customHeight="1" thickBot="1">
      <c r="A2534" s="186" t="str"/>
      <c r="B2534" s="124" t="n"/>
      <c r="C2534" s="124" t="n"/>
      <c r="D2534" s="115" t="n"/>
      <c r="E2534" s="124" t="n"/>
      <c r="F2534" s="124" t="n"/>
      <c r="G2534" s="124" t="n"/>
      <c r="H2534" s="84" t="n"/>
      <c r="I2534" s="7" t="n"/>
      <c r="J2534" s="32" t="n"/>
      <c r="K2534" s="24" t="n"/>
      <c r="L2534" s="36" t="n"/>
      <c r="M2534" s="204" t="n"/>
      <c r="N2534" s="177" t="n"/>
      <c r="O2534" s="13" t="n"/>
      <c r="P2534" s="139" t="n"/>
      <c r="Q2534" s="2" t="n"/>
      <c r="R2534" s="1" t="n"/>
      <c r="S2534" s="229">
        <f>M2534*N2534</f>
        <v/>
      </c>
      <c r="T2534" s="230">
        <f>CONCATENATE(S2534,Q2534,P2534)</f>
        <v/>
      </c>
      <c r="U2534" s="206">
        <f>L2534*M2534</f>
        <v/>
      </c>
      <c r="V2534" s="4" t="n"/>
      <c r="W2534" s="4" t="n"/>
      <c r="X2534" s="4" t="n"/>
    </row>
    <row r="2535" ht="15.75" customHeight="1" thickBot="1">
      <c r="A2535" s="186" t="str"/>
      <c r="B2535" s="124" t="n"/>
      <c r="C2535" s="124" t="n"/>
      <c r="D2535" s="115" t="n"/>
      <c r="E2535" s="124" t="n"/>
      <c r="F2535" s="124" t="n"/>
      <c r="G2535" s="124" t="n"/>
      <c r="H2535" s="84" t="n"/>
      <c r="I2535" s="7" t="n"/>
      <c r="J2535" s="32" t="n"/>
      <c r="K2535" s="24" t="n"/>
      <c r="L2535" s="36" t="n"/>
      <c r="M2535" s="204" t="n"/>
      <c r="N2535" s="177" t="n"/>
      <c r="O2535" s="13" t="n"/>
      <c r="P2535" s="139" t="n"/>
      <c r="Q2535" s="2" t="n"/>
      <c r="R2535" s="1" t="n"/>
      <c r="S2535" s="229">
        <f>M2535*N2535</f>
        <v/>
      </c>
      <c r="T2535" s="230">
        <f>CONCATENATE(S2535,Q2535,P2535)</f>
        <v/>
      </c>
      <c r="U2535" s="206">
        <f>L2535*M2535</f>
        <v/>
      </c>
      <c r="V2535" s="4" t="n"/>
      <c r="W2535" s="4" t="n"/>
      <c r="X2535" s="4" t="n"/>
    </row>
    <row r="2536" ht="15.75" customHeight="1" thickBot="1">
      <c r="A2536" s="186" t="str"/>
      <c r="B2536" s="124" t="n"/>
      <c r="C2536" s="124" t="n"/>
      <c r="D2536" s="115" t="n"/>
      <c r="E2536" s="124" t="n"/>
      <c r="F2536" s="124" t="n"/>
      <c r="G2536" s="124" t="n"/>
      <c r="H2536" s="84" t="n"/>
      <c r="I2536" s="7" t="n"/>
      <c r="J2536" s="32" t="n"/>
      <c r="K2536" s="24" t="n"/>
      <c r="L2536" s="36" t="n"/>
      <c r="M2536" s="204" t="n"/>
      <c r="N2536" s="177" t="n"/>
      <c r="O2536" s="13" t="n"/>
      <c r="P2536" s="139" t="n"/>
      <c r="Q2536" s="2" t="n"/>
      <c r="R2536" s="1" t="n"/>
      <c r="S2536" s="229">
        <f>M2536*N2536</f>
        <v/>
      </c>
      <c r="T2536" s="230">
        <f>CONCATENATE(S2536,Q2536,P2536)</f>
        <v/>
      </c>
      <c r="U2536" s="206">
        <f>L2536*M2536</f>
        <v/>
      </c>
      <c r="V2536" s="4" t="n"/>
      <c r="W2536" s="4" t="n"/>
      <c r="X2536" s="4" t="n"/>
    </row>
    <row r="2537" ht="15.75" customHeight="1" thickBot="1">
      <c r="A2537" s="186" t="str"/>
      <c r="B2537" s="124" t="n"/>
      <c r="C2537" s="124" t="n"/>
      <c r="D2537" s="115" t="n"/>
      <c r="E2537" s="124" t="n"/>
      <c r="F2537" s="124" t="n"/>
      <c r="G2537" s="124" t="n"/>
      <c r="H2537" s="84" t="n"/>
      <c r="I2537" s="7" t="n"/>
      <c r="J2537" s="32" t="n"/>
      <c r="K2537" s="24" t="n"/>
      <c r="L2537" s="36" t="n"/>
      <c r="M2537" s="204" t="n"/>
      <c r="N2537" s="177" t="n"/>
      <c r="O2537" s="13" t="n"/>
      <c r="P2537" s="139" t="n"/>
      <c r="Q2537" s="2" t="n"/>
      <c r="R2537" s="1" t="n"/>
      <c r="S2537" s="229">
        <f>M2537*N2537</f>
        <v/>
      </c>
      <c r="T2537" s="230">
        <f>CONCATENATE(S2537,Q2537,P2537)</f>
        <v/>
      </c>
      <c r="U2537" s="206">
        <f>L2537*M2537</f>
        <v/>
      </c>
      <c r="V2537" s="4" t="n"/>
      <c r="W2537" s="4" t="n"/>
      <c r="X2537" s="4" t="n"/>
    </row>
    <row r="2538" ht="15.75" customHeight="1" thickBot="1">
      <c r="A2538" s="186" t="str"/>
      <c r="B2538" s="124" t="n"/>
      <c r="C2538" s="124" t="n"/>
      <c r="D2538" s="115" t="n"/>
      <c r="E2538" s="124" t="n"/>
      <c r="F2538" s="124" t="n"/>
      <c r="G2538" s="124" t="n"/>
      <c r="H2538" s="84" t="n"/>
      <c r="I2538" s="7" t="n"/>
      <c r="J2538" s="32" t="n"/>
      <c r="K2538" s="24" t="n"/>
      <c r="L2538" s="36" t="n"/>
      <c r="M2538" s="204" t="n"/>
      <c r="N2538" s="177" t="n"/>
      <c r="O2538" s="13" t="n"/>
      <c r="P2538" s="139" t="n"/>
      <c r="Q2538" s="2" t="n"/>
      <c r="R2538" s="1" t="n"/>
      <c r="S2538" s="229">
        <f>M2538*N2538</f>
        <v/>
      </c>
      <c r="T2538" s="230">
        <f>CONCATENATE(S2538,Q2538,P2538)</f>
        <v/>
      </c>
      <c r="U2538" s="206">
        <f>L2538*M2538</f>
        <v/>
      </c>
      <c r="V2538" s="4" t="n"/>
      <c r="W2538" s="4" t="n"/>
      <c r="X2538" s="4" t="n"/>
    </row>
    <row r="2539" ht="15.75" customHeight="1" thickBot="1">
      <c r="A2539" s="186" t="str"/>
      <c r="B2539" s="124" t="n"/>
      <c r="C2539" s="124" t="n"/>
      <c r="D2539" s="115" t="n"/>
      <c r="E2539" s="124" t="n"/>
      <c r="F2539" s="124" t="n"/>
      <c r="G2539" s="124" t="n"/>
      <c r="H2539" s="84" t="n"/>
      <c r="I2539" s="7" t="n"/>
      <c r="J2539" s="32" t="n"/>
      <c r="K2539" s="24" t="n"/>
      <c r="L2539" s="36" t="n"/>
      <c r="M2539" s="204" t="n"/>
      <c r="N2539" s="177" t="n"/>
      <c r="O2539" s="13" t="n"/>
      <c r="P2539" s="139" t="n"/>
      <c r="Q2539" s="2" t="n"/>
      <c r="R2539" s="1" t="n"/>
      <c r="S2539" s="229">
        <f>M2539*N2539</f>
        <v/>
      </c>
      <c r="T2539" s="230">
        <f>CONCATENATE(S2539,Q2539,P2539)</f>
        <v/>
      </c>
      <c r="U2539" s="206">
        <f>L2539*M2539</f>
        <v/>
      </c>
      <c r="V2539" s="4" t="n"/>
      <c r="W2539" s="4" t="n"/>
      <c r="X2539" s="4" t="n"/>
    </row>
    <row r="2540" ht="15.75" customHeight="1" thickBot="1">
      <c r="A2540" s="186" t="str"/>
      <c r="B2540" s="124" t="n"/>
      <c r="C2540" s="124" t="n"/>
      <c r="D2540" s="115" t="n"/>
      <c r="E2540" s="124" t="n"/>
      <c r="F2540" s="124" t="n"/>
      <c r="G2540" s="124" t="n"/>
      <c r="H2540" s="84" t="n"/>
      <c r="I2540" s="7" t="n"/>
      <c r="J2540" s="32" t="n"/>
      <c r="K2540" s="24" t="n"/>
      <c r="L2540" s="36" t="n"/>
      <c r="M2540" s="204" t="n"/>
      <c r="N2540" s="177" t="n"/>
      <c r="O2540" s="13" t="n"/>
      <c r="P2540" s="139" t="n"/>
      <c r="Q2540" s="2" t="n"/>
      <c r="R2540" s="1" t="n"/>
      <c r="S2540" s="229">
        <f>M2540*N2540</f>
        <v/>
      </c>
      <c r="T2540" s="230">
        <f>CONCATENATE(S2540,Q2540,P2540)</f>
        <v/>
      </c>
      <c r="U2540" s="206">
        <f>L2540*M2540</f>
        <v/>
      </c>
      <c r="V2540" s="4" t="n"/>
      <c r="W2540" s="4" t="n"/>
      <c r="X2540" s="4" t="n"/>
    </row>
    <row r="2541" ht="15.75" customHeight="1" thickBot="1">
      <c r="A2541" s="186" t="str"/>
      <c r="B2541" s="124" t="n"/>
      <c r="C2541" s="124" t="n"/>
      <c r="D2541" s="115" t="n"/>
      <c r="E2541" s="124" t="n"/>
      <c r="F2541" s="124" t="n"/>
      <c r="G2541" s="124" t="n"/>
      <c r="H2541" s="84" t="n"/>
      <c r="I2541" s="7" t="n"/>
      <c r="J2541" s="32" t="n"/>
      <c r="K2541" s="24" t="n"/>
      <c r="L2541" s="36" t="n"/>
      <c r="M2541" s="204" t="n"/>
      <c r="N2541" s="177" t="n"/>
      <c r="O2541" s="13" t="n"/>
      <c r="P2541" s="139" t="n"/>
      <c r="Q2541" s="2" t="n"/>
      <c r="R2541" s="1" t="n"/>
      <c r="S2541" s="229">
        <f>M2541*N2541</f>
        <v/>
      </c>
      <c r="T2541" s="230">
        <f>CONCATENATE(S2541,Q2541,P2541)</f>
        <v/>
      </c>
      <c r="U2541" s="206">
        <f>L2541*M2541</f>
        <v/>
      </c>
      <c r="V2541" s="4" t="n"/>
      <c r="W2541" s="4" t="n"/>
      <c r="X2541" s="4" t="n"/>
    </row>
    <row r="2542" ht="15.75" customHeight="1" thickBot="1">
      <c r="A2542" s="186" t="str"/>
      <c r="B2542" s="124" t="n"/>
      <c r="C2542" s="124" t="n"/>
      <c r="D2542" s="115" t="n"/>
      <c r="E2542" s="124" t="n"/>
      <c r="F2542" s="124" t="n"/>
      <c r="G2542" s="124" t="n"/>
      <c r="H2542" s="84" t="n"/>
      <c r="I2542" s="7" t="n"/>
      <c r="J2542" s="32" t="n"/>
      <c r="K2542" s="24" t="n"/>
      <c r="L2542" s="36" t="n"/>
      <c r="M2542" s="204" t="n"/>
      <c r="N2542" s="177" t="n"/>
      <c r="O2542" s="13" t="n"/>
      <c r="P2542" s="139" t="n"/>
      <c r="Q2542" s="2" t="n"/>
      <c r="R2542" s="1" t="n"/>
      <c r="S2542" s="229">
        <f>M2542*N2542</f>
        <v/>
      </c>
      <c r="T2542" s="230">
        <f>CONCATENATE(S2542,Q2542,P2542)</f>
        <v/>
      </c>
      <c r="U2542" s="206">
        <f>L2542*M2542</f>
        <v/>
      </c>
      <c r="V2542" s="4" t="n"/>
      <c r="W2542" s="4" t="n"/>
      <c r="X2542" s="4" t="n"/>
    </row>
    <row r="2543" ht="15.75" customHeight="1" thickBot="1">
      <c r="A2543" s="186" t="str"/>
      <c r="B2543" s="124" t="n"/>
      <c r="C2543" s="124" t="n"/>
      <c r="D2543" s="115" t="n"/>
      <c r="E2543" s="124" t="n"/>
      <c r="F2543" s="124" t="n"/>
      <c r="G2543" s="124" t="n"/>
      <c r="H2543" s="84" t="n"/>
      <c r="I2543" s="7" t="n"/>
      <c r="J2543" s="32" t="n"/>
      <c r="K2543" s="24" t="n"/>
      <c r="L2543" s="36" t="n"/>
      <c r="M2543" s="204" t="n"/>
      <c r="N2543" s="177" t="n"/>
      <c r="O2543" s="13" t="n"/>
      <c r="P2543" s="139" t="n"/>
      <c r="Q2543" s="2" t="n"/>
      <c r="R2543" s="1" t="n"/>
      <c r="S2543" s="229">
        <f>M2543*N2543</f>
        <v/>
      </c>
      <c r="T2543" s="230">
        <f>CONCATENATE(S2543,Q2543,P2543)</f>
        <v/>
      </c>
      <c r="U2543" s="206">
        <f>L2543*M2543</f>
        <v/>
      </c>
      <c r="V2543" s="4" t="n"/>
      <c r="W2543" s="4" t="n"/>
      <c r="X2543" s="4" t="n"/>
    </row>
    <row r="2544" ht="15.75" customHeight="1" thickBot="1">
      <c r="A2544" s="186" t="str"/>
      <c r="B2544" s="124" t="n"/>
      <c r="C2544" s="124" t="n"/>
      <c r="D2544" s="115" t="n"/>
      <c r="E2544" s="124" t="n"/>
      <c r="F2544" s="124" t="n"/>
      <c r="G2544" s="124" t="n"/>
      <c r="H2544" s="84" t="n"/>
      <c r="I2544" s="7" t="n"/>
      <c r="J2544" s="32" t="n"/>
      <c r="K2544" s="24" t="n"/>
      <c r="L2544" s="36" t="n"/>
      <c r="M2544" s="204" t="n"/>
      <c r="N2544" s="177" t="n"/>
      <c r="O2544" s="13" t="n"/>
      <c r="P2544" s="139" t="n"/>
      <c r="Q2544" s="2" t="n"/>
      <c r="R2544" s="1" t="n"/>
      <c r="S2544" s="229">
        <f>M2544*N2544</f>
        <v/>
      </c>
      <c r="T2544" s="230">
        <f>CONCATENATE(S2544,Q2544,P2544)</f>
        <v/>
      </c>
      <c r="U2544" s="206">
        <f>L2544*M2544</f>
        <v/>
      </c>
      <c r="V2544" s="4" t="n"/>
      <c r="W2544" s="4" t="n"/>
      <c r="X2544" s="4" t="n"/>
    </row>
    <row r="2545" ht="15.75" customHeight="1" thickBot="1">
      <c r="A2545" s="186" t="str"/>
      <c r="B2545" s="124" t="n"/>
      <c r="C2545" s="124" t="n"/>
      <c r="D2545" s="115" t="n"/>
      <c r="E2545" s="124" t="n"/>
      <c r="F2545" s="124" t="n"/>
      <c r="G2545" s="124" t="n"/>
      <c r="H2545" s="84" t="n"/>
      <c r="I2545" s="7" t="n"/>
      <c r="J2545" s="32" t="n"/>
      <c r="K2545" s="24" t="n"/>
      <c r="L2545" s="36" t="n"/>
      <c r="M2545" s="204" t="n"/>
      <c r="N2545" s="177" t="n"/>
      <c r="O2545" s="13" t="n"/>
      <c r="P2545" s="139" t="n"/>
      <c r="Q2545" s="2" t="n"/>
      <c r="R2545" s="1" t="n"/>
      <c r="S2545" s="229">
        <f>M2545*N2545</f>
        <v/>
      </c>
      <c r="T2545" s="230">
        <f>CONCATENATE(S2545,Q2545,P2545)</f>
        <v/>
      </c>
      <c r="U2545" s="206">
        <f>L2545*M2545</f>
        <v/>
      </c>
      <c r="V2545" s="4" t="n"/>
      <c r="W2545" s="4" t="n"/>
      <c r="X2545" s="4" t="n"/>
    </row>
    <row r="2546" ht="15.75" customHeight="1" thickBot="1">
      <c r="A2546" s="186" t="str"/>
      <c r="B2546" s="124" t="n"/>
      <c r="C2546" s="124" t="n"/>
      <c r="D2546" s="115" t="n"/>
      <c r="E2546" s="124" t="n"/>
      <c r="F2546" s="124" t="n"/>
      <c r="G2546" s="124" t="n"/>
      <c r="H2546" s="84" t="n"/>
      <c r="I2546" s="7" t="n"/>
      <c r="J2546" s="32" t="n"/>
      <c r="K2546" s="24" t="n"/>
      <c r="L2546" s="36" t="n"/>
      <c r="M2546" s="204" t="n"/>
      <c r="N2546" s="177" t="n"/>
      <c r="O2546" s="13" t="n"/>
      <c r="P2546" s="139" t="n"/>
      <c r="Q2546" s="2" t="n"/>
      <c r="R2546" s="1" t="n"/>
      <c r="S2546" s="229">
        <f>M2546*N2546</f>
        <v/>
      </c>
      <c r="T2546" s="230">
        <f>CONCATENATE(S2546,Q2546,P2546)</f>
        <v/>
      </c>
      <c r="U2546" s="206">
        <f>L2546*M2546</f>
        <v/>
      </c>
      <c r="V2546" s="4" t="n"/>
      <c r="W2546" s="4" t="n"/>
      <c r="X2546" s="4" t="n"/>
    </row>
    <row r="2547" ht="15.75" customHeight="1" thickBot="1">
      <c r="A2547" s="186" t="str"/>
      <c r="B2547" s="124" t="n"/>
      <c r="C2547" s="124" t="n"/>
      <c r="D2547" s="115" t="n"/>
      <c r="E2547" s="124" t="n"/>
      <c r="F2547" s="124" t="n"/>
      <c r="G2547" s="124" t="n"/>
      <c r="H2547" s="84" t="n"/>
      <c r="I2547" s="7" t="n"/>
      <c r="J2547" s="32" t="n"/>
      <c r="K2547" s="24" t="n"/>
      <c r="L2547" s="36" t="n"/>
      <c r="M2547" s="204" t="n"/>
      <c r="N2547" s="177" t="n"/>
      <c r="O2547" s="13" t="n"/>
      <c r="P2547" s="139" t="n"/>
      <c r="Q2547" s="2" t="n"/>
      <c r="R2547" s="1" t="n"/>
      <c r="S2547" s="229">
        <f>M2547*N2547</f>
        <v/>
      </c>
      <c r="T2547" s="230">
        <f>CONCATENATE(S2547,Q2547,P2547)</f>
        <v/>
      </c>
      <c r="U2547" s="206">
        <f>L2547*M2547</f>
        <v/>
      </c>
      <c r="V2547" s="4" t="n"/>
      <c r="W2547" s="4" t="n"/>
      <c r="X2547" s="4" t="n"/>
    </row>
    <row r="2548" ht="15.75" customHeight="1" thickBot="1">
      <c r="A2548" s="186" t="str"/>
      <c r="B2548" s="124" t="n"/>
      <c r="C2548" s="124" t="n"/>
      <c r="D2548" s="115" t="n"/>
      <c r="E2548" s="124" t="n"/>
      <c r="F2548" s="124" t="n"/>
      <c r="G2548" s="124" t="n"/>
      <c r="H2548" s="84" t="n"/>
      <c r="I2548" s="7" t="n"/>
      <c r="J2548" s="32" t="n"/>
      <c r="K2548" s="24" t="n"/>
      <c r="L2548" s="36" t="n"/>
      <c r="M2548" s="204" t="n"/>
      <c r="N2548" s="177" t="n"/>
      <c r="O2548" s="13" t="n"/>
      <c r="P2548" s="139" t="n"/>
      <c r="Q2548" s="2" t="n"/>
      <c r="R2548" s="1" t="n"/>
      <c r="S2548" s="229">
        <f>M2548*N2548</f>
        <v/>
      </c>
      <c r="T2548" s="230">
        <f>CONCATENATE(S2548,Q2548,P2548)</f>
        <v/>
      </c>
      <c r="U2548" s="206">
        <f>L2548*M2548</f>
        <v/>
      </c>
      <c r="V2548" s="4" t="n"/>
      <c r="W2548" s="4" t="n"/>
      <c r="X2548" s="4" t="n"/>
    </row>
    <row r="2549" ht="15.75" customHeight="1" thickBot="1">
      <c r="A2549" s="186" t="str"/>
      <c r="B2549" s="124" t="n"/>
      <c r="C2549" s="124" t="n"/>
      <c r="D2549" s="115" t="n"/>
      <c r="E2549" s="124" t="n"/>
      <c r="F2549" s="124" t="n"/>
      <c r="G2549" s="124" t="n"/>
      <c r="H2549" s="84" t="n"/>
      <c r="I2549" s="7" t="n"/>
      <c r="J2549" s="32" t="n"/>
      <c r="K2549" s="24" t="n"/>
      <c r="L2549" s="36" t="n"/>
      <c r="M2549" s="204" t="n"/>
      <c r="N2549" s="177" t="n"/>
      <c r="O2549" s="13" t="n"/>
      <c r="P2549" s="139" t="n"/>
      <c r="Q2549" s="2" t="n"/>
      <c r="R2549" s="1" t="n"/>
      <c r="S2549" s="229">
        <f>M2549*N2549</f>
        <v/>
      </c>
      <c r="T2549" s="230">
        <f>CONCATENATE(S2549,Q2549,P2549)</f>
        <v/>
      </c>
      <c r="U2549" s="206">
        <f>L2549*M2549</f>
        <v/>
      </c>
      <c r="V2549" s="4" t="n"/>
      <c r="W2549" s="4" t="n"/>
      <c r="X2549" s="4" t="n"/>
    </row>
    <row r="2550" ht="15.75" customHeight="1" thickBot="1">
      <c r="A2550" s="186" t="str"/>
      <c r="B2550" s="124" t="n"/>
      <c r="C2550" s="124" t="n"/>
      <c r="D2550" s="115" t="n"/>
      <c r="E2550" s="124" t="n"/>
      <c r="F2550" s="124" t="n"/>
      <c r="G2550" s="124" t="n"/>
      <c r="H2550" s="84" t="n"/>
      <c r="I2550" s="7" t="n"/>
      <c r="J2550" s="32" t="n"/>
      <c r="K2550" s="24" t="n"/>
      <c r="L2550" s="36" t="n"/>
      <c r="M2550" s="204" t="n"/>
      <c r="N2550" s="177" t="n"/>
      <c r="O2550" s="13" t="n"/>
      <c r="P2550" s="139" t="n"/>
      <c r="Q2550" s="2" t="n"/>
      <c r="R2550" s="1" t="n"/>
      <c r="S2550" s="229">
        <f>M2550*N2550</f>
        <v/>
      </c>
      <c r="T2550" s="230">
        <f>CONCATENATE(S2550,Q2550,P2550)</f>
        <v/>
      </c>
      <c r="U2550" s="206">
        <f>L2550*M2550</f>
        <v/>
      </c>
      <c r="V2550" s="4" t="n"/>
      <c r="W2550" s="4" t="n"/>
      <c r="X2550" s="4" t="n"/>
    </row>
    <row r="2551" ht="15.75" customHeight="1" thickBot="1">
      <c r="A2551" s="186" t="str"/>
      <c r="B2551" s="124" t="n"/>
      <c r="C2551" s="124" t="n"/>
      <c r="D2551" s="115" t="n"/>
      <c r="E2551" s="124" t="n"/>
      <c r="F2551" s="124" t="n"/>
      <c r="G2551" s="124" t="n"/>
      <c r="H2551" s="84" t="n"/>
      <c r="I2551" s="7" t="n"/>
      <c r="J2551" s="32" t="n"/>
      <c r="K2551" s="24" t="n"/>
      <c r="L2551" s="36" t="n"/>
      <c r="M2551" s="204" t="n"/>
      <c r="N2551" s="177" t="n"/>
      <c r="O2551" s="13" t="n"/>
      <c r="P2551" s="139" t="n"/>
      <c r="Q2551" s="2" t="n"/>
      <c r="R2551" s="1" t="n"/>
      <c r="S2551" s="229">
        <f>M2551*N2551</f>
        <v/>
      </c>
      <c r="T2551" s="230">
        <f>CONCATENATE(S2551,Q2551,P2551)</f>
        <v/>
      </c>
      <c r="U2551" s="206">
        <f>L2551*M2551</f>
        <v/>
      </c>
      <c r="V2551" s="4" t="n"/>
      <c r="W2551" s="4" t="n"/>
      <c r="X2551" s="4" t="n"/>
    </row>
    <row r="2552" ht="15.75" customHeight="1" thickBot="1">
      <c r="A2552" s="186" t="str"/>
      <c r="B2552" s="124" t="n"/>
      <c r="C2552" s="124" t="n"/>
      <c r="D2552" s="115" t="n"/>
      <c r="E2552" s="124" t="n"/>
      <c r="F2552" s="124" t="n"/>
      <c r="G2552" s="124" t="n"/>
      <c r="H2552" s="84" t="n"/>
      <c r="I2552" s="7" t="n"/>
      <c r="J2552" s="32" t="n"/>
      <c r="K2552" s="24" t="n"/>
      <c r="L2552" s="36" t="n"/>
      <c r="M2552" s="204" t="n"/>
      <c r="N2552" s="177" t="n"/>
      <c r="O2552" s="13" t="n"/>
      <c r="P2552" s="139" t="n"/>
      <c r="Q2552" s="2" t="n"/>
      <c r="R2552" s="1" t="n"/>
      <c r="S2552" s="229">
        <f>M2552*N2552</f>
        <v/>
      </c>
      <c r="T2552" s="230">
        <f>CONCATENATE(S2552,Q2552,P2552)</f>
        <v/>
      </c>
      <c r="U2552" s="206">
        <f>L2552*M2552</f>
        <v/>
      </c>
      <c r="V2552" s="4" t="n"/>
      <c r="W2552" s="4" t="n"/>
      <c r="X2552" s="4" t="n"/>
    </row>
    <row r="2553" ht="15.75" customHeight="1" thickBot="1">
      <c r="A2553" s="186" t="str"/>
      <c r="B2553" s="124" t="n"/>
      <c r="C2553" s="124" t="n"/>
      <c r="D2553" s="115" t="n"/>
      <c r="E2553" s="124" t="n"/>
      <c r="F2553" s="124" t="n"/>
      <c r="G2553" s="124" t="n"/>
      <c r="H2553" s="84" t="n"/>
      <c r="I2553" s="7" t="n"/>
      <c r="J2553" s="32" t="n"/>
      <c r="K2553" s="24" t="n"/>
      <c r="L2553" s="36" t="n"/>
      <c r="M2553" s="204" t="n"/>
      <c r="N2553" s="177" t="n"/>
      <c r="O2553" s="13" t="n"/>
      <c r="P2553" s="139" t="n"/>
      <c r="Q2553" s="2" t="n"/>
      <c r="R2553" s="1" t="n"/>
      <c r="S2553" s="229">
        <f>M2553*N2553</f>
        <v/>
      </c>
      <c r="T2553" s="230">
        <f>CONCATENATE(S2553,Q2553,P2553)</f>
        <v/>
      </c>
      <c r="U2553" s="206">
        <f>L2553*M2553</f>
        <v/>
      </c>
      <c r="V2553" s="4" t="n"/>
      <c r="W2553" s="4" t="n"/>
      <c r="X2553" s="4" t="n"/>
    </row>
    <row r="2554" ht="15.75" customHeight="1" thickBot="1">
      <c r="A2554" s="186" t="str"/>
      <c r="B2554" s="124" t="n"/>
      <c r="C2554" s="124" t="n"/>
      <c r="D2554" s="115" t="n"/>
      <c r="E2554" s="124" t="n"/>
      <c r="F2554" s="124" t="n"/>
      <c r="G2554" s="124" t="n"/>
      <c r="H2554" s="84" t="n"/>
      <c r="I2554" s="7" t="n"/>
      <c r="J2554" s="32" t="n"/>
      <c r="K2554" s="24" t="n"/>
      <c r="L2554" s="36" t="n"/>
      <c r="M2554" s="204" t="n"/>
      <c r="N2554" s="177" t="n"/>
      <c r="O2554" s="13" t="n"/>
      <c r="P2554" s="139" t="n"/>
      <c r="Q2554" s="2" t="n"/>
      <c r="R2554" s="1" t="n"/>
      <c r="S2554" s="229">
        <f>M2554*N2554</f>
        <v/>
      </c>
      <c r="T2554" s="230">
        <f>CONCATENATE(S2554,Q2554,P2554)</f>
        <v/>
      </c>
      <c r="U2554" s="206">
        <f>L2554*M2554</f>
        <v/>
      </c>
      <c r="V2554" s="4" t="n"/>
      <c r="W2554" s="4" t="n"/>
      <c r="X2554" s="4" t="n"/>
    </row>
    <row r="2555" ht="15.75" customHeight="1" thickBot="1">
      <c r="A2555" s="186" t="str"/>
      <c r="B2555" s="124" t="n"/>
      <c r="C2555" s="124" t="n"/>
      <c r="D2555" s="115" t="n"/>
      <c r="E2555" s="124" t="n"/>
      <c r="F2555" s="124" t="n"/>
      <c r="G2555" s="124" t="n"/>
      <c r="H2555" s="84" t="n"/>
      <c r="I2555" s="7" t="n"/>
      <c r="J2555" s="32" t="n"/>
      <c r="K2555" s="24" t="n"/>
      <c r="L2555" s="36" t="n"/>
      <c r="M2555" s="204" t="n"/>
      <c r="N2555" s="177" t="n"/>
      <c r="O2555" s="13" t="n"/>
      <c r="P2555" s="139" t="n"/>
      <c r="Q2555" s="2" t="n"/>
      <c r="R2555" s="1" t="n"/>
      <c r="S2555" s="229">
        <f>M2555*N2555</f>
        <v/>
      </c>
      <c r="T2555" s="230">
        <f>CONCATENATE(S2555,Q2555,P2555)</f>
        <v/>
      </c>
      <c r="U2555" s="206">
        <f>L2555*M2555</f>
        <v/>
      </c>
      <c r="V2555" s="4" t="n"/>
      <c r="W2555" s="4" t="n"/>
      <c r="X2555" s="4" t="n"/>
    </row>
    <row r="2556" ht="15.75" customHeight="1" thickBot="1">
      <c r="A2556" s="186" t="str"/>
      <c r="B2556" s="124" t="n"/>
      <c r="C2556" s="124" t="n"/>
      <c r="D2556" s="115" t="n"/>
      <c r="E2556" s="124" t="n"/>
      <c r="F2556" s="124" t="n"/>
      <c r="G2556" s="124" t="n"/>
      <c r="H2556" s="84" t="n"/>
      <c r="I2556" s="7" t="n"/>
      <c r="J2556" s="32" t="n"/>
      <c r="K2556" s="24" t="n"/>
      <c r="L2556" s="36" t="n"/>
      <c r="M2556" s="204" t="n"/>
      <c r="N2556" s="177" t="n"/>
      <c r="O2556" s="13" t="n"/>
      <c r="P2556" s="139" t="n"/>
      <c r="Q2556" s="2" t="n"/>
      <c r="R2556" s="1" t="n"/>
      <c r="S2556" s="229">
        <f>M2556*N2556</f>
        <v/>
      </c>
      <c r="T2556" s="230">
        <f>CONCATENATE(S2556,Q2556,P2556)</f>
        <v/>
      </c>
      <c r="U2556" s="206">
        <f>L2556*M2556</f>
        <v/>
      </c>
      <c r="V2556" s="4" t="n"/>
      <c r="W2556" s="4" t="n"/>
      <c r="X2556" s="4" t="n"/>
    </row>
    <row r="2557" ht="15.75" customHeight="1" thickBot="1">
      <c r="A2557" s="186" t="str"/>
      <c r="B2557" s="124" t="n"/>
      <c r="C2557" s="124" t="n"/>
      <c r="D2557" s="115" t="n"/>
      <c r="E2557" s="124" t="n"/>
      <c r="F2557" s="124" t="n"/>
      <c r="G2557" s="124" t="n"/>
      <c r="H2557" s="84" t="n"/>
      <c r="I2557" s="7" t="n"/>
      <c r="J2557" s="32" t="n"/>
      <c r="K2557" s="24" t="n"/>
      <c r="L2557" s="36" t="n"/>
      <c r="M2557" s="204" t="n"/>
      <c r="N2557" s="177" t="n"/>
      <c r="O2557" s="13" t="n"/>
      <c r="P2557" s="139" t="n"/>
      <c r="Q2557" s="2" t="n"/>
      <c r="R2557" s="1" t="n"/>
      <c r="S2557" s="229">
        <f>M2557*N2557</f>
        <v/>
      </c>
      <c r="T2557" s="230">
        <f>CONCATENATE(S2557,Q2557,P2557)</f>
        <v/>
      </c>
      <c r="U2557" s="206">
        <f>L2557*M2557</f>
        <v/>
      </c>
      <c r="V2557" s="4" t="n"/>
      <c r="W2557" s="4" t="n"/>
      <c r="X2557" s="4" t="n"/>
    </row>
    <row r="2558" ht="15.75" customHeight="1" thickBot="1">
      <c r="A2558" s="186" t="str"/>
      <c r="B2558" s="124" t="n"/>
      <c r="C2558" s="124" t="n"/>
      <c r="D2558" s="115" t="n"/>
      <c r="E2558" s="124" t="n"/>
      <c r="F2558" s="124" t="n"/>
      <c r="G2558" s="124" t="n"/>
      <c r="H2558" s="84" t="n"/>
      <c r="I2558" s="7" t="n"/>
      <c r="J2558" s="32" t="n"/>
      <c r="K2558" s="24" t="n"/>
      <c r="L2558" s="36" t="n"/>
      <c r="M2558" s="204" t="n"/>
      <c r="N2558" s="177" t="n"/>
      <c r="O2558" s="13" t="n"/>
      <c r="P2558" s="139" t="n"/>
      <c r="Q2558" s="2" t="n"/>
      <c r="R2558" s="1" t="n"/>
      <c r="S2558" s="229">
        <f>M2558*N2558</f>
        <v/>
      </c>
      <c r="T2558" s="230">
        <f>CONCATENATE(S2558,Q2558,P2558)</f>
        <v/>
      </c>
      <c r="U2558" s="206">
        <f>L2558*M2558</f>
        <v/>
      </c>
      <c r="V2558" s="4" t="n"/>
      <c r="W2558" s="4" t="n"/>
      <c r="X2558" s="4" t="n"/>
    </row>
    <row r="2559" ht="15.75" customHeight="1" thickBot="1">
      <c r="A2559" s="186" t="str"/>
      <c r="B2559" s="124" t="n"/>
      <c r="C2559" s="124" t="n"/>
      <c r="D2559" s="115" t="n"/>
      <c r="E2559" s="124" t="n"/>
      <c r="F2559" s="124" t="n"/>
      <c r="G2559" s="124" t="n"/>
      <c r="H2559" s="84" t="n"/>
      <c r="I2559" s="7" t="n"/>
      <c r="J2559" s="32" t="n"/>
      <c r="K2559" s="24" t="n"/>
      <c r="L2559" s="36" t="n"/>
      <c r="M2559" s="204" t="n"/>
      <c r="N2559" s="177" t="n"/>
      <c r="O2559" s="13" t="n"/>
      <c r="P2559" s="139" t="n"/>
      <c r="Q2559" s="2" t="n"/>
      <c r="R2559" s="1" t="n"/>
      <c r="S2559" s="229">
        <f>M2559*N2559</f>
        <v/>
      </c>
      <c r="T2559" s="230">
        <f>CONCATENATE(S2559,Q2559,P2559)</f>
        <v/>
      </c>
      <c r="U2559" s="206">
        <f>L2559*M2559</f>
        <v/>
      </c>
      <c r="V2559" s="4" t="n"/>
      <c r="W2559" s="4" t="n"/>
      <c r="X2559" s="4" t="n"/>
    </row>
    <row r="2560" ht="15.75" customHeight="1" thickBot="1">
      <c r="A2560" s="186" t="str"/>
      <c r="B2560" s="124" t="n"/>
      <c r="C2560" s="124" t="n"/>
      <c r="D2560" s="115" t="n"/>
      <c r="E2560" s="124" t="n"/>
      <c r="F2560" s="124" t="n"/>
      <c r="G2560" s="124" t="n"/>
      <c r="H2560" s="84" t="n"/>
      <c r="I2560" s="7" t="n"/>
      <c r="J2560" s="32" t="n"/>
      <c r="K2560" s="24" t="n"/>
      <c r="L2560" s="36" t="n"/>
      <c r="M2560" s="204" t="n"/>
      <c r="N2560" s="177" t="n"/>
      <c r="O2560" s="13" t="n"/>
      <c r="P2560" s="139" t="n"/>
      <c r="Q2560" s="2" t="n"/>
      <c r="R2560" s="1" t="n"/>
      <c r="S2560" s="229">
        <f>M2560*N2560</f>
        <v/>
      </c>
      <c r="T2560" s="230">
        <f>CONCATENATE(S2560,Q2560,P2560)</f>
        <v/>
      </c>
      <c r="U2560" s="206">
        <f>L2560*M2560</f>
        <v/>
      </c>
      <c r="V2560" s="4" t="n"/>
      <c r="W2560" s="4" t="n"/>
      <c r="X2560" s="4" t="n"/>
    </row>
    <row r="2561" ht="15.75" customHeight="1" thickBot="1">
      <c r="A2561" s="186" t="str"/>
      <c r="B2561" s="124" t="n"/>
      <c r="C2561" s="124" t="n"/>
      <c r="D2561" s="115" t="n"/>
      <c r="E2561" s="124" t="n"/>
      <c r="F2561" s="124" t="n"/>
      <c r="G2561" s="124" t="n"/>
      <c r="H2561" s="84" t="n"/>
      <c r="I2561" s="7" t="n"/>
      <c r="J2561" s="32" t="n"/>
      <c r="K2561" s="24" t="n"/>
      <c r="L2561" s="36" t="n"/>
      <c r="M2561" s="204" t="n"/>
      <c r="N2561" s="177" t="n"/>
      <c r="O2561" s="13" t="n"/>
      <c r="P2561" s="139" t="n"/>
      <c r="Q2561" s="2" t="n"/>
      <c r="R2561" s="1" t="n"/>
      <c r="S2561" s="229">
        <f>M2561*N2561</f>
        <v/>
      </c>
      <c r="T2561" s="230">
        <f>CONCATENATE(S2561,Q2561,P2561)</f>
        <v/>
      </c>
      <c r="U2561" s="206">
        <f>L2561*M2561</f>
        <v/>
      </c>
      <c r="V2561" s="4" t="n"/>
      <c r="W2561" s="4" t="n"/>
      <c r="X2561" s="4" t="n"/>
    </row>
    <row r="2562" ht="15.75" customHeight="1" thickBot="1">
      <c r="A2562" s="186" t="str"/>
      <c r="B2562" s="124" t="n"/>
      <c r="C2562" s="124" t="n"/>
      <c r="D2562" s="115" t="n"/>
      <c r="E2562" s="124" t="n"/>
      <c r="F2562" s="124" t="n"/>
      <c r="G2562" s="124" t="n"/>
      <c r="H2562" s="84" t="n"/>
      <c r="I2562" s="7" t="n"/>
      <c r="J2562" s="32" t="n"/>
      <c r="K2562" s="24" t="n"/>
      <c r="L2562" s="36" t="n"/>
      <c r="M2562" s="204" t="n"/>
      <c r="N2562" s="177" t="n"/>
      <c r="O2562" s="13" t="n"/>
      <c r="P2562" s="139" t="n"/>
      <c r="Q2562" s="2" t="n"/>
      <c r="R2562" s="1" t="n"/>
      <c r="S2562" s="229">
        <f>M2562*N2562</f>
        <v/>
      </c>
      <c r="T2562" s="230">
        <f>CONCATENATE(S2562,Q2562,P2562)</f>
        <v/>
      </c>
      <c r="U2562" s="206">
        <f>L2562*M2562</f>
        <v/>
      </c>
      <c r="V2562" s="4" t="n"/>
      <c r="W2562" s="4" t="n"/>
      <c r="X2562" s="4" t="n"/>
    </row>
    <row r="2563" ht="15.75" customHeight="1" thickBot="1">
      <c r="A2563" s="186" t="str"/>
      <c r="B2563" s="124" t="n"/>
      <c r="C2563" s="124" t="n"/>
      <c r="D2563" s="115" t="n"/>
      <c r="E2563" s="124" t="n"/>
      <c r="F2563" s="124" t="n"/>
      <c r="G2563" s="124" t="n"/>
      <c r="H2563" s="84" t="n"/>
      <c r="I2563" s="7" t="n"/>
      <c r="J2563" s="32" t="n"/>
      <c r="K2563" s="24" t="n"/>
      <c r="L2563" s="36" t="n"/>
      <c r="M2563" s="204" t="n"/>
      <c r="N2563" s="177" t="n"/>
      <c r="O2563" s="13" t="n"/>
      <c r="P2563" s="139" t="n"/>
      <c r="Q2563" s="2" t="n"/>
      <c r="R2563" s="1" t="n"/>
      <c r="S2563" s="229">
        <f>M2563*N2563</f>
        <v/>
      </c>
      <c r="T2563" s="230">
        <f>CONCATENATE(S2563,Q2563,P2563)</f>
        <v/>
      </c>
      <c r="U2563" s="206">
        <f>L2563*M2563</f>
        <v/>
      </c>
      <c r="V2563" s="4" t="n"/>
      <c r="W2563" s="4" t="n"/>
      <c r="X2563" s="4" t="n"/>
    </row>
    <row r="2564" ht="15.75" customHeight="1" thickBot="1">
      <c r="A2564" s="186" t="str"/>
      <c r="B2564" s="124" t="n"/>
      <c r="C2564" s="124" t="n"/>
      <c r="D2564" s="115" t="n"/>
      <c r="E2564" s="124" t="n"/>
      <c r="F2564" s="124" t="n"/>
      <c r="G2564" s="124" t="n"/>
      <c r="H2564" s="84" t="n"/>
      <c r="I2564" s="7" t="n"/>
      <c r="J2564" s="32" t="n"/>
      <c r="K2564" s="24" t="n"/>
      <c r="L2564" s="36" t="n"/>
      <c r="M2564" s="204" t="n"/>
      <c r="N2564" s="177" t="n"/>
      <c r="O2564" s="13" t="n"/>
      <c r="P2564" s="139" t="n"/>
      <c r="Q2564" s="2" t="n"/>
      <c r="R2564" s="1" t="n"/>
      <c r="S2564" s="229">
        <f>M2564*N2564</f>
        <v/>
      </c>
      <c r="T2564" s="230">
        <f>CONCATENATE(S2564,Q2564,P2564)</f>
        <v/>
      </c>
      <c r="U2564" s="206">
        <f>L2564*M2564</f>
        <v/>
      </c>
      <c r="V2564" s="4" t="n"/>
      <c r="W2564" s="4" t="n"/>
      <c r="X2564" s="4" t="n"/>
    </row>
    <row r="2565" ht="15.75" customHeight="1" thickBot="1">
      <c r="A2565" s="186" t="str"/>
      <c r="B2565" s="124" t="n"/>
      <c r="C2565" s="124" t="n"/>
      <c r="D2565" s="115" t="n"/>
      <c r="E2565" s="124" t="n"/>
      <c r="F2565" s="124" t="n"/>
      <c r="G2565" s="124" t="n"/>
      <c r="H2565" s="84" t="n"/>
      <c r="I2565" s="7" t="n"/>
      <c r="J2565" s="32" t="n"/>
      <c r="K2565" s="24" t="n"/>
      <c r="L2565" s="36" t="n"/>
      <c r="M2565" s="204" t="n"/>
      <c r="N2565" s="177" t="n"/>
      <c r="O2565" s="13" t="n"/>
      <c r="P2565" s="139" t="n"/>
      <c r="Q2565" s="2" t="n"/>
      <c r="R2565" s="1" t="n"/>
      <c r="S2565" s="229">
        <f>M2565*N2565</f>
        <v/>
      </c>
      <c r="T2565" s="230">
        <f>CONCATENATE(S2565,Q2565,P2565)</f>
        <v/>
      </c>
      <c r="U2565" s="206">
        <f>L2565*M2565</f>
        <v/>
      </c>
      <c r="V2565" s="4" t="n"/>
      <c r="W2565" s="4" t="n"/>
      <c r="X2565" s="4" t="n"/>
    </row>
    <row r="2566" ht="15.75" customHeight="1" thickBot="1">
      <c r="A2566" s="186" t="str"/>
      <c r="B2566" s="124" t="n"/>
      <c r="C2566" s="124" t="n"/>
      <c r="D2566" s="115" t="n"/>
      <c r="E2566" s="124" t="n"/>
      <c r="F2566" s="124" t="n"/>
      <c r="G2566" s="124" t="n"/>
      <c r="H2566" s="84" t="n"/>
      <c r="I2566" s="7" t="n"/>
      <c r="J2566" s="32" t="n"/>
      <c r="K2566" s="24" t="n"/>
      <c r="L2566" s="36" t="n"/>
      <c r="M2566" s="204" t="n"/>
      <c r="N2566" s="177" t="n"/>
      <c r="O2566" s="13" t="n"/>
      <c r="P2566" s="139" t="n"/>
      <c r="Q2566" s="2" t="n"/>
      <c r="R2566" s="1" t="n"/>
      <c r="S2566" s="229">
        <f>M2566*N2566</f>
        <v/>
      </c>
      <c r="T2566" s="230">
        <f>CONCATENATE(S2566,Q2566,P2566)</f>
        <v/>
      </c>
      <c r="U2566" s="206">
        <f>L2566*M2566</f>
        <v/>
      </c>
      <c r="V2566" s="4" t="n"/>
      <c r="W2566" s="4" t="n"/>
      <c r="X2566" s="4" t="n"/>
    </row>
    <row r="2567" ht="15.75" customHeight="1" thickBot="1">
      <c r="A2567" s="186" t="str"/>
      <c r="B2567" s="124" t="n"/>
      <c r="C2567" s="124" t="n"/>
      <c r="D2567" s="115" t="n"/>
      <c r="E2567" s="124" t="n"/>
      <c r="F2567" s="124" t="n"/>
      <c r="G2567" s="124" t="n"/>
      <c r="H2567" s="84" t="n"/>
      <c r="I2567" s="7" t="n"/>
      <c r="J2567" s="32" t="n"/>
      <c r="K2567" s="24" t="n"/>
      <c r="L2567" s="36" t="n"/>
      <c r="M2567" s="204" t="n"/>
      <c r="N2567" s="177" t="n"/>
      <c r="O2567" s="13" t="n"/>
      <c r="P2567" s="139" t="n"/>
      <c r="Q2567" s="2" t="n"/>
      <c r="R2567" s="1" t="n"/>
      <c r="S2567" s="229">
        <f>M2567*N2567</f>
        <v/>
      </c>
      <c r="T2567" s="230">
        <f>CONCATENATE(S2567,Q2567,P2567)</f>
        <v/>
      </c>
      <c r="U2567" s="206">
        <f>L2567*M2567</f>
        <v/>
      </c>
      <c r="V2567" s="4" t="n"/>
      <c r="W2567" s="4" t="n"/>
      <c r="X2567" s="4" t="n"/>
    </row>
    <row r="2568" ht="15.75" customHeight="1" thickBot="1">
      <c r="A2568" s="186" t="str"/>
      <c r="B2568" s="124" t="n"/>
      <c r="C2568" s="124" t="n"/>
      <c r="D2568" s="115" t="n"/>
      <c r="E2568" s="124" t="n"/>
      <c r="F2568" s="124" t="n"/>
      <c r="G2568" s="124" t="n"/>
      <c r="H2568" s="84" t="n"/>
      <c r="I2568" s="7" t="n"/>
      <c r="J2568" s="32" t="n"/>
      <c r="K2568" s="24" t="n"/>
      <c r="L2568" s="36" t="n"/>
      <c r="M2568" s="204" t="n"/>
      <c r="N2568" s="177" t="n"/>
      <c r="O2568" s="13" t="n"/>
      <c r="P2568" s="139" t="n"/>
      <c r="Q2568" s="2" t="n"/>
      <c r="R2568" s="1" t="n"/>
      <c r="S2568" s="229">
        <f>M2568*N2568</f>
        <v/>
      </c>
      <c r="T2568" s="230">
        <f>CONCATENATE(S2568,Q2568,P2568)</f>
        <v/>
      </c>
      <c r="U2568" s="206">
        <f>L2568*M2568</f>
        <v/>
      </c>
      <c r="V2568" s="4" t="n"/>
      <c r="W2568" s="4" t="n"/>
      <c r="X2568" s="4" t="n"/>
    </row>
    <row r="2569" ht="15.75" customHeight="1" thickBot="1">
      <c r="A2569" s="186" t="str"/>
      <c r="B2569" s="124" t="n"/>
      <c r="C2569" s="124" t="n"/>
      <c r="D2569" s="115" t="n"/>
      <c r="E2569" s="124" t="n"/>
      <c r="F2569" s="124" t="n"/>
      <c r="G2569" s="124" t="n"/>
      <c r="H2569" s="84" t="n"/>
      <c r="I2569" s="7" t="n"/>
      <c r="J2569" s="32" t="n"/>
      <c r="K2569" s="24" t="n"/>
      <c r="L2569" s="36" t="n"/>
      <c r="M2569" s="204" t="n"/>
      <c r="N2569" s="177" t="n"/>
      <c r="O2569" s="13" t="n"/>
      <c r="P2569" s="139" t="n"/>
      <c r="Q2569" s="2" t="n"/>
      <c r="R2569" s="1" t="n"/>
      <c r="S2569" s="229">
        <f>M2569*N2569</f>
        <v/>
      </c>
      <c r="T2569" s="230">
        <f>CONCATENATE(S2569,Q2569,P2569)</f>
        <v/>
      </c>
      <c r="U2569" s="206">
        <f>L2569*M2569</f>
        <v/>
      </c>
      <c r="V2569" s="4" t="n"/>
      <c r="W2569" s="4" t="n"/>
      <c r="X2569" s="4" t="n"/>
    </row>
    <row r="2570" ht="15.75" customHeight="1" thickBot="1">
      <c r="A2570" s="186" t="str"/>
      <c r="B2570" s="124" t="n"/>
      <c r="C2570" s="124" t="n"/>
      <c r="D2570" s="115" t="n"/>
      <c r="E2570" s="124" t="n"/>
      <c r="F2570" s="124" t="n"/>
      <c r="G2570" s="124" t="n"/>
      <c r="H2570" s="84" t="n"/>
      <c r="I2570" s="7" t="n"/>
      <c r="J2570" s="32" t="n"/>
      <c r="K2570" s="24" t="n"/>
      <c r="L2570" s="36" t="n"/>
      <c r="M2570" s="204" t="n"/>
      <c r="N2570" s="177" t="n"/>
      <c r="O2570" s="13" t="n"/>
      <c r="P2570" s="139" t="n"/>
      <c r="Q2570" s="2" t="n"/>
      <c r="R2570" s="1" t="n"/>
      <c r="S2570" s="229">
        <f>M2570*N2570</f>
        <v/>
      </c>
      <c r="T2570" s="230">
        <f>CONCATENATE(S2570,Q2570,P2570)</f>
        <v/>
      </c>
      <c r="U2570" s="206">
        <f>L2570*M2570</f>
        <v/>
      </c>
      <c r="V2570" s="4" t="n"/>
      <c r="W2570" s="4" t="n"/>
      <c r="X2570" s="4" t="n"/>
    </row>
    <row r="2571" ht="15.75" customHeight="1" thickBot="1">
      <c r="A2571" s="186" t="str"/>
      <c r="B2571" s="124" t="n"/>
      <c r="C2571" s="124" t="n"/>
      <c r="D2571" s="115" t="n"/>
      <c r="E2571" s="124" t="n"/>
      <c r="F2571" s="124" t="n"/>
      <c r="G2571" s="124" t="n"/>
      <c r="H2571" s="84" t="n"/>
      <c r="I2571" s="7" t="n"/>
      <c r="J2571" s="32" t="n"/>
      <c r="K2571" s="24" t="n"/>
      <c r="L2571" s="36" t="n"/>
      <c r="M2571" s="204" t="n"/>
      <c r="N2571" s="177" t="n"/>
      <c r="O2571" s="13" t="n"/>
      <c r="P2571" s="139" t="n"/>
      <c r="Q2571" s="2" t="n"/>
      <c r="R2571" s="1" t="n"/>
      <c r="S2571" s="229">
        <f>M2571*N2571</f>
        <v/>
      </c>
      <c r="T2571" s="230">
        <f>CONCATENATE(S2571,Q2571,P2571)</f>
        <v/>
      </c>
      <c r="U2571" s="206">
        <f>L2571*M2571</f>
        <v/>
      </c>
      <c r="V2571" s="4" t="n"/>
      <c r="W2571" s="4" t="n"/>
      <c r="X2571" s="4" t="n"/>
    </row>
    <row r="2572" ht="15.75" customHeight="1" thickBot="1">
      <c r="A2572" s="186" t="str"/>
      <c r="B2572" s="124" t="n"/>
      <c r="C2572" s="124" t="n"/>
      <c r="D2572" s="115" t="n"/>
      <c r="E2572" s="124" t="n"/>
      <c r="F2572" s="124" t="n"/>
      <c r="G2572" s="124" t="n"/>
      <c r="H2572" s="84" t="n"/>
      <c r="I2572" s="7" t="n"/>
      <c r="J2572" s="32" t="n"/>
      <c r="K2572" s="24" t="n"/>
      <c r="L2572" s="36" t="n"/>
      <c r="M2572" s="204" t="n"/>
      <c r="N2572" s="177" t="n"/>
      <c r="O2572" s="13" t="n"/>
      <c r="P2572" s="139" t="n"/>
      <c r="Q2572" s="2" t="n"/>
      <c r="R2572" s="1" t="n"/>
      <c r="S2572" s="229">
        <f>M2572*N2572</f>
        <v/>
      </c>
      <c r="T2572" s="230">
        <f>CONCATENATE(S2572,Q2572,P2572)</f>
        <v/>
      </c>
      <c r="U2572" s="206">
        <f>L2572*M2572</f>
        <v/>
      </c>
      <c r="V2572" s="4" t="n"/>
      <c r="W2572" s="4" t="n"/>
      <c r="X2572" s="4" t="n"/>
    </row>
    <row r="2573" ht="15.75" customHeight="1" thickBot="1">
      <c r="A2573" s="186" t="str"/>
      <c r="B2573" s="124" t="n"/>
      <c r="C2573" s="124" t="n"/>
      <c r="D2573" s="115" t="n"/>
      <c r="E2573" s="124" t="n"/>
      <c r="F2573" s="124" t="n"/>
      <c r="G2573" s="124" t="n"/>
      <c r="H2573" s="84" t="n"/>
      <c r="I2573" s="7" t="n"/>
      <c r="J2573" s="32" t="n"/>
      <c r="K2573" s="24" t="n"/>
      <c r="L2573" s="36" t="n"/>
      <c r="M2573" s="204" t="n"/>
      <c r="N2573" s="177" t="n"/>
      <c r="O2573" s="13" t="n"/>
      <c r="P2573" s="139" t="n"/>
      <c r="Q2573" s="2" t="n"/>
      <c r="R2573" s="1" t="n"/>
      <c r="S2573" s="229">
        <f>M2573*N2573</f>
        <v/>
      </c>
      <c r="T2573" s="230">
        <f>CONCATENATE(S2573,Q2573,P2573)</f>
        <v/>
      </c>
      <c r="U2573" s="206">
        <f>L2573*M2573</f>
        <v/>
      </c>
      <c r="V2573" s="4" t="n"/>
      <c r="W2573" s="4" t="n"/>
      <c r="X2573" s="4" t="n"/>
    </row>
    <row r="2574" ht="15.75" customHeight="1" thickBot="1">
      <c r="A2574" s="186" t="str"/>
      <c r="B2574" s="124" t="n"/>
      <c r="C2574" s="124" t="n"/>
      <c r="D2574" s="115" t="n"/>
      <c r="E2574" s="124" t="n"/>
      <c r="F2574" s="124" t="n"/>
      <c r="G2574" s="124" t="n"/>
      <c r="H2574" s="84" t="n"/>
      <c r="I2574" s="7" t="n"/>
      <c r="J2574" s="32" t="n"/>
      <c r="K2574" s="24" t="n"/>
      <c r="L2574" s="36" t="n"/>
      <c r="M2574" s="204" t="n"/>
      <c r="N2574" s="177" t="n"/>
      <c r="O2574" s="13" t="n"/>
      <c r="P2574" s="139" t="n"/>
      <c r="Q2574" s="2" t="n"/>
      <c r="R2574" s="1" t="n"/>
      <c r="S2574" s="229">
        <f>M2574*N2574</f>
        <v/>
      </c>
      <c r="T2574" s="230">
        <f>CONCATENATE(S2574,Q2574,P2574)</f>
        <v/>
      </c>
      <c r="U2574" s="206">
        <f>L2574*M2574</f>
        <v/>
      </c>
      <c r="V2574" s="4" t="n"/>
      <c r="W2574" s="4" t="n"/>
      <c r="X2574" s="4" t="n"/>
    </row>
    <row r="2575" ht="15.75" customHeight="1" thickBot="1">
      <c r="A2575" s="186" t="str"/>
      <c r="B2575" s="124" t="n"/>
      <c r="C2575" s="124" t="n"/>
      <c r="D2575" s="115" t="n"/>
      <c r="E2575" s="124" t="n"/>
      <c r="F2575" s="124" t="n"/>
      <c r="G2575" s="124" t="n"/>
      <c r="H2575" s="84" t="n"/>
      <c r="I2575" s="7" t="n"/>
      <c r="J2575" s="32" t="n"/>
      <c r="K2575" s="24" t="n"/>
      <c r="L2575" s="36" t="n"/>
      <c r="M2575" s="204" t="n"/>
      <c r="N2575" s="177" t="n"/>
      <c r="O2575" s="13" t="n"/>
      <c r="P2575" s="139" t="n"/>
      <c r="Q2575" s="2" t="n"/>
      <c r="R2575" s="1" t="n"/>
      <c r="S2575" s="229">
        <f>M2575*N2575</f>
        <v/>
      </c>
      <c r="T2575" s="230">
        <f>CONCATENATE(S2575,Q2575,P2575)</f>
        <v/>
      </c>
      <c r="U2575" s="206">
        <f>L2575*M2575</f>
        <v/>
      </c>
      <c r="V2575" s="4" t="n"/>
      <c r="W2575" s="4" t="n"/>
      <c r="X2575" s="4" t="n"/>
    </row>
    <row r="2576" ht="15.75" customHeight="1" thickBot="1">
      <c r="A2576" s="186" t="str"/>
      <c r="B2576" s="124" t="n"/>
      <c r="C2576" s="124" t="n"/>
      <c r="D2576" s="115" t="n"/>
      <c r="E2576" s="124" t="n"/>
      <c r="F2576" s="124" t="n"/>
      <c r="G2576" s="124" t="n"/>
      <c r="H2576" s="84" t="n"/>
      <c r="I2576" s="7" t="n"/>
      <c r="J2576" s="32" t="n"/>
      <c r="K2576" s="24" t="n"/>
      <c r="L2576" s="36" t="n"/>
      <c r="M2576" s="204" t="n"/>
      <c r="N2576" s="177" t="n"/>
      <c r="O2576" s="13" t="n"/>
      <c r="P2576" s="139" t="n"/>
      <c r="Q2576" s="2" t="n"/>
      <c r="R2576" s="1" t="n"/>
      <c r="S2576" s="229">
        <f>M2576*N2576</f>
        <v/>
      </c>
      <c r="T2576" s="230">
        <f>CONCATENATE(S2576,Q2576,P2576)</f>
        <v/>
      </c>
      <c r="U2576" s="206">
        <f>L2576*M2576</f>
        <v/>
      </c>
      <c r="V2576" s="4" t="n"/>
      <c r="W2576" s="4" t="n"/>
      <c r="X2576" s="4" t="n"/>
    </row>
    <row r="2577" ht="15.75" customHeight="1" thickBot="1">
      <c r="A2577" s="186" t="str"/>
      <c r="B2577" s="124" t="n"/>
      <c r="C2577" s="124" t="n"/>
      <c r="D2577" s="115" t="n"/>
      <c r="E2577" s="124" t="n"/>
      <c r="F2577" s="124" t="n"/>
      <c r="G2577" s="124" t="n"/>
      <c r="H2577" s="84" t="n"/>
      <c r="I2577" s="7" t="n"/>
      <c r="J2577" s="32" t="n"/>
      <c r="K2577" s="24" t="n"/>
      <c r="L2577" s="36" t="n"/>
      <c r="M2577" s="204" t="n"/>
      <c r="N2577" s="177" t="n"/>
      <c r="O2577" s="13" t="n"/>
      <c r="P2577" s="139" t="n"/>
      <c r="Q2577" s="2" t="n"/>
      <c r="R2577" s="1" t="n"/>
      <c r="S2577" s="229">
        <f>M2577*N2577</f>
        <v/>
      </c>
      <c r="T2577" s="230">
        <f>CONCATENATE(S2577,Q2577,P2577)</f>
        <v/>
      </c>
      <c r="U2577" s="206">
        <f>L2577*M2577</f>
        <v/>
      </c>
      <c r="V2577" s="4" t="n"/>
      <c r="W2577" s="4" t="n"/>
      <c r="X2577" s="4" t="n"/>
    </row>
    <row r="2578" ht="15.75" customHeight="1" thickBot="1">
      <c r="A2578" s="186" t="str"/>
      <c r="B2578" s="124" t="n"/>
      <c r="C2578" s="124" t="n"/>
      <c r="D2578" s="115" t="n"/>
      <c r="E2578" s="124" t="n"/>
      <c r="F2578" s="124" t="n"/>
      <c r="G2578" s="124" t="n"/>
      <c r="H2578" s="84" t="n"/>
      <c r="I2578" s="7" t="n"/>
      <c r="J2578" s="32" t="n"/>
      <c r="K2578" s="24" t="n"/>
      <c r="L2578" s="36" t="n"/>
      <c r="M2578" s="204" t="n"/>
      <c r="N2578" s="177" t="n"/>
      <c r="O2578" s="13" t="n"/>
      <c r="P2578" s="139" t="n"/>
      <c r="Q2578" s="2" t="n"/>
      <c r="R2578" s="1" t="n"/>
      <c r="S2578" s="229">
        <f>M2578*N2578</f>
        <v/>
      </c>
      <c r="T2578" s="230">
        <f>CONCATENATE(S2578,Q2578,P2578)</f>
        <v/>
      </c>
      <c r="U2578" s="206">
        <f>L2578*M2578</f>
        <v/>
      </c>
      <c r="V2578" s="4" t="n"/>
      <c r="W2578" s="4" t="n"/>
      <c r="X2578" s="4" t="n"/>
    </row>
    <row r="2579" ht="15.75" customHeight="1" thickBot="1">
      <c r="A2579" s="186" t="str"/>
      <c r="B2579" s="124" t="n"/>
      <c r="C2579" s="124" t="n"/>
      <c r="D2579" s="115" t="n"/>
      <c r="E2579" s="124" t="n"/>
      <c r="F2579" s="124" t="n"/>
      <c r="G2579" s="124" t="n"/>
      <c r="H2579" s="84" t="n"/>
      <c r="I2579" s="7" t="n"/>
      <c r="J2579" s="32" t="n"/>
      <c r="K2579" s="24" t="n"/>
      <c r="L2579" s="36" t="n"/>
      <c r="M2579" s="204" t="n"/>
      <c r="N2579" s="177" t="n"/>
      <c r="O2579" s="13" t="n"/>
      <c r="P2579" s="139" t="n"/>
      <c r="Q2579" s="2" t="n"/>
      <c r="R2579" s="1" t="n"/>
      <c r="S2579" s="229">
        <f>M2579*N2579</f>
        <v/>
      </c>
      <c r="T2579" s="230">
        <f>CONCATENATE(S2579,Q2579,P2579)</f>
        <v/>
      </c>
      <c r="U2579" s="206">
        <f>L2579*M2579</f>
        <v/>
      </c>
      <c r="V2579" s="4" t="n"/>
      <c r="W2579" s="4" t="n"/>
      <c r="X2579" s="4" t="n"/>
    </row>
    <row r="2580" ht="15.75" customHeight="1" thickBot="1">
      <c r="A2580" s="186" t="str"/>
      <c r="B2580" s="124" t="n"/>
      <c r="C2580" s="124" t="n"/>
      <c r="D2580" s="115" t="n"/>
      <c r="E2580" s="124" t="n"/>
      <c r="F2580" s="124" t="n"/>
      <c r="G2580" s="124" t="n"/>
      <c r="H2580" s="84" t="n"/>
      <c r="I2580" s="7" t="n"/>
      <c r="J2580" s="32" t="n"/>
      <c r="K2580" s="24" t="n"/>
      <c r="L2580" s="36" t="n"/>
      <c r="M2580" s="204" t="n"/>
      <c r="N2580" s="177" t="n"/>
      <c r="O2580" s="13" t="n"/>
      <c r="P2580" s="139" t="n"/>
      <c r="Q2580" s="2" t="n"/>
      <c r="R2580" s="1" t="n"/>
      <c r="S2580" s="229">
        <f>M2580*N2580</f>
        <v/>
      </c>
      <c r="T2580" s="230">
        <f>CONCATENATE(S2580,Q2580,P2580)</f>
        <v/>
      </c>
      <c r="U2580" s="206">
        <f>L2580*M2580</f>
        <v/>
      </c>
      <c r="V2580" s="4" t="n"/>
      <c r="W2580" s="4" t="n"/>
      <c r="X2580" s="4" t="n"/>
    </row>
    <row r="2581" ht="15.75" customHeight="1" thickBot="1">
      <c r="A2581" s="186" t="str"/>
      <c r="B2581" s="124" t="n"/>
      <c r="C2581" s="124" t="n"/>
      <c r="D2581" s="115" t="n"/>
      <c r="E2581" s="124" t="n"/>
      <c r="F2581" s="124" t="n"/>
      <c r="G2581" s="124" t="n"/>
      <c r="H2581" s="84" t="n"/>
      <c r="I2581" s="7" t="n"/>
      <c r="J2581" s="32" t="n"/>
      <c r="K2581" s="24" t="n"/>
      <c r="L2581" s="36" t="n"/>
      <c r="M2581" s="204" t="n"/>
      <c r="N2581" s="177" t="n"/>
      <c r="O2581" s="13" t="n"/>
      <c r="P2581" s="139" t="n"/>
      <c r="Q2581" s="2" t="n"/>
      <c r="R2581" s="1" t="n"/>
      <c r="S2581" s="229">
        <f>M2581*N2581</f>
        <v/>
      </c>
      <c r="T2581" s="230">
        <f>CONCATENATE(S2581,Q2581,P2581)</f>
        <v/>
      </c>
      <c r="U2581" s="206">
        <f>L2581*M2581</f>
        <v/>
      </c>
      <c r="V2581" s="4" t="n"/>
      <c r="W2581" s="4" t="n"/>
      <c r="X2581" s="4" t="n"/>
    </row>
    <row r="2582" ht="15.75" customHeight="1" thickBot="1">
      <c r="A2582" s="186" t="str"/>
      <c r="B2582" s="124" t="n"/>
      <c r="C2582" s="124" t="n"/>
      <c r="D2582" s="115" t="n"/>
      <c r="E2582" s="124" t="n"/>
      <c r="F2582" s="124" t="n"/>
      <c r="G2582" s="124" t="n"/>
      <c r="H2582" s="84" t="n"/>
      <c r="I2582" s="7" t="n"/>
      <c r="J2582" s="32" t="n"/>
      <c r="K2582" s="24" t="n"/>
      <c r="L2582" s="36" t="n"/>
      <c r="M2582" s="204" t="n"/>
      <c r="N2582" s="177" t="n"/>
      <c r="O2582" s="13" t="n"/>
      <c r="P2582" s="139" t="n"/>
      <c r="Q2582" s="2" t="n"/>
      <c r="R2582" s="1" t="n"/>
      <c r="S2582" s="229">
        <f>M2582*N2582</f>
        <v/>
      </c>
      <c r="T2582" s="230">
        <f>CONCATENATE(S2582,Q2582,P2582)</f>
        <v/>
      </c>
      <c r="U2582" s="206">
        <f>L2582*M2582</f>
        <v/>
      </c>
      <c r="V2582" s="4" t="n"/>
      <c r="W2582" s="4" t="n"/>
      <c r="X2582" s="4" t="n"/>
    </row>
    <row r="2583" ht="15.75" customHeight="1" thickBot="1">
      <c r="A2583" s="186" t="str"/>
      <c r="B2583" s="124" t="n"/>
      <c r="C2583" s="124" t="n"/>
      <c r="D2583" s="115" t="n"/>
      <c r="E2583" s="124" t="n"/>
      <c r="F2583" s="124" t="n"/>
      <c r="G2583" s="124" t="n"/>
      <c r="H2583" s="84" t="n"/>
      <c r="I2583" s="7" t="n"/>
      <c r="J2583" s="32" t="n"/>
      <c r="K2583" s="24" t="n"/>
      <c r="L2583" s="36" t="n"/>
      <c r="M2583" s="204" t="n"/>
      <c r="N2583" s="177" t="n"/>
      <c r="O2583" s="13" t="n"/>
      <c r="P2583" s="139" t="n"/>
      <c r="Q2583" s="2" t="n"/>
      <c r="R2583" s="1" t="n"/>
      <c r="S2583" s="229">
        <f>M2583*N2583</f>
        <v/>
      </c>
      <c r="T2583" s="230">
        <f>CONCATENATE(S2583,Q2583,P2583)</f>
        <v/>
      </c>
      <c r="U2583" s="206">
        <f>L2583*M2583</f>
        <v/>
      </c>
      <c r="V2583" s="4" t="n"/>
      <c r="W2583" s="4" t="n"/>
      <c r="X2583" s="4" t="n"/>
    </row>
    <row r="2584" ht="15.75" customHeight="1" thickBot="1">
      <c r="A2584" s="186" t="str"/>
      <c r="B2584" s="124" t="n"/>
      <c r="C2584" s="124" t="n"/>
      <c r="D2584" s="115" t="n"/>
      <c r="E2584" s="124" t="n"/>
      <c r="F2584" s="124" t="n"/>
      <c r="G2584" s="124" t="n"/>
      <c r="H2584" s="84" t="n"/>
      <c r="I2584" s="7" t="n"/>
      <c r="J2584" s="32" t="n"/>
      <c r="K2584" s="24" t="n"/>
      <c r="L2584" s="36" t="n"/>
      <c r="M2584" s="204" t="n"/>
      <c r="N2584" s="177" t="n"/>
      <c r="O2584" s="13" t="n"/>
      <c r="P2584" s="139" t="n"/>
      <c r="Q2584" s="2" t="n"/>
      <c r="R2584" s="1" t="n"/>
      <c r="S2584" s="229">
        <f>M2584*N2584</f>
        <v/>
      </c>
      <c r="T2584" s="230">
        <f>CONCATENATE(S2584,Q2584,P2584)</f>
        <v/>
      </c>
      <c r="U2584" s="206">
        <f>L2584*M2584</f>
        <v/>
      </c>
      <c r="V2584" s="4" t="n"/>
      <c r="W2584" s="4" t="n"/>
      <c r="X2584" s="4" t="n"/>
    </row>
    <row r="2585" ht="15.75" customHeight="1" thickBot="1">
      <c r="A2585" s="186" t="str"/>
      <c r="B2585" s="124" t="n"/>
      <c r="C2585" s="124" t="n"/>
      <c r="D2585" s="115" t="n"/>
      <c r="E2585" s="124" t="n"/>
      <c r="F2585" s="124" t="n"/>
      <c r="G2585" s="124" t="n"/>
      <c r="H2585" s="84" t="n"/>
      <c r="I2585" s="7" t="n"/>
      <c r="J2585" s="32" t="n"/>
      <c r="K2585" s="24" t="n"/>
      <c r="L2585" s="36" t="n"/>
      <c r="M2585" s="204" t="n"/>
      <c r="N2585" s="177" t="n"/>
      <c r="O2585" s="13" t="n"/>
      <c r="P2585" s="139" t="n"/>
      <c r="Q2585" s="2" t="n"/>
      <c r="R2585" s="1" t="n"/>
      <c r="S2585" s="229">
        <f>M2585*N2585</f>
        <v/>
      </c>
      <c r="T2585" s="230">
        <f>CONCATENATE(S2585,Q2585,P2585)</f>
        <v/>
      </c>
      <c r="U2585" s="206">
        <f>L2585*M2585</f>
        <v/>
      </c>
      <c r="V2585" s="4" t="n"/>
      <c r="W2585" s="4" t="n"/>
      <c r="X2585" s="4" t="n"/>
    </row>
    <row r="2586" ht="15.75" customHeight="1" thickBot="1">
      <c r="A2586" s="186" t="str"/>
      <c r="B2586" s="124" t="n"/>
      <c r="C2586" s="124" t="n"/>
      <c r="D2586" s="115" t="n"/>
      <c r="E2586" s="124" t="n"/>
      <c r="F2586" s="124" t="n"/>
      <c r="G2586" s="124" t="n"/>
      <c r="H2586" s="84" t="n"/>
      <c r="I2586" s="7" t="n"/>
      <c r="J2586" s="32" t="n"/>
      <c r="K2586" s="24" t="n"/>
      <c r="L2586" s="36" t="n"/>
      <c r="M2586" s="204" t="n"/>
      <c r="N2586" s="177" t="n"/>
      <c r="O2586" s="13" t="n"/>
      <c r="P2586" s="139" t="n"/>
      <c r="Q2586" s="2" t="n"/>
      <c r="R2586" s="1" t="n"/>
      <c r="S2586" s="229">
        <f>M2586*N2586</f>
        <v/>
      </c>
      <c r="T2586" s="230">
        <f>CONCATENATE(S2586,Q2586,P2586)</f>
        <v/>
      </c>
      <c r="U2586" s="206">
        <f>L2586*M2586</f>
        <v/>
      </c>
      <c r="V2586" s="4" t="n"/>
      <c r="W2586" s="4" t="n"/>
      <c r="X2586" s="4" t="n"/>
    </row>
    <row r="2587" ht="15.75" customHeight="1" thickBot="1">
      <c r="A2587" s="186" t="str"/>
      <c r="B2587" s="124" t="n"/>
      <c r="C2587" s="124" t="n"/>
      <c r="D2587" s="115" t="n"/>
      <c r="E2587" s="124" t="n"/>
      <c r="F2587" s="124" t="n"/>
      <c r="G2587" s="124" t="n"/>
      <c r="H2587" s="84" t="n"/>
      <c r="I2587" s="7" t="n"/>
      <c r="J2587" s="32" t="n"/>
      <c r="K2587" s="24" t="n"/>
      <c r="L2587" s="36" t="n"/>
      <c r="M2587" s="204" t="n"/>
      <c r="N2587" s="177" t="n"/>
      <c r="O2587" s="13" t="n"/>
      <c r="P2587" s="139" t="n"/>
      <c r="Q2587" s="2" t="n"/>
      <c r="R2587" s="1" t="n"/>
      <c r="S2587" s="229">
        <f>M2587*N2587</f>
        <v/>
      </c>
      <c r="T2587" s="230">
        <f>CONCATENATE(S2587,Q2587,P2587)</f>
        <v/>
      </c>
      <c r="U2587" s="206">
        <f>L2587*M2587</f>
        <v/>
      </c>
      <c r="V2587" s="4" t="n"/>
      <c r="W2587" s="4" t="n"/>
      <c r="X2587" s="4" t="n"/>
    </row>
    <row r="2588" ht="15.75" customHeight="1" thickBot="1">
      <c r="A2588" s="186" t="str"/>
      <c r="B2588" s="124" t="n"/>
      <c r="C2588" s="124" t="n"/>
      <c r="D2588" s="115" t="n"/>
      <c r="E2588" s="124" t="n"/>
      <c r="F2588" s="124" t="n"/>
      <c r="G2588" s="124" t="n"/>
      <c r="H2588" s="84" t="n"/>
      <c r="I2588" s="7" t="n"/>
      <c r="J2588" s="32" t="n"/>
      <c r="K2588" s="24" t="n"/>
      <c r="L2588" s="36" t="n"/>
      <c r="M2588" s="204" t="n"/>
      <c r="N2588" s="177" t="n"/>
      <c r="O2588" s="13" t="n"/>
      <c r="P2588" s="139" t="n"/>
      <c r="Q2588" s="2" t="n"/>
      <c r="R2588" s="1" t="n"/>
      <c r="S2588" s="229">
        <f>M2588*N2588</f>
        <v/>
      </c>
      <c r="T2588" s="230">
        <f>CONCATENATE(S2588,Q2588,P2588)</f>
        <v/>
      </c>
      <c r="U2588" s="206">
        <f>L2588*M2588</f>
        <v/>
      </c>
      <c r="V2588" s="4" t="n"/>
      <c r="W2588" s="4" t="n"/>
      <c r="X2588" s="4" t="n"/>
    </row>
    <row r="2589" ht="15.75" customHeight="1" thickBot="1">
      <c r="A2589" s="186" t="str"/>
      <c r="B2589" s="124" t="n"/>
      <c r="C2589" s="124" t="n"/>
      <c r="D2589" s="115" t="n"/>
      <c r="E2589" s="124" t="n"/>
      <c r="F2589" s="124" t="n"/>
      <c r="G2589" s="124" t="n"/>
      <c r="H2589" s="84" t="n"/>
      <c r="I2589" s="7" t="n"/>
      <c r="J2589" s="32" t="n"/>
      <c r="K2589" s="24" t="n"/>
      <c r="L2589" s="36" t="n"/>
      <c r="M2589" s="204" t="n"/>
      <c r="N2589" s="177" t="n"/>
      <c r="O2589" s="13" t="n"/>
      <c r="P2589" s="139" t="n"/>
      <c r="Q2589" s="2" t="n"/>
      <c r="R2589" s="1" t="n"/>
      <c r="S2589" s="229">
        <f>M2589*N2589</f>
        <v/>
      </c>
      <c r="T2589" s="230">
        <f>CONCATENATE(S2589,Q2589,P2589)</f>
        <v/>
      </c>
      <c r="U2589" s="206">
        <f>L2589*M2589</f>
        <v/>
      </c>
      <c r="V2589" s="4" t="n"/>
      <c r="W2589" s="4" t="n"/>
      <c r="X2589" s="4" t="n"/>
    </row>
    <row r="2590" ht="15.75" customHeight="1" thickBot="1">
      <c r="A2590" s="186" t="str"/>
      <c r="B2590" s="124" t="n"/>
      <c r="C2590" s="124" t="n"/>
      <c r="D2590" s="115" t="n"/>
      <c r="E2590" s="124" t="n"/>
      <c r="F2590" s="124" t="n"/>
      <c r="G2590" s="124" t="n"/>
      <c r="H2590" s="84" t="n"/>
      <c r="I2590" s="7" t="n"/>
      <c r="J2590" s="32" t="n"/>
      <c r="K2590" s="24" t="n"/>
      <c r="L2590" s="36" t="n"/>
      <c r="M2590" s="204" t="n"/>
      <c r="N2590" s="177" t="n"/>
      <c r="O2590" s="13" t="n"/>
      <c r="P2590" s="139" t="n"/>
      <c r="Q2590" s="2" t="n"/>
      <c r="R2590" s="1" t="n"/>
      <c r="S2590" s="229">
        <f>M2590*N2590</f>
        <v/>
      </c>
      <c r="T2590" s="230">
        <f>CONCATENATE(S2590,Q2590,P2590)</f>
        <v/>
      </c>
      <c r="U2590" s="206">
        <f>L2590*M2590</f>
        <v/>
      </c>
      <c r="V2590" s="4" t="n"/>
      <c r="W2590" s="4" t="n"/>
      <c r="X2590" s="4" t="n"/>
    </row>
    <row r="2591" ht="15.75" customHeight="1" thickBot="1">
      <c r="A2591" s="186" t="str"/>
      <c r="B2591" s="124" t="n"/>
      <c r="C2591" s="124" t="n"/>
      <c r="D2591" s="115" t="n"/>
      <c r="E2591" s="124" t="n"/>
      <c r="F2591" s="124" t="n"/>
      <c r="G2591" s="124" t="n"/>
      <c r="H2591" s="84" t="n"/>
      <c r="I2591" s="7" t="n"/>
      <c r="J2591" s="32" t="n"/>
      <c r="K2591" s="24" t="n"/>
      <c r="L2591" s="36" t="n"/>
      <c r="M2591" s="204" t="n"/>
      <c r="N2591" s="177" t="n"/>
      <c r="O2591" s="13" t="n"/>
      <c r="P2591" s="139" t="n"/>
      <c r="Q2591" s="2" t="n"/>
      <c r="R2591" s="1" t="n"/>
      <c r="S2591" s="229">
        <f>M2591*N2591</f>
        <v/>
      </c>
      <c r="T2591" s="230">
        <f>CONCATENATE(S2591,Q2591,P2591)</f>
        <v/>
      </c>
      <c r="U2591" s="206">
        <f>L2591*M2591</f>
        <v/>
      </c>
      <c r="V2591" s="4" t="n"/>
      <c r="W2591" s="4" t="n"/>
      <c r="X2591" s="4" t="n"/>
    </row>
    <row r="2592" ht="15.75" customHeight="1" thickBot="1">
      <c r="A2592" s="186" t="str"/>
      <c r="B2592" s="124" t="n"/>
      <c r="C2592" s="124" t="n"/>
      <c r="D2592" s="115" t="n"/>
      <c r="E2592" s="124" t="n"/>
      <c r="F2592" s="124" t="n"/>
      <c r="G2592" s="124" t="n"/>
      <c r="H2592" s="84" t="n"/>
      <c r="I2592" s="7" t="n"/>
      <c r="J2592" s="32" t="n"/>
      <c r="K2592" s="24" t="n"/>
      <c r="L2592" s="36" t="n"/>
      <c r="M2592" s="204" t="n"/>
      <c r="N2592" s="177" t="n"/>
      <c r="O2592" s="13" t="n"/>
      <c r="P2592" s="139" t="n"/>
      <c r="Q2592" s="2" t="n"/>
      <c r="R2592" s="1" t="n"/>
      <c r="S2592" s="229">
        <f>M2592*N2592</f>
        <v/>
      </c>
      <c r="T2592" s="230">
        <f>CONCATENATE(S2592,Q2592,P2592)</f>
        <v/>
      </c>
      <c r="U2592" s="206">
        <f>L2592*M2592</f>
        <v/>
      </c>
      <c r="V2592" s="4" t="n"/>
      <c r="W2592" s="4" t="n"/>
      <c r="X2592" s="4" t="n"/>
    </row>
    <row r="2593" ht="15.75" customHeight="1" thickBot="1">
      <c r="A2593" s="186" t="str"/>
      <c r="B2593" s="124" t="n"/>
      <c r="C2593" s="124" t="n"/>
      <c r="D2593" s="115" t="n"/>
      <c r="E2593" s="124" t="n"/>
      <c r="F2593" s="124" t="n"/>
      <c r="G2593" s="124" t="n"/>
      <c r="H2593" s="84" t="n"/>
      <c r="I2593" s="7" t="n"/>
      <c r="J2593" s="32" t="n"/>
      <c r="K2593" s="24" t="n"/>
      <c r="L2593" s="36" t="n"/>
      <c r="M2593" s="204" t="n"/>
      <c r="N2593" s="177" t="n"/>
      <c r="O2593" s="13" t="n"/>
      <c r="P2593" s="139" t="n"/>
      <c r="Q2593" s="2" t="n"/>
      <c r="R2593" s="1" t="n"/>
      <c r="S2593" s="229">
        <f>M2593*N2593</f>
        <v/>
      </c>
      <c r="T2593" s="230">
        <f>CONCATENATE(S2593,Q2593,P2593)</f>
        <v/>
      </c>
      <c r="U2593" s="206">
        <f>L2593*M2593</f>
        <v/>
      </c>
      <c r="V2593" s="4" t="n"/>
      <c r="W2593" s="4" t="n"/>
      <c r="X2593" s="4" t="n"/>
    </row>
    <row r="2594" ht="15.75" customHeight="1" thickBot="1">
      <c r="A2594" s="186" t="str"/>
      <c r="B2594" s="124" t="n"/>
      <c r="C2594" s="124" t="n"/>
      <c r="D2594" s="115" t="n"/>
      <c r="E2594" s="124" t="n"/>
      <c r="F2594" s="124" t="n"/>
      <c r="G2594" s="124" t="n"/>
      <c r="H2594" s="84" t="n"/>
      <c r="I2594" s="7" t="n"/>
      <c r="J2594" s="32" t="n"/>
      <c r="K2594" s="24" t="n"/>
      <c r="L2594" s="36" t="n"/>
      <c r="M2594" s="204" t="n"/>
      <c r="N2594" s="177" t="n"/>
      <c r="O2594" s="13" t="n"/>
      <c r="P2594" s="139" t="n"/>
      <c r="Q2594" s="2" t="n"/>
      <c r="R2594" s="1" t="n"/>
      <c r="S2594" s="229">
        <f>M2594*N2594</f>
        <v/>
      </c>
      <c r="T2594" s="230">
        <f>CONCATENATE(S2594,Q2594,P2594)</f>
        <v/>
      </c>
      <c r="U2594" s="206">
        <f>L2594*M2594</f>
        <v/>
      </c>
      <c r="V2594" s="4" t="n"/>
      <c r="W2594" s="4" t="n"/>
      <c r="X2594" s="4" t="n"/>
    </row>
    <row r="2595" ht="15.75" customHeight="1" thickBot="1">
      <c r="A2595" s="186" t="str"/>
      <c r="B2595" s="124" t="n"/>
      <c r="C2595" s="124" t="n"/>
      <c r="D2595" s="115" t="n"/>
      <c r="E2595" s="124" t="n"/>
      <c r="F2595" s="124" t="n"/>
      <c r="G2595" s="124" t="n"/>
      <c r="H2595" s="84" t="n"/>
      <c r="I2595" s="7" t="n"/>
      <c r="J2595" s="32" t="n"/>
      <c r="K2595" s="24" t="n"/>
      <c r="L2595" s="36" t="n"/>
      <c r="M2595" s="204" t="n"/>
      <c r="N2595" s="177" t="n"/>
      <c r="O2595" s="13" t="n"/>
      <c r="P2595" s="139" t="n"/>
      <c r="Q2595" s="2" t="n"/>
      <c r="R2595" s="1" t="n"/>
      <c r="S2595" s="229">
        <f>M2595*N2595</f>
        <v/>
      </c>
      <c r="T2595" s="230">
        <f>CONCATENATE(S2595,Q2595,P2595)</f>
        <v/>
      </c>
      <c r="U2595" s="206">
        <f>L2595*M2595</f>
        <v/>
      </c>
      <c r="V2595" s="4" t="n"/>
      <c r="W2595" s="4" t="n"/>
      <c r="X2595" s="4" t="n"/>
    </row>
    <row r="2596" ht="15.75" customHeight="1" thickBot="1">
      <c r="A2596" s="186" t="str"/>
      <c r="B2596" s="124" t="n"/>
      <c r="C2596" s="124" t="n"/>
      <c r="D2596" s="115" t="n"/>
      <c r="E2596" s="124" t="n"/>
      <c r="F2596" s="124" t="n"/>
      <c r="G2596" s="124" t="n"/>
      <c r="H2596" s="84" t="n"/>
      <c r="I2596" s="7" t="n"/>
      <c r="J2596" s="32" t="n"/>
      <c r="K2596" s="24" t="n"/>
      <c r="L2596" s="36" t="n"/>
      <c r="M2596" s="204" t="n"/>
      <c r="N2596" s="177" t="n"/>
      <c r="O2596" s="13" t="n"/>
      <c r="P2596" s="139" t="n"/>
      <c r="Q2596" s="2" t="n"/>
      <c r="R2596" s="1" t="n"/>
      <c r="S2596" s="229">
        <f>M2596*N2596</f>
        <v/>
      </c>
      <c r="T2596" s="230">
        <f>CONCATENATE(S2596,Q2596,P2596)</f>
        <v/>
      </c>
      <c r="U2596" s="206">
        <f>L2596*M2596</f>
        <v/>
      </c>
      <c r="V2596" s="4" t="n"/>
      <c r="W2596" s="4" t="n"/>
      <c r="X2596" s="4" t="n"/>
    </row>
    <row r="2597" ht="15.75" customHeight="1" thickBot="1">
      <c r="A2597" s="186" t="str"/>
      <c r="B2597" s="124" t="n"/>
      <c r="C2597" s="124" t="n"/>
      <c r="D2597" s="115" t="n"/>
      <c r="E2597" s="124" t="n"/>
      <c r="F2597" s="124" t="n"/>
      <c r="G2597" s="124" t="n"/>
      <c r="H2597" s="84" t="n"/>
      <c r="I2597" s="7" t="n"/>
      <c r="J2597" s="32" t="n"/>
      <c r="K2597" s="24" t="n"/>
      <c r="L2597" s="36" t="n"/>
      <c r="M2597" s="204" t="n"/>
      <c r="N2597" s="177" t="n"/>
      <c r="O2597" s="13" t="n"/>
      <c r="P2597" s="139" t="n"/>
      <c r="Q2597" s="2" t="n"/>
      <c r="R2597" s="1" t="n"/>
      <c r="S2597" s="229">
        <f>M2597*N2597</f>
        <v/>
      </c>
      <c r="T2597" s="230">
        <f>CONCATENATE(S2597,Q2597,P2597)</f>
        <v/>
      </c>
      <c r="U2597" s="206">
        <f>L2597*M2597</f>
        <v/>
      </c>
      <c r="V2597" s="4" t="n"/>
      <c r="W2597" s="4" t="n"/>
      <c r="X2597" s="4" t="n"/>
    </row>
    <row r="2598" ht="15.75" customHeight="1" thickBot="1">
      <c r="A2598" s="186" t="str"/>
      <c r="B2598" s="124" t="n"/>
      <c r="C2598" s="124" t="n"/>
      <c r="D2598" s="115" t="n"/>
      <c r="E2598" s="124" t="n"/>
      <c r="F2598" s="124" t="n"/>
      <c r="G2598" s="124" t="n"/>
      <c r="H2598" s="84" t="n"/>
      <c r="I2598" s="7" t="n"/>
      <c r="J2598" s="32" t="n"/>
      <c r="K2598" s="24" t="n"/>
      <c r="L2598" s="36" t="n"/>
      <c r="M2598" s="204" t="n"/>
      <c r="N2598" s="177" t="n"/>
      <c r="O2598" s="13" t="n"/>
      <c r="P2598" s="139" t="n"/>
      <c r="Q2598" s="2" t="n"/>
      <c r="R2598" s="1" t="n"/>
      <c r="S2598" s="229">
        <f>M2598*N2598</f>
        <v/>
      </c>
      <c r="T2598" s="230">
        <f>CONCATENATE(S2598,Q2598,P2598)</f>
        <v/>
      </c>
      <c r="U2598" s="206">
        <f>L2598*M2598</f>
        <v/>
      </c>
      <c r="V2598" s="4" t="n"/>
      <c r="W2598" s="4" t="n"/>
      <c r="X2598" s="4" t="n"/>
    </row>
    <row r="2599" ht="15.75" customHeight="1" thickBot="1">
      <c r="A2599" s="186" t="str"/>
      <c r="B2599" s="124" t="n"/>
      <c r="C2599" s="124" t="n"/>
      <c r="D2599" s="115" t="n"/>
      <c r="E2599" s="124" t="n"/>
      <c r="F2599" s="124" t="n"/>
      <c r="G2599" s="124" t="n"/>
      <c r="H2599" s="84" t="n"/>
      <c r="I2599" s="7" t="n"/>
      <c r="J2599" s="32" t="n"/>
      <c r="K2599" s="24" t="n"/>
      <c r="L2599" s="36" t="n"/>
      <c r="M2599" s="204" t="n"/>
      <c r="N2599" s="177" t="n"/>
      <c r="O2599" s="13" t="n"/>
      <c r="P2599" s="139" t="n"/>
      <c r="Q2599" s="2" t="n"/>
      <c r="R2599" s="1" t="n"/>
      <c r="S2599" s="229">
        <f>M2599*N2599</f>
        <v/>
      </c>
      <c r="T2599" s="230">
        <f>CONCATENATE(S2599,Q2599,P2599)</f>
        <v/>
      </c>
      <c r="U2599" s="206">
        <f>L2599*M2599</f>
        <v/>
      </c>
      <c r="V2599" s="4" t="n"/>
      <c r="W2599" s="4" t="n"/>
      <c r="X2599" s="4" t="n"/>
    </row>
    <row r="2600" ht="15.75" customHeight="1" thickBot="1">
      <c r="A2600" s="186" t="str"/>
      <c r="B2600" s="124" t="n"/>
      <c r="C2600" s="124" t="n"/>
      <c r="D2600" s="115" t="n"/>
      <c r="E2600" s="124" t="n"/>
      <c r="F2600" s="124" t="n"/>
      <c r="G2600" s="124" t="n"/>
      <c r="H2600" s="84" t="n"/>
      <c r="I2600" s="7" t="n"/>
      <c r="J2600" s="32" t="n"/>
      <c r="K2600" s="24" t="n"/>
      <c r="L2600" s="36" t="n"/>
      <c r="M2600" s="204" t="n"/>
      <c r="N2600" s="177" t="n"/>
      <c r="O2600" s="13" t="n"/>
      <c r="P2600" s="139" t="n"/>
      <c r="Q2600" s="2" t="n"/>
      <c r="R2600" s="1" t="n"/>
      <c r="S2600" s="229">
        <f>M2600*N2600</f>
        <v/>
      </c>
      <c r="T2600" s="230">
        <f>CONCATENATE(S2600,Q2600,P2600)</f>
        <v/>
      </c>
      <c r="U2600" s="206">
        <f>L2600*M2600</f>
        <v/>
      </c>
      <c r="V2600" s="4" t="n"/>
      <c r="W2600" s="4" t="n"/>
      <c r="X2600" s="4" t="n"/>
    </row>
    <row r="2601" ht="15.75" customHeight="1" thickBot="1">
      <c r="A2601" s="186" t="str"/>
      <c r="B2601" s="124" t="n"/>
      <c r="C2601" s="124" t="n"/>
      <c r="D2601" s="115" t="n"/>
      <c r="E2601" s="124" t="n"/>
      <c r="F2601" s="124" t="n"/>
      <c r="G2601" s="124" t="n"/>
      <c r="H2601" s="84" t="n"/>
      <c r="I2601" s="7" t="n"/>
      <c r="J2601" s="32" t="n"/>
      <c r="K2601" s="24" t="n"/>
      <c r="L2601" s="36" t="n"/>
      <c r="M2601" s="204" t="n"/>
      <c r="N2601" s="177" t="n"/>
      <c r="O2601" s="13" t="n"/>
      <c r="P2601" s="139" t="n"/>
      <c r="Q2601" s="2" t="n"/>
      <c r="R2601" s="1" t="n"/>
      <c r="S2601" s="229">
        <f>M2601*N2601</f>
        <v/>
      </c>
      <c r="T2601" s="230">
        <f>CONCATENATE(S2601,Q2601,P2601)</f>
        <v/>
      </c>
      <c r="U2601" s="206">
        <f>L2601*M2601</f>
        <v/>
      </c>
      <c r="V2601" s="4" t="n"/>
      <c r="W2601" s="4" t="n"/>
      <c r="X2601" s="4" t="n"/>
    </row>
    <row r="2602" ht="15.75" customHeight="1" thickBot="1">
      <c r="A2602" s="186" t="str"/>
      <c r="B2602" s="124" t="n"/>
      <c r="C2602" s="124" t="n"/>
      <c r="D2602" s="115" t="n"/>
      <c r="E2602" s="124" t="n"/>
      <c r="F2602" s="124" t="n"/>
      <c r="G2602" s="124" t="n"/>
      <c r="H2602" s="84" t="n"/>
      <c r="I2602" s="7" t="n"/>
      <c r="J2602" s="32" t="n"/>
      <c r="K2602" s="24" t="n"/>
      <c r="L2602" s="36" t="n"/>
      <c r="M2602" s="204" t="n"/>
      <c r="N2602" s="177" t="n"/>
      <c r="O2602" s="13" t="n"/>
      <c r="P2602" s="139" t="n"/>
      <c r="Q2602" s="2" t="n"/>
      <c r="R2602" s="1" t="n"/>
      <c r="S2602" s="229">
        <f>M2602*N2602</f>
        <v/>
      </c>
      <c r="T2602" s="230">
        <f>CONCATENATE(S2602,Q2602,P2602)</f>
        <v/>
      </c>
      <c r="U2602" s="206">
        <f>L2602*M2602</f>
        <v/>
      </c>
      <c r="V2602" s="4" t="n"/>
      <c r="W2602" s="4" t="n"/>
      <c r="X2602" s="4" t="n"/>
    </row>
    <row r="2603" ht="15.75" customHeight="1" thickBot="1">
      <c r="A2603" s="186" t="str"/>
      <c r="B2603" s="124" t="n"/>
      <c r="C2603" s="124" t="n"/>
      <c r="D2603" s="115" t="n"/>
      <c r="E2603" s="124" t="n"/>
      <c r="F2603" s="124" t="n"/>
      <c r="G2603" s="124" t="n"/>
      <c r="H2603" s="84" t="n"/>
      <c r="I2603" s="7" t="n"/>
      <c r="J2603" s="32" t="n"/>
      <c r="K2603" s="24" t="n"/>
      <c r="L2603" s="36" t="n"/>
      <c r="M2603" s="204" t="n"/>
      <c r="N2603" s="177" t="n"/>
      <c r="O2603" s="13" t="n"/>
      <c r="P2603" s="139" t="n"/>
      <c r="Q2603" s="2" t="n"/>
      <c r="R2603" s="1" t="n"/>
      <c r="S2603" s="229">
        <f>M2603*N2603</f>
        <v/>
      </c>
      <c r="T2603" s="230">
        <f>CONCATENATE(S2603,Q2603,P2603)</f>
        <v/>
      </c>
      <c r="U2603" s="206">
        <f>L2603*M2603</f>
        <v/>
      </c>
      <c r="V2603" s="4" t="n"/>
      <c r="W2603" s="4" t="n"/>
      <c r="X2603" s="4" t="n"/>
    </row>
    <row r="2604" ht="15.75" customHeight="1" thickBot="1">
      <c r="A2604" s="186" t="str"/>
      <c r="B2604" s="124" t="n"/>
      <c r="C2604" s="124" t="n"/>
      <c r="D2604" s="115" t="n"/>
      <c r="E2604" s="124" t="n"/>
      <c r="F2604" s="124" t="n"/>
      <c r="G2604" s="124" t="n"/>
      <c r="H2604" s="84" t="n"/>
      <c r="I2604" s="7" t="n"/>
      <c r="J2604" s="32" t="n"/>
      <c r="K2604" s="24" t="n"/>
      <c r="L2604" s="36" t="n"/>
      <c r="M2604" s="204" t="n"/>
      <c r="N2604" s="177" t="n"/>
      <c r="O2604" s="13" t="n"/>
      <c r="P2604" s="139" t="n"/>
      <c r="Q2604" s="2" t="n"/>
      <c r="R2604" s="1" t="n"/>
      <c r="S2604" s="229">
        <f>M2604*N2604</f>
        <v/>
      </c>
      <c r="T2604" s="230">
        <f>CONCATENATE(S2604,Q2604,P2604)</f>
        <v/>
      </c>
      <c r="U2604" s="206">
        <f>L2604*M2604</f>
        <v/>
      </c>
      <c r="V2604" s="4" t="n"/>
      <c r="W2604" s="4" t="n"/>
      <c r="X2604" s="4" t="n"/>
    </row>
    <row r="2605" ht="15.75" customHeight="1" thickBot="1">
      <c r="A2605" s="186" t="str"/>
      <c r="B2605" s="124" t="n"/>
      <c r="C2605" s="124" t="n"/>
      <c r="D2605" s="115" t="n"/>
      <c r="E2605" s="124" t="n"/>
      <c r="F2605" s="124" t="n"/>
      <c r="G2605" s="124" t="n"/>
      <c r="H2605" s="84" t="n"/>
      <c r="I2605" s="7" t="n"/>
      <c r="J2605" s="32" t="n"/>
      <c r="K2605" s="24" t="n"/>
      <c r="L2605" s="36" t="n"/>
      <c r="M2605" s="204" t="n"/>
      <c r="N2605" s="177" t="n"/>
      <c r="O2605" s="13" t="n"/>
      <c r="P2605" s="139" t="n"/>
      <c r="Q2605" s="2" t="n"/>
      <c r="R2605" s="1" t="n"/>
      <c r="S2605" s="229">
        <f>M2605*N2605</f>
        <v/>
      </c>
      <c r="T2605" s="230">
        <f>CONCATENATE(S2605,Q2605,P2605)</f>
        <v/>
      </c>
      <c r="U2605" s="206">
        <f>L2605*M2605</f>
        <v/>
      </c>
      <c r="V2605" s="4" t="n"/>
      <c r="W2605" s="4" t="n"/>
      <c r="X2605" s="4" t="n"/>
    </row>
    <row r="2606" ht="15.75" customHeight="1" thickBot="1">
      <c r="A2606" s="186" t="str"/>
      <c r="B2606" s="124" t="n"/>
      <c r="C2606" s="124" t="n"/>
      <c r="D2606" s="115" t="n"/>
      <c r="E2606" s="124" t="n"/>
      <c r="F2606" s="124" t="n"/>
      <c r="G2606" s="124" t="n"/>
      <c r="H2606" s="84" t="n"/>
      <c r="I2606" s="7" t="n"/>
      <c r="J2606" s="32" t="n"/>
      <c r="K2606" s="24" t="n"/>
      <c r="L2606" s="36" t="n"/>
      <c r="M2606" s="204" t="n"/>
      <c r="N2606" s="177" t="n"/>
      <c r="O2606" s="13" t="n"/>
      <c r="P2606" s="139" t="n"/>
      <c r="Q2606" s="2" t="n"/>
      <c r="R2606" s="1" t="n"/>
      <c r="S2606" s="229">
        <f>M2606*N2606</f>
        <v/>
      </c>
      <c r="T2606" s="230">
        <f>CONCATENATE(S2606,Q2606,P2606)</f>
        <v/>
      </c>
      <c r="U2606" s="206">
        <f>L2606*M2606</f>
        <v/>
      </c>
      <c r="V2606" s="4" t="n"/>
      <c r="W2606" s="4" t="n"/>
      <c r="X2606" s="4" t="n"/>
    </row>
    <row r="2607" ht="15.75" customHeight="1" thickBot="1">
      <c r="A2607" s="186" t="str"/>
      <c r="B2607" s="124" t="n"/>
      <c r="C2607" s="124" t="n"/>
      <c r="D2607" s="115" t="n"/>
      <c r="E2607" s="124" t="n"/>
      <c r="F2607" s="124" t="n"/>
      <c r="G2607" s="124" t="n"/>
      <c r="H2607" s="84" t="n"/>
      <c r="I2607" s="7" t="n"/>
      <c r="J2607" s="32" t="n"/>
      <c r="K2607" s="24" t="n"/>
      <c r="L2607" s="36" t="n"/>
      <c r="M2607" s="204" t="n"/>
      <c r="N2607" s="177" t="n"/>
      <c r="O2607" s="13" t="n"/>
      <c r="P2607" s="139" t="n"/>
      <c r="Q2607" s="2" t="n"/>
      <c r="R2607" s="1" t="n"/>
      <c r="S2607" s="229">
        <f>M2607*N2607</f>
        <v/>
      </c>
      <c r="T2607" s="230">
        <f>CONCATENATE(S2607,Q2607,P2607)</f>
        <v/>
      </c>
      <c r="U2607" s="206">
        <f>L2607*M2607</f>
        <v/>
      </c>
      <c r="V2607" s="4" t="n"/>
      <c r="W2607" s="4" t="n"/>
      <c r="X2607" s="4" t="n"/>
    </row>
    <row r="2608" ht="15.75" customHeight="1" thickBot="1">
      <c r="A2608" s="186" t="str"/>
      <c r="B2608" s="124" t="n"/>
      <c r="C2608" s="124" t="n"/>
      <c r="D2608" s="115" t="n"/>
      <c r="E2608" s="124" t="n"/>
      <c r="F2608" s="124" t="n"/>
      <c r="G2608" s="124" t="n"/>
      <c r="H2608" s="84" t="n"/>
      <c r="I2608" s="7" t="n"/>
      <c r="J2608" s="32" t="n"/>
      <c r="K2608" s="24" t="n"/>
      <c r="L2608" s="36" t="n"/>
      <c r="M2608" s="204" t="n"/>
      <c r="N2608" s="177" t="n"/>
      <c r="O2608" s="13" t="n"/>
      <c r="P2608" s="139" t="n"/>
      <c r="Q2608" s="2" t="n"/>
      <c r="R2608" s="1" t="n"/>
      <c r="S2608" s="229">
        <f>M2608*N2608</f>
        <v/>
      </c>
      <c r="T2608" s="230">
        <f>CONCATENATE(S2608,Q2608,P2608)</f>
        <v/>
      </c>
      <c r="U2608" s="206">
        <f>L2608*M2608</f>
        <v/>
      </c>
      <c r="V2608" s="4" t="n"/>
      <c r="W2608" s="4" t="n"/>
      <c r="X2608" s="4" t="n"/>
    </row>
    <row r="2609" ht="15.75" customHeight="1" thickBot="1">
      <c r="A2609" s="186" t="str"/>
      <c r="B2609" s="124" t="n"/>
      <c r="C2609" s="124" t="n"/>
      <c r="D2609" s="115" t="n"/>
      <c r="E2609" s="124" t="n"/>
      <c r="F2609" s="124" t="n"/>
      <c r="G2609" s="124" t="n"/>
      <c r="H2609" s="84" t="n"/>
      <c r="I2609" s="7" t="n"/>
      <c r="J2609" s="32" t="n"/>
      <c r="K2609" s="24" t="n"/>
      <c r="L2609" s="36" t="n"/>
      <c r="M2609" s="204" t="n"/>
      <c r="N2609" s="177" t="n"/>
      <c r="O2609" s="13" t="n"/>
      <c r="P2609" s="139" t="n"/>
      <c r="Q2609" s="2" t="n"/>
      <c r="R2609" s="1" t="n"/>
      <c r="S2609" s="229">
        <f>M2609*N2609</f>
        <v/>
      </c>
      <c r="T2609" s="230">
        <f>CONCATENATE(S2609,Q2609,P2609)</f>
        <v/>
      </c>
      <c r="U2609" s="206">
        <f>L2609*M2609</f>
        <v/>
      </c>
      <c r="V2609" s="4" t="n"/>
      <c r="W2609" s="4" t="n"/>
      <c r="X2609" s="4" t="n"/>
    </row>
    <row r="2610" ht="15.75" customHeight="1" thickBot="1">
      <c r="A2610" s="186" t="str"/>
      <c r="B2610" s="124" t="n"/>
      <c r="C2610" s="124" t="n"/>
      <c r="D2610" s="115" t="n"/>
      <c r="E2610" s="124" t="n"/>
      <c r="F2610" s="124" t="n"/>
      <c r="G2610" s="124" t="n"/>
      <c r="H2610" s="84" t="n"/>
      <c r="I2610" s="7" t="n"/>
      <c r="J2610" s="32" t="n"/>
      <c r="K2610" s="24" t="n"/>
      <c r="L2610" s="36" t="n"/>
      <c r="M2610" s="204" t="n"/>
      <c r="N2610" s="177" t="n"/>
      <c r="O2610" s="13" t="n"/>
      <c r="P2610" s="139" t="n"/>
      <c r="Q2610" s="2" t="n"/>
      <c r="R2610" s="1" t="n"/>
      <c r="S2610" s="229">
        <f>M2610*N2610</f>
        <v/>
      </c>
      <c r="T2610" s="230">
        <f>CONCATENATE(S2610,Q2610,P2610)</f>
        <v/>
      </c>
      <c r="U2610" s="206">
        <f>L2610*M2610</f>
        <v/>
      </c>
      <c r="V2610" s="4" t="n"/>
      <c r="W2610" s="4" t="n"/>
      <c r="X2610" s="4" t="n"/>
    </row>
    <row r="2611" ht="15.75" customHeight="1" thickBot="1">
      <c r="A2611" s="186" t="str"/>
      <c r="B2611" s="124" t="n"/>
      <c r="C2611" s="124" t="n"/>
      <c r="D2611" s="115" t="n"/>
      <c r="E2611" s="124" t="n"/>
      <c r="F2611" s="124" t="n"/>
      <c r="G2611" s="124" t="n"/>
      <c r="H2611" s="84" t="n"/>
      <c r="I2611" s="7" t="n"/>
      <c r="J2611" s="32" t="n"/>
      <c r="K2611" s="24" t="n"/>
      <c r="L2611" s="36" t="n"/>
      <c r="M2611" s="204" t="n"/>
      <c r="N2611" s="177" t="n"/>
      <c r="O2611" s="13" t="n"/>
      <c r="P2611" s="139" t="n"/>
      <c r="Q2611" s="2" t="n"/>
      <c r="R2611" s="1" t="n"/>
      <c r="S2611" s="229">
        <f>M2611*N2611</f>
        <v/>
      </c>
      <c r="T2611" s="230">
        <f>CONCATENATE(S2611,Q2611,P2611)</f>
        <v/>
      </c>
      <c r="U2611" s="206">
        <f>L2611*M2611</f>
        <v/>
      </c>
      <c r="V2611" s="4" t="n"/>
      <c r="W2611" s="4" t="n"/>
      <c r="X2611" s="4" t="n"/>
    </row>
    <row r="2612" ht="15.75" customHeight="1" thickBot="1">
      <c r="A2612" s="186" t="str"/>
      <c r="B2612" s="124" t="n"/>
      <c r="C2612" s="124" t="n"/>
      <c r="D2612" s="115" t="n"/>
      <c r="E2612" s="124" t="n"/>
      <c r="F2612" s="124" t="n"/>
      <c r="G2612" s="124" t="n"/>
      <c r="H2612" s="84" t="n"/>
      <c r="I2612" s="7" t="n"/>
      <c r="J2612" s="32" t="n"/>
      <c r="K2612" s="24" t="n"/>
      <c r="L2612" s="36" t="n"/>
      <c r="M2612" s="204" t="n"/>
      <c r="N2612" s="177" t="n"/>
      <c r="O2612" s="13" t="n"/>
      <c r="P2612" s="139" t="n"/>
      <c r="Q2612" s="2" t="n"/>
      <c r="R2612" s="1" t="n"/>
      <c r="S2612" s="229">
        <f>M2612*N2612</f>
        <v/>
      </c>
      <c r="T2612" s="230">
        <f>CONCATENATE(S2612,Q2612,P2612)</f>
        <v/>
      </c>
      <c r="U2612" s="206">
        <f>L2612*M2612</f>
        <v/>
      </c>
      <c r="V2612" s="4" t="n"/>
      <c r="W2612" s="4" t="n"/>
      <c r="X2612" s="4" t="n"/>
    </row>
    <row r="2613" ht="15.75" customHeight="1" thickBot="1">
      <c r="A2613" s="186" t="str"/>
      <c r="B2613" s="124" t="n"/>
      <c r="C2613" s="124" t="n"/>
      <c r="D2613" s="115" t="n"/>
      <c r="E2613" s="124" t="n"/>
      <c r="F2613" s="124" t="n"/>
      <c r="G2613" s="124" t="n"/>
      <c r="H2613" s="84" t="n"/>
      <c r="I2613" s="7" t="n"/>
      <c r="J2613" s="32" t="n"/>
      <c r="K2613" s="24" t="n"/>
      <c r="L2613" s="36" t="n"/>
      <c r="M2613" s="204" t="n"/>
      <c r="N2613" s="177" t="n"/>
      <c r="O2613" s="13" t="n"/>
      <c r="P2613" s="139" t="n"/>
      <c r="Q2613" s="2" t="n"/>
      <c r="R2613" s="1" t="n"/>
      <c r="S2613" s="229">
        <f>M2613*N2613</f>
        <v/>
      </c>
      <c r="T2613" s="230">
        <f>CONCATENATE(S2613,Q2613,P2613)</f>
        <v/>
      </c>
      <c r="U2613" s="206">
        <f>L2613*M2613</f>
        <v/>
      </c>
      <c r="V2613" s="4" t="n"/>
      <c r="W2613" s="4" t="n"/>
      <c r="X2613" s="4" t="n"/>
    </row>
    <row r="2614" ht="15.75" customHeight="1" thickBot="1">
      <c r="A2614" s="186" t="str"/>
      <c r="B2614" s="124" t="n"/>
      <c r="C2614" s="124" t="n"/>
      <c r="D2614" s="115" t="n"/>
      <c r="E2614" s="124" t="n"/>
      <c r="F2614" s="124" t="n"/>
      <c r="G2614" s="124" t="n"/>
      <c r="H2614" s="84" t="n"/>
      <c r="I2614" s="7" t="n"/>
      <c r="J2614" s="32" t="n"/>
      <c r="K2614" s="24" t="n"/>
      <c r="L2614" s="36" t="n"/>
      <c r="M2614" s="204" t="n"/>
      <c r="N2614" s="177" t="n"/>
      <c r="O2614" s="13" t="n"/>
      <c r="P2614" s="139" t="n"/>
      <c r="Q2614" s="2" t="n"/>
      <c r="R2614" s="1" t="n"/>
      <c r="S2614" s="229">
        <f>M2614*N2614</f>
        <v/>
      </c>
      <c r="T2614" s="230">
        <f>CONCATENATE(S2614,Q2614,P2614)</f>
        <v/>
      </c>
      <c r="U2614" s="206">
        <f>L2614*M2614</f>
        <v/>
      </c>
      <c r="V2614" s="4" t="n"/>
      <c r="W2614" s="4" t="n"/>
      <c r="X2614" s="4" t="n"/>
    </row>
    <row r="2615" ht="15.75" customHeight="1" thickBot="1">
      <c r="A2615" s="186" t="str"/>
      <c r="B2615" s="124" t="n"/>
      <c r="C2615" s="124" t="n"/>
      <c r="D2615" s="115" t="n"/>
      <c r="E2615" s="124" t="n"/>
      <c r="F2615" s="124" t="n"/>
      <c r="G2615" s="124" t="n"/>
      <c r="H2615" s="84" t="n"/>
      <c r="I2615" s="7" t="n"/>
      <c r="J2615" s="32" t="n"/>
      <c r="K2615" s="24" t="n"/>
      <c r="L2615" s="36" t="n"/>
      <c r="M2615" s="204" t="n"/>
      <c r="N2615" s="177" t="n"/>
      <c r="O2615" s="13" t="n"/>
      <c r="P2615" s="139" t="n"/>
      <c r="Q2615" s="2" t="n"/>
      <c r="R2615" s="1" t="n"/>
      <c r="S2615" s="229">
        <f>M2615*N2615</f>
        <v/>
      </c>
      <c r="T2615" s="230">
        <f>CONCATENATE(S2615,Q2615,P2615)</f>
        <v/>
      </c>
      <c r="U2615" s="206">
        <f>L2615*M2615</f>
        <v/>
      </c>
      <c r="V2615" s="4" t="n"/>
      <c r="W2615" s="4" t="n"/>
      <c r="X2615" s="4" t="n"/>
    </row>
    <row r="2616" ht="15.75" customHeight="1" thickBot="1">
      <c r="A2616" s="186" t="str"/>
      <c r="B2616" s="124" t="n"/>
      <c r="C2616" s="124" t="n"/>
      <c r="D2616" s="115" t="n"/>
      <c r="E2616" s="124" t="n"/>
      <c r="F2616" s="124" t="n"/>
      <c r="G2616" s="124" t="n"/>
      <c r="H2616" s="84" t="n"/>
      <c r="I2616" s="7" t="n"/>
      <c r="J2616" s="32" t="n"/>
      <c r="K2616" s="24" t="n"/>
      <c r="L2616" s="36" t="n"/>
      <c r="M2616" s="204" t="n"/>
      <c r="N2616" s="177" t="n"/>
      <c r="O2616" s="13" t="n"/>
      <c r="P2616" s="139" t="n"/>
      <c r="Q2616" s="2" t="n"/>
      <c r="R2616" s="1" t="n"/>
      <c r="S2616" s="229">
        <f>M2616*N2616</f>
        <v/>
      </c>
      <c r="T2616" s="230">
        <f>CONCATENATE(S2616,Q2616,P2616)</f>
        <v/>
      </c>
      <c r="U2616" s="206">
        <f>L2616*M2616</f>
        <v/>
      </c>
      <c r="V2616" s="4" t="n"/>
      <c r="W2616" s="4" t="n"/>
      <c r="X2616" s="4" t="n"/>
    </row>
    <row r="2617" ht="15.75" customHeight="1" thickBot="1">
      <c r="A2617" s="186" t="str"/>
      <c r="B2617" s="124" t="n"/>
      <c r="C2617" s="124" t="n"/>
      <c r="D2617" s="115" t="n"/>
      <c r="E2617" s="124" t="n"/>
      <c r="F2617" s="124" t="n"/>
      <c r="G2617" s="124" t="n"/>
      <c r="H2617" s="84" t="n"/>
      <c r="I2617" s="7" t="n"/>
      <c r="J2617" s="32" t="n"/>
      <c r="K2617" s="24" t="n"/>
      <c r="L2617" s="36" t="n"/>
      <c r="M2617" s="204" t="n"/>
      <c r="N2617" s="177" t="n"/>
      <c r="O2617" s="13" t="n"/>
      <c r="P2617" s="139" t="n"/>
      <c r="Q2617" s="2" t="n"/>
      <c r="R2617" s="1" t="n"/>
      <c r="S2617" s="229">
        <f>M2617*N2617</f>
        <v/>
      </c>
      <c r="T2617" s="230">
        <f>CONCATENATE(S2617,Q2617,P2617)</f>
        <v/>
      </c>
      <c r="U2617" s="206">
        <f>L2617*M2617</f>
        <v/>
      </c>
      <c r="V2617" s="4" t="n"/>
      <c r="W2617" s="4" t="n"/>
      <c r="X2617" s="4" t="n"/>
    </row>
    <row r="2618" ht="15.75" customHeight="1" thickBot="1">
      <c r="A2618" s="186" t="str"/>
      <c r="B2618" s="124" t="n"/>
      <c r="C2618" s="124" t="n"/>
      <c r="D2618" s="115" t="n"/>
      <c r="E2618" s="124" t="n"/>
      <c r="F2618" s="124" t="n"/>
      <c r="G2618" s="124" t="n"/>
      <c r="H2618" s="84" t="n"/>
      <c r="I2618" s="7" t="n"/>
      <c r="J2618" s="32" t="n"/>
      <c r="K2618" s="24" t="n"/>
      <c r="L2618" s="36" t="n"/>
      <c r="M2618" s="204" t="n"/>
      <c r="N2618" s="177" t="n"/>
      <c r="O2618" s="13" t="n"/>
      <c r="P2618" s="139" t="n"/>
      <c r="Q2618" s="2" t="n"/>
      <c r="R2618" s="1" t="n"/>
      <c r="S2618" s="229">
        <f>M2618*N2618</f>
        <v/>
      </c>
      <c r="T2618" s="230">
        <f>CONCATENATE(S2618,Q2618,P2618)</f>
        <v/>
      </c>
      <c r="U2618" s="206">
        <f>L2618*M2618</f>
        <v/>
      </c>
      <c r="V2618" s="4" t="n"/>
      <c r="W2618" s="4" t="n"/>
      <c r="X2618" s="4" t="n"/>
    </row>
    <row r="2619" ht="15.75" customHeight="1" thickBot="1">
      <c r="A2619" s="186" t="str"/>
      <c r="B2619" s="124" t="n"/>
      <c r="C2619" s="124" t="n"/>
      <c r="D2619" s="115" t="n"/>
      <c r="E2619" s="124" t="n"/>
      <c r="F2619" s="124" t="n"/>
      <c r="G2619" s="124" t="n"/>
      <c r="H2619" s="84" t="n"/>
      <c r="I2619" s="7" t="n"/>
      <c r="J2619" s="32" t="n"/>
      <c r="K2619" s="24" t="n"/>
      <c r="L2619" s="36" t="n"/>
      <c r="M2619" s="204" t="n"/>
      <c r="N2619" s="177" t="n"/>
      <c r="O2619" s="13" t="n"/>
      <c r="P2619" s="139" t="n"/>
      <c r="Q2619" s="2" t="n"/>
      <c r="R2619" s="1" t="n"/>
      <c r="S2619" s="229">
        <f>M2619*N2619</f>
        <v/>
      </c>
      <c r="T2619" s="230">
        <f>CONCATENATE(S2619,Q2619,P2619)</f>
        <v/>
      </c>
      <c r="U2619" s="206">
        <f>L2619*M2619</f>
        <v/>
      </c>
      <c r="V2619" s="4" t="n"/>
      <c r="W2619" s="4" t="n"/>
      <c r="X2619" s="4" t="n"/>
    </row>
    <row r="2620" ht="15.75" customHeight="1" thickBot="1">
      <c r="A2620" s="186" t="str"/>
      <c r="B2620" s="124" t="n"/>
      <c r="C2620" s="124" t="n"/>
      <c r="D2620" s="115" t="n"/>
      <c r="E2620" s="124" t="n"/>
      <c r="F2620" s="124" t="n"/>
      <c r="G2620" s="124" t="n"/>
      <c r="H2620" s="84" t="n"/>
      <c r="I2620" s="7" t="n"/>
      <c r="J2620" s="32" t="n"/>
      <c r="K2620" s="24" t="n"/>
      <c r="L2620" s="36" t="n"/>
      <c r="M2620" s="204" t="n"/>
      <c r="N2620" s="177" t="n"/>
      <c r="O2620" s="13" t="n"/>
      <c r="P2620" s="139" t="n"/>
      <c r="Q2620" s="2" t="n"/>
      <c r="R2620" s="1" t="n"/>
      <c r="S2620" s="229">
        <f>M2620*N2620</f>
        <v/>
      </c>
      <c r="T2620" s="230">
        <f>CONCATENATE(S2620,Q2620,P2620)</f>
        <v/>
      </c>
      <c r="U2620" s="206">
        <f>L2620*M2620</f>
        <v/>
      </c>
      <c r="V2620" s="4" t="n"/>
      <c r="W2620" s="4" t="n"/>
      <c r="X2620" s="4" t="n"/>
    </row>
    <row r="2621" ht="15.75" customHeight="1" thickBot="1">
      <c r="A2621" s="186" t="str"/>
      <c r="B2621" s="124" t="n"/>
      <c r="C2621" s="124" t="n"/>
      <c r="D2621" s="115" t="n"/>
      <c r="E2621" s="124" t="n"/>
      <c r="F2621" s="124" t="n"/>
      <c r="G2621" s="124" t="n"/>
      <c r="H2621" s="84" t="n"/>
      <c r="I2621" s="7" t="n"/>
      <c r="J2621" s="32" t="n"/>
      <c r="K2621" s="24" t="n"/>
      <c r="L2621" s="36" t="n"/>
      <c r="M2621" s="204" t="n"/>
      <c r="N2621" s="177" t="n"/>
      <c r="O2621" s="13" t="n"/>
      <c r="P2621" s="139" t="n"/>
      <c r="Q2621" s="2" t="n"/>
      <c r="R2621" s="1" t="n"/>
      <c r="S2621" s="229">
        <f>M2621*N2621</f>
        <v/>
      </c>
      <c r="T2621" s="230">
        <f>CONCATENATE(S2621,Q2621,P2621)</f>
        <v/>
      </c>
      <c r="U2621" s="206">
        <f>L2621*M2621</f>
        <v/>
      </c>
      <c r="V2621" s="4" t="n"/>
      <c r="W2621" s="4" t="n"/>
      <c r="X2621" s="4" t="n"/>
    </row>
    <row r="2622" ht="15.75" customHeight="1" thickBot="1">
      <c r="A2622" s="186" t="str"/>
      <c r="B2622" s="124" t="n"/>
      <c r="C2622" s="124" t="n"/>
      <c r="D2622" s="115" t="n"/>
      <c r="E2622" s="124" t="n"/>
      <c r="F2622" s="124" t="n"/>
      <c r="G2622" s="124" t="n"/>
      <c r="H2622" s="84" t="n"/>
      <c r="I2622" s="7" t="n"/>
      <c r="J2622" s="32" t="n"/>
      <c r="K2622" s="24" t="n"/>
      <c r="L2622" s="36" t="n"/>
      <c r="M2622" s="204" t="n"/>
      <c r="N2622" s="177" t="n"/>
      <c r="O2622" s="13" t="n"/>
      <c r="P2622" s="139" t="n"/>
      <c r="Q2622" s="2" t="n"/>
      <c r="R2622" s="1" t="n"/>
      <c r="S2622" s="229">
        <f>M2622*N2622</f>
        <v/>
      </c>
      <c r="T2622" s="230">
        <f>CONCATENATE(S2622,Q2622,P2622)</f>
        <v/>
      </c>
      <c r="U2622" s="206">
        <f>L2622*M2622</f>
        <v/>
      </c>
      <c r="V2622" s="4" t="n"/>
      <c r="W2622" s="4" t="n"/>
      <c r="X2622" s="4" t="n"/>
    </row>
    <row r="2623" ht="15.75" customHeight="1" thickBot="1">
      <c r="A2623" s="186" t="str"/>
      <c r="B2623" s="124" t="n"/>
      <c r="C2623" s="124" t="n"/>
      <c r="D2623" s="115" t="n"/>
      <c r="E2623" s="124" t="n"/>
      <c r="F2623" s="124" t="n"/>
      <c r="G2623" s="124" t="n"/>
      <c r="H2623" s="84" t="n"/>
      <c r="I2623" s="7" t="n"/>
      <c r="J2623" s="32" t="n"/>
      <c r="K2623" s="24" t="n"/>
      <c r="L2623" s="36" t="n"/>
      <c r="M2623" s="204" t="n"/>
      <c r="N2623" s="177" t="n"/>
      <c r="O2623" s="13" t="n"/>
      <c r="P2623" s="139" t="n"/>
      <c r="Q2623" s="2" t="n"/>
      <c r="R2623" s="1" t="n"/>
      <c r="S2623" s="229">
        <f>M2623*N2623</f>
        <v/>
      </c>
      <c r="T2623" s="230">
        <f>CONCATENATE(S2623,Q2623,P2623)</f>
        <v/>
      </c>
      <c r="U2623" s="206">
        <f>L2623*M2623</f>
        <v/>
      </c>
      <c r="V2623" s="4" t="n"/>
      <c r="W2623" s="4" t="n"/>
      <c r="X2623" s="4" t="n"/>
    </row>
    <row r="2624" ht="15.75" customHeight="1" thickBot="1">
      <c r="A2624" s="186" t="str"/>
      <c r="B2624" s="124" t="n"/>
      <c r="C2624" s="124" t="n"/>
      <c r="D2624" s="115" t="n"/>
      <c r="E2624" s="124" t="n"/>
      <c r="F2624" s="124" t="n"/>
      <c r="G2624" s="124" t="n"/>
      <c r="H2624" s="84" t="n"/>
      <c r="I2624" s="7" t="n"/>
      <c r="J2624" s="32" t="n"/>
      <c r="K2624" s="24" t="n"/>
      <c r="L2624" s="36" t="n"/>
      <c r="M2624" s="204" t="n"/>
      <c r="N2624" s="177" t="n"/>
      <c r="O2624" s="13" t="n"/>
      <c r="P2624" s="139" t="n"/>
      <c r="Q2624" s="2" t="n"/>
      <c r="R2624" s="1" t="n"/>
      <c r="S2624" s="229">
        <f>M2624*N2624</f>
        <v/>
      </c>
      <c r="T2624" s="230">
        <f>CONCATENATE(S2624,Q2624,P2624)</f>
        <v/>
      </c>
      <c r="U2624" s="206">
        <f>L2624*M2624</f>
        <v/>
      </c>
      <c r="V2624" s="4" t="n"/>
      <c r="W2624" s="4" t="n"/>
      <c r="X2624" s="4" t="n"/>
    </row>
    <row r="2625" ht="15.75" customHeight="1" thickBot="1">
      <c r="A2625" s="186" t="str"/>
      <c r="B2625" s="124" t="n"/>
      <c r="C2625" s="124" t="n"/>
      <c r="D2625" s="115" t="n"/>
      <c r="E2625" s="124" t="n"/>
      <c r="F2625" s="124" t="n"/>
      <c r="G2625" s="124" t="n"/>
      <c r="H2625" s="84" t="n"/>
      <c r="I2625" s="7" t="n"/>
      <c r="J2625" s="32" t="n"/>
      <c r="K2625" s="24" t="n"/>
      <c r="L2625" s="36" t="n"/>
      <c r="M2625" s="204" t="n"/>
      <c r="N2625" s="177" t="n"/>
      <c r="O2625" s="13" t="n"/>
      <c r="P2625" s="139" t="n"/>
      <c r="Q2625" s="2" t="n"/>
      <c r="R2625" s="1" t="n"/>
      <c r="S2625" s="229">
        <f>M2625*N2625</f>
        <v/>
      </c>
      <c r="T2625" s="230">
        <f>CONCATENATE(S2625,Q2625,P2625)</f>
        <v/>
      </c>
      <c r="U2625" s="206">
        <f>L2625*M2625</f>
        <v/>
      </c>
      <c r="V2625" s="4" t="n"/>
      <c r="W2625" s="4" t="n"/>
      <c r="X2625" s="4" t="n"/>
    </row>
    <row r="2626" ht="15.75" customHeight="1" thickBot="1">
      <c r="A2626" s="186" t="str"/>
      <c r="B2626" s="124" t="n"/>
      <c r="C2626" s="124" t="n"/>
      <c r="D2626" s="115" t="n"/>
      <c r="E2626" s="124" t="n"/>
      <c r="F2626" s="124" t="n"/>
      <c r="G2626" s="124" t="n"/>
      <c r="H2626" s="84" t="n"/>
      <c r="I2626" s="7" t="n"/>
      <c r="J2626" s="32" t="n"/>
      <c r="K2626" s="24" t="n"/>
      <c r="L2626" s="36" t="n"/>
      <c r="M2626" s="204" t="n"/>
      <c r="N2626" s="177" t="n"/>
      <c r="O2626" s="13" t="n"/>
      <c r="P2626" s="139" t="n"/>
      <c r="Q2626" s="2" t="n"/>
      <c r="R2626" s="1" t="n"/>
      <c r="S2626" s="229">
        <f>M2626*N2626</f>
        <v/>
      </c>
      <c r="T2626" s="230">
        <f>CONCATENATE(S2626,Q2626,P2626)</f>
        <v/>
      </c>
      <c r="U2626" s="206">
        <f>L2626*M2626</f>
        <v/>
      </c>
      <c r="V2626" s="4" t="n"/>
      <c r="W2626" s="4" t="n"/>
      <c r="X2626" s="4" t="n"/>
    </row>
    <row r="2627" ht="15.75" customHeight="1" thickBot="1">
      <c r="A2627" s="186" t="str"/>
      <c r="B2627" s="124" t="n"/>
      <c r="C2627" s="124" t="n"/>
      <c r="D2627" s="115" t="n"/>
      <c r="E2627" s="124" t="n"/>
      <c r="F2627" s="124" t="n"/>
      <c r="G2627" s="124" t="n"/>
      <c r="H2627" s="84" t="n"/>
      <c r="I2627" s="7" t="n"/>
      <c r="J2627" s="32" t="n"/>
      <c r="K2627" s="24" t="n"/>
      <c r="L2627" s="36" t="n"/>
      <c r="M2627" s="204" t="n"/>
      <c r="N2627" s="177" t="n"/>
      <c r="O2627" s="13" t="n"/>
      <c r="P2627" s="139" t="n"/>
      <c r="Q2627" s="2" t="n"/>
      <c r="R2627" s="1" t="n"/>
      <c r="S2627" s="229">
        <f>M2627*N2627</f>
        <v/>
      </c>
      <c r="T2627" s="230">
        <f>CONCATENATE(S2627,Q2627,P2627)</f>
        <v/>
      </c>
      <c r="U2627" s="206">
        <f>L2627*M2627</f>
        <v/>
      </c>
      <c r="V2627" s="4" t="n"/>
      <c r="W2627" s="4" t="n"/>
      <c r="X2627" s="4" t="n"/>
    </row>
    <row r="2628" ht="15.75" customHeight="1" thickBot="1">
      <c r="A2628" s="186" t="str"/>
      <c r="B2628" s="124" t="n"/>
      <c r="C2628" s="124" t="n"/>
      <c r="D2628" s="115" t="n"/>
      <c r="E2628" s="124" t="n"/>
      <c r="F2628" s="124" t="n"/>
      <c r="G2628" s="124" t="n"/>
      <c r="H2628" s="84" t="n"/>
      <c r="I2628" s="7" t="n"/>
      <c r="J2628" s="32" t="n"/>
      <c r="K2628" s="24" t="n"/>
      <c r="L2628" s="36" t="n"/>
      <c r="M2628" s="204" t="n"/>
      <c r="N2628" s="177" t="n"/>
      <c r="O2628" s="13" t="n"/>
      <c r="P2628" s="139" t="n"/>
      <c r="Q2628" s="2" t="n"/>
      <c r="R2628" s="1" t="n"/>
      <c r="S2628" s="229">
        <f>M2628*N2628</f>
        <v/>
      </c>
      <c r="T2628" s="230">
        <f>CONCATENATE(S2628,Q2628,P2628)</f>
        <v/>
      </c>
      <c r="U2628" s="206">
        <f>L2628*M2628</f>
        <v/>
      </c>
      <c r="V2628" s="4" t="n"/>
      <c r="W2628" s="4" t="n"/>
      <c r="X2628" s="4" t="n"/>
    </row>
    <row r="2629" ht="15.75" customHeight="1" thickBot="1">
      <c r="A2629" s="186" t="str"/>
      <c r="B2629" s="124" t="n"/>
      <c r="C2629" s="124" t="n"/>
      <c r="D2629" s="115" t="n"/>
      <c r="E2629" s="124" t="n"/>
      <c r="F2629" s="124" t="n"/>
      <c r="G2629" s="124" t="n"/>
      <c r="H2629" s="84" t="n"/>
      <c r="I2629" s="7" t="n"/>
      <c r="J2629" s="32" t="n"/>
      <c r="K2629" s="24" t="n"/>
      <c r="L2629" s="36" t="n"/>
      <c r="M2629" s="204" t="n"/>
      <c r="N2629" s="177" t="n"/>
      <c r="O2629" s="13" t="n"/>
      <c r="P2629" s="139" t="n"/>
      <c r="Q2629" s="2" t="n"/>
      <c r="R2629" s="1" t="n"/>
      <c r="S2629" s="229">
        <f>M2629*N2629</f>
        <v/>
      </c>
      <c r="T2629" s="230">
        <f>CONCATENATE(S2629,Q2629,P2629)</f>
        <v/>
      </c>
      <c r="U2629" s="206">
        <f>L2629*M2629</f>
        <v/>
      </c>
      <c r="V2629" s="4" t="n"/>
      <c r="W2629" s="4" t="n"/>
      <c r="X2629" s="4" t="n"/>
    </row>
    <row r="2630" ht="15.75" customHeight="1" thickBot="1">
      <c r="A2630" s="186" t="str"/>
      <c r="B2630" s="124" t="n"/>
      <c r="C2630" s="124" t="n"/>
      <c r="D2630" s="115" t="n"/>
      <c r="E2630" s="124" t="n"/>
      <c r="F2630" s="124" t="n"/>
      <c r="G2630" s="124" t="n"/>
      <c r="H2630" s="84" t="n"/>
      <c r="I2630" s="7" t="n"/>
      <c r="J2630" s="32" t="n"/>
      <c r="K2630" s="24" t="n"/>
      <c r="L2630" s="36" t="n"/>
      <c r="M2630" s="204" t="n"/>
      <c r="N2630" s="177" t="n"/>
      <c r="O2630" s="13" t="n"/>
      <c r="P2630" s="139" t="n"/>
      <c r="Q2630" s="2" t="n"/>
      <c r="R2630" s="1" t="n"/>
      <c r="S2630" s="229">
        <f>M2630*N2630</f>
        <v/>
      </c>
      <c r="T2630" s="230">
        <f>CONCATENATE(S2630,Q2630,P2630)</f>
        <v/>
      </c>
      <c r="U2630" s="206">
        <f>L2630*M2630</f>
        <v/>
      </c>
      <c r="V2630" s="4" t="n"/>
      <c r="W2630" s="4" t="n"/>
      <c r="X2630" s="4" t="n"/>
    </row>
    <row r="2631" ht="15.75" customHeight="1" thickBot="1">
      <c r="A2631" s="186" t="str"/>
      <c r="B2631" s="124" t="n"/>
      <c r="C2631" s="124" t="n"/>
      <c r="D2631" s="115" t="n"/>
      <c r="E2631" s="124" t="n"/>
      <c r="F2631" s="124" t="n"/>
      <c r="G2631" s="124" t="n"/>
      <c r="H2631" s="84" t="n"/>
      <c r="I2631" s="7" t="n"/>
      <c r="J2631" s="32" t="n"/>
      <c r="K2631" s="24" t="n"/>
      <c r="L2631" s="36" t="n"/>
      <c r="M2631" s="204" t="n"/>
      <c r="N2631" s="177" t="n"/>
      <c r="O2631" s="13" t="n"/>
      <c r="P2631" s="139" t="n"/>
      <c r="Q2631" s="2" t="n"/>
      <c r="R2631" s="1" t="n"/>
      <c r="S2631" s="229">
        <f>M2631*N2631</f>
        <v/>
      </c>
      <c r="T2631" s="230">
        <f>CONCATENATE(S2631,Q2631,P2631)</f>
        <v/>
      </c>
      <c r="U2631" s="206">
        <f>L2631*M2631</f>
        <v/>
      </c>
      <c r="V2631" s="4" t="n"/>
      <c r="W2631" s="4" t="n"/>
      <c r="X2631" s="4" t="n"/>
    </row>
    <row r="2632" ht="15.75" customHeight="1" thickBot="1">
      <c r="A2632" s="186" t="str"/>
      <c r="B2632" s="124" t="n"/>
      <c r="C2632" s="124" t="n"/>
      <c r="D2632" s="115" t="n"/>
      <c r="E2632" s="124" t="n"/>
      <c r="F2632" s="124" t="n"/>
      <c r="G2632" s="124" t="n"/>
      <c r="H2632" s="84" t="n"/>
      <c r="I2632" s="7" t="n"/>
      <c r="J2632" s="32" t="n"/>
      <c r="K2632" s="24" t="n"/>
      <c r="L2632" s="36" t="n"/>
      <c r="M2632" s="204" t="n"/>
      <c r="N2632" s="177" t="n"/>
      <c r="O2632" s="13" t="n"/>
      <c r="P2632" s="139" t="n"/>
      <c r="Q2632" s="2" t="n"/>
      <c r="R2632" s="1" t="n"/>
      <c r="S2632" s="229">
        <f>M2632*N2632</f>
        <v/>
      </c>
      <c r="T2632" s="230">
        <f>CONCATENATE(S2632,Q2632,P2632)</f>
        <v/>
      </c>
      <c r="U2632" s="206">
        <f>L2632*M2632</f>
        <v/>
      </c>
      <c r="V2632" s="4" t="n"/>
      <c r="W2632" s="4" t="n"/>
      <c r="X2632" s="4" t="n"/>
    </row>
    <row r="2633" ht="15.75" customHeight="1" thickBot="1">
      <c r="A2633" s="186" t="str"/>
      <c r="B2633" s="124" t="n"/>
      <c r="C2633" s="124" t="n"/>
      <c r="D2633" s="115" t="n"/>
      <c r="E2633" s="124" t="n"/>
      <c r="F2633" s="124" t="n"/>
      <c r="G2633" s="124" t="n"/>
      <c r="H2633" s="84" t="n"/>
      <c r="I2633" s="7" t="n"/>
      <c r="J2633" s="32" t="n"/>
      <c r="K2633" s="24" t="n"/>
      <c r="L2633" s="36" t="n"/>
      <c r="M2633" s="204" t="n"/>
      <c r="N2633" s="177" t="n"/>
      <c r="O2633" s="13" t="n"/>
      <c r="P2633" s="139" t="n"/>
      <c r="Q2633" s="2" t="n"/>
      <c r="R2633" s="1" t="n"/>
      <c r="S2633" s="229">
        <f>M2633*N2633</f>
        <v/>
      </c>
      <c r="T2633" s="230">
        <f>CONCATENATE(S2633,Q2633,P2633)</f>
        <v/>
      </c>
      <c r="U2633" s="206">
        <f>L2633*M2633</f>
        <v/>
      </c>
      <c r="V2633" s="4" t="n"/>
      <c r="W2633" s="4" t="n"/>
      <c r="X2633" s="4" t="n"/>
    </row>
    <row r="2634" ht="15.75" customHeight="1" thickBot="1">
      <c r="A2634" s="186" t="str"/>
      <c r="B2634" s="124" t="n"/>
      <c r="C2634" s="124" t="n"/>
      <c r="D2634" s="115" t="n"/>
      <c r="E2634" s="124" t="n"/>
      <c r="F2634" s="124" t="n"/>
      <c r="G2634" s="124" t="n"/>
      <c r="H2634" s="84" t="n"/>
      <c r="I2634" s="7" t="n"/>
      <c r="J2634" s="32" t="n"/>
      <c r="K2634" s="24" t="n"/>
      <c r="L2634" s="36" t="n"/>
      <c r="M2634" s="204" t="n"/>
      <c r="N2634" s="177" t="n"/>
      <c r="O2634" s="13" t="n"/>
      <c r="P2634" s="139" t="n"/>
      <c r="Q2634" s="2" t="n"/>
      <c r="R2634" s="1" t="n"/>
      <c r="S2634" s="229">
        <f>M2634*N2634</f>
        <v/>
      </c>
      <c r="T2634" s="230">
        <f>CONCATENATE(S2634,Q2634,P2634)</f>
        <v/>
      </c>
      <c r="U2634" s="206">
        <f>L2634*M2634</f>
        <v/>
      </c>
      <c r="V2634" s="4" t="n"/>
      <c r="W2634" s="4" t="n"/>
      <c r="X2634" s="4" t="n"/>
    </row>
    <row r="2635" ht="15.75" customHeight="1" thickBot="1">
      <c r="A2635" s="186" t="str"/>
      <c r="B2635" s="124" t="n"/>
      <c r="C2635" s="124" t="n"/>
      <c r="D2635" s="115" t="n"/>
      <c r="E2635" s="124" t="n"/>
      <c r="F2635" s="124" t="n"/>
      <c r="G2635" s="124" t="n"/>
      <c r="H2635" s="84" t="n"/>
      <c r="I2635" s="7" t="n"/>
      <c r="J2635" s="32" t="n"/>
      <c r="K2635" s="24" t="n"/>
      <c r="L2635" s="36" t="n"/>
      <c r="M2635" s="204" t="n"/>
      <c r="N2635" s="177" t="n"/>
      <c r="O2635" s="13" t="n"/>
      <c r="P2635" s="139" t="n"/>
      <c r="Q2635" s="2" t="n"/>
      <c r="R2635" s="1" t="n"/>
      <c r="S2635" s="229">
        <f>M2635*N2635</f>
        <v/>
      </c>
      <c r="T2635" s="230">
        <f>CONCATENATE(S2635,Q2635,P2635)</f>
        <v/>
      </c>
      <c r="U2635" s="206">
        <f>L2635*M2635</f>
        <v/>
      </c>
      <c r="V2635" s="4" t="n"/>
      <c r="W2635" s="4" t="n"/>
      <c r="X2635" s="4" t="n"/>
    </row>
    <row r="2636" ht="15.75" customHeight="1" thickBot="1">
      <c r="A2636" s="186" t="str"/>
      <c r="B2636" s="124" t="n"/>
      <c r="C2636" s="124" t="n"/>
      <c r="D2636" s="115" t="n"/>
      <c r="E2636" s="124" t="n"/>
      <c r="F2636" s="124" t="n"/>
      <c r="G2636" s="124" t="n"/>
      <c r="H2636" s="84" t="n"/>
      <c r="I2636" s="7" t="n"/>
      <c r="J2636" s="32" t="n"/>
      <c r="K2636" s="24" t="n"/>
      <c r="L2636" s="36" t="n"/>
      <c r="M2636" s="204" t="n"/>
      <c r="N2636" s="177" t="n"/>
      <c r="O2636" s="13" t="n"/>
      <c r="P2636" s="139" t="n"/>
      <c r="Q2636" s="2" t="n"/>
      <c r="R2636" s="1" t="n"/>
      <c r="S2636" s="229">
        <f>M2636*N2636</f>
        <v/>
      </c>
      <c r="T2636" s="230">
        <f>CONCATENATE(S2636,Q2636,P2636)</f>
        <v/>
      </c>
      <c r="U2636" s="206">
        <f>L2636*M2636</f>
        <v/>
      </c>
      <c r="V2636" s="4" t="n"/>
      <c r="W2636" s="4" t="n"/>
      <c r="X2636" s="4" t="n"/>
    </row>
    <row r="2637" ht="15.75" customHeight="1" thickBot="1">
      <c r="A2637" s="186" t="str"/>
      <c r="B2637" s="124" t="n"/>
      <c r="C2637" s="124" t="n"/>
      <c r="D2637" s="115" t="n"/>
      <c r="E2637" s="124" t="n"/>
      <c r="F2637" s="124" t="n"/>
      <c r="G2637" s="124" t="n"/>
      <c r="H2637" s="84" t="n"/>
      <c r="I2637" s="7" t="n"/>
      <c r="J2637" s="32" t="n"/>
      <c r="K2637" s="24" t="n"/>
      <c r="L2637" s="36" t="n"/>
      <c r="M2637" s="204" t="n"/>
      <c r="N2637" s="177" t="n"/>
      <c r="O2637" s="13" t="n"/>
      <c r="P2637" s="139" t="n"/>
      <c r="Q2637" s="2" t="n"/>
      <c r="R2637" s="1" t="n"/>
      <c r="S2637" s="229">
        <f>M2637*N2637</f>
        <v/>
      </c>
      <c r="T2637" s="230">
        <f>CONCATENATE(S2637,Q2637,P2637)</f>
        <v/>
      </c>
      <c r="U2637" s="206">
        <f>L2637*M2637</f>
        <v/>
      </c>
      <c r="V2637" s="4" t="n"/>
      <c r="W2637" s="4" t="n"/>
      <c r="X2637" s="4" t="n"/>
    </row>
    <row r="2638" ht="15.75" customHeight="1" thickBot="1">
      <c r="A2638" s="186" t="str"/>
      <c r="B2638" s="124" t="n"/>
      <c r="C2638" s="124" t="n"/>
      <c r="D2638" s="115" t="n"/>
      <c r="E2638" s="124" t="n"/>
      <c r="F2638" s="124" t="n"/>
      <c r="G2638" s="124" t="n"/>
      <c r="H2638" s="84" t="n"/>
      <c r="I2638" s="7" t="n"/>
      <c r="J2638" s="32" t="n"/>
      <c r="K2638" s="24" t="n"/>
      <c r="L2638" s="36" t="n"/>
      <c r="M2638" s="204" t="n"/>
      <c r="N2638" s="177" t="n"/>
      <c r="O2638" s="13" t="n"/>
      <c r="P2638" s="139" t="n"/>
      <c r="Q2638" s="2" t="n"/>
      <c r="R2638" s="1" t="n"/>
      <c r="S2638" s="229">
        <f>M2638*N2638</f>
        <v/>
      </c>
      <c r="T2638" s="230">
        <f>CONCATENATE(S2638,Q2638,P2638)</f>
        <v/>
      </c>
      <c r="U2638" s="206">
        <f>L2638*M2638</f>
        <v/>
      </c>
      <c r="V2638" s="4" t="n"/>
      <c r="W2638" s="4" t="n"/>
      <c r="X2638" s="4" t="n"/>
    </row>
    <row r="2639" ht="15.75" customHeight="1" thickBot="1">
      <c r="A2639" s="186" t="str"/>
      <c r="B2639" s="124" t="n"/>
      <c r="C2639" s="124" t="n"/>
      <c r="D2639" s="115" t="n"/>
      <c r="E2639" s="124" t="n"/>
      <c r="F2639" s="124" t="n"/>
      <c r="G2639" s="124" t="n"/>
      <c r="H2639" s="84" t="n"/>
      <c r="I2639" s="7" t="n"/>
      <c r="J2639" s="32" t="n"/>
      <c r="K2639" s="24" t="n"/>
      <c r="L2639" s="36" t="n"/>
      <c r="M2639" s="204" t="n"/>
      <c r="N2639" s="177" t="n"/>
      <c r="O2639" s="13" t="n"/>
      <c r="P2639" s="139" t="n"/>
      <c r="Q2639" s="2" t="n"/>
      <c r="R2639" s="1" t="n"/>
      <c r="S2639" s="229">
        <f>M2639*N2639</f>
        <v/>
      </c>
      <c r="T2639" s="230">
        <f>CONCATENATE(S2639,Q2639,P2639)</f>
        <v/>
      </c>
      <c r="U2639" s="206">
        <f>L2639*M2639</f>
        <v/>
      </c>
      <c r="V2639" s="4" t="n"/>
      <c r="W2639" s="4" t="n"/>
      <c r="X2639" s="4" t="n"/>
    </row>
    <row r="2640" ht="15.75" customHeight="1" thickBot="1">
      <c r="A2640" s="186" t="str"/>
      <c r="B2640" s="124" t="n"/>
      <c r="C2640" s="124" t="n"/>
      <c r="D2640" s="115" t="n"/>
      <c r="E2640" s="124" t="n"/>
      <c r="F2640" s="124" t="n"/>
      <c r="G2640" s="124" t="n"/>
      <c r="H2640" s="84" t="n"/>
      <c r="I2640" s="7" t="n"/>
      <c r="J2640" s="32" t="n"/>
      <c r="K2640" s="24" t="n"/>
      <c r="L2640" s="36" t="n"/>
      <c r="M2640" s="204" t="n"/>
      <c r="N2640" s="177" t="n"/>
      <c r="O2640" s="13" t="n"/>
      <c r="P2640" s="139" t="n"/>
      <c r="Q2640" s="2" t="n"/>
      <c r="R2640" s="1" t="n"/>
      <c r="S2640" s="229">
        <f>M2640*N2640</f>
        <v/>
      </c>
      <c r="T2640" s="230">
        <f>CONCATENATE(S2640,Q2640,P2640)</f>
        <v/>
      </c>
      <c r="U2640" s="206">
        <f>L2640*M2640</f>
        <v/>
      </c>
      <c r="V2640" s="4" t="n"/>
      <c r="W2640" s="4" t="n"/>
      <c r="X2640" s="4" t="n"/>
    </row>
    <row r="2641" ht="15.75" customHeight="1" thickBot="1">
      <c r="A2641" s="186" t="str"/>
      <c r="B2641" s="124" t="n"/>
      <c r="C2641" s="124" t="n"/>
      <c r="D2641" s="115" t="n"/>
      <c r="E2641" s="124" t="n"/>
      <c r="F2641" s="124" t="n"/>
      <c r="G2641" s="124" t="n"/>
      <c r="H2641" s="84" t="n"/>
      <c r="I2641" s="7" t="n"/>
      <c r="J2641" s="32" t="n"/>
      <c r="K2641" s="24" t="n"/>
      <c r="L2641" s="36" t="n"/>
      <c r="M2641" s="204" t="n"/>
      <c r="N2641" s="177" t="n"/>
      <c r="O2641" s="13" t="n"/>
      <c r="P2641" s="139" t="n"/>
      <c r="Q2641" s="2" t="n"/>
      <c r="R2641" s="1" t="n"/>
      <c r="S2641" s="229">
        <f>M2641*N2641</f>
        <v/>
      </c>
      <c r="T2641" s="230">
        <f>CONCATENATE(S2641,Q2641,P2641)</f>
        <v/>
      </c>
      <c r="U2641" s="206">
        <f>L2641*M2641</f>
        <v/>
      </c>
      <c r="V2641" s="4" t="n"/>
      <c r="W2641" s="4" t="n"/>
      <c r="X2641" s="4" t="n"/>
    </row>
    <row r="2642" ht="15.75" customHeight="1" thickBot="1">
      <c r="A2642" s="186" t="str"/>
      <c r="B2642" s="124" t="n"/>
      <c r="C2642" s="124" t="n"/>
      <c r="D2642" s="115" t="n"/>
      <c r="E2642" s="124" t="n"/>
      <c r="F2642" s="124" t="n"/>
      <c r="G2642" s="124" t="n"/>
      <c r="H2642" s="84" t="n"/>
      <c r="I2642" s="7" t="n"/>
      <c r="J2642" s="32" t="n"/>
      <c r="K2642" s="24" t="n"/>
      <c r="L2642" s="36" t="n"/>
      <c r="M2642" s="204" t="n"/>
      <c r="N2642" s="177" t="n"/>
      <c r="O2642" s="13" t="n"/>
      <c r="P2642" s="139" t="n"/>
      <c r="Q2642" s="2" t="n"/>
      <c r="R2642" s="1" t="n"/>
      <c r="S2642" s="229">
        <f>M2642*N2642</f>
        <v/>
      </c>
      <c r="T2642" s="230">
        <f>CONCATENATE(S2642,Q2642,P2642)</f>
        <v/>
      </c>
      <c r="U2642" s="206">
        <f>L2642*M2642</f>
        <v/>
      </c>
      <c r="V2642" s="4" t="n"/>
      <c r="W2642" s="4" t="n"/>
      <c r="X2642" s="4" t="n"/>
    </row>
    <row r="2643" ht="15.75" customHeight="1" thickBot="1">
      <c r="A2643" s="186" t="str"/>
      <c r="B2643" s="124" t="n"/>
      <c r="C2643" s="124" t="n"/>
      <c r="D2643" s="115" t="n"/>
      <c r="E2643" s="124" t="n"/>
      <c r="F2643" s="124" t="n"/>
      <c r="G2643" s="124" t="n"/>
      <c r="H2643" s="84" t="n"/>
      <c r="I2643" s="7" t="n"/>
      <c r="J2643" s="32" t="n"/>
      <c r="K2643" s="24" t="n"/>
      <c r="L2643" s="36" t="n"/>
      <c r="M2643" s="204" t="n"/>
      <c r="N2643" s="177" t="n"/>
      <c r="O2643" s="13" t="n"/>
      <c r="P2643" s="139" t="n"/>
      <c r="Q2643" s="2" t="n"/>
      <c r="R2643" s="1" t="n"/>
      <c r="S2643" s="229">
        <f>M2643*N2643</f>
        <v/>
      </c>
      <c r="T2643" s="230">
        <f>CONCATENATE(S2643,Q2643,P2643)</f>
        <v/>
      </c>
      <c r="U2643" s="206">
        <f>L2643*M2643</f>
        <v/>
      </c>
      <c r="V2643" s="4" t="n"/>
      <c r="W2643" s="4" t="n"/>
      <c r="X2643" s="4" t="n"/>
    </row>
    <row r="2644" ht="15.75" customHeight="1" thickBot="1">
      <c r="A2644" s="186" t="str"/>
      <c r="B2644" s="124" t="n"/>
      <c r="C2644" s="124" t="n"/>
      <c r="D2644" s="115" t="n"/>
      <c r="E2644" s="124" t="n"/>
      <c r="F2644" s="124" t="n"/>
      <c r="G2644" s="124" t="n"/>
      <c r="H2644" s="84" t="n"/>
      <c r="I2644" s="7" t="n"/>
      <c r="J2644" s="32" t="n"/>
      <c r="K2644" s="24" t="n"/>
      <c r="L2644" s="36" t="n"/>
      <c r="M2644" s="204" t="n"/>
      <c r="N2644" s="177" t="n"/>
      <c r="O2644" s="13" t="n"/>
      <c r="P2644" s="139" t="n"/>
      <c r="Q2644" s="2" t="n"/>
      <c r="R2644" s="1" t="n"/>
      <c r="S2644" s="229">
        <f>M2644*N2644</f>
        <v/>
      </c>
      <c r="T2644" s="230">
        <f>CONCATENATE(S2644,Q2644,P2644)</f>
        <v/>
      </c>
      <c r="U2644" s="206">
        <f>L2644*M2644</f>
        <v/>
      </c>
      <c r="V2644" s="4" t="n"/>
      <c r="W2644" s="4" t="n"/>
      <c r="X2644" s="4" t="n"/>
    </row>
    <row r="2645" ht="15.75" customHeight="1" thickBot="1">
      <c r="A2645" s="186" t="str"/>
      <c r="B2645" s="124" t="n"/>
      <c r="C2645" s="124" t="n"/>
      <c r="D2645" s="115" t="n"/>
      <c r="E2645" s="124" t="n"/>
      <c r="F2645" s="124" t="n"/>
      <c r="G2645" s="124" t="n"/>
      <c r="H2645" s="84" t="n"/>
      <c r="I2645" s="7" t="n"/>
      <c r="J2645" s="32" t="n"/>
      <c r="K2645" s="24" t="n"/>
      <c r="L2645" s="36" t="n"/>
      <c r="M2645" s="204" t="n"/>
      <c r="N2645" s="177" t="n"/>
      <c r="O2645" s="13" t="n"/>
      <c r="P2645" s="139" t="n"/>
      <c r="Q2645" s="2" t="n"/>
      <c r="R2645" s="1" t="n"/>
      <c r="S2645" s="229">
        <f>M2645*N2645</f>
        <v/>
      </c>
      <c r="T2645" s="230">
        <f>CONCATENATE(S2645,Q2645,P2645)</f>
        <v/>
      </c>
      <c r="U2645" s="206">
        <f>L2645*M2645</f>
        <v/>
      </c>
      <c r="V2645" s="4" t="n"/>
      <c r="W2645" s="4" t="n"/>
      <c r="X2645" s="4" t="n"/>
    </row>
    <row r="2646" ht="15.75" customHeight="1" thickBot="1">
      <c r="A2646" s="186" t="str"/>
      <c r="B2646" s="124" t="n"/>
      <c r="C2646" s="124" t="n"/>
      <c r="D2646" s="115" t="n"/>
      <c r="E2646" s="124" t="n"/>
      <c r="F2646" s="124" t="n"/>
      <c r="G2646" s="124" t="n"/>
      <c r="H2646" s="84" t="n"/>
      <c r="I2646" s="7" t="n"/>
      <c r="J2646" s="32" t="n"/>
      <c r="K2646" s="24" t="n"/>
      <c r="L2646" s="36" t="n"/>
      <c r="M2646" s="204" t="n"/>
      <c r="N2646" s="177" t="n"/>
      <c r="O2646" s="13" t="n"/>
      <c r="P2646" s="139" t="n"/>
      <c r="Q2646" s="2" t="n"/>
      <c r="R2646" s="1" t="n"/>
      <c r="S2646" s="229">
        <f>M2646*N2646</f>
        <v/>
      </c>
      <c r="T2646" s="230">
        <f>CONCATENATE(S2646,Q2646,P2646)</f>
        <v/>
      </c>
      <c r="U2646" s="206">
        <f>L2646*M2646</f>
        <v/>
      </c>
      <c r="V2646" s="4" t="n"/>
      <c r="W2646" s="4" t="n"/>
      <c r="X2646" s="4" t="n"/>
    </row>
    <row r="2647" ht="15.75" customHeight="1" thickBot="1">
      <c r="A2647" s="186" t="str"/>
      <c r="B2647" s="124" t="n"/>
      <c r="C2647" s="124" t="n"/>
      <c r="D2647" s="115" t="n"/>
      <c r="E2647" s="124" t="n"/>
      <c r="F2647" s="124" t="n"/>
      <c r="G2647" s="124" t="n"/>
      <c r="H2647" s="84" t="n"/>
      <c r="I2647" s="7" t="n"/>
      <c r="J2647" s="32" t="n"/>
      <c r="K2647" s="24" t="n"/>
      <c r="L2647" s="36" t="n"/>
      <c r="M2647" s="204" t="n"/>
      <c r="N2647" s="177" t="n"/>
      <c r="O2647" s="13" t="n"/>
      <c r="P2647" s="139" t="n"/>
      <c r="Q2647" s="2" t="n"/>
      <c r="R2647" s="1" t="n"/>
      <c r="S2647" s="229">
        <f>M2647*N2647</f>
        <v/>
      </c>
      <c r="T2647" s="230">
        <f>CONCATENATE(S2647,Q2647,P2647)</f>
        <v/>
      </c>
      <c r="U2647" s="206">
        <f>L2647*M2647</f>
        <v/>
      </c>
      <c r="V2647" s="4" t="n"/>
      <c r="W2647" s="4" t="n"/>
      <c r="X2647" s="4" t="n"/>
    </row>
    <row r="2648" ht="15.75" customHeight="1" thickBot="1">
      <c r="A2648" s="186" t="str"/>
      <c r="B2648" s="124" t="n"/>
      <c r="C2648" s="124" t="n"/>
      <c r="D2648" s="115" t="n"/>
      <c r="E2648" s="124" t="n"/>
      <c r="F2648" s="124" t="n"/>
      <c r="G2648" s="124" t="n"/>
      <c r="H2648" s="84" t="n"/>
      <c r="I2648" s="7" t="n"/>
      <c r="J2648" s="32" t="n"/>
      <c r="K2648" s="24" t="n"/>
      <c r="L2648" s="36" t="n"/>
      <c r="M2648" s="204" t="n"/>
      <c r="N2648" s="177" t="n"/>
      <c r="O2648" s="13" t="n"/>
      <c r="P2648" s="139" t="n"/>
      <c r="Q2648" s="2" t="n"/>
      <c r="R2648" s="1" t="n"/>
      <c r="S2648" s="229">
        <f>M2648*N2648</f>
        <v/>
      </c>
      <c r="T2648" s="230">
        <f>CONCATENATE(S2648,Q2648,P2648)</f>
        <v/>
      </c>
      <c r="U2648" s="206">
        <f>L2648*M2648</f>
        <v/>
      </c>
      <c r="V2648" s="4" t="n"/>
      <c r="W2648" s="4" t="n"/>
      <c r="X2648" s="4" t="n"/>
    </row>
    <row r="2649" ht="15.75" customHeight="1" thickBot="1">
      <c r="A2649" s="186" t="str"/>
      <c r="B2649" s="124" t="n"/>
      <c r="C2649" s="124" t="n"/>
      <c r="D2649" s="115" t="n"/>
      <c r="E2649" s="124" t="n"/>
      <c r="F2649" s="124" t="n"/>
      <c r="G2649" s="124" t="n"/>
      <c r="H2649" s="84" t="n"/>
      <c r="I2649" s="7" t="n"/>
      <c r="J2649" s="32" t="n"/>
      <c r="K2649" s="24" t="n"/>
      <c r="L2649" s="36" t="n"/>
      <c r="M2649" s="204" t="n"/>
      <c r="N2649" s="177" t="n"/>
      <c r="O2649" s="13" t="n"/>
      <c r="P2649" s="139" t="n"/>
      <c r="Q2649" s="2" t="n"/>
      <c r="R2649" s="1" t="n"/>
      <c r="S2649" s="229">
        <f>M2649*N2649</f>
        <v/>
      </c>
      <c r="T2649" s="230">
        <f>CONCATENATE(S2649,Q2649,P2649)</f>
        <v/>
      </c>
      <c r="U2649" s="206">
        <f>L2649*M2649</f>
        <v/>
      </c>
      <c r="V2649" s="4" t="n"/>
      <c r="W2649" s="4" t="n"/>
      <c r="X2649" s="4" t="n"/>
    </row>
    <row r="2650" ht="15.75" customHeight="1" thickBot="1">
      <c r="A2650" s="186" t="str"/>
      <c r="B2650" s="124" t="n"/>
      <c r="C2650" s="124" t="n"/>
      <c r="D2650" s="115" t="n"/>
      <c r="E2650" s="124" t="n"/>
      <c r="F2650" s="124" t="n"/>
      <c r="G2650" s="124" t="n"/>
      <c r="H2650" s="84" t="n"/>
      <c r="I2650" s="7" t="n"/>
      <c r="J2650" s="32" t="n"/>
      <c r="K2650" s="24" t="n"/>
      <c r="L2650" s="36" t="n"/>
      <c r="M2650" s="204" t="n"/>
      <c r="N2650" s="177" t="n"/>
      <c r="O2650" s="13" t="n"/>
      <c r="P2650" s="139" t="n"/>
      <c r="Q2650" s="2" t="n"/>
      <c r="R2650" s="1" t="n"/>
      <c r="S2650" s="229">
        <f>M2650*N2650</f>
        <v/>
      </c>
      <c r="T2650" s="230">
        <f>CONCATENATE(S2650,Q2650,P2650)</f>
        <v/>
      </c>
      <c r="U2650" s="206">
        <f>L2650*M2650</f>
        <v/>
      </c>
      <c r="V2650" s="4" t="n"/>
      <c r="W2650" s="4" t="n"/>
      <c r="X2650" s="4" t="n"/>
    </row>
    <row r="2651" ht="15.75" customHeight="1" thickBot="1">
      <c r="A2651" s="186" t="str"/>
      <c r="B2651" s="124" t="n"/>
      <c r="C2651" s="124" t="n"/>
      <c r="D2651" s="115" t="n"/>
      <c r="E2651" s="124" t="n"/>
      <c r="F2651" s="124" t="n"/>
      <c r="G2651" s="124" t="n"/>
      <c r="H2651" s="84" t="n"/>
      <c r="I2651" s="7" t="n"/>
      <c r="J2651" s="32" t="n"/>
      <c r="K2651" s="24" t="n"/>
      <c r="L2651" s="36" t="n"/>
      <c r="M2651" s="204" t="n"/>
      <c r="N2651" s="177" t="n"/>
      <c r="O2651" s="13" t="n"/>
      <c r="P2651" s="139" t="n"/>
      <c r="Q2651" s="2" t="n"/>
      <c r="R2651" s="1" t="n"/>
      <c r="S2651" s="229">
        <f>M2651*N2651</f>
        <v/>
      </c>
      <c r="T2651" s="230">
        <f>CONCATENATE(S2651,Q2651,P2651)</f>
        <v/>
      </c>
      <c r="U2651" s="206">
        <f>L2651*M2651</f>
        <v/>
      </c>
      <c r="V2651" s="4" t="n"/>
      <c r="W2651" s="4" t="n"/>
      <c r="X2651" s="4" t="n"/>
    </row>
    <row r="2652" ht="15.75" customHeight="1" thickBot="1">
      <c r="A2652" s="186" t="str"/>
      <c r="B2652" s="124" t="n"/>
      <c r="C2652" s="124" t="n"/>
      <c r="D2652" s="115" t="n"/>
      <c r="E2652" s="124" t="n"/>
      <c r="F2652" s="124" t="n"/>
      <c r="G2652" s="124" t="n"/>
      <c r="H2652" s="84" t="n"/>
      <c r="I2652" s="7" t="n"/>
      <c r="J2652" s="32" t="n"/>
      <c r="K2652" s="24" t="n"/>
      <c r="L2652" s="36" t="n"/>
      <c r="M2652" s="204" t="n"/>
      <c r="N2652" s="177" t="n"/>
      <c r="O2652" s="13" t="n"/>
      <c r="P2652" s="139" t="n"/>
      <c r="Q2652" s="2" t="n"/>
      <c r="R2652" s="1" t="n"/>
      <c r="S2652" s="229">
        <f>M2652*N2652</f>
        <v/>
      </c>
      <c r="T2652" s="230">
        <f>CONCATENATE(S2652,Q2652,P2652)</f>
        <v/>
      </c>
      <c r="U2652" s="206">
        <f>L2652*M2652</f>
        <v/>
      </c>
      <c r="V2652" s="4" t="n"/>
      <c r="W2652" s="4" t="n"/>
      <c r="X2652" s="4" t="n"/>
    </row>
    <row r="2653" ht="15.75" customHeight="1" thickBot="1">
      <c r="A2653" s="186" t="str"/>
      <c r="B2653" s="124" t="n"/>
      <c r="C2653" s="124" t="n"/>
      <c r="D2653" s="115" t="n"/>
      <c r="E2653" s="124" t="n"/>
      <c r="F2653" s="124" t="n"/>
      <c r="G2653" s="124" t="n"/>
      <c r="H2653" s="84" t="n"/>
      <c r="I2653" s="7" t="n"/>
      <c r="J2653" s="32" t="n"/>
      <c r="K2653" s="24" t="n"/>
      <c r="L2653" s="36" t="n"/>
      <c r="M2653" s="204" t="n"/>
      <c r="N2653" s="177" t="n"/>
      <c r="O2653" s="13" t="n"/>
      <c r="P2653" s="139" t="n"/>
      <c r="Q2653" s="2" t="n"/>
      <c r="R2653" s="1" t="n"/>
      <c r="S2653" s="229">
        <f>M2653*N2653</f>
        <v/>
      </c>
      <c r="T2653" s="230">
        <f>CONCATENATE(S2653,Q2653,P2653)</f>
        <v/>
      </c>
      <c r="U2653" s="206">
        <f>L2653*M2653</f>
        <v/>
      </c>
      <c r="V2653" s="4" t="n"/>
      <c r="W2653" s="4" t="n"/>
      <c r="X2653" s="4" t="n"/>
    </row>
    <row r="2654" ht="15.75" customHeight="1" thickBot="1">
      <c r="A2654" s="186" t="str"/>
      <c r="B2654" s="124" t="n"/>
      <c r="C2654" s="124" t="n"/>
      <c r="D2654" s="115" t="n"/>
      <c r="E2654" s="124" t="n"/>
      <c r="F2654" s="124" t="n"/>
      <c r="G2654" s="124" t="n"/>
      <c r="H2654" s="84" t="n"/>
      <c r="I2654" s="7" t="n"/>
      <c r="J2654" s="32" t="n"/>
      <c r="K2654" s="24" t="n"/>
      <c r="L2654" s="36" t="n"/>
      <c r="M2654" s="204" t="n"/>
      <c r="N2654" s="177" t="n"/>
      <c r="O2654" s="13" t="n"/>
      <c r="P2654" s="139" t="n"/>
      <c r="Q2654" s="2" t="n"/>
      <c r="R2654" s="1" t="n"/>
      <c r="S2654" s="229">
        <f>M2654*N2654</f>
        <v/>
      </c>
      <c r="T2654" s="230">
        <f>CONCATENATE(S2654,Q2654,P2654)</f>
        <v/>
      </c>
      <c r="U2654" s="206">
        <f>L2654*M2654</f>
        <v/>
      </c>
      <c r="V2654" s="4" t="n"/>
      <c r="W2654" s="4" t="n"/>
      <c r="X2654" s="4" t="n"/>
    </row>
    <row r="2655" ht="15.75" customHeight="1" thickBot="1">
      <c r="A2655" s="186" t="str"/>
      <c r="B2655" s="124" t="n"/>
      <c r="C2655" s="124" t="n"/>
      <c r="D2655" s="115" t="n"/>
      <c r="E2655" s="124" t="n"/>
      <c r="F2655" s="124" t="n"/>
      <c r="G2655" s="124" t="n"/>
      <c r="H2655" s="84" t="n"/>
      <c r="I2655" s="7" t="n"/>
      <c r="J2655" s="32" t="n"/>
      <c r="K2655" s="24" t="n"/>
      <c r="L2655" s="36" t="n"/>
      <c r="M2655" s="204" t="n"/>
      <c r="N2655" s="177" t="n"/>
      <c r="O2655" s="13" t="n"/>
      <c r="P2655" s="139" t="n"/>
      <c r="Q2655" s="2" t="n"/>
      <c r="R2655" s="1" t="n"/>
      <c r="S2655" s="229">
        <f>M2655*N2655</f>
        <v/>
      </c>
      <c r="T2655" s="230">
        <f>CONCATENATE(S2655,Q2655,P2655)</f>
        <v/>
      </c>
      <c r="U2655" s="206">
        <f>L2655*M2655</f>
        <v/>
      </c>
      <c r="V2655" s="4" t="n"/>
      <c r="W2655" s="4" t="n"/>
      <c r="X2655" s="4" t="n"/>
    </row>
    <row r="2656" ht="15.75" customHeight="1" thickBot="1">
      <c r="A2656" s="186" t="str"/>
      <c r="B2656" s="124" t="n"/>
      <c r="C2656" s="124" t="n"/>
      <c r="D2656" s="115" t="n"/>
      <c r="E2656" s="124" t="n"/>
      <c r="F2656" s="124" t="n"/>
      <c r="G2656" s="124" t="n"/>
      <c r="H2656" s="84" t="n"/>
      <c r="I2656" s="7" t="n"/>
      <c r="J2656" s="32" t="n"/>
      <c r="K2656" s="24" t="n"/>
      <c r="L2656" s="36" t="n"/>
      <c r="M2656" s="204" t="n"/>
      <c r="N2656" s="177" t="n"/>
      <c r="O2656" s="13" t="n"/>
      <c r="P2656" s="139" t="n"/>
      <c r="Q2656" s="2" t="n"/>
      <c r="R2656" s="1" t="n"/>
      <c r="S2656" s="229">
        <f>M2656*N2656</f>
        <v/>
      </c>
      <c r="T2656" s="230">
        <f>CONCATENATE(S2656,Q2656,P2656)</f>
        <v/>
      </c>
      <c r="U2656" s="206">
        <f>L2656*M2656</f>
        <v/>
      </c>
      <c r="V2656" s="4" t="n"/>
      <c r="W2656" s="4" t="n"/>
      <c r="X2656" s="4" t="n"/>
    </row>
    <row r="2657" ht="15.75" customHeight="1" thickBot="1">
      <c r="A2657" s="186" t="str"/>
      <c r="B2657" s="124" t="n"/>
      <c r="C2657" s="124" t="n"/>
      <c r="D2657" s="115" t="n"/>
      <c r="E2657" s="124" t="n"/>
      <c r="F2657" s="124" t="n"/>
      <c r="G2657" s="124" t="n"/>
      <c r="H2657" s="84" t="n"/>
      <c r="I2657" s="7" t="n"/>
      <c r="J2657" s="32" t="n"/>
      <c r="K2657" s="24" t="n"/>
      <c r="L2657" s="36" t="n"/>
      <c r="M2657" s="204" t="n"/>
      <c r="N2657" s="177" t="n"/>
      <c r="O2657" s="13" t="n"/>
      <c r="P2657" s="139" t="n"/>
      <c r="Q2657" s="2" t="n"/>
      <c r="R2657" s="1" t="n"/>
      <c r="S2657" s="229">
        <f>M2657*N2657</f>
        <v/>
      </c>
      <c r="T2657" s="230">
        <f>CONCATENATE(S2657,Q2657,P2657)</f>
        <v/>
      </c>
      <c r="U2657" s="206">
        <f>L2657*M2657</f>
        <v/>
      </c>
      <c r="V2657" s="4" t="n"/>
      <c r="W2657" s="4" t="n"/>
      <c r="X2657" s="4" t="n"/>
    </row>
    <row r="2658" ht="15.75" customHeight="1" thickBot="1">
      <c r="A2658" s="186" t="str"/>
      <c r="B2658" s="124" t="n"/>
      <c r="C2658" s="124" t="n"/>
      <c r="D2658" s="115" t="n"/>
      <c r="E2658" s="124" t="n"/>
      <c r="F2658" s="124" t="n"/>
      <c r="G2658" s="124" t="n"/>
      <c r="H2658" s="84" t="n"/>
      <c r="I2658" s="7" t="n"/>
      <c r="J2658" s="32" t="n"/>
      <c r="K2658" s="24" t="n"/>
      <c r="L2658" s="36" t="n"/>
      <c r="M2658" s="204" t="n"/>
      <c r="N2658" s="177" t="n"/>
      <c r="O2658" s="13" t="n"/>
      <c r="P2658" s="139" t="n"/>
      <c r="Q2658" s="2" t="n"/>
      <c r="R2658" s="1" t="n"/>
      <c r="S2658" s="229">
        <f>M2658*N2658</f>
        <v/>
      </c>
      <c r="T2658" s="230">
        <f>CONCATENATE(S2658,Q2658,P2658)</f>
        <v/>
      </c>
      <c r="U2658" s="206">
        <f>L2658*M2658</f>
        <v/>
      </c>
      <c r="V2658" s="4" t="n"/>
      <c r="W2658" s="4" t="n"/>
      <c r="X2658" s="4" t="n"/>
    </row>
    <row r="2659" ht="15.75" customHeight="1" thickBot="1">
      <c r="A2659" s="186" t="str"/>
      <c r="B2659" s="124" t="n"/>
      <c r="C2659" s="124" t="n"/>
      <c r="D2659" s="115" t="n"/>
      <c r="E2659" s="124" t="n"/>
      <c r="F2659" s="124" t="n"/>
      <c r="G2659" s="124" t="n"/>
      <c r="H2659" s="84" t="n"/>
      <c r="I2659" s="7" t="n"/>
      <c r="J2659" s="32" t="n"/>
      <c r="K2659" s="24" t="n"/>
      <c r="L2659" s="36" t="n"/>
      <c r="M2659" s="204" t="n"/>
      <c r="N2659" s="177" t="n"/>
      <c r="O2659" s="13" t="n"/>
      <c r="P2659" s="139" t="n"/>
      <c r="Q2659" s="2" t="n"/>
      <c r="R2659" s="1" t="n"/>
      <c r="S2659" s="229">
        <f>M2659*N2659</f>
        <v/>
      </c>
      <c r="T2659" s="230">
        <f>CONCATENATE(S2659,Q2659,P2659)</f>
        <v/>
      </c>
      <c r="U2659" s="206">
        <f>L2659*M2659</f>
        <v/>
      </c>
      <c r="V2659" s="4" t="n"/>
      <c r="W2659" s="4" t="n"/>
      <c r="X2659" s="4" t="n"/>
    </row>
    <row r="2660" ht="15.75" customHeight="1" thickBot="1">
      <c r="A2660" s="186" t="str"/>
      <c r="B2660" s="124" t="n"/>
      <c r="C2660" s="124" t="n"/>
      <c r="D2660" s="115" t="n"/>
      <c r="E2660" s="124" t="n"/>
      <c r="F2660" s="124" t="n"/>
      <c r="G2660" s="124" t="n"/>
      <c r="H2660" s="84" t="n"/>
      <c r="I2660" s="7" t="n"/>
      <c r="J2660" s="32" t="n"/>
      <c r="K2660" s="24" t="n"/>
      <c r="L2660" s="36" t="n"/>
      <c r="M2660" s="204" t="n"/>
      <c r="N2660" s="177" t="n"/>
      <c r="O2660" s="13" t="n"/>
      <c r="P2660" s="139" t="n"/>
      <c r="Q2660" s="2" t="n"/>
      <c r="R2660" s="1" t="n"/>
      <c r="S2660" s="229">
        <f>M2660*N2660</f>
        <v/>
      </c>
      <c r="T2660" s="230">
        <f>CONCATENATE(S2660,Q2660,P2660)</f>
        <v/>
      </c>
      <c r="U2660" s="206">
        <f>L2660*M2660</f>
        <v/>
      </c>
      <c r="V2660" s="4" t="n"/>
      <c r="W2660" s="4" t="n"/>
      <c r="X2660" s="4" t="n"/>
    </row>
    <row r="2661" ht="15.75" customHeight="1" thickBot="1">
      <c r="A2661" s="186" t="str"/>
      <c r="B2661" s="124" t="n"/>
      <c r="C2661" s="124" t="n"/>
      <c r="D2661" s="115" t="n"/>
      <c r="E2661" s="124" t="n"/>
      <c r="F2661" s="124" t="n"/>
      <c r="G2661" s="124" t="n"/>
      <c r="H2661" s="84" t="n"/>
      <c r="I2661" s="7" t="n"/>
      <c r="J2661" s="32" t="n"/>
      <c r="K2661" s="24" t="n"/>
      <c r="L2661" s="36" t="n"/>
      <c r="M2661" s="204" t="n"/>
      <c r="N2661" s="177" t="n"/>
      <c r="O2661" s="13" t="n"/>
      <c r="P2661" s="139" t="n"/>
      <c r="Q2661" s="2" t="n"/>
      <c r="R2661" s="1" t="n"/>
      <c r="S2661" s="229">
        <f>M2661*N2661</f>
        <v/>
      </c>
      <c r="T2661" s="230">
        <f>CONCATENATE(S2661,Q2661,P2661)</f>
        <v/>
      </c>
      <c r="U2661" s="206">
        <f>L2661*M2661</f>
        <v/>
      </c>
      <c r="V2661" s="4" t="n"/>
      <c r="W2661" s="4" t="n"/>
      <c r="X2661" s="4" t="n"/>
    </row>
    <row r="2662" ht="15.75" customHeight="1" thickBot="1">
      <c r="A2662" s="186" t="str"/>
      <c r="B2662" s="124" t="n"/>
      <c r="C2662" s="124" t="n"/>
      <c r="D2662" s="115" t="n"/>
      <c r="E2662" s="124" t="n"/>
      <c r="F2662" s="124" t="n"/>
      <c r="G2662" s="124" t="n"/>
      <c r="H2662" s="84" t="n"/>
      <c r="I2662" s="7" t="n"/>
      <c r="J2662" s="32" t="n"/>
      <c r="K2662" s="24" t="n"/>
      <c r="L2662" s="36" t="n"/>
      <c r="M2662" s="204" t="n"/>
      <c r="N2662" s="177" t="n"/>
      <c r="O2662" s="13" t="n"/>
      <c r="P2662" s="139" t="n"/>
      <c r="Q2662" s="2" t="n"/>
      <c r="R2662" s="1" t="n"/>
      <c r="S2662" s="229">
        <f>M2662*N2662</f>
        <v/>
      </c>
      <c r="T2662" s="230">
        <f>CONCATENATE(S2662,Q2662,P2662)</f>
        <v/>
      </c>
      <c r="U2662" s="206">
        <f>L2662*M2662</f>
        <v/>
      </c>
      <c r="V2662" s="4" t="n"/>
      <c r="W2662" s="4" t="n"/>
      <c r="X2662" s="4" t="n"/>
    </row>
    <row r="2663" ht="15.75" customHeight="1" thickBot="1">
      <c r="A2663" s="186" t="str"/>
      <c r="B2663" s="124" t="n"/>
      <c r="C2663" s="124" t="n"/>
      <c r="D2663" s="115" t="n"/>
      <c r="E2663" s="124" t="n"/>
      <c r="F2663" s="124" t="n"/>
      <c r="G2663" s="124" t="n"/>
      <c r="H2663" s="84" t="n"/>
      <c r="I2663" s="7" t="n"/>
      <c r="J2663" s="32" t="n"/>
      <c r="K2663" s="24" t="n"/>
      <c r="L2663" s="36" t="n"/>
      <c r="M2663" s="204" t="n"/>
      <c r="N2663" s="177" t="n"/>
      <c r="O2663" s="13" t="n"/>
      <c r="P2663" s="139" t="n"/>
      <c r="Q2663" s="2" t="n"/>
      <c r="R2663" s="1" t="n"/>
      <c r="S2663" s="229">
        <f>M2663*N2663</f>
        <v/>
      </c>
      <c r="T2663" s="230">
        <f>CONCATENATE(S2663,Q2663,P2663)</f>
        <v/>
      </c>
      <c r="U2663" s="206">
        <f>L2663*M2663</f>
        <v/>
      </c>
      <c r="V2663" s="4" t="n"/>
      <c r="W2663" s="4" t="n"/>
      <c r="X2663" s="4" t="n"/>
    </row>
    <row r="2664" ht="15.75" customHeight="1" thickBot="1">
      <c r="A2664" s="186" t="str"/>
      <c r="B2664" s="124" t="n"/>
      <c r="C2664" s="124" t="n"/>
      <c r="D2664" s="115" t="n"/>
      <c r="E2664" s="124" t="n"/>
      <c r="F2664" s="124" t="n"/>
      <c r="G2664" s="124" t="n"/>
      <c r="H2664" s="84" t="n"/>
      <c r="I2664" s="7" t="n"/>
      <c r="J2664" s="32" t="n"/>
      <c r="K2664" s="24" t="n"/>
      <c r="L2664" s="36" t="n"/>
      <c r="M2664" s="204" t="n"/>
      <c r="N2664" s="177" t="n"/>
      <c r="O2664" s="13" t="n"/>
      <c r="P2664" s="139" t="n"/>
      <c r="Q2664" s="2" t="n"/>
      <c r="R2664" s="1" t="n"/>
      <c r="S2664" s="229">
        <f>M2664*N2664</f>
        <v/>
      </c>
      <c r="T2664" s="230">
        <f>CONCATENATE(S2664,Q2664,P2664)</f>
        <v/>
      </c>
      <c r="U2664" s="206">
        <f>L2664*M2664</f>
        <v/>
      </c>
      <c r="V2664" s="4" t="n"/>
      <c r="W2664" s="4" t="n"/>
      <c r="X2664" s="4" t="n"/>
    </row>
    <row r="2665" ht="15.75" customHeight="1" thickBot="1">
      <c r="A2665" s="186" t="str"/>
      <c r="B2665" s="124" t="n"/>
      <c r="C2665" s="124" t="n"/>
      <c r="D2665" s="115" t="n"/>
      <c r="E2665" s="124" t="n"/>
      <c r="F2665" s="124" t="n"/>
      <c r="G2665" s="124" t="n"/>
      <c r="H2665" s="84" t="n"/>
      <c r="I2665" s="7" t="n"/>
      <c r="J2665" s="32" t="n"/>
      <c r="K2665" s="24" t="n"/>
      <c r="L2665" s="36" t="n"/>
      <c r="M2665" s="204" t="n"/>
      <c r="N2665" s="177" t="n"/>
      <c r="O2665" s="13" t="n"/>
      <c r="P2665" s="139" t="n"/>
      <c r="Q2665" s="2" t="n"/>
      <c r="R2665" s="1" t="n"/>
      <c r="S2665" s="229">
        <f>M2665*N2665</f>
        <v/>
      </c>
      <c r="T2665" s="230">
        <f>CONCATENATE(S2665,Q2665,P2665)</f>
        <v/>
      </c>
      <c r="U2665" s="206">
        <f>L2665*M2665</f>
        <v/>
      </c>
      <c r="V2665" s="4" t="n"/>
      <c r="W2665" s="4" t="n"/>
      <c r="X2665" s="4" t="n"/>
    </row>
    <row r="2666" ht="15.75" customHeight="1" thickBot="1">
      <c r="A2666" s="186" t="str"/>
      <c r="B2666" s="124" t="n"/>
      <c r="C2666" s="124" t="n"/>
      <c r="D2666" s="115" t="n"/>
      <c r="E2666" s="124" t="n"/>
      <c r="F2666" s="124" t="n"/>
      <c r="G2666" s="124" t="n"/>
      <c r="H2666" s="84" t="n"/>
      <c r="I2666" s="7" t="n"/>
      <c r="J2666" s="32" t="n"/>
      <c r="K2666" s="24" t="n"/>
      <c r="L2666" s="36" t="n"/>
      <c r="M2666" s="204" t="n"/>
      <c r="N2666" s="177" t="n"/>
      <c r="O2666" s="13" t="n"/>
      <c r="P2666" s="139" t="n"/>
      <c r="Q2666" s="2" t="n"/>
      <c r="R2666" s="1" t="n"/>
      <c r="S2666" s="229">
        <f>M2666*N2666</f>
        <v/>
      </c>
      <c r="T2666" s="230">
        <f>CONCATENATE(S2666,Q2666,P2666)</f>
        <v/>
      </c>
      <c r="U2666" s="206">
        <f>L2666*M2666</f>
        <v/>
      </c>
      <c r="V2666" s="4" t="n"/>
      <c r="W2666" s="4" t="n"/>
      <c r="X2666" s="4" t="n"/>
    </row>
    <row r="2667" ht="15.75" customHeight="1" thickBot="1">
      <c r="A2667" s="186" t="str"/>
      <c r="B2667" s="124" t="n"/>
      <c r="C2667" s="124" t="n"/>
      <c r="D2667" s="115" t="n"/>
      <c r="E2667" s="124" t="n"/>
      <c r="F2667" s="124" t="n"/>
      <c r="G2667" s="124" t="n"/>
      <c r="H2667" s="84" t="n"/>
      <c r="I2667" s="7" t="n"/>
      <c r="J2667" s="32" t="n"/>
      <c r="K2667" s="24" t="n"/>
      <c r="L2667" s="36" t="n"/>
      <c r="M2667" s="204" t="n"/>
      <c r="N2667" s="177" t="n"/>
      <c r="O2667" s="13" t="n"/>
      <c r="P2667" s="139" t="n"/>
      <c r="Q2667" s="2" t="n"/>
      <c r="R2667" s="1" t="n"/>
      <c r="S2667" s="229">
        <f>M2667*N2667</f>
        <v/>
      </c>
      <c r="T2667" s="230">
        <f>CONCATENATE(S2667,Q2667,P2667)</f>
        <v/>
      </c>
      <c r="U2667" s="206">
        <f>L2667*M2667</f>
        <v/>
      </c>
      <c r="V2667" s="4" t="n"/>
      <c r="W2667" s="4" t="n"/>
      <c r="X2667" s="4" t="n"/>
    </row>
    <row r="2668" ht="15.75" customHeight="1" thickBot="1">
      <c r="A2668" s="186" t="str"/>
      <c r="B2668" s="124" t="n"/>
      <c r="C2668" s="124" t="n"/>
      <c r="D2668" s="115" t="n"/>
      <c r="E2668" s="124" t="n"/>
      <c r="F2668" s="124" t="n"/>
      <c r="G2668" s="124" t="n"/>
      <c r="H2668" s="84" t="n"/>
      <c r="I2668" s="7" t="n"/>
      <c r="J2668" s="32" t="n"/>
      <c r="K2668" s="24" t="n"/>
      <c r="L2668" s="36" t="n"/>
      <c r="M2668" s="204" t="n"/>
      <c r="N2668" s="177" t="n"/>
      <c r="O2668" s="13" t="n"/>
      <c r="P2668" s="139" t="n"/>
      <c r="Q2668" s="2" t="n"/>
      <c r="R2668" s="1" t="n"/>
      <c r="S2668" s="229">
        <f>M2668*N2668</f>
        <v/>
      </c>
      <c r="T2668" s="230">
        <f>CONCATENATE(S2668,Q2668,P2668)</f>
        <v/>
      </c>
      <c r="U2668" s="206">
        <f>L2668*M2668</f>
        <v/>
      </c>
      <c r="V2668" s="4" t="n"/>
      <c r="W2668" s="4" t="n"/>
      <c r="X2668" s="4" t="n"/>
    </row>
    <row r="2669" ht="15.75" customHeight="1" thickBot="1">
      <c r="A2669" s="186" t="str"/>
      <c r="B2669" s="124" t="n"/>
      <c r="C2669" s="124" t="n"/>
      <c r="D2669" s="115" t="n"/>
      <c r="E2669" s="124" t="n"/>
      <c r="F2669" s="124" t="n"/>
      <c r="G2669" s="124" t="n"/>
      <c r="H2669" s="84" t="n"/>
      <c r="I2669" s="7" t="n"/>
      <c r="J2669" s="32" t="n"/>
      <c r="K2669" s="24" t="n"/>
      <c r="L2669" s="36" t="n"/>
      <c r="M2669" s="204" t="n"/>
      <c r="N2669" s="177" t="n"/>
      <c r="O2669" s="13" t="n"/>
      <c r="P2669" s="139" t="n"/>
      <c r="Q2669" s="2" t="n"/>
      <c r="R2669" s="1" t="n"/>
      <c r="S2669" s="229">
        <f>M2669*N2669</f>
        <v/>
      </c>
      <c r="T2669" s="230">
        <f>CONCATENATE(S2669,Q2669,P2669)</f>
        <v/>
      </c>
      <c r="U2669" s="206">
        <f>L2669*M2669</f>
        <v/>
      </c>
      <c r="V2669" s="4" t="n"/>
      <c r="W2669" s="4" t="n"/>
      <c r="X2669" s="4" t="n"/>
    </row>
    <row r="2670" ht="15.75" customHeight="1" thickBot="1">
      <c r="A2670" s="186" t="str"/>
      <c r="B2670" s="124" t="n"/>
      <c r="C2670" s="124" t="n"/>
      <c r="D2670" s="115" t="n"/>
      <c r="E2670" s="124" t="n"/>
      <c r="F2670" s="124" t="n"/>
      <c r="G2670" s="124" t="n"/>
      <c r="H2670" s="84" t="n"/>
      <c r="I2670" s="7" t="n"/>
      <c r="J2670" s="32" t="n"/>
      <c r="K2670" s="24" t="n"/>
      <c r="L2670" s="36" t="n"/>
      <c r="M2670" s="204" t="n"/>
      <c r="N2670" s="177" t="n"/>
      <c r="O2670" s="13" t="n"/>
      <c r="P2670" s="139" t="n"/>
      <c r="Q2670" s="2" t="n"/>
      <c r="R2670" s="1" t="n"/>
      <c r="S2670" s="229">
        <f>M2670*N2670</f>
        <v/>
      </c>
      <c r="T2670" s="230">
        <f>CONCATENATE(S2670,Q2670,P2670)</f>
        <v/>
      </c>
      <c r="U2670" s="206">
        <f>L2670*M2670</f>
        <v/>
      </c>
      <c r="V2670" s="4" t="n"/>
      <c r="W2670" s="4" t="n"/>
      <c r="X2670" s="4" t="n"/>
    </row>
    <row r="2671" ht="15.75" customHeight="1" thickBot="1">
      <c r="A2671" s="186" t="str"/>
      <c r="B2671" s="124" t="n"/>
      <c r="C2671" s="124" t="n"/>
      <c r="D2671" s="115" t="n"/>
      <c r="E2671" s="124" t="n"/>
      <c r="F2671" s="124" t="n"/>
      <c r="G2671" s="124" t="n"/>
      <c r="H2671" s="84" t="n"/>
      <c r="I2671" s="7" t="n"/>
      <c r="J2671" s="32" t="n"/>
      <c r="K2671" s="24" t="n"/>
      <c r="L2671" s="36" t="n"/>
      <c r="M2671" s="204" t="n"/>
      <c r="N2671" s="177" t="n"/>
      <c r="O2671" s="13" t="n"/>
      <c r="P2671" s="139" t="n"/>
      <c r="Q2671" s="2" t="n"/>
      <c r="R2671" s="1" t="n"/>
      <c r="S2671" s="229">
        <f>M2671*N2671</f>
        <v/>
      </c>
      <c r="T2671" s="230">
        <f>CONCATENATE(S2671,Q2671,P2671)</f>
        <v/>
      </c>
      <c r="U2671" s="206">
        <f>L2671*M2671</f>
        <v/>
      </c>
      <c r="V2671" s="4" t="n"/>
      <c r="W2671" s="4" t="n"/>
      <c r="X2671" s="4" t="n"/>
    </row>
    <row r="2672" ht="15.75" customHeight="1" thickBot="1">
      <c r="A2672" s="186" t="str"/>
      <c r="B2672" s="124" t="n"/>
      <c r="C2672" s="124" t="n"/>
      <c r="D2672" s="115" t="n"/>
      <c r="E2672" s="124" t="n"/>
      <c r="F2672" s="124" t="n"/>
      <c r="G2672" s="124" t="n"/>
      <c r="H2672" s="84" t="n"/>
      <c r="I2672" s="7" t="n"/>
      <c r="J2672" s="32" t="n"/>
      <c r="K2672" s="24" t="n"/>
      <c r="L2672" s="36" t="n"/>
      <c r="M2672" s="204" t="n"/>
      <c r="N2672" s="177" t="n"/>
      <c r="O2672" s="13" t="n"/>
      <c r="P2672" s="139" t="n"/>
      <c r="Q2672" s="2" t="n"/>
      <c r="R2672" s="1" t="n"/>
      <c r="S2672" s="229">
        <f>M2672*N2672</f>
        <v/>
      </c>
      <c r="T2672" s="230">
        <f>CONCATENATE(S2672,Q2672,P2672)</f>
        <v/>
      </c>
      <c r="U2672" s="206">
        <f>L2672*M2672</f>
        <v/>
      </c>
      <c r="V2672" s="4" t="n"/>
      <c r="W2672" s="4" t="n"/>
      <c r="X2672" s="4" t="n"/>
    </row>
    <row r="2673" ht="15.75" customHeight="1" thickBot="1">
      <c r="A2673" s="186" t="str"/>
      <c r="B2673" s="124" t="n"/>
      <c r="C2673" s="124" t="n"/>
      <c r="D2673" s="115" t="n"/>
      <c r="E2673" s="124" t="n"/>
      <c r="F2673" s="124" t="n"/>
      <c r="G2673" s="124" t="n"/>
      <c r="H2673" s="84" t="n"/>
      <c r="I2673" s="7" t="n"/>
      <c r="J2673" s="32" t="n"/>
      <c r="K2673" s="24" t="n"/>
      <c r="L2673" s="36" t="n"/>
      <c r="M2673" s="204" t="n"/>
      <c r="N2673" s="177" t="n"/>
      <c r="O2673" s="13" t="n"/>
      <c r="P2673" s="139" t="n"/>
      <c r="Q2673" s="2" t="n"/>
      <c r="R2673" s="1" t="n"/>
      <c r="S2673" s="229">
        <f>M2673*N2673</f>
        <v/>
      </c>
      <c r="T2673" s="230">
        <f>CONCATENATE(S2673,Q2673,P2673)</f>
        <v/>
      </c>
      <c r="U2673" s="206">
        <f>L2673*M2673</f>
        <v/>
      </c>
      <c r="V2673" s="4" t="n"/>
      <c r="W2673" s="4" t="n"/>
      <c r="X2673" s="4" t="n"/>
    </row>
    <row r="2674" ht="15.75" customHeight="1" thickBot="1">
      <c r="A2674" s="186" t="str"/>
      <c r="B2674" s="124" t="n"/>
      <c r="C2674" s="124" t="n"/>
      <c r="D2674" s="115" t="n"/>
      <c r="E2674" s="124" t="n"/>
      <c r="F2674" s="124" t="n"/>
      <c r="G2674" s="124" t="n"/>
      <c r="H2674" s="84" t="n"/>
      <c r="I2674" s="7" t="n"/>
      <c r="J2674" s="32" t="n"/>
      <c r="K2674" s="24" t="n"/>
      <c r="L2674" s="36" t="n"/>
      <c r="M2674" s="204" t="n"/>
      <c r="N2674" s="177" t="n"/>
      <c r="O2674" s="13" t="n"/>
      <c r="P2674" s="139" t="n"/>
      <c r="Q2674" s="2" t="n"/>
      <c r="R2674" s="1" t="n"/>
      <c r="S2674" s="229">
        <f>M2674*N2674</f>
        <v/>
      </c>
      <c r="T2674" s="230">
        <f>CONCATENATE(S2674,Q2674,P2674)</f>
        <v/>
      </c>
      <c r="U2674" s="206">
        <f>L2674*M2674</f>
        <v/>
      </c>
      <c r="V2674" s="4" t="n"/>
      <c r="W2674" s="4" t="n"/>
      <c r="X2674" s="4" t="n"/>
    </row>
    <row r="2675" ht="15.75" customHeight="1" thickBot="1">
      <c r="A2675" s="186" t="str"/>
      <c r="B2675" s="124" t="n"/>
      <c r="C2675" s="124" t="n"/>
      <c r="D2675" s="115" t="n"/>
      <c r="E2675" s="124" t="n"/>
      <c r="F2675" s="124" t="n"/>
      <c r="G2675" s="124" t="n"/>
      <c r="H2675" s="84" t="n"/>
      <c r="I2675" s="7" t="n"/>
      <c r="J2675" s="32" t="n"/>
      <c r="K2675" s="24" t="n"/>
      <c r="L2675" s="36" t="n"/>
      <c r="M2675" s="204" t="n"/>
      <c r="N2675" s="177" t="n"/>
      <c r="O2675" s="13" t="n"/>
      <c r="P2675" s="139" t="n"/>
      <c r="Q2675" s="2" t="n"/>
      <c r="R2675" s="1" t="n"/>
      <c r="S2675" s="229">
        <f>M2675*N2675</f>
        <v/>
      </c>
      <c r="T2675" s="230">
        <f>CONCATENATE(S2675,Q2675,P2675)</f>
        <v/>
      </c>
      <c r="U2675" s="206">
        <f>L2675*M2675</f>
        <v/>
      </c>
      <c r="V2675" s="4" t="n"/>
      <c r="W2675" s="4" t="n"/>
      <c r="X2675" s="4" t="n"/>
    </row>
    <row r="2676" ht="15.75" customHeight="1" thickBot="1">
      <c r="A2676" s="186" t="str"/>
      <c r="B2676" s="124" t="n"/>
      <c r="C2676" s="124" t="n"/>
      <c r="D2676" s="115" t="n"/>
      <c r="E2676" s="124" t="n"/>
      <c r="F2676" s="124" t="n"/>
      <c r="G2676" s="124" t="n"/>
      <c r="H2676" s="84" t="n"/>
      <c r="I2676" s="7" t="n"/>
      <c r="J2676" s="32" t="n"/>
      <c r="K2676" s="24" t="n"/>
      <c r="L2676" s="36" t="n"/>
      <c r="M2676" s="204" t="n"/>
      <c r="N2676" s="177" t="n"/>
      <c r="O2676" s="13" t="n"/>
      <c r="P2676" s="139" t="n"/>
      <c r="Q2676" s="2" t="n"/>
      <c r="R2676" s="1" t="n"/>
      <c r="S2676" s="229">
        <f>M2676*N2676</f>
        <v/>
      </c>
      <c r="T2676" s="230">
        <f>CONCATENATE(S2676,Q2676,P2676)</f>
        <v/>
      </c>
      <c r="U2676" s="206">
        <f>L2676*M2676</f>
        <v/>
      </c>
      <c r="V2676" s="4" t="n"/>
      <c r="W2676" s="4" t="n"/>
      <c r="X2676" s="4" t="n"/>
    </row>
    <row r="2677" ht="15.75" customHeight="1" thickBot="1">
      <c r="A2677" s="186" t="str"/>
      <c r="B2677" s="124" t="n"/>
      <c r="C2677" s="124" t="n"/>
      <c r="D2677" s="115" t="n"/>
      <c r="E2677" s="124" t="n"/>
      <c r="F2677" s="124" t="n"/>
      <c r="G2677" s="124" t="n"/>
      <c r="H2677" s="84" t="n"/>
      <c r="I2677" s="7" t="n"/>
      <c r="J2677" s="32" t="n"/>
      <c r="K2677" s="24" t="n"/>
      <c r="L2677" s="36" t="n"/>
      <c r="M2677" s="204" t="n"/>
      <c r="N2677" s="177" t="n"/>
      <c r="O2677" s="13" t="n"/>
      <c r="P2677" s="139" t="n"/>
      <c r="Q2677" s="2" t="n"/>
      <c r="R2677" s="1" t="n"/>
      <c r="S2677" s="229">
        <f>M2677*N2677</f>
        <v/>
      </c>
      <c r="T2677" s="230">
        <f>CONCATENATE(S2677,Q2677,P2677)</f>
        <v/>
      </c>
      <c r="U2677" s="206">
        <f>L2677*M2677</f>
        <v/>
      </c>
      <c r="V2677" s="4" t="n"/>
      <c r="W2677" s="4" t="n"/>
      <c r="X2677" s="4" t="n"/>
    </row>
    <row r="2678" ht="15.75" customHeight="1" thickBot="1">
      <c r="A2678" s="186" t="str"/>
      <c r="B2678" s="124" t="n"/>
      <c r="C2678" s="124" t="n"/>
      <c r="D2678" s="115" t="n"/>
      <c r="E2678" s="124" t="n"/>
      <c r="F2678" s="124" t="n"/>
      <c r="G2678" s="124" t="n"/>
      <c r="H2678" s="84" t="n"/>
      <c r="I2678" s="7" t="n"/>
      <c r="J2678" s="32" t="n"/>
      <c r="K2678" s="24" t="n"/>
      <c r="L2678" s="36" t="n"/>
      <c r="M2678" s="204" t="n"/>
      <c r="N2678" s="177" t="n"/>
      <c r="O2678" s="13" t="n"/>
      <c r="P2678" s="139" t="n"/>
      <c r="Q2678" s="2" t="n"/>
      <c r="R2678" s="1" t="n"/>
      <c r="S2678" s="229">
        <f>M2678*N2678</f>
        <v/>
      </c>
      <c r="T2678" s="230">
        <f>CONCATENATE(S2678,Q2678,P2678)</f>
        <v/>
      </c>
      <c r="U2678" s="206">
        <f>L2678*M2678</f>
        <v/>
      </c>
      <c r="V2678" s="4" t="n"/>
      <c r="W2678" s="4" t="n"/>
      <c r="X2678" s="4" t="n"/>
    </row>
    <row r="2679" ht="15.75" customHeight="1" thickBot="1">
      <c r="A2679" s="186" t="str"/>
      <c r="B2679" s="124" t="n"/>
      <c r="C2679" s="124" t="n"/>
      <c r="D2679" s="115" t="n"/>
      <c r="E2679" s="124" t="n"/>
      <c r="F2679" s="124" t="n"/>
      <c r="G2679" s="124" t="n"/>
      <c r="H2679" s="84" t="n"/>
      <c r="I2679" s="7" t="n"/>
      <c r="J2679" s="32" t="n"/>
      <c r="K2679" s="24" t="n"/>
      <c r="L2679" s="36" t="n"/>
      <c r="M2679" s="204" t="n"/>
      <c r="N2679" s="177" t="n"/>
      <c r="O2679" s="13" t="n"/>
      <c r="P2679" s="139" t="n"/>
      <c r="Q2679" s="2" t="n"/>
      <c r="R2679" s="1" t="n"/>
      <c r="S2679" s="229">
        <f>M2679*N2679</f>
        <v/>
      </c>
      <c r="T2679" s="230">
        <f>CONCATENATE(S2679,Q2679,P2679)</f>
        <v/>
      </c>
      <c r="U2679" s="206">
        <f>L2679*M2679</f>
        <v/>
      </c>
      <c r="V2679" s="4" t="n"/>
      <c r="W2679" s="4" t="n"/>
      <c r="X2679" s="4" t="n"/>
    </row>
    <row r="2680" ht="15.75" customHeight="1" thickBot="1">
      <c r="A2680" s="186" t="str"/>
      <c r="B2680" s="124" t="n"/>
      <c r="C2680" s="124" t="n"/>
      <c r="D2680" s="115" t="n"/>
      <c r="E2680" s="124" t="n"/>
      <c r="F2680" s="124" t="n"/>
      <c r="G2680" s="124" t="n"/>
      <c r="H2680" s="84" t="n"/>
      <c r="I2680" s="7" t="n"/>
      <c r="J2680" s="32" t="n"/>
      <c r="K2680" s="24" t="n"/>
      <c r="L2680" s="36" t="n"/>
      <c r="M2680" s="204" t="n"/>
      <c r="N2680" s="177" t="n"/>
      <c r="O2680" s="13" t="n"/>
      <c r="P2680" s="139" t="n"/>
      <c r="Q2680" s="2" t="n"/>
      <c r="R2680" s="1" t="n"/>
      <c r="S2680" s="229">
        <f>M2680*N2680</f>
        <v/>
      </c>
      <c r="T2680" s="230">
        <f>CONCATENATE(S2680,Q2680,P2680)</f>
        <v/>
      </c>
      <c r="U2680" s="206">
        <f>L2680*M2680</f>
        <v/>
      </c>
      <c r="V2680" s="4" t="n"/>
      <c r="W2680" s="4" t="n"/>
      <c r="X2680" s="4" t="n"/>
    </row>
    <row r="2681" ht="15.75" customHeight="1" thickBot="1">
      <c r="A2681" s="186" t="str"/>
      <c r="B2681" s="124" t="n"/>
      <c r="C2681" s="124" t="n"/>
      <c r="D2681" s="115" t="n"/>
      <c r="E2681" s="124" t="n"/>
      <c r="F2681" s="124" t="n"/>
      <c r="G2681" s="124" t="n"/>
      <c r="H2681" s="84" t="n"/>
      <c r="I2681" s="7" t="n"/>
      <c r="J2681" s="32" t="n"/>
      <c r="K2681" s="24" t="n"/>
      <c r="L2681" s="36" t="n"/>
      <c r="M2681" s="204" t="n"/>
      <c r="N2681" s="177" t="n"/>
      <c r="O2681" s="13" t="n"/>
      <c r="P2681" s="139" t="n"/>
      <c r="Q2681" s="2" t="n"/>
      <c r="R2681" s="1" t="n"/>
      <c r="S2681" s="229">
        <f>M2681*N2681</f>
        <v/>
      </c>
      <c r="T2681" s="230">
        <f>CONCATENATE(S2681,Q2681,P2681)</f>
        <v/>
      </c>
      <c r="U2681" s="206">
        <f>L2681*M2681</f>
        <v/>
      </c>
      <c r="V2681" s="4" t="n"/>
      <c r="W2681" s="4" t="n"/>
      <c r="X2681" s="4" t="n"/>
    </row>
    <row r="2682" ht="15.75" customHeight="1" thickBot="1">
      <c r="A2682" s="186" t="str"/>
      <c r="B2682" s="124" t="n"/>
      <c r="C2682" s="124" t="n"/>
      <c r="D2682" s="115" t="n"/>
      <c r="E2682" s="124" t="n"/>
      <c r="F2682" s="124" t="n"/>
      <c r="G2682" s="124" t="n"/>
      <c r="H2682" s="84" t="n"/>
      <c r="I2682" s="7" t="n"/>
      <c r="J2682" s="32" t="n"/>
      <c r="K2682" s="24" t="n"/>
      <c r="L2682" s="36" t="n"/>
      <c r="M2682" s="204" t="n"/>
      <c r="N2682" s="177" t="n"/>
      <c r="O2682" s="13" t="n"/>
      <c r="P2682" s="139" t="n"/>
      <c r="Q2682" s="2" t="n"/>
      <c r="R2682" s="1" t="n"/>
      <c r="S2682" s="229">
        <f>M2682*N2682</f>
        <v/>
      </c>
      <c r="T2682" s="230">
        <f>CONCATENATE(S2682,Q2682,P2682)</f>
        <v/>
      </c>
      <c r="U2682" s="206">
        <f>L2682*M2682</f>
        <v/>
      </c>
      <c r="V2682" s="4" t="n"/>
      <c r="W2682" s="4" t="n"/>
      <c r="X2682" s="4" t="n"/>
    </row>
    <row r="2683" ht="15.75" customHeight="1" thickBot="1">
      <c r="A2683" s="186" t="str"/>
      <c r="B2683" s="124" t="n"/>
      <c r="C2683" s="124" t="n"/>
      <c r="D2683" s="115" t="n"/>
      <c r="E2683" s="124" t="n"/>
      <c r="F2683" s="124" t="n"/>
      <c r="G2683" s="124" t="n"/>
      <c r="H2683" s="84" t="n"/>
      <c r="I2683" s="7" t="n"/>
      <c r="J2683" s="32" t="n"/>
      <c r="K2683" s="24" t="n"/>
      <c r="L2683" s="36" t="n"/>
      <c r="M2683" s="204" t="n"/>
      <c r="N2683" s="177" t="n"/>
      <c r="O2683" s="13" t="n"/>
      <c r="P2683" s="139" t="n"/>
      <c r="Q2683" s="2" t="n"/>
      <c r="R2683" s="1" t="n"/>
      <c r="S2683" s="229">
        <f>M2683*N2683</f>
        <v/>
      </c>
      <c r="T2683" s="230">
        <f>CONCATENATE(S2683,Q2683,P2683)</f>
        <v/>
      </c>
      <c r="U2683" s="206">
        <f>L2683*M2683</f>
        <v/>
      </c>
      <c r="V2683" s="4" t="n"/>
      <c r="W2683" s="4" t="n"/>
      <c r="X2683" s="4" t="n"/>
    </row>
    <row r="2684" ht="15.75" customHeight="1" thickBot="1">
      <c r="A2684" s="186" t="str"/>
      <c r="B2684" s="124" t="n"/>
      <c r="C2684" s="124" t="n"/>
      <c r="D2684" s="115" t="n"/>
      <c r="E2684" s="124" t="n"/>
      <c r="F2684" s="124" t="n"/>
      <c r="G2684" s="124" t="n"/>
      <c r="H2684" s="84" t="n"/>
      <c r="I2684" s="7" t="n"/>
      <c r="J2684" s="32" t="n"/>
      <c r="K2684" s="24" t="n"/>
      <c r="L2684" s="36" t="n"/>
      <c r="M2684" s="204" t="n"/>
      <c r="N2684" s="177" t="n"/>
      <c r="O2684" s="13" t="n"/>
      <c r="P2684" s="139" t="n"/>
      <c r="Q2684" s="2" t="n"/>
      <c r="R2684" s="1" t="n"/>
      <c r="S2684" s="229">
        <f>M2684*N2684</f>
        <v/>
      </c>
      <c r="T2684" s="230">
        <f>CONCATENATE(S2684,Q2684,P2684)</f>
        <v/>
      </c>
      <c r="U2684" s="206">
        <f>L2684*M2684</f>
        <v/>
      </c>
      <c r="V2684" s="4" t="n"/>
      <c r="W2684" s="4" t="n"/>
      <c r="X2684" s="4" t="n"/>
    </row>
    <row r="2685" ht="15.75" customHeight="1" thickBot="1">
      <c r="A2685" s="186" t="str"/>
      <c r="B2685" s="124" t="n"/>
      <c r="C2685" s="124" t="n"/>
      <c r="D2685" s="115" t="n"/>
      <c r="E2685" s="124" t="n"/>
      <c r="F2685" s="124" t="n"/>
      <c r="G2685" s="124" t="n"/>
      <c r="H2685" s="84" t="n"/>
      <c r="I2685" s="7" t="n"/>
      <c r="J2685" s="32" t="n"/>
      <c r="K2685" s="24" t="n"/>
      <c r="L2685" s="36" t="n"/>
      <c r="M2685" s="204" t="n"/>
      <c r="N2685" s="177" t="n"/>
      <c r="O2685" s="13" t="n"/>
      <c r="P2685" s="139" t="n"/>
      <c r="Q2685" s="2" t="n"/>
      <c r="R2685" s="1" t="n"/>
      <c r="S2685" s="229">
        <f>M2685*N2685</f>
        <v/>
      </c>
      <c r="T2685" s="230">
        <f>CONCATENATE(S2685,Q2685,P2685)</f>
        <v/>
      </c>
      <c r="U2685" s="206">
        <f>L2685*M2685</f>
        <v/>
      </c>
      <c r="V2685" s="4" t="n"/>
      <c r="W2685" s="4" t="n"/>
      <c r="X2685" s="4" t="n"/>
    </row>
    <row r="2686" ht="15.75" customHeight="1" thickBot="1">
      <c r="A2686" s="186" t="str"/>
      <c r="B2686" s="124" t="n"/>
      <c r="C2686" s="124" t="n"/>
      <c r="D2686" s="115" t="n"/>
      <c r="E2686" s="124" t="n"/>
      <c r="F2686" s="124" t="n"/>
      <c r="G2686" s="124" t="n"/>
      <c r="H2686" s="84" t="n"/>
      <c r="I2686" s="7" t="n"/>
      <c r="J2686" s="32" t="n"/>
      <c r="K2686" s="24" t="n"/>
      <c r="L2686" s="36" t="n"/>
      <c r="M2686" s="204" t="n"/>
      <c r="N2686" s="177" t="n"/>
      <c r="O2686" s="13" t="n"/>
      <c r="P2686" s="139" t="n"/>
      <c r="Q2686" s="2" t="n"/>
      <c r="R2686" s="1" t="n"/>
      <c r="S2686" s="229">
        <f>M2686*N2686</f>
        <v/>
      </c>
      <c r="T2686" s="230">
        <f>CONCATENATE(S2686,Q2686,P2686)</f>
        <v/>
      </c>
      <c r="U2686" s="206">
        <f>L2686*M2686</f>
        <v/>
      </c>
      <c r="V2686" s="4" t="n"/>
      <c r="W2686" s="4" t="n"/>
      <c r="X2686" s="4" t="n"/>
    </row>
    <row r="2687" ht="15.75" customHeight="1" thickBot="1">
      <c r="A2687" s="186" t="str"/>
      <c r="B2687" s="124" t="n"/>
      <c r="C2687" s="124" t="n"/>
      <c r="D2687" s="115" t="n"/>
      <c r="E2687" s="124" t="n"/>
      <c r="F2687" s="124" t="n"/>
      <c r="G2687" s="124" t="n"/>
      <c r="H2687" s="84" t="n"/>
      <c r="I2687" s="7" t="n"/>
      <c r="J2687" s="32" t="n"/>
      <c r="K2687" s="24" t="n"/>
      <c r="L2687" s="36" t="n"/>
      <c r="M2687" s="204" t="n"/>
      <c r="N2687" s="177" t="n"/>
      <c r="O2687" s="13" t="n"/>
      <c r="P2687" s="139" t="n"/>
      <c r="Q2687" s="2" t="n"/>
      <c r="R2687" s="1" t="n"/>
      <c r="S2687" s="229">
        <f>M2687*N2687</f>
        <v/>
      </c>
      <c r="T2687" s="230">
        <f>CONCATENATE(S2687,Q2687,P2687)</f>
        <v/>
      </c>
      <c r="U2687" s="206">
        <f>L2687*M2687</f>
        <v/>
      </c>
      <c r="V2687" s="4" t="n"/>
      <c r="W2687" s="4" t="n"/>
      <c r="X2687" s="4" t="n"/>
    </row>
    <row r="2688" ht="15.75" customHeight="1" thickBot="1">
      <c r="A2688" s="186" t="str"/>
      <c r="B2688" s="124" t="n"/>
      <c r="C2688" s="124" t="n"/>
      <c r="D2688" s="115" t="n"/>
      <c r="E2688" s="124" t="n"/>
      <c r="F2688" s="124" t="n"/>
      <c r="G2688" s="124" t="n"/>
      <c r="H2688" s="84" t="n"/>
      <c r="I2688" s="7" t="n"/>
      <c r="J2688" s="32" t="n"/>
      <c r="K2688" s="24" t="n"/>
      <c r="L2688" s="36" t="n"/>
      <c r="M2688" s="204" t="n"/>
      <c r="N2688" s="177" t="n"/>
      <c r="O2688" s="13" t="n"/>
      <c r="P2688" s="139" t="n"/>
      <c r="Q2688" s="2" t="n"/>
      <c r="R2688" s="1" t="n"/>
      <c r="S2688" s="229">
        <f>M2688*N2688</f>
        <v/>
      </c>
      <c r="T2688" s="230">
        <f>CONCATENATE(S2688,Q2688,P2688)</f>
        <v/>
      </c>
      <c r="U2688" s="206">
        <f>L2688*M2688</f>
        <v/>
      </c>
      <c r="V2688" s="4" t="n"/>
      <c r="W2688" s="4" t="n"/>
      <c r="X2688" s="4" t="n"/>
    </row>
    <row r="2689" ht="15.75" customHeight="1" thickBot="1">
      <c r="A2689" s="186" t="str"/>
      <c r="B2689" s="124" t="n"/>
      <c r="C2689" s="124" t="n"/>
      <c r="D2689" s="115" t="n"/>
      <c r="E2689" s="124" t="n"/>
      <c r="F2689" s="124" t="n"/>
      <c r="G2689" s="124" t="n"/>
      <c r="H2689" s="84" t="n"/>
      <c r="I2689" s="7" t="n"/>
      <c r="J2689" s="32" t="n"/>
      <c r="K2689" s="24" t="n"/>
      <c r="L2689" s="36" t="n"/>
      <c r="M2689" s="204" t="n"/>
      <c r="N2689" s="177" t="n"/>
      <c r="O2689" s="13" t="n"/>
      <c r="P2689" s="139" t="n"/>
      <c r="Q2689" s="2" t="n"/>
      <c r="R2689" s="1" t="n"/>
      <c r="S2689" s="229">
        <f>M2689*N2689</f>
        <v/>
      </c>
      <c r="T2689" s="230">
        <f>CONCATENATE(S2689,Q2689,P2689)</f>
        <v/>
      </c>
      <c r="U2689" s="206">
        <f>L2689*M2689</f>
        <v/>
      </c>
      <c r="V2689" s="4" t="n"/>
      <c r="W2689" s="4" t="n"/>
      <c r="X2689" s="4" t="n"/>
    </row>
    <row r="2690" ht="15.75" customHeight="1" thickBot="1">
      <c r="A2690" s="186" t="str"/>
      <c r="B2690" s="124" t="n"/>
      <c r="C2690" s="124" t="n"/>
      <c r="D2690" s="115" t="n"/>
      <c r="E2690" s="124" t="n"/>
      <c r="F2690" s="124" t="n"/>
      <c r="G2690" s="124" t="n"/>
      <c r="H2690" s="84" t="n"/>
      <c r="I2690" s="7" t="n"/>
      <c r="J2690" s="32" t="n"/>
      <c r="K2690" s="24" t="n"/>
      <c r="L2690" s="36" t="n"/>
      <c r="M2690" s="204" t="n"/>
      <c r="N2690" s="177" t="n"/>
      <c r="O2690" s="13" t="n"/>
      <c r="P2690" s="139" t="n"/>
      <c r="Q2690" s="2" t="n"/>
      <c r="R2690" s="1" t="n"/>
      <c r="S2690" s="229">
        <f>M2690*N2690</f>
        <v/>
      </c>
      <c r="T2690" s="230">
        <f>CONCATENATE(S2690,Q2690,P2690)</f>
        <v/>
      </c>
      <c r="U2690" s="206">
        <f>L2690*M2690</f>
        <v/>
      </c>
      <c r="V2690" s="4" t="n"/>
      <c r="W2690" s="4" t="n"/>
      <c r="X2690" s="4" t="n"/>
    </row>
    <row r="2691" ht="15.75" customHeight="1" thickBot="1">
      <c r="A2691" s="186" t="str"/>
      <c r="B2691" s="124" t="n"/>
      <c r="C2691" s="124" t="n"/>
      <c r="D2691" s="115" t="n"/>
      <c r="E2691" s="124" t="n"/>
      <c r="F2691" s="124" t="n"/>
      <c r="G2691" s="124" t="n"/>
      <c r="H2691" s="84" t="n"/>
      <c r="I2691" s="7" t="n"/>
      <c r="J2691" s="32" t="n"/>
      <c r="K2691" s="24" t="n"/>
      <c r="L2691" s="36" t="n"/>
      <c r="M2691" s="204" t="n"/>
      <c r="N2691" s="177" t="n"/>
      <c r="O2691" s="13" t="n"/>
      <c r="P2691" s="139" t="n"/>
      <c r="Q2691" s="2" t="n"/>
      <c r="R2691" s="1" t="n"/>
      <c r="S2691" s="229">
        <f>M2691*N2691</f>
        <v/>
      </c>
      <c r="T2691" s="230">
        <f>CONCATENATE(S2691,Q2691,P2691)</f>
        <v/>
      </c>
      <c r="U2691" s="206">
        <f>L2691*M2691</f>
        <v/>
      </c>
      <c r="V2691" s="4" t="n"/>
      <c r="W2691" s="4" t="n"/>
      <c r="X2691" s="4" t="n"/>
    </row>
    <row r="2692" ht="15.75" customHeight="1" thickBot="1">
      <c r="A2692" s="186" t="str"/>
      <c r="B2692" s="124" t="n"/>
      <c r="C2692" s="124" t="n"/>
      <c r="D2692" s="115" t="n"/>
      <c r="E2692" s="124" t="n"/>
      <c r="F2692" s="124" t="n"/>
      <c r="G2692" s="124" t="n"/>
      <c r="H2692" s="84" t="n"/>
      <c r="I2692" s="7" t="n"/>
      <c r="J2692" s="32" t="n"/>
      <c r="K2692" s="24" t="n"/>
      <c r="L2692" s="36" t="n"/>
      <c r="M2692" s="204" t="n"/>
      <c r="N2692" s="177" t="n"/>
      <c r="O2692" s="13" t="n"/>
      <c r="P2692" s="139" t="n"/>
      <c r="Q2692" s="2" t="n"/>
      <c r="R2692" s="1" t="n"/>
      <c r="S2692" s="229">
        <f>M2692*N2692</f>
        <v/>
      </c>
      <c r="T2692" s="230">
        <f>CONCATENATE(S2692,Q2692,P2692)</f>
        <v/>
      </c>
      <c r="U2692" s="206">
        <f>L2692*M2692</f>
        <v/>
      </c>
      <c r="V2692" s="4" t="n"/>
      <c r="W2692" s="4" t="n"/>
      <c r="X2692" s="4" t="n"/>
    </row>
    <row r="2693" ht="15.75" customHeight="1" thickBot="1">
      <c r="A2693" s="186" t="str"/>
      <c r="B2693" s="124" t="n"/>
      <c r="C2693" s="124" t="n"/>
      <c r="D2693" s="115" t="n"/>
      <c r="E2693" s="124" t="n"/>
      <c r="F2693" s="124" t="n"/>
      <c r="G2693" s="124" t="n"/>
      <c r="H2693" s="84" t="n"/>
      <c r="I2693" s="7" t="n"/>
      <c r="J2693" s="32" t="n"/>
      <c r="K2693" s="24" t="n"/>
      <c r="L2693" s="36" t="n"/>
      <c r="M2693" s="204" t="n"/>
      <c r="N2693" s="177" t="n"/>
      <c r="O2693" s="13" t="n"/>
      <c r="P2693" s="139" t="n"/>
      <c r="Q2693" s="2" t="n"/>
      <c r="R2693" s="1" t="n"/>
      <c r="S2693" s="229">
        <f>M2693*N2693</f>
        <v/>
      </c>
      <c r="T2693" s="230">
        <f>CONCATENATE(S2693,Q2693,P2693)</f>
        <v/>
      </c>
      <c r="U2693" s="206">
        <f>L2693*M2693</f>
        <v/>
      </c>
      <c r="V2693" s="4" t="n"/>
      <c r="W2693" s="4" t="n"/>
      <c r="X2693" s="4" t="n"/>
    </row>
    <row r="2694" ht="15.75" customHeight="1" thickBot="1">
      <c r="A2694" s="186" t="str"/>
      <c r="B2694" s="124" t="n"/>
      <c r="C2694" s="124" t="n"/>
      <c r="D2694" s="115" t="n"/>
      <c r="E2694" s="124" t="n"/>
      <c r="F2694" s="124" t="n"/>
      <c r="G2694" s="124" t="n"/>
      <c r="H2694" s="84" t="n"/>
      <c r="I2694" s="7" t="n"/>
      <c r="J2694" s="32" t="n"/>
      <c r="K2694" s="24" t="n"/>
      <c r="L2694" s="36" t="n"/>
      <c r="M2694" s="204" t="n"/>
      <c r="N2694" s="177" t="n"/>
      <c r="O2694" s="13" t="n"/>
      <c r="P2694" s="139" t="n"/>
      <c r="Q2694" s="2" t="n"/>
      <c r="R2694" s="1" t="n"/>
      <c r="S2694" s="229">
        <f>M2694*N2694</f>
        <v/>
      </c>
      <c r="T2694" s="230">
        <f>CONCATENATE(S2694,Q2694,P2694)</f>
        <v/>
      </c>
      <c r="U2694" s="206">
        <f>L2694*M2694</f>
        <v/>
      </c>
      <c r="V2694" s="4" t="n"/>
      <c r="W2694" s="4" t="n"/>
      <c r="X2694" s="4" t="n"/>
    </row>
    <row r="2695" ht="15.75" customHeight="1" thickBot="1">
      <c r="A2695" s="186" t="str"/>
      <c r="B2695" s="124" t="n"/>
      <c r="C2695" s="124" t="n"/>
      <c r="D2695" s="115" t="n"/>
      <c r="E2695" s="124" t="n"/>
      <c r="F2695" s="124" t="n"/>
      <c r="G2695" s="124" t="n"/>
      <c r="H2695" s="84" t="n"/>
      <c r="I2695" s="7" t="n"/>
      <c r="J2695" s="32" t="n"/>
      <c r="K2695" s="24" t="n"/>
      <c r="L2695" s="36" t="n"/>
      <c r="M2695" s="204" t="n"/>
      <c r="N2695" s="177" t="n"/>
      <c r="O2695" s="13" t="n"/>
      <c r="P2695" s="139" t="n"/>
      <c r="Q2695" s="2" t="n"/>
      <c r="R2695" s="1" t="n"/>
      <c r="S2695" s="229">
        <f>M2695*N2695</f>
        <v/>
      </c>
      <c r="T2695" s="230">
        <f>CONCATENATE(S2695,Q2695,P2695)</f>
        <v/>
      </c>
      <c r="U2695" s="206">
        <f>L2695*M2695</f>
        <v/>
      </c>
      <c r="V2695" s="4" t="n"/>
      <c r="W2695" s="4" t="n"/>
      <c r="X2695" s="4" t="n"/>
    </row>
    <row r="2696" ht="15.75" customHeight="1" thickBot="1">
      <c r="A2696" s="186" t="str"/>
      <c r="B2696" s="124" t="n"/>
      <c r="C2696" s="124" t="n"/>
      <c r="D2696" s="115" t="n"/>
      <c r="E2696" s="124" t="n"/>
      <c r="F2696" s="124" t="n"/>
      <c r="G2696" s="124" t="n"/>
      <c r="H2696" s="84" t="n"/>
      <c r="I2696" s="7" t="n"/>
      <c r="J2696" s="32" t="n"/>
      <c r="K2696" s="24" t="n"/>
      <c r="L2696" s="36" t="n"/>
      <c r="M2696" s="204" t="n"/>
      <c r="N2696" s="177" t="n"/>
      <c r="O2696" s="13" t="n"/>
      <c r="P2696" s="139" t="n"/>
      <c r="Q2696" s="2" t="n"/>
      <c r="R2696" s="1" t="n"/>
      <c r="S2696" s="229">
        <f>M2696*N2696</f>
        <v/>
      </c>
      <c r="T2696" s="230">
        <f>CONCATENATE(S2696,Q2696,P2696)</f>
        <v/>
      </c>
      <c r="U2696" s="206">
        <f>L2696*M2696</f>
        <v/>
      </c>
      <c r="V2696" s="4" t="n"/>
      <c r="W2696" s="4" t="n"/>
      <c r="X2696" s="4" t="n"/>
    </row>
    <row r="2697" ht="15.75" customHeight="1" thickBot="1">
      <c r="A2697" s="186" t="str"/>
      <c r="B2697" s="124" t="n"/>
      <c r="C2697" s="124" t="n"/>
      <c r="D2697" s="115" t="n"/>
      <c r="E2697" s="124" t="n"/>
      <c r="F2697" s="124" t="n"/>
      <c r="G2697" s="124" t="n"/>
      <c r="H2697" s="84" t="n"/>
      <c r="I2697" s="7" t="n"/>
      <c r="J2697" s="32" t="n"/>
      <c r="K2697" s="24" t="n"/>
      <c r="L2697" s="36" t="n"/>
      <c r="M2697" s="204" t="n"/>
      <c r="N2697" s="177" t="n"/>
      <c r="O2697" s="13" t="n"/>
      <c r="P2697" s="139" t="n"/>
      <c r="Q2697" s="2" t="n"/>
      <c r="R2697" s="1" t="n"/>
      <c r="S2697" s="229">
        <f>M2697*N2697</f>
        <v/>
      </c>
      <c r="T2697" s="230">
        <f>CONCATENATE(S2697,Q2697,P2697)</f>
        <v/>
      </c>
      <c r="U2697" s="206">
        <f>L2697*M2697</f>
        <v/>
      </c>
      <c r="V2697" s="4" t="n"/>
      <c r="W2697" s="4" t="n"/>
      <c r="X2697" s="4" t="n"/>
    </row>
    <row r="2698" ht="15.75" customHeight="1" thickBot="1">
      <c r="A2698" s="186" t="str"/>
      <c r="B2698" s="124" t="n"/>
      <c r="C2698" s="124" t="n"/>
      <c r="D2698" s="115" t="n"/>
      <c r="E2698" s="124" t="n"/>
      <c r="F2698" s="124" t="n"/>
      <c r="G2698" s="124" t="n"/>
      <c r="H2698" s="84" t="n"/>
      <c r="I2698" s="7" t="n"/>
      <c r="J2698" s="32" t="n"/>
      <c r="K2698" s="24" t="n"/>
      <c r="L2698" s="36" t="n"/>
      <c r="M2698" s="204" t="n"/>
      <c r="N2698" s="177" t="n"/>
      <c r="O2698" s="13" t="n"/>
      <c r="P2698" s="139" t="n"/>
      <c r="Q2698" s="2" t="n"/>
      <c r="R2698" s="1" t="n"/>
      <c r="S2698" s="229">
        <f>M2698*N2698</f>
        <v/>
      </c>
      <c r="T2698" s="230">
        <f>CONCATENATE(S2698,Q2698,P2698)</f>
        <v/>
      </c>
      <c r="U2698" s="206">
        <f>L2698*M2698</f>
        <v/>
      </c>
      <c r="V2698" s="4" t="n"/>
      <c r="W2698" s="4" t="n"/>
      <c r="X2698" s="4" t="n"/>
    </row>
    <row r="2699" ht="15.75" customHeight="1" thickBot="1">
      <c r="A2699" s="186" t="str"/>
      <c r="B2699" s="124" t="n"/>
      <c r="C2699" s="124" t="n"/>
      <c r="D2699" s="115" t="n"/>
      <c r="E2699" s="124" t="n"/>
      <c r="F2699" s="124" t="n"/>
      <c r="G2699" s="124" t="n"/>
      <c r="H2699" s="84" t="n"/>
      <c r="I2699" s="7" t="n"/>
      <c r="J2699" s="32" t="n"/>
      <c r="K2699" s="24" t="n"/>
      <c r="L2699" s="36" t="n"/>
      <c r="M2699" s="204" t="n"/>
      <c r="N2699" s="177" t="n"/>
      <c r="O2699" s="13" t="n"/>
      <c r="P2699" s="139" t="n"/>
      <c r="Q2699" s="2" t="n"/>
      <c r="R2699" s="1" t="n"/>
      <c r="S2699" s="229">
        <f>M2699*N2699</f>
        <v/>
      </c>
      <c r="T2699" s="230">
        <f>CONCATENATE(S2699,Q2699,P2699)</f>
        <v/>
      </c>
      <c r="U2699" s="206">
        <f>L2699*M2699</f>
        <v/>
      </c>
      <c r="V2699" s="4" t="n"/>
      <c r="W2699" s="4" t="n"/>
      <c r="X2699" s="4" t="n"/>
    </row>
    <row r="2700" ht="15.75" customHeight="1" thickBot="1">
      <c r="A2700" s="186" t="str"/>
      <c r="B2700" s="124" t="n"/>
      <c r="C2700" s="124" t="n"/>
      <c r="D2700" s="115" t="n"/>
      <c r="E2700" s="124" t="n"/>
      <c r="F2700" s="124" t="n"/>
      <c r="G2700" s="124" t="n"/>
      <c r="H2700" s="84" t="n"/>
      <c r="I2700" s="7" t="n"/>
      <c r="J2700" s="32" t="n"/>
      <c r="K2700" s="24" t="n"/>
      <c r="L2700" s="36" t="n"/>
      <c r="M2700" s="204" t="n"/>
      <c r="N2700" s="177" t="n"/>
      <c r="O2700" s="13" t="n"/>
      <c r="P2700" s="139" t="n"/>
      <c r="Q2700" s="2" t="n"/>
      <c r="R2700" s="1" t="n"/>
      <c r="S2700" s="229">
        <f>M2700*N2700</f>
        <v/>
      </c>
      <c r="T2700" s="230">
        <f>CONCATENATE(S2700,Q2700,P2700)</f>
        <v/>
      </c>
      <c r="U2700" s="206">
        <f>L2700*M2700</f>
        <v/>
      </c>
      <c r="V2700" s="4" t="n"/>
      <c r="W2700" s="4" t="n"/>
      <c r="X2700" s="4" t="n"/>
    </row>
    <row r="2701" ht="15.75" customHeight="1" thickBot="1">
      <c r="A2701" s="186" t="str"/>
      <c r="B2701" s="124" t="n"/>
      <c r="C2701" s="124" t="n"/>
      <c r="D2701" s="115" t="n"/>
      <c r="E2701" s="124" t="n"/>
      <c r="F2701" s="124" t="n"/>
      <c r="G2701" s="124" t="n"/>
      <c r="H2701" s="84" t="n"/>
      <c r="I2701" s="7" t="n"/>
      <c r="J2701" s="32" t="n"/>
      <c r="K2701" s="24" t="n"/>
      <c r="L2701" s="36" t="n"/>
      <c r="M2701" s="204" t="n"/>
      <c r="N2701" s="177" t="n"/>
      <c r="O2701" s="13" t="n"/>
      <c r="P2701" s="139" t="n"/>
      <c r="Q2701" s="2" t="n"/>
      <c r="R2701" s="1" t="n"/>
      <c r="S2701" s="229">
        <f>M2701*N2701</f>
        <v/>
      </c>
      <c r="T2701" s="230">
        <f>CONCATENATE(S2701,Q2701,P2701)</f>
        <v/>
      </c>
      <c r="U2701" s="206">
        <f>L2701*M2701</f>
        <v/>
      </c>
      <c r="V2701" s="4" t="n"/>
      <c r="W2701" s="4" t="n"/>
      <c r="X2701" s="4" t="n"/>
    </row>
    <row r="2702" ht="15.75" customHeight="1" thickBot="1">
      <c r="A2702" s="186" t="str"/>
      <c r="B2702" s="124" t="n"/>
      <c r="C2702" s="124" t="n"/>
      <c r="D2702" s="115" t="n"/>
      <c r="E2702" s="124" t="n"/>
      <c r="F2702" s="124" t="n"/>
      <c r="G2702" s="124" t="n"/>
      <c r="H2702" s="84" t="n"/>
      <c r="I2702" s="7" t="n"/>
      <c r="J2702" s="32" t="n"/>
      <c r="K2702" s="24" t="n"/>
      <c r="L2702" s="36" t="n"/>
      <c r="M2702" s="204" t="n"/>
      <c r="N2702" s="177" t="n"/>
      <c r="O2702" s="13" t="n"/>
      <c r="P2702" s="139" t="n"/>
      <c r="Q2702" s="2" t="n"/>
      <c r="R2702" s="1" t="n"/>
      <c r="S2702" s="229">
        <f>M2702*N2702</f>
        <v/>
      </c>
      <c r="T2702" s="230">
        <f>CONCATENATE(S2702,Q2702,P2702)</f>
        <v/>
      </c>
      <c r="U2702" s="206">
        <f>L2702*M2702</f>
        <v/>
      </c>
      <c r="V2702" s="4" t="n"/>
      <c r="W2702" s="4" t="n"/>
      <c r="X2702" s="4" t="n"/>
    </row>
    <row r="2703" ht="15.75" customHeight="1" thickBot="1">
      <c r="A2703" s="186" t="str"/>
      <c r="B2703" s="124" t="n"/>
      <c r="C2703" s="124" t="n"/>
      <c r="D2703" s="115" t="n"/>
      <c r="E2703" s="124" t="n"/>
      <c r="F2703" s="124" t="n"/>
      <c r="G2703" s="124" t="n"/>
      <c r="H2703" s="84" t="n"/>
      <c r="I2703" s="7" t="n"/>
      <c r="J2703" s="32" t="n"/>
      <c r="K2703" s="24" t="n"/>
      <c r="L2703" s="36" t="n"/>
      <c r="M2703" s="204" t="n"/>
      <c r="N2703" s="177" t="n"/>
      <c r="O2703" s="13" t="n"/>
      <c r="P2703" s="139" t="n"/>
      <c r="Q2703" s="2" t="n"/>
      <c r="R2703" s="1" t="n"/>
      <c r="S2703" s="229">
        <f>M2703*N2703</f>
        <v/>
      </c>
      <c r="T2703" s="230">
        <f>CONCATENATE(S2703,Q2703,P2703)</f>
        <v/>
      </c>
      <c r="U2703" s="206">
        <f>L2703*M2703</f>
        <v/>
      </c>
      <c r="V2703" s="4" t="n"/>
      <c r="W2703" s="4" t="n"/>
      <c r="X2703" s="4" t="n"/>
    </row>
    <row r="2704" ht="15.75" customHeight="1" thickBot="1">
      <c r="A2704" s="186" t="str"/>
      <c r="B2704" s="124" t="n"/>
      <c r="C2704" s="124" t="n"/>
      <c r="D2704" s="115" t="n"/>
      <c r="E2704" s="124" t="n"/>
      <c r="F2704" s="124" t="n"/>
      <c r="G2704" s="124" t="n"/>
      <c r="H2704" s="84" t="n"/>
      <c r="I2704" s="7" t="n"/>
      <c r="J2704" s="32" t="n"/>
      <c r="K2704" s="24" t="n"/>
      <c r="L2704" s="36" t="n"/>
      <c r="M2704" s="204" t="n"/>
      <c r="N2704" s="177" t="n"/>
      <c r="O2704" s="13" t="n"/>
      <c r="P2704" s="139" t="n"/>
      <c r="Q2704" s="2" t="n"/>
      <c r="R2704" s="1" t="n"/>
      <c r="S2704" s="229">
        <f>M2704*N2704</f>
        <v/>
      </c>
      <c r="T2704" s="230">
        <f>CONCATENATE(S2704,Q2704,P2704)</f>
        <v/>
      </c>
      <c r="U2704" s="206">
        <f>L2704*M2704</f>
        <v/>
      </c>
      <c r="V2704" s="4" t="n"/>
      <c r="W2704" s="4" t="n"/>
      <c r="X2704" s="4" t="n"/>
    </row>
    <row r="2705" ht="15.75" customHeight="1" thickBot="1">
      <c r="A2705" s="186" t="str"/>
      <c r="B2705" s="124" t="n"/>
      <c r="C2705" s="124" t="n"/>
      <c r="D2705" s="115" t="n"/>
      <c r="E2705" s="124" t="n"/>
      <c r="F2705" s="124" t="n"/>
      <c r="G2705" s="124" t="n"/>
      <c r="H2705" s="84" t="n"/>
      <c r="I2705" s="7" t="n"/>
      <c r="J2705" s="32" t="n"/>
      <c r="K2705" s="24" t="n"/>
      <c r="L2705" s="36" t="n"/>
      <c r="M2705" s="204" t="n"/>
      <c r="N2705" s="177" t="n"/>
      <c r="O2705" s="13" t="n"/>
      <c r="P2705" s="139" t="n"/>
      <c r="Q2705" s="2" t="n"/>
      <c r="R2705" s="1" t="n"/>
      <c r="S2705" s="229">
        <f>M2705*N2705</f>
        <v/>
      </c>
      <c r="T2705" s="230">
        <f>CONCATENATE(S2705,Q2705,P2705)</f>
        <v/>
      </c>
      <c r="U2705" s="206">
        <f>L2705*M2705</f>
        <v/>
      </c>
      <c r="V2705" s="4" t="n"/>
      <c r="W2705" s="4" t="n"/>
      <c r="X2705" s="4" t="n"/>
    </row>
    <row r="2706" ht="15" customHeight="1">
      <c r="B2706" s="124" t="n"/>
      <c r="C2706" s="124" t="n"/>
      <c r="D2706" s="115" t="n"/>
      <c r="E2706" s="124" t="n"/>
      <c r="F2706" s="124" t="n"/>
      <c r="G2706" s="124" t="n"/>
      <c r="H2706" s="84" t="n"/>
      <c r="I2706" s="7" t="n"/>
      <c r="J2706" s="32" t="n"/>
      <c r="K2706" s="24" t="n"/>
      <c r="L2706" s="36" t="n"/>
      <c r="M2706" s="204" t="n"/>
      <c r="N2706" s="177" t="n"/>
      <c r="O2706" s="13" t="n"/>
      <c r="P2706" s="139" t="n"/>
      <c r="Q2706" s="2" t="n"/>
      <c r="R2706" s="1" t="n"/>
      <c r="S2706" s="229">
        <f>M2706*N2706</f>
        <v/>
      </c>
      <c r="T2706" s="230">
        <f>CONCATENATE(S2706,Q2706,P2706)</f>
        <v/>
      </c>
      <c r="U2706" s="206">
        <f>L2706*M2706</f>
        <v/>
      </c>
      <c r="V2706" s="4" t="n"/>
      <c r="W2706" s="4" t="n"/>
      <c r="X2706" s="4" t="n"/>
    </row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5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  <row r="3051" ht="15" customHeight="1"/>
    <row r="3052" ht="15" customHeight="1"/>
    <row r="3053" ht="15" customHeight="1"/>
    <row r="3054" ht="15" customHeight="1"/>
    <row r="3055" ht="15" customHeight="1"/>
    <row r="3056" ht="15" customHeight="1"/>
    <row r="3057" ht="15" customHeight="1"/>
    <row r="3058" ht="15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15" customHeight="1"/>
    <row r="3083" ht="15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096" ht="15" customHeight="1"/>
    <row r="3097" ht="15" customHeight="1"/>
    <row r="3098" ht="15" customHeight="1"/>
    <row r="3099" ht="15" customHeight="1"/>
    <row r="3100" ht="15" customHeight="1"/>
    <row r="3101" ht="15" customHeight="1"/>
    <row r="3102" ht="15" customHeight="1"/>
    <row r="3103" ht="15" customHeight="1"/>
    <row r="3104" ht="15" customHeight="1"/>
    <row r="3105" ht="15" customHeight="1"/>
    <row r="3106" ht="15" customHeight="1"/>
    <row r="3107" ht="15" customHeight="1"/>
    <row r="3108" ht="15" customHeight="1"/>
    <row r="3109" ht="15" customHeight="1"/>
    <row r="3110" ht="15" customHeight="1"/>
    <row r="3111" ht="15" customHeight="1"/>
    <row r="3112" ht="15" customHeight="1"/>
    <row r="3113" ht="15" customHeight="1"/>
    <row r="3114" ht="15" customHeight="1"/>
    <row r="3115" ht="15" customHeight="1"/>
    <row r="3116" ht="15" customHeight="1"/>
    <row r="3117" ht="15" customHeight="1"/>
    <row r="3118" ht="15" customHeight="1"/>
    <row r="3119" ht="15" customHeight="1"/>
    <row r="3120" ht="15" customHeight="1"/>
    <row r="3121" ht="15" customHeight="1"/>
    <row r="3122" ht="15" customHeight="1"/>
    <row r="3123" ht="15" customHeight="1"/>
    <row r="3124" ht="15" customHeight="1"/>
    <row r="3125" ht="15" customHeight="1"/>
    <row r="3126" ht="15" customHeight="1"/>
    <row r="3127" ht="15" customHeight="1"/>
    <row r="3128" ht="15" customHeight="1"/>
    <row r="3129" ht="15" customHeight="1"/>
    <row r="3130" ht="15" customHeight="1"/>
    <row r="3131" ht="15" customHeight="1"/>
    <row r="3132" ht="15" customHeight="1"/>
    <row r="3133" ht="15" customHeight="1"/>
    <row r="3134" ht="15" customHeight="1"/>
    <row r="3135" ht="15" customHeight="1"/>
    <row r="3136" ht="15" customHeight="1"/>
    <row r="3137" ht="15" customHeight="1"/>
    <row r="3138" ht="15" customHeight="1"/>
    <row r="3139" ht="15" customHeight="1"/>
    <row r="3140" ht="15" customHeight="1"/>
    <row r="3141" ht="15" customHeight="1"/>
    <row r="3142" ht="15" customHeight="1"/>
    <row r="3143" ht="15" customHeight="1"/>
    <row r="3144" ht="15" customHeight="1"/>
    <row r="3145" ht="15" customHeight="1"/>
    <row r="3146" ht="15" customHeight="1"/>
    <row r="3147" ht="15" customHeight="1"/>
    <row r="3148" ht="15" customHeight="1"/>
    <row r="3149" ht="15" customHeight="1"/>
    <row r="3150" ht="15" customHeight="1"/>
    <row r="3151" ht="15" customHeight="1"/>
    <row r="3152" ht="15" customHeight="1"/>
    <row r="3153" ht="15" customHeight="1"/>
    <row r="3154" ht="15" customHeight="1"/>
    <row r="3155" ht="15" customHeight="1"/>
    <row r="3156" ht="15" customHeight="1"/>
    <row r="3157" ht="15" customHeight="1"/>
    <row r="3158" ht="15" customHeight="1"/>
    <row r="3159" ht="15" customHeight="1"/>
    <row r="3160" ht="15" customHeight="1"/>
    <row r="3161" ht="15" customHeight="1"/>
    <row r="3162" ht="15" customHeight="1"/>
    <row r="3163" ht="15" customHeight="1"/>
    <row r="3164" ht="15" customHeight="1"/>
    <row r="3165" ht="15" customHeight="1"/>
    <row r="3166" ht="15" customHeight="1"/>
    <row r="3167" ht="15" customHeight="1"/>
    <row r="3168" ht="15" customHeight="1"/>
    <row r="3169" ht="15" customHeight="1"/>
    <row r="3170" ht="15" customHeight="1"/>
    <row r="3171" ht="15" customHeight="1"/>
    <row r="3172" ht="15" customHeight="1"/>
    <row r="3173" ht="15" customHeight="1"/>
    <row r="3174" ht="15" customHeight="1"/>
    <row r="3175" ht="15" customHeight="1"/>
    <row r="3176" ht="15" customHeight="1"/>
    <row r="3177" ht="15" customHeight="1"/>
    <row r="3178" ht="15" customHeight="1"/>
    <row r="3179" ht="15" customHeight="1"/>
    <row r="3180" ht="15" customHeight="1"/>
    <row r="3181" ht="15" customHeight="1"/>
    <row r="3182" ht="15" customHeight="1"/>
    <row r="3183" ht="15" customHeight="1"/>
    <row r="3184" ht="15" customHeight="1"/>
    <row r="3185" ht="15" customHeight="1"/>
    <row r="3186" ht="15" customHeight="1"/>
    <row r="3187" ht="15" customHeight="1"/>
    <row r="3188" ht="15" customHeight="1"/>
    <row r="3189" ht="15" customHeight="1"/>
    <row r="3190" ht="15" customHeight="1"/>
    <row r="3191" ht="15" customHeight="1"/>
    <row r="3192" ht="15" customHeight="1"/>
    <row r="3193" ht="15" customHeight="1"/>
    <row r="3194" ht="15" customHeight="1"/>
    <row r="3195" ht="15" customHeight="1"/>
    <row r="3196" ht="15" customHeight="1"/>
    <row r="3197" ht="15" customHeight="1"/>
    <row r="3198" ht="15" customHeight="1"/>
    <row r="3199" ht="15" customHeight="1"/>
    <row r="3200" ht="15" customHeight="1"/>
    <row r="3201" ht="15" customHeight="1"/>
    <row r="3202" ht="15" customHeight="1"/>
    <row r="3203" ht="15" customHeight="1"/>
    <row r="3204" ht="15" customHeight="1"/>
    <row r="3205" ht="15" customHeight="1"/>
    <row r="3206" ht="15" customHeight="1"/>
    <row r="3207" ht="15" customHeight="1"/>
    <row r="3208" ht="15" customHeight="1"/>
    <row r="3209" ht="15" customHeight="1"/>
    <row r="3210" ht="15" customHeight="1"/>
    <row r="3211" ht="15" customHeight="1"/>
    <row r="3212" ht="15" customHeight="1"/>
    <row r="3213" ht="15" customHeight="1"/>
    <row r="3214" ht="15" customHeight="1"/>
    <row r="3215" ht="15" customHeight="1"/>
    <row r="3216" ht="15" customHeight="1"/>
    <row r="3217" ht="15" customHeight="1"/>
    <row r="3218" ht="15" customHeight="1"/>
    <row r="3219" ht="15" customHeight="1"/>
    <row r="3220" ht="15" customHeight="1"/>
    <row r="3221" ht="15" customHeight="1"/>
    <row r="3222" ht="15" customHeight="1"/>
    <row r="3223" ht="15" customHeight="1"/>
    <row r="3224" ht="15" customHeight="1"/>
    <row r="3225" ht="15" customHeight="1"/>
    <row r="3226" ht="15" customHeight="1"/>
    <row r="3227" ht="15" customHeight="1"/>
    <row r="3228" ht="15" customHeight="1"/>
    <row r="3229" ht="15" customHeight="1"/>
    <row r="3230" ht="15" customHeight="1"/>
    <row r="3231" ht="15" customHeight="1"/>
    <row r="3232" ht="15" customHeight="1"/>
    <row r="3233" ht="15" customHeight="1"/>
    <row r="3234" ht="15" customHeight="1"/>
    <row r="3235" ht="15" customHeight="1"/>
    <row r="3236" ht="15" customHeight="1"/>
    <row r="3237" ht="15" customHeight="1"/>
    <row r="3238" ht="15" customHeight="1"/>
    <row r="3239" ht="15" customHeight="1"/>
    <row r="3240" ht="15" customHeight="1"/>
    <row r="3241" ht="15" customHeight="1"/>
    <row r="3242" ht="15" customHeight="1"/>
    <row r="3243" ht="15" customHeight="1"/>
    <row r="3244" ht="15" customHeight="1"/>
    <row r="3245" ht="15" customHeight="1"/>
    <row r="3246" ht="15" customHeight="1"/>
    <row r="3247" ht="15" customHeight="1"/>
    <row r="3248" ht="15" customHeight="1"/>
    <row r="3249" ht="15" customHeight="1"/>
    <row r="3250" ht="15" customHeight="1"/>
    <row r="3251" ht="15" customHeight="1"/>
    <row r="3252" ht="15" customHeight="1"/>
    <row r="3253" ht="15" customHeight="1"/>
    <row r="3254" ht="15" customHeight="1"/>
    <row r="3255" ht="15" customHeight="1"/>
    <row r="3256" ht="15" customHeight="1"/>
    <row r="3257" ht="15" customHeight="1"/>
    <row r="3258" ht="15" customHeight="1"/>
    <row r="3259" ht="15" customHeight="1"/>
    <row r="3260" ht="15" customHeight="1"/>
    <row r="3261" ht="15" customHeight="1"/>
    <row r="3262" ht="15" customHeight="1"/>
    <row r="3263" ht="15" customHeight="1"/>
    <row r="3264" ht="15" customHeight="1"/>
    <row r="3265" ht="15" customHeight="1"/>
    <row r="3266" ht="15" customHeight="1"/>
    <row r="3267" ht="15" customHeight="1"/>
    <row r="3268" ht="15" customHeight="1"/>
    <row r="3269" ht="15" customHeight="1"/>
    <row r="3270" ht="15" customHeight="1"/>
    <row r="3271" ht="15" customHeight="1"/>
    <row r="3272" ht="15" customHeight="1"/>
    <row r="3273" ht="15" customHeight="1"/>
    <row r="3274" ht="15" customHeight="1"/>
    <row r="3275" ht="15" customHeight="1"/>
    <row r="3276" ht="15" customHeight="1"/>
    <row r="3277" ht="15" customHeight="1"/>
    <row r="3278" ht="15" customHeight="1"/>
    <row r="3279" ht="15" customHeight="1"/>
    <row r="3280" ht="15" customHeight="1"/>
    <row r="3281" ht="15" customHeight="1"/>
    <row r="3282" ht="15" customHeight="1"/>
    <row r="3283" ht="15" customHeight="1"/>
    <row r="3284" ht="15" customHeight="1"/>
    <row r="3285" ht="15" customHeight="1"/>
    <row r="3286" ht="15" customHeight="1"/>
    <row r="3287" ht="15" customHeight="1"/>
    <row r="3288" ht="15" customHeight="1"/>
    <row r="3289" ht="15" customHeight="1"/>
    <row r="3290" ht="15" customHeight="1"/>
    <row r="3291" ht="15" customHeight="1"/>
    <row r="3292" ht="15" customHeight="1"/>
    <row r="3293" ht="15" customHeight="1"/>
    <row r="3294" ht="15" customHeight="1"/>
    <row r="3295" ht="15" customHeight="1"/>
    <row r="3296" ht="15" customHeight="1"/>
    <row r="3297" ht="15" customHeight="1"/>
    <row r="3298" ht="15" customHeight="1"/>
    <row r="3299" ht="15" customHeight="1"/>
    <row r="3300" ht="15" customHeight="1"/>
    <row r="3301" ht="15" customHeight="1"/>
    <row r="3302" ht="15" customHeight="1"/>
    <row r="3303" ht="15" customHeight="1"/>
    <row r="3304" ht="15" customHeight="1"/>
    <row r="3305" ht="15" customHeight="1"/>
    <row r="3306" ht="15" customHeight="1"/>
    <row r="3307" ht="15" customHeight="1"/>
    <row r="3308" ht="15" customHeight="1"/>
    <row r="3309" ht="15" customHeight="1"/>
    <row r="3310" ht="15" customHeight="1"/>
    <row r="3311" ht="15" customHeight="1"/>
    <row r="3312" ht="15" customHeight="1"/>
    <row r="3313" ht="15" customHeight="1"/>
    <row r="3314" ht="15" customHeight="1"/>
    <row r="3315" ht="15" customHeight="1"/>
    <row r="3316" ht="15" customHeight="1"/>
    <row r="3317" ht="15" customHeight="1"/>
    <row r="3318" ht="15" customHeight="1"/>
    <row r="3319" ht="15" customHeight="1"/>
    <row r="3320" ht="15" customHeight="1"/>
    <row r="3321" ht="15" customHeight="1"/>
    <row r="3322" ht="15" customHeight="1"/>
    <row r="3323" ht="15" customHeight="1"/>
    <row r="3324" ht="15" customHeight="1"/>
    <row r="3325" ht="15" customHeight="1"/>
    <row r="3326" ht="15" customHeight="1"/>
    <row r="3327" ht="15" customHeight="1"/>
    <row r="3328" ht="15" customHeight="1"/>
    <row r="3329" ht="15" customHeight="1"/>
    <row r="3330" ht="15" customHeight="1"/>
    <row r="3331" ht="15" customHeight="1"/>
    <row r="3332" ht="15" customHeight="1"/>
    <row r="3333" ht="15" customHeight="1"/>
    <row r="3334" ht="15" customHeight="1"/>
    <row r="3335" ht="15" customHeight="1"/>
    <row r="3336" ht="15" customHeight="1"/>
    <row r="3337" ht="15" customHeight="1"/>
    <row r="3338" ht="15" customHeight="1"/>
    <row r="3339" ht="15" customHeight="1"/>
    <row r="3340" ht="15" customHeight="1"/>
    <row r="3341" ht="15" customHeight="1"/>
    <row r="3342" ht="15" customHeight="1"/>
    <row r="3343" ht="15" customHeight="1"/>
    <row r="3344" ht="15" customHeight="1"/>
    <row r="3345" ht="15" customHeight="1"/>
    <row r="3346" ht="15" customHeight="1"/>
    <row r="3347" ht="15" customHeight="1"/>
    <row r="3348" ht="15" customHeight="1"/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  <row r="3361" ht="15" customHeight="1"/>
    <row r="3362" ht="15" customHeight="1"/>
    <row r="3363" ht="15" customHeight="1"/>
    <row r="3364" ht="15" customHeight="1"/>
    <row r="3365" ht="15" customHeight="1"/>
    <row r="3366" ht="15" customHeight="1"/>
    <row r="3367" ht="15" customHeight="1"/>
    <row r="3368" ht="15" customHeight="1"/>
    <row r="3369" ht="15" customHeight="1"/>
    <row r="3370" ht="15" customHeight="1"/>
    <row r="3371" ht="15" customHeight="1"/>
    <row r="3372" ht="15" customHeight="1"/>
    <row r="3373" ht="15" customHeight="1"/>
    <row r="3374" ht="15" customHeight="1"/>
    <row r="3375" ht="15" customHeight="1"/>
    <row r="3376" ht="15" customHeight="1"/>
    <row r="3377" ht="15" customHeight="1"/>
    <row r="3378" ht="15" customHeight="1"/>
    <row r="3379" ht="15" customHeight="1"/>
    <row r="3380" ht="15" customHeight="1"/>
    <row r="3381" ht="15" customHeight="1"/>
    <row r="3382" ht="15" customHeight="1"/>
    <row r="3383" ht="15" customHeight="1"/>
    <row r="3384" ht="15" customHeight="1"/>
    <row r="3385" ht="15" customHeight="1"/>
    <row r="3386" ht="15" customHeight="1"/>
    <row r="3387" ht="15" customHeight="1"/>
    <row r="3388" ht="15" customHeight="1"/>
    <row r="3389" ht="15" customHeight="1"/>
    <row r="3390" ht="15" customHeight="1"/>
    <row r="3391" ht="15" customHeight="1"/>
    <row r="3392" ht="15" customHeight="1"/>
    <row r="3393" ht="15" customHeight="1"/>
    <row r="3394" ht="15" customHeight="1"/>
    <row r="3395" ht="15" customHeight="1"/>
    <row r="3396" ht="15" customHeight="1"/>
    <row r="3397" ht="15" customHeight="1"/>
    <row r="3398" ht="15" customHeight="1"/>
    <row r="3399" ht="15" customHeight="1"/>
    <row r="3400" ht="15" customHeight="1"/>
    <row r="3401" ht="15" customHeight="1"/>
    <row r="3402" ht="15" customHeight="1"/>
    <row r="3403" ht="15" customHeight="1"/>
    <row r="3404" ht="15" customHeight="1"/>
    <row r="3405" ht="15" customHeight="1"/>
    <row r="3406" ht="15" customHeight="1"/>
    <row r="3407" ht="15" customHeight="1"/>
    <row r="3408" ht="15" customHeight="1"/>
    <row r="3409" ht="15" customHeight="1"/>
    <row r="3410" ht="15" customHeight="1"/>
    <row r="3411" ht="15" customHeight="1"/>
    <row r="3412" ht="15" customHeight="1"/>
    <row r="3413" ht="15" customHeight="1"/>
    <row r="3414" ht="15" customHeight="1"/>
    <row r="3415" ht="15" customHeight="1"/>
    <row r="3416" ht="15" customHeight="1"/>
    <row r="3417" ht="15" customHeight="1"/>
    <row r="3418" ht="15" customHeight="1"/>
    <row r="3419" ht="15" customHeight="1"/>
    <row r="3420" ht="15" customHeight="1"/>
    <row r="3421" ht="15" customHeight="1"/>
    <row r="3422" ht="15" customHeight="1"/>
    <row r="3423" ht="15" customHeight="1"/>
    <row r="3424" ht="15" customHeight="1"/>
    <row r="3425" ht="15" customHeight="1"/>
    <row r="3426" ht="15" customHeight="1"/>
    <row r="3427" ht="15" customHeight="1"/>
    <row r="3428" ht="15" customHeight="1"/>
    <row r="3429" ht="15" customHeight="1"/>
    <row r="3430" ht="15" customHeight="1"/>
    <row r="3431" ht="15" customHeight="1"/>
    <row r="3432" ht="15" customHeight="1"/>
    <row r="3433" ht="15" customHeight="1"/>
    <row r="3434" ht="15" customHeight="1"/>
    <row r="3435" ht="15" customHeight="1"/>
    <row r="3436" ht="15" customHeight="1"/>
    <row r="3437" ht="15" customHeight="1"/>
    <row r="3438" ht="15" customHeight="1"/>
    <row r="3439" ht="15" customHeight="1"/>
    <row r="3440" ht="15" customHeight="1"/>
    <row r="3441" ht="15" customHeight="1"/>
    <row r="3442" ht="15" customHeight="1"/>
    <row r="3443" ht="15" customHeight="1"/>
    <row r="3444" ht="15" customHeight="1"/>
    <row r="3445" ht="15" customHeight="1"/>
    <row r="3446" ht="15" customHeight="1"/>
    <row r="3447" ht="15" customHeight="1"/>
    <row r="3448" ht="15" customHeight="1"/>
    <row r="3449" ht="15" customHeight="1"/>
    <row r="3450" ht="15" customHeight="1"/>
    <row r="3451" ht="15" customHeight="1"/>
    <row r="3452" ht="15" customHeight="1"/>
    <row r="3453" ht="15" customHeight="1"/>
    <row r="3454" ht="15" customHeight="1"/>
    <row r="3455" ht="15" customHeight="1"/>
    <row r="3456" ht="15" customHeight="1"/>
    <row r="3457" ht="15" customHeight="1"/>
    <row r="3458" ht="15" customHeight="1"/>
    <row r="3459" ht="15" customHeight="1"/>
    <row r="3460" ht="15" customHeight="1"/>
    <row r="3461" ht="15" customHeight="1"/>
    <row r="3462" ht="15" customHeight="1"/>
    <row r="3463" ht="15" customHeight="1"/>
    <row r="3464" ht="15" customHeight="1"/>
    <row r="3465" ht="15" customHeight="1"/>
    <row r="3466" ht="15" customHeight="1"/>
    <row r="3467" ht="15" customHeight="1"/>
    <row r="3468" ht="15" customHeight="1"/>
    <row r="3469" ht="15" customHeight="1"/>
    <row r="3470" ht="15" customHeight="1"/>
    <row r="3471" ht="15" customHeight="1"/>
    <row r="3472" ht="15" customHeight="1"/>
    <row r="3473" ht="15" customHeight="1"/>
    <row r="3474" ht="15" customHeight="1"/>
    <row r="3475" ht="15" customHeight="1"/>
    <row r="3476" ht="15" customHeight="1"/>
    <row r="3477" ht="15" customHeight="1"/>
    <row r="3478" ht="15" customHeight="1"/>
    <row r="3479" ht="15" customHeight="1"/>
    <row r="3480" ht="15" customHeight="1"/>
    <row r="3481" ht="15" customHeight="1"/>
    <row r="3482" ht="15" customHeight="1"/>
    <row r="3483" ht="15" customHeight="1"/>
    <row r="3484" ht="15" customHeight="1"/>
    <row r="3485" ht="15" customHeight="1"/>
    <row r="3486" ht="15" customHeight="1"/>
    <row r="3487" ht="15" customHeight="1"/>
    <row r="3488" ht="15" customHeight="1"/>
    <row r="3489" ht="15" customHeight="1"/>
    <row r="3490" ht="15" customHeight="1"/>
    <row r="3491" ht="15" customHeight="1"/>
    <row r="3492" ht="15" customHeight="1"/>
    <row r="3493" ht="15" customHeight="1"/>
    <row r="3494" ht="15" customHeight="1"/>
    <row r="3495" ht="15" customHeight="1"/>
    <row r="3496" ht="15" customHeight="1"/>
    <row r="3497" ht="15" customHeight="1"/>
    <row r="3498" ht="15" customHeight="1"/>
    <row r="3499" ht="15" customHeight="1"/>
    <row r="3500" ht="15" customHeight="1"/>
    <row r="3501" ht="15" customHeight="1"/>
    <row r="3502" ht="15" customHeight="1"/>
    <row r="3503" ht="15" customHeight="1"/>
    <row r="3504" ht="15" customHeight="1"/>
    <row r="3505" ht="15" customHeight="1"/>
    <row r="3506" ht="15" customHeight="1"/>
    <row r="3507" ht="15" customHeight="1"/>
    <row r="3508" ht="15" customHeight="1"/>
    <row r="3509" ht="15" customHeight="1"/>
    <row r="3510" ht="15" customHeight="1"/>
    <row r="3511" ht="15" customHeight="1"/>
    <row r="3512" ht="15" customHeight="1"/>
    <row r="3513" ht="15" customHeight="1"/>
    <row r="3514" ht="15" customHeight="1"/>
    <row r="3515" ht="15" customHeight="1"/>
    <row r="3516" ht="15" customHeight="1"/>
    <row r="3517" ht="15" customHeight="1"/>
    <row r="3518" ht="15" customHeight="1"/>
    <row r="3519" ht="15" customHeight="1"/>
    <row r="3520" ht="15" customHeight="1"/>
    <row r="3521" ht="15" customHeight="1"/>
    <row r="3522" ht="15" customHeight="1"/>
    <row r="3523" ht="15" customHeight="1"/>
    <row r="3524" ht="15" customHeight="1"/>
    <row r="3525" ht="15" customHeight="1"/>
    <row r="3526" ht="15" customHeight="1"/>
    <row r="3527" ht="15" customHeight="1"/>
    <row r="3528" ht="15" customHeight="1"/>
    <row r="3529" ht="15" customHeight="1"/>
    <row r="3530" ht="15" customHeight="1"/>
    <row r="3531" ht="15" customHeight="1"/>
    <row r="3532" ht="15" customHeight="1"/>
    <row r="3533" ht="15" customHeight="1"/>
    <row r="3534" ht="15" customHeight="1"/>
    <row r="3535" ht="15" customHeight="1"/>
    <row r="3536" ht="15" customHeight="1"/>
    <row r="3537" ht="15" customHeight="1"/>
    <row r="3538" ht="15" customHeight="1"/>
    <row r="3539" ht="15" customHeight="1"/>
    <row r="3540" ht="15" customHeight="1"/>
    <row r="3541" ht="15" customHeight="1"/>
    <row r="3542" ht="15" customHeight="1"/>
    <row r="3543" ht="15" customHeight="1"/>
    <row r="3544" ht="15" customHeight="1"/>
    <row r="3545" ht="15" customHeight="1"/>
    <row r="3546" ht="15" customHeight="1"/>
    <row r="3547" ht="15" customHeight="1"/>
    <row r="3548" ht="15" customHeight="1"/>
    <row r="3549" ht="15" customHeight="1"/>
    <row r="3550" ht="15" customHeight="1"/>
    <row r="3551" ht="15" customHeight="1"/>
    <row r="3552" ht="15" customHeight="1"/>
    <row r="3553" ht="15" customHeight="1"/>
    <row r="3554" ht="15" customHeight="1"/>
    <row r="3555" ht="15" customHeight="1"/>
    <row r="3556" ht="15" customHeight="1"/>
    <row r="3557" ht="15" customHeight="1"/>
    <row r="3558" ht="15" customHeight="1"/>
    <row r="3559" ht="15" customHeight="1"/>
    <row r="3560" ht="15" customHeight="1"/>
    <row r="3561" ht="15" customHeight="1"/>
    <row r="3562" ht="15" customHeight="1"/>
    <row r="3563" ht="15" customHeight="1"/>
    <row r="3564" ht="15" customHeight="1"/>
    <row r="3565" ht="15" customHeight="1"/>
    <row r="3566" ht="15" customHeight="1"/>
    <row r="3567" ht="15" customHeight="1"/>
    <row r="3568" ht="15" customHeight="1"/>
    <row r="3569" ht="15" customHeight="1"/>
    <row r="3570" ht="15" customHeight="1"/>
    <row r="3571" ht="15" customHeight="1"/>
    <row r="3572" ht="15" customHeight="1"/>
    <row r="3573" ht="15" customHeight="1"/>
    <row r="3574" ht="15" customHeight="1"/>
    <row r="3575" ht="15" customHeight="1"/>
    <row r="3576" ht="15" customHeight="1"/>
    <row r="3577" ht="15" customHeight="1"/>
    <row r="3578" ht="15" customHeight="1"/>
    <row r="3579" ht="15" customHeight="1"/>
    <row r="3580" ht="15" customHeight="1"/>
    <row r="3581" ht="15" customHeight="1"/>
    <row r="3582" ht="15" customHeight="1"/>
    <row r="3583" ht="15" customHeight="1"/>
    <row r="3584" ht="15" customHeight="1"/>
    <row r="3585" ht="15" customHeight="1"/>
    <row r="3586" ht="15" customHeight="1"/>
    <row r="3587" ht="15" customHeight="1"/>
    <row r="3588" ht="15" customHeight="1"/>
    <row r="3589" ht="15" customHeight="1"/>
    <row r="3590" ht="15" customHeight="1"/>
    <row r="3591" ht="15" customHeight="1"/>
    <row r="3592" ht="15" customHeight="1"/>
    <row r="3593" ht="15" customHeight="1"/>
    <row r="3594" ht="15" customHeight="1"/>
    <row r="3595" ht="15" customHeight="1"/>
    <row r="3596" ht="15" customHeight="1"/>
    <row r="3597" ht="15" customHeight="1"/>
    <row r="3598" ht="15" customHeight="1"/>
    <row r="3599" ht="15" customHeight="1"/>
    <row r="3600" ht="15" customHeight="1"/>
    <row r="3601" ht="15" customHeight="1"/>
    <row r="3602" ht="15" customHeight="1"/>
    <row r="3603" ht="15" customHeight="1"/>
    <row r="3604" ht="15" customHeight="1"/>
    <row r="3605" ht="15" customHeight="1"/>
    <row r="3606" ht="15" customHeight="1"/>
    <row r="3607" ht="15" customHeight="1"/>
    <row r="3608" ht="15" customHeight="1"/>
    <row r="3609" ht="15" customHeight="1"/>
    <row r="3610" ht="15" customHeight="1"/>
    <row r="3611" ht="15" customHeight="1"/>
    <row r="3612" ht="15" customHeight="1"/>
    <row r="3613" ht="15" customHeight="1"/>
    <row r="3614" ht="15" customHeight="1"/>
    <row r="3615" ht="15" customHeight="1"/>
    <row r="3616" ht="15" customHeight="1"/>
    <row r="3617" ht="15" customHeight="1"/>
    <row r="3618" ht="15" customHeight="1"/>
    <row r="3619" ht="15" customHeight="1"/>
    <row r="3620" ht="15" customHeight="1"/>
    <row r="3621" ht="15" customHeight="1"/>
    <row r="3622" ht="15" customHeight="1"/>
    <row r="3623" ht="15" customHeight="1"/>
    <row r="3624" ht="15" customHeight="1"/>
    <row r="3625" ht="15" customHeight="1"/>
    <row r="3626" ht="15" customHeight="1"/>
    <row r="3627" ht="15" customHeight="1"/>
    <row r="3628" ht="15" customHeight="1"/>
    <row r="3629" ht="15" customHeight="1"/>
    <row r="3630" ht="15" customHeight="1"/>
    <row r="3631" ht="15" customHeight="1"/>
    <row r="3632" ht="15" customHeight="1"/>
    <row r="3633" ht="15" customHeight="1"/>
    <row r="3634" ht="15" customHeight="1"/>
    <row r="3635" ht="15" customHeight="1"/>
    <row r="3636" ht="15" customHeight="1"/>
    <row r="3637" ht="15" customHeight="1"/>
    <row r="3638" ht="15" customHeight="1"/>
    <row r="3639" ht="15" customHeight="1"/>
    <row r="3640" ht="15" customHeight="1"/>
    <row r="3641" ht="15" customHeight="1"/>
    <row r="3642" ht="15" customHeight="1"/>
    <row r="3643" ht="15" customHeight="1"/>
    <row r="3644" ht="15" customHeight="1"/>
    <row r="3645" ht="15" customHeight="1"/>
    <row r="3646" ht="15" customHeight="1"/>
    <row r="3647" ht="15" customHeight="1"/>
    <row r="3648" ht="15" customHeight="1"/>
    <row r="3649" ht="15" customHeight="1"/>
    <row r="3650" ht="15" customHeight="1"/>
    <row r="3651" ht="15" customHeight="1"/>
    <row r="3652" ht="15" customHeight="1"/>
    <row r="3653" ht="15" customHeight="1"/>
    <row r="3654" ht="15" customHeight="1"/>
    <row r="3655" ht="15" customHeight="1"/>
    <row r="3656" ht="15" customHeight="1"/>
    <row r="3657" ht="15" customHeight="1"/>
    <row r="3658" ht="15" customHeight="1"/>
    <row r="3659" ht="15" customHeight="1"/>
    <row r="3660" ht="15" customHeight="1"/>
    <row r="3661" ht="15" customHeight="1"/>
    <row r="3662" ht="15" customHeight="1"/>
    <row r="3663" ht="15" customHeight="1"/>
    <row r="3664" ht="15" customHeight="1"/>
    <row r="3665" ht="15" customHeight="1"/>
    <row r="3666" ht="15" customHeight="1"/>
    <row r="3667" ht="15" customHeight="1"/>
    <row r="3668" ht="15" customHeight="1"/>
    <row r="3669" ht="15" customHeight="1"/>
    <row r="3670" ht="15" customHeight="1"/>
    <row r="3671" ht="15" customHeight="1"/>
    <row r="3672" ht="15" customHeight="1"/>
    <row r="3673" ht="15" customHeight="1"/>
    <row r="3674" ht="15" customHeight="1"/>
    <row r="3675" ht="15" customHeight="1"/>
    <row r="3676" ht="15" customHeight="1"/>
    <row r="3677" ht="15" customHeight="1"/>
    <row r="3678" ht="15" customHeight="1"/>
    <row r="3679" ht="15" customHeight="1"/>
    <row r="3680" ht="15" customHeight="1"/>
    <row r="3681" ht="15" customHeight="1"/>
    <row r="3682" ht="15" customHeight="1"/>
    <row r="3683" ht="15" customHeight="1"/>
    <row r="3684" ht="15" customHeight="1"/>
    <row r="3685" ht="15" customHeight="1"/>
    <row r="3686" ht="15" customHeight="1"/>
    <row r="3687" ht="15" customHeight="1"/>
    <row r="3688" ht="15" customHeight="1"/>
    <row r="3689" ht="15" customHeight="1"/>
    <row r="3690" ht="15" customHeight="1"/>
    <row r="3691" ht="15" customHeight="1"/>
    <row r="3692" ht="15" customHeight="1"/>
    <row r="3693" ht="15" customHeight="1"/>
    <row r="3694" ht="15" customHeight="1"/>
    <row r="3695" ht="15" customHeight="1"/>
    <row r="3696" ht="15" customHeight="1"/>
    <row r="3697" ht="15" customHeight="1"/>
    <row r="3698" ht="15" customHeight="1"/>
    <row r="3699" ht="15" customHeight="1"/>
    <row r="3700" ht="15" customHeight="1"/>
    <row r="3701" ht="15" customHeight="1"/>
    <row r="3702" ht="15" customHeight="1"/>
    <row r="3703" ht="15" customHeight="1"/>
    <row r="3704" ht="15" customHeight="1"/>
    <row r="3705" ht="15" customHeight="1"/>
    <row r="3706" ht="15" customHeight="1"/>
    <row r="3707" ht="15" customHeight="1"/>
    <row r="3708" ht="15" customHeight="1"/>
    <row r="3709" ht="15" customHeight="1"/>
    <row r="3710" ht="15" customHeight="1"/>
    <row r="3711" ht="15" customHeight="1"/>
    <row r="3712" ht="15" customHeight="1"/>
    <row r="3713" ht="15" customHeight="1"/>
    <row r="3714" ht="15" customHeight="1"/>
    <row r="3715" ht="15" customHeight="1"/>
    <row r="3716" ht="15" customHeight="1"/>
    <row r="3717" ht="15" customHeight="1"/>
    <row r="3718" ht="15" customHeight="1"/>
    <row r="3719" ht="15" customHeight="1"/>
    <row r="3720" ht="15" customHeight="1"/>
    <row r="3721" ht="15" customHeight="1"/>
    <row r="3722" ht="15" customHeight="1"/>
    <row r="3723" ht="15" customHeight="1"/>
    <row r="3724" ht="15" customHeight="1"/>
    <row r="3725" ht="15" customHeight="1"/>
    <row r="3726" ht="15" customHeight="1"/>
    <row r="3727" ht="15" customHeight="1"/>
    <row r="3728" ht="15" customHeight="1"/>
    <row r="3729" ht="15" customHeight="1"/>
    <row r="3730" ht="15" customHeight="1"/>
    <row r="3731" ht="15" customHeight="1"/>
    <row r="3732" ht="15" customHeight="1"/>
    <row r="3733" ht="15" customHeight="1"/>
    <row r="3734" ht="15" customHeight="1"/>
    <row r="3735" ht="15" customHeight="1"/>
    <row r="3736" ht="15" customHeight="1"/>
    <row r="3737" ht="15" customHeight="1"/>
    <row r="3738" ht="15" customHeight="1"/>
    <row r="3739" ht="15" customHeight="1"/>
    <row r="3740" ht="15" customHeight="1"/>
    <row r="3741" ht="15" customHeight="1"/>
    <row r="3742" ht="15" customHeight="1"/>
    <row r="3743" ht="15" customHeight="1"/>
    <row r="3744" ht="15" customHeight="1"/>
    <row r="3745" ht="15" customHeight="1"/>
    <row r="3746" ht="15" customHeight="1"/>
    <row r="3747" ht="15" customHeight="1"/>
    <row r="3748" ht="15" customHeight="1"/>
    <row r="3749" ht="15" customHeight="1"/>
    <row r="3750" ht="15" customHeight="1"/>
    <row r="3751" ht="15" customHeight="1"/>
    <row r="3752" ht="15" customHeight="1"/>
    <row r="3753" ht="15" customHeight="1"/>
    <row r="3754" ht="15" customHeight="1"/>
    <row r="3755" ht="15" customHeight="1"/>
    <row r="3756" ht="15" customHeight="1"/>
    <row r="3757" ht="15" customHeight="1"/>
    <row r="3758" ht="15" customHeight="1"/>
    <row r="3759" ht="15" customHeight="1"/>
    <row r="3760" ht="15" customHeight="1"/>
    <row r="3761" ht="15" customHeight="1"/>
    <row r="3762" ht="15" customHeight="1"/>
    <row r="3763" ht="15" customHeight="1"/>
    <row r="3764" ht="15" customHeight="1"/>
    <row r="3765" ht="15" customHeight="1"/>
    <row r="3766" ht="15" customHeight="1"/>
    <row r="3767" ht="15" customHeight="1"/>
    <row r="3768" ht="15" customHeight="1"/>
    <row r="3769" ht="15" customHeight="1"/>
    <row r="3770" ht="15" customHeight="1"/>
    <row r="3771" ht="15" customHeight="1"/>
    <row r="3772" ht="15" customHeight="1"/>
    <row r="3773" ht="15" customHeight="1"/>
    <row r="3774" ht="15" customHeight="1"/>
    <row r="3775" ht="15" customHeight="1"/>
    <row r="3776" ht="15" customHeight="1"/>
    <row r="3777" ht="15" customHeight="1"/>
    <row r="3778" ht="15" customHeight="1"/>
    <row r="3779" ht="15" customHeight="1"/>
    <row r="3780" ht="15" customHeight="1"/>
    <row r="3781" ht="15" customHeight="1"/>
    <row r="3782" ht="15" customHeight="1"/>
    <row r="3783" ht="15" customHeight="1"/>
    <row r="3784" ht="15" customHeight="1"/>
    <row r="3785" ht="15" customHeight="1"/>
    <row r="3786" ht="15" customHeight="1"/>
    <row r="3787" ht="15" customHeight="1"/>
    <row r="3788" ht="15" customHeight="1"/>
    <row r="3789" ht="15" customHeight="1"/>
    <row r="3790" ht="15" customHeight="1"/>
    <row r="3791" ht="15" customHeight="1"/>
    <row r="3792" ht="15" customHeight="1"/>
    <row r="3793" ht="15" customHeight="1"/>
    <row r="3794" ht="15" customHeight="1"/>
    <row r="3795" ht="15" customHeight="1"/>
    <row r="3796" ht="15" customHeight="1"/>
    <row r="3797" ht="15" customHeight="1"/>
    <row r="3798" ht="15" customHeight="1"/>
    <row r="3799" ht="15" customHeight="1"/>
    <row r="3800" ht="15" customHeight="1"/>
    <row r="3801" ht="15" customHeight="1"/>
    <row r="3802" ht="15" customHeight="1"/>
    <row r="3803" ht="15" customHeight="1"/>
    <row r="3804" ht="15" customHeight="1"/>
    <row r="3805" ht="15" customHeight="1"/>
    <row r="3806" ht="15" customHeight="1"/>
    <row r="3807" ht="15" customHeight="1"/>
    <row r="3808" ht="15" customHeight="1"/>
    <row r="3809" ht="15" customHeight="1"/>
    <row r="3810" ht="15" customHeight="1"/>
    <row r="3811" ht="15" customHeight="1"/>
    <row r="3812" ht="15" customHeight="1"/>
    <row r="3813" ht="15" customHeight="1"/>
    <row r="3814" ht="15" customHeight="1"/>
    <row r="3815" ht="15" customHeight="1"/>
    <row r="3816" ht="15" customHeight="1"/>
    <row r="3817" ht="15" customHeight="1"/>
    <row r="3818" ht="15" customHeight="1"/>
    <row r="3819" ht="15" customHeight="1"/>
    <row r="3820" ht="15" customHeight="1"/>
    <row r="3821" ht="15" customHeight="1"/>
    <row r="3822" ht="15" customHeight="1"/>
    <row r="3823" ht="15" customHeight="1"/>
    <row r="3824" ht="15" customHeight="1"/>
    <row r="3825" ht="15" customHeight="1"/>
    <row r="3826" ht="15" customHeight="1"/>
    <row r="3827" ht="15" customHeight="1"/>
    <row r="3828" ht="15" customHeight="1"/>
    <row r="3829" ht="15" customHeight="1"/>
    <row r="3830" ht="15" customHeight="1"/>
    <row r="3831" ht="15" customHeight="1"/>
    <row r="3832" ht="15" customHeight="1"/>
    <row r="3833" ht="15" customHeight="1"/>
    <row r="3834" ht="15" customHeight="1"/>
    <row r="3835" ht="15" customHeight="1"/>
    <row r="3836" ht="15" customHeight="1"/>
    <row r="3837" ht="15" customHeight="1"/>
    <row r="3838" ht="15" customHeight="1"/>
    <row r="3839" ht="15" customHeight="1"/>
    <row r="3840" ht="15" customHeight="1"/>
    <row r="3841" ht="15" customHeight="1"/>
    <row r="3842" ht="15" customHeight="1"/>
    <row r="3843" ht="15" customHeight="1"/>
    <row r="3844" ht="15" customHeight="1"/>
    <row r="3845" ht="15" customHeight="1"/>
    <row r="3846" ht="15" customHeight="1"/>
    <row r="3847" ht="15" customHeight="1"/>
    <row r="3848" ht="15" customHeight="1"/>
    <row r="3849" ht="15" customHeight="1"/>
    <row r="3850" ht="15" customHeight="1"/>
    <row r="3851" ht="15" customHeight="1"/>
    <row r="3852" ht="15" customHeight="1"/>
    <row r="3853" ht="15" customHeight="1"/>
    <row r="3854" ht="15" customHeight="1"/>
    <row r="3855" ht="15" customHeight="1"/>
    <row r="3856" ht="15" customHeight="1"/>
    <row r="3857" ht="15" customHeight="1"/>
    <row r="3858" ht="15" customHeight="1"/>
    <row r="3859" ht="15" customHeight="1"/>
    <row r="3860" ht="15" customHeight="1"/>
    <row r="3861" ht="15" customHeight="1"/>
    <row r="3862" ht="15" customHeight="1"/>
    <row r="3863" ht="15" customHeight="1"/>
    <row r="3864" ht="15" customHeight="1"/>
    <row r="3865" ht="15" customHeight="1"/>
    <row r="3866" ht="15" customHeight="1"/>
    <row r="3867" ht="15" customHeight="1"/>
    <row r="3868" ht="15" customHeight="1"/>
    <row r="3869" ht="15" customHeight="1"/>
    <row r="3870" ht="15" customHeight="1"/>
    <row r="3871" ht="15" customHeight="1"/>
    <row r="3872" ht="15" customHeight="1"/>
    <row r="3873" ht="15" customHeight="1"/>
    <row r="3874" ht="15" customHeight="1"/>
    <row r="3875" ht="15" customHeight="1"/>
    <row r="3876" ht="15" customHeight="1"/>
    <row r="3877" ht="15" customHeight="1"/>
    <row r="3878" ht="15" customHeight="1"/>
    <row r="3879" ht="15" customHeight="1"/>
    <row r="3880" ht="15" customHeight="1"/>
    <row r="3881" ht="15" customHeight="1"/>
    <row r="3882" ht="15" customHeight="1"/>
    <row r="3883" ht="15" customHeight="1"/>
    <row r="3884" ht="15" customHeight="1"/>
    <row r="3885" ht="15" customHeight="1"/>
    <row r="3886" ht="15" customHeight="1"/>
    <row r="3887" ht="15" customHeight="1"/>
    <row r="3888" ht="15" customHeight="1"/>
    <row r="3889" ht="15" customHeight="1"/>
    <row r="3890" ht="15" customHeight="1"/>
    <row r="3891" ht="15" customHeight="1"/>
    <row r="3892" ht="15" customHeight="1"/>
    <row r="3893" ht="15" customHeight="1"/>
    <row r="3894" ht="15" customHeight="1"/>
    <row r="3895" ht="15" customHeight="1"/>
    <row r="3896" ht="15" customHeight="1"/>
    <row r="3897" ht="15" customHeight="1"/>
    <row r="3898" ht="15" customHeight="1"/>
    <row r="3899" ht="15" customHeight="1"/>
    <row r="3900" ht="15" customHeight="1"/>
    <row r="3901" ht="15" customHeight="1"/>
    <row r="3902" ht="15" customHeight="1"/>
    <row r="3903" ht="15" customHeight="1"/>
    <row r="3904" ht="15" customHeight="1"/>
    <row r="3905" ht="15" customHeight="1"/>
    <row r="3906" ht="15" customHeight="1"/>
    <row r="3907" ht="15" customHeight="1"/>
    <row r="3908" ht="15" customHeight="1"/>
    <row r="3909" ht="15" customHeight="1"/>
    <row r="3910" ht="15" customHeight="1"/>
    <row r="3911" ht="15" customHeight="1"/>
    <row r="3912" ht="15" customHeight="1"/>
    <row r="3913" ht="15" customHeight="1"/>
    <row r="3914" ht="15" customHeight="1"/>
    <row r="3915" ht="15" customHeight="1"/>
    <row r="3916" ht="15" customHeight="1"/>
    <row r="3917" ht="15" customHeight="1"/>
    <row r="3918" ht="15" customHeight="1"/>
    <row r="3919" ht="15" customHeight="1"/>
    <row r="3920" ht="15" customHeight="1"/>
    <row r="3921" ht="15" customHeight="1"/>
    <row r="3922" ht="15" customHeight="1"/>
    <row r="3923" ht="15" customHeight="1"/>
    <row r="3924" ht="15" customHeight="1"/>
    <row r="3925" ht="15" customHeight="1"/>
    <row r="3926" ht="15" customHeight="1"/>
    <row r="3927" ht="15" customHeight="1"/>
    <row r="3928" ht="15" customHeight="1"/>
    <row r="3929" ht="15" customHeight="1"/>
    <row r="3930" ht="15" customHeight="1"/>
    <row r="3931" ht="15" customHeight="1"/>
    <row r="3932" ht="15" customHeight="1"/>
    <row r="3933" ht="15" customHeight="1"/>
    <row r="3934" ht="15" customHeight="1"/>
    <row r="3935" ht="15" customHeight="1"/>
    <row r="3936" ht="15" customHeight="1"/>
    <row r="3937" ht="15" customHeight="1"/>
    <row r="3938" ht="15" customHeight="1"/>
    <row r="3939" ht="15" customHeight="1"/>
    <row r="3940" ht="15" customHeight="1"/>
    <row r="3941" ht="15" customHeight="1"/>
    <row r="3942" ht="15" customHeight="1"/>
    <row r="3943" ht="15" customHeight="1"/>
    <row r="3944" ht="15" customHeight="1"/>
    <row r="3945" ht="15" customHeight="1"/>
    <row r="3946" ht="15" customHeight="1"/>
    <row r="3947" ht="15" customHeight="1"/>
    <row r="3948" ht="15" customHeight="1"/>
    <row r="3949" ht="15" customHeight="1"/>
    <row r="3950" ht="15" customHeight="1"/>
    <row r="3951" ht="15" customHeight="1"/>
    <row r="3952" ht="15" customHeight="1"/>
    <row r="3953" ht="15" customHeight="1"/>
    <row r="3954" ht="15" customHeight="1"/>
    <row r="3955" ht="15" customHeight="1"/>
    <row r="3956" ht="15" customHeight="1"/>
    <row r="3957" ht="15" customHeight="1"/>
    <row r="3958" ht="15" customHeight="1"/>
    <row r="3959" ht="15" customHeight="1"/>
    <row r="3960" ht="15" customHeight="1"/>
    <row r="3961" ht="15" customHeight="1"/>
    <row r="3962" ht="15" customHeight="1"/>
    <row r="3963" ht="15" customHeight="1"/>
    <row r="3964" ht="15" customHeight="1"/>
    <row r="3965" ht="15" customHeight="1"/>
    <row r="3966" ht="15" customHeight="1"/>
    <row r="3967" ht="15" customHeight="1"/>
    <row r="3968" ht="15" customHeight="1"/>
    <row r="3969" ht="15" customHeight="1"/>
    <row r="3970" ht="15" customHeight="1"/>
    <row r="3971" ht="15" customHeight="1"/>
    <row r="3972" ht="15" customHeight="1"/>
    <row r="3973" ht="15" customHeight="1"/>
    <row r="3974" ht="15" customHeight="1"/>
    <row r="3975" ht="15" customHeight="1"/>
    <row r="3976" ht="15" customHeight="1"/>
    <row r="3977" ht="15" customHeight="1"/>
    <row r="3978" ht="15" customHeight="1"/>
    <row r="3979" ht="15" customHeight="1"/>
    <row r="3980" ht="15" customHeight="1"/>
    <row r="3981" ht="15" customHeight="1"/>
    <row r="3982" ht="15" customHeight="1"/>
    <row r="3983" ht="15" customHeight="1"/>
    <row r="3984" ht="15" customHeight="1"/>
    <row r="3985" ht="15" customHeight="1"/>
    <row r="3986" ht="15" customHeight="1"/>
    <row r="3987" ht="15" customHeight="1"/>
    <row r="3988" ht="15" customHeight="1"/>
    <row r="3989" ht="15" customHeight="1"/>
    <row r="3990" ht="15" customHeight="1"/>
    <row r="3991" ht="15" customHeight="1"/>
    <row r="3992" ht="15" customHeight="1"/>
    <row r="3993" ht="15" customHeight="1"/>
    <row r="3994" ht="15" customHeight="1"/>
    <row r="3995" ht="15" customHeight="1"/>
    <row r="3996" ht="15" customHeight="1"/>
    <row r="3997" ht="15" customHeight="1"/>
    <row r="3998" ht="15" customHeight="1"/>
    <row r="3999" ht="15" customHeight="1"/>
    <row r="4000" ht="15" customHeight="1"/>
  </sheetData>
  <printOptions horizontalCentered="1"/>
  <pageMargins left="0.7" right="0.7" top="0.75" bottom="0.75" header="0" footer="0"/>
  <pageSetup orientation="landscape" paperSize="5"/>
  <rowBreaks count="1" manualBreakCount="1">
    <brk id="30" min="0" max="16383" man="1"/>
  </rowBreaks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item</t>
        </is>
      </c>
      <c r="C1" t="inlineStr">
        <is>
          <t>remarks</t>
        </is>
      </c>
      <c r="D1" t="inlineStr">
        <is>
          <t>uom</t>
        </is>
      </c>
      <c r="E1" t="inlineStr">
        <is>
          <t>q_total</t>
        </is>
      </c>
      <c r="F1" t="inlineStr">
        <is>
          <t>p_total</t>
        </is>
      </c>
      <c r="G1" t="inlineStr">
        <is>
          <t>unit_price</t>
        </is>
      </c>
    </row>
    <row r="2">
      <c r="A2" t="n">
        <v>1</v>
      </c>
      <c r="B2" t="inlineStr">
        <is>
          <t>555 Fried Sardines Hot &amp; Spicy</t>
        </is>
      </c>
      <c r="C2" t="inlineStr">
        <is>
          <t>555/can/155grams</t>
        </is>
      </c>
      <c r="D2" t="inlineStr">
        <is>
          <t>pieces</t>
        </is>
      </c>
      <c r="E2" t="n">
        <v>117</v>
      </c>
      <c r="F2" t="n">
        <v>3779.099999999999</v>
      </c>
      <c r="G2" t="n">
        <v>32.3</v>
      </c>
    </row>
    <row r="3">
      <c r="A3" t="n">
        <v>2</v>
      </c>
      <c r="B3" t="inlineStr">
        <is>
          <t>Aji Panda Seasoning</t>
        </is>
      </c>
      <c r="C3" t="inlineStr">
        <is>
          <t>Ajinomoto/pack/500grams</t>
        </is>
      </c>
      <c r="D3" t="inlineStr">
        <is>
          <t>grams</t>
        </is>
      </c>
      <c r="E3" t="n">
        <v>3.6</v>
      </c>
      <c r="F3" t="n">
        <v>576</v>
      </c>
      <c r="G3" t="n">
        <v>160</v>
      </c>
    </row>
    <row r="4">
      <c r="A4" t="n">
        <v>3</v>
      </c>
      <c r="B4" t="inlineStr">
        <is>
          <t>Alamang</t>
        </is>
      </c>
      <c r="C4" t="inlineStr"/>
      <c r="D4" t="inlineStr">
        <is>
          <t>grams</t>
        </is>
      </c>
      <c r="E4" t="n">
        <v>2012</v>
      </c>
      <c r="F4" t="n">
        <v>650</v>
      </c>
      <c r="G4" t="n">
        <v>0.3230616302186879</v>
      </c>
    </row>
    <row r="5">
      <c r="A5" t="n">
        <v>4</v>
      </c>
      <c r="B5" t="inlineStr">
        <is>
          <t>Alaska Powder</t>
        </is>
      </c>
      <c r="C5" t="inlineStr">
        <is>
          <t>Alaska/pack (sachetx33grams)</t>
        </is>
      </c>
      <c r="D5" t="inlineStr">
        <is>
          <t>pieces</t>
        </is>
      </c>
      <c r="E5" t="n">
        <v>321</v>
      </c>
      <c r="F5" t="n">
        <v>2657.88</v>
      </c>
      <c r="G5" t="n">
        <v>8.280000000000001</v>
      </c>
    </row>
    <row r="6">
      <c r="A6" t="n">
        <v>4</v>
      </c>
      <c r="B6" t="inlineStr">
        <is>
          <t>Alaska Powder</t>
        </is>
      </c>
      <c r="C6" t="inlineStr"/>
      <c r="D6" t="inlineStr">
        <is>
          <t>pieces</t>
        </is>
      </c>
      <c r="E6" t="n">
        <v>157</v>
      </c>
      <c r="F6" t="n">
        <v>1444.4</v>
      </c>
      <c r="G6" t="n">
        <v>9.199999999999999</v>
      </c>
    </row>
    <row r="7">
      <c r="A7" t="n">
        <v>5</v>
      </c>
      <c r="B7" t="inlineStr">
        <is>
          <t>All Purpose Cream</t>
        </is>
      </c>
      <c r="C7" t="inlineStr">
        <is>
          <t>Jersey/can/250grams</t>
        </is>
      </c>
      <c r="D7" t="inlineStr">
        <is>
          <t>grams</t>
        </is>
      </c>
      <c r="E7" t="n">
        <v>11500</v>
      </c>
      <c r="F7" t="n">
        <v>2741.6</v>
      </c>
      <c r="G7" t="n">
        <v>0.2384</v>
      </c>
    </row>
    <row r="8">
      <c r="A8" t="n">
        <v>5</v>
      </c>
      <c r="B8" t="inlineStr">
        <is>
          <t>All Purpose Cream</t>
        </is>
      </c>
      <c r="C8" t="inlineStr">
        <is>
          <t>Alaska</t>
        </is>
      </c>
      <c r="D8" t="inlineStr">
        <is>
          <t>ml</t>
        </is>
      </c>
      <c r="E8" t="n">
        <v>43</v>
      </c>
      <c r="F8" t="n">
        <v>2394.7</v>
      </c>
      <c r="G8" t="n">
        <v>55.6906976744186</v>
      </c>
    </row>
    <row r="9">
      <c r="A9" t="n">
        <v>5</v>
      </c>
      <c r="B9" t="inlineStr">
        <is>
          <t>All Purpose Cream</t>
        </is>
      </c>
      <c r="C9" t="inlineStr">
        <is>
          <t>Angel</t>
        </is>
      </c>
      <c r="D9" t="inlineStr">
        <is>
          <t>ml</t>
        </is>
      </c>
      <c r="E9" t="n">
        <v>29</v>
      </c>
      <c r="F9" t="n">
        <v>1357.96</v>
      </c>
      <c r="G9" t="n">
        <v>46.82620689655172</v>
      </c>
    </row>
    <row r="10">
      <c r="A10" t="n">
        <v>5</v>
      </c>
      <c r="B10" t="inlineStr">
        <is>
          <t>All Purpose Cream</t>
        </is>
      </c>
      <c r="C10" t="inlineStr">
        <is>
          <t>Alaska/tetrapack(48x250ml)</t>
        </is>
      </c>
      <c r="D10" t="inlineStr">
        <is>
          <t>ml</t>
        </is>
      </c>
      <c r="E10" t="n">
        <v>6500</v>
      </c>
      <c r="F10" t="n">
        <v>1594.32</v>
      </c>
      <c r="G10" t="n">
        <v>0.24528</v>
      </c>
    </row>
    <row r="11">
      <c r="A11" t="n">
        <v>6</v>
      </c>
      <c r="B11" t="inlineStr">
        <is>
          <t>All Purpose Dressing</t>
        </is>
      </c>
      <c r="C11" t="inlineStr">
        <is>
          <t>Best Foods/gallon/3500ml</t>
        </is>
      </c>
      <c r="D11" t="inlineStr">
        <is>
          <t>gal</t>
        </is>
      </c>
      <c r="E11" t="n">
        <v>8</v>
      </c>
      <c r="F11" t="n">
        <v>3298.24</v>
      </c>
      <c r="G11" t="n">
        <v>412.28</v>
      </c>
    </row>
    <row r="12">
      <c r="A12" t="n">
        <v>6</v>
      </c>
      <c r="B12" t="inlineStr">
        <is>
          <t>All Purpose Dressing</t>
        </is>
      </c>
      <c r="C12" t="inlineStr"/>
      <c r="D12" t="inlineStr">
        <is>
          <t>gal</t>
        </is>
      </c>
      <c r="E12" t="n">
        <v>3</v>
      </c>
      <c r="F12" t="n">
        <v>1261.8</v>
      </c>
      <c r="G12" t="n">
        <v>420.6000000000001</v>
      </c>
    </row>
    <row r="13">
      <c r="A13" t="n">
        <v>7</v>
      </c>
      <c r="B13" t="inlineStr">
        <is>
          <t>All Purpose Flour</t>
        </is>
      </c>
      <c r="C13" t="inlineStr">
        <is>
          <t>White Pigeon/pack/1000grams</t>
        </is>
      </c>
      <c r="D13" t="inlineStr">
        <is>
          <t>grams</t>
        </is>
      </c>
      <c r="E13" t="n">
        <v>5000</v>
      </c>
      <c r="F13" t="n">
        <v>400</v>
      </c>
      <c r="G13" t="n">
        <v>0.08</v>
      </c>
    </row>
    <row r="14">
      <c r="A14" t="n">
        <v>7</v>
      </c>
      <c r="B14" t="inlineStr">
        <is>
          <t>All Purpose Flour</t>
        </is>
      </c>
      <c r="C14" t="inlineStr">
        <is>
          <t>White Pigeon</t>
        </is>
      </c>
      <c r="D14" t="inlineStr">
        <is>
          <t>grams</t>
        </is>
      </c>
      <c r="E14" t="n">
        <v>22</v>
      </c>
      <c r="F14" t="n">
        <v>1311.2</v>
      </c>
      <c r="G14" t="n">
        <v>59.6</v>
      </c>
    </row>
    <row r="15">
      <c r="A15" t="n">
        <v>7</v>
      </c>
      <c r="B15" t="inlineStr">
        <is>
          <t>All Purpose Flour</t>
        </is>
      </c>
      <c r="C15" t="inlineStr">
        <is>
          <t>Maya</t>
        </is>
      </c>
      <c r="D15" t="inlineStr">
        <is>
          <t>grams</t>
        </is>
      </c>
      <c r="E15" t="n">
        <v>25</v>
      </c>
      <c r="F15" t="n">
        <v>1117.21</v>
      </c>
      <c r="G15" t="n">
        <v>44.6884</v>
      </c>
    </row>
    <row r="16">
      <c r="A16" t="n">
        <v>7</v>
      </c>
      <c r="B16" t="inlineStr">
        <is>
          <t>All Purpose Flour</t>
        </is>
      </c>
      <c r="C16" t="inlineStr">
        <is>
          <t>Maya Complete/box/500grams</t>
        </is>
      </c>
      <c r="D16" t="inlineStr">
        <is>
          <t>grams</t>
        </is>
      </c>
      <c r="E16" t="n">
        <v>4500</v>
      </c>
      <c r="F16" t="n">
        <v>783</v>
      </c>
      <c r="G16" t="n">
        <v>0.174</v>
      </c>
    </row>
    <row r="17">
      <c r="A17" t="n">
        <v>7</v>
      </c>
      <c r="B17" t="inlineStr">
        <is>
          <t>All Purpose Flour</t>
        </is>
      </c>
      <c r="C17" t="inlineStr">
        <is>
          <t>No Brand/pack/1000grams</t>
        </is>
      </c>
      <c r="D17" t="inlineStr">
        <is>
          <t>grams</t>
        </is>
      </c>
      <c r="E17" t="n">
        <v>750</v>
      </c>
      <c r="F17" t="n">
        <v>36</v>
      </c>
      <c r="G17" t="n">
        <v>0.048</v>
      </c>
    </row>
    <row r="18">
      <c r="A18" t="n">
        <v>8</v>
      </c>
      <c r="B18" t="inlineStr">
        <is>
          <t>All Purpose Flour - 3rd class</t>
        </is>
      </c>
      <c r="C18" t="inlineStr">
        <is>
          <t>Penguin</t>
        </is>
      </c>
      <c r="D18" t="inlineStr">
        <is>
          <t>grams</t>
        </is>
      </c>
      <c r="E18" t="n">
        <v>26</v>
      </c>
      <c r="F18" t="n">
        <v>1248</v>
      </c>
      <c r="G18" t="n">
        <v>48</v>
      </c>
    </row>
    <row r="19">
      <c r="A19" t="n">
        <v>9</v>
      </c>
      <c r="B19" t="inlineStr">
        <is>
          <t>Atusete</t>
        </is>
      </c>
      <c r="C19" t="inlineStr">
        <is>
          <t>pack/1000grams</t>
        </is>
      </c>
      <c r="D19" t="inlineStr">
        <is>
          <t>grams</t>
        </is>
      </c>
      <c r="E19" t="n">
        <v>0.25</v>
      </c>
      <c r="F19" t="n">
        <v>162.5</v>
      </c>
      <c r="G19" t="n">
        <v>650</v>
      </c>
    </row>
    <row r="20">
      <c r="A20" t="n">
        <v>10</v>
      </c>
      <c r="B20" t="inlineStr">
        <is>
          <t>Bagoong Isda Balayan</t>
        </is>
      </c>
      <c r="C20" t="inlineStr">
        <is>
          <t>La Marina/bottle/340grams</t>
        </is>
      </c>
      <c r="D20" t="inlineStr">
        <is>
          <t>grams</t>
        </is>
      </c>
      <c r="E20" t="n">
        <v>1020</v>
      </c>
      <c r="F20" t="n">
        <v>90</v>
      </c>
      <c r="G20" t="n">
        <v>0.08823529411764706</v>
      </c>
    </row>
    <row r="21">
      <c r="A21" t="n">
        <v>11</v>
      </c>
      <c r="B21" t="inlineStr">
        <is>
          <t>Bagoong Isda Jp Boneless</t>
        </is>
      </c>
      <c r="C21" t="inlineStr"/>
      <c r="D21" t="inlineStr">
        <is>
          <t>ml</t>
        </is>
      </c>
      <c r="E21" t="n">
        <v>1450</v>
      </c>
      <c r="F21" t="n">
        <v>250</v>
      </c>
      <c r="G21" t="n">
        <v>0.1724137931034483</v>
      </c>
    </row>
    <row r="22">
      <c r="A22" t="n">
        <v>12</v>
      </c>
      <c r="B22" t="inlineStr">
        <is>
          <t>Baking Powder</t>
        </is>
      </c>
      <c r="C22" t="inlineStr">
        <is>
          <t>Calumet</t>
        </is>
      </c>
      <c r="D22" t="inlineStr">
        <is>
          <t>grams</t>
        </is>
      </c>
      <c r="E22" t="n">
        <v>61</v>
      </c>
      <c r="F22" t="n">
        <v>1536.9</v>
      </c>
      <c r="G22" t="n">
        <v>25.19508196721312</v>
      </c>
    </row>
    <row r="23">
      <c r="A23" t="n">
        <v>13</v>
      </c>
      <c r="B23" t="inlineStr">
        <is>
          <t>Baking Soda</t>
        </is>
      </c>
      <c r="C23" t="inlineStr">
        <is>
          <t>Queen</t>
        </is>
      </c>
      <c r="D23" t="inlineStr">
        <is>
          <t>grams</t>
        </is>
      </c>
      <c r="E23" t="n">
        <v>11</v>
      </c>
      <c r="F23" t="n">
        <v>586.4</v>
      </c>
      <c r="G23" t="n">
        <v>53.30909090909091</v>
      </c>
    </row>
    <row r="24">
      <c r="A24" t="n">
        <v>14</v>
      </c>
      <c r="B24" t="inlineStr">
        <is>
          <t>Balsamic Vinegar</t>
        </is>
      </c>
      <c r="C24" t="inlineStr">
        <is>
          <t>Filippo Berio/bottle/330ml</t>
        </is>
      </c>
      <c r="D24" t="inlineStr">
        <is>
          <t>ml</t>
        </is>
      </c>
      <c r="E24" t="n">
        <v>1</v>
      </c>
      <c r="F24" t="n">
        <v>255</v>
      </c>
      <c r="G24" t="n">
        <v>255</v>
      </c>
    </row>
    <row r="25">
      <c r="A25" t="n">
        <v>15</v>
      </c>
      <c r="B25" t="inlineStr">
        <is>
          <t>Bangus</t>
        </is>
      </c>
      <c r="C25" t="inlineStr">
        <is>
          <t>Indicate ave weight/piece</t>
        </is>
      </c>
      <c r="D25" t="inlineStr">
        <is>
          <t>grams</t>
        </is>
      </c>
      <c r="E25" t="n">
        <v>10000</v>
      </c>
      <c r="F25" t="n">
        <v>2680</v>
      </c>
      <c r="G25" t="n">
        <v>0.268</v>
      </c>
    </row>
    <row r="26">
      <c r="A26" t="n">
        <v>16</v>
      </c>
      <c r="B26" t="inlineStr">
        <is>
          <t>Barbecue Sticks</t>
        </is>
      </c>
      <c r="C26" t="inlineStr">
        <is>
          <t>pack/100pcs</t>
        </is>
      </c>
      <c r="D26" t="inlineStr">
        <is>
          <t>packs</t>
        </is>
      </c>
      <c r="E26" t="n">
        <v>30</v>
      </c>
      <c r="F26" t="n">
        <v>568.2</v>
      </c>
      <c r="G26" t="n">
        <v>18.94</v>
      </c>
    </row>
    <row r="27">
      <c r="A27" t="n">
        <v>17</v>
      </c>
      <c r="B27" t="inlineStr">
        <is>
          <t>Bear Brand</t>
        </is>
      </c>
      <c r="C27" t="inlineStr">
        <is>
          <t>Nestle/pcsx33grams)</t>
        </is>
      </c>
      <c r="D27" t="inlineStr">
        <is>
          <t>pieces</t>
        </is>
      </c>
      <c r="E27" t="n">
        <v>132</v>
      </c>
      <c r="F27" t="n">
        <v>1428.24</v>
      </c>
      <c r="G27" t="n">
        <v>10.82</v>
      </c>
    </row>
    <row r="28">
      <c r="A28" t="n">
        <v>18</v>
      </c>
      <c r="B28" t="inlineStr">
        <is>
          <t>Bear Brand adult</t>
        </is>
      </c>
      <c r="C28" t="inlineStr">
        <is>
          <t>Nestle/pcsx33grams)</t>
        </is>
      </c>
      <c r="D28" t="inlineStr">
        <is>
          <t>pieces</t>
        </is>
      </c>
      <c r="E28" t="n">
        <v>26</v>
      </c>
      <c r="F28" t="n">
        <v>439.4</v>
      </c>
      <c r="G28" t="n">
        <v>16.9</v>
      </c>
    </row>
    <row r="29">
      <c r="A29" t="n">
        <v>18</v>
      </c>
      <c r="B29" t="inlineStr">
        <is>
          <t>Bear Brand Adult</t>
        </is>
      </c>
      <c r="C29" t="inlineStr"/>
      <c r="D29" t="inlineStr">
        <is>
          <t>pieces</t>
        </is>
      </c>
      <c r="E29" t="n">
        <v>16</v>
      </c>
      <c r="F29" t="n">
        <v>301.6</v>
      </c>
      <c r="G29" t="n">
        <v>18.85</v>
      </c>
    </row>
    <row r="30">
      <c r="A30" t="n">
        <v>19</v>
      </c>
      <c r="B30" t="inlineStr">
        <is>
          <t>Bear Brand Sterilized</t>
        </is>
      </c>
      <c r="C30" t="inlineStr">
        <is>
          <t>Nestle/Tetrapack/250ml</t>
        </is>
      </c>
      <c r="D30" t="inlineStr">
        <is>
          <t>pieces</t>
        </is>
      </c>
      <c r="E30" t="n">
        <v>20</v>
      </c>
      <c r="F30" t="n">
        <v>475</v>
      </c>
      <c r="G30" t="n">
        <v>23.75</v>
      </c>
    </row>
    <row r="31">
      <c r="A31" t="n">
        <v>20</v>
      </c>
      <c r="B31" t="inlineStr">
        <is>
          <t>Bear Brand Swak</t>
        </is>
      </c>
      <c r="C31" t="inlineStr">
        <is>
          <t>Nestle/pack (pcsx33grams)</t>
        </is>
      </c>
      <c r="D31" t="inlineStr">
        <is>
          <t>pieces</t>
        </is>
      </c>
      <c r="E31" t="n">
        <v>374</v>
      </c>
      <c r="F31" t="n">
        <v>4046.68</v>
      </c>
      <c r="G31" t="n">
        <v>10.82</v>
      </c>
    </row>
    <row r="32">
      <c r="A32" t="n">
        <v>20</v>
      </c>
      <c r="B32" t="inlineStr">
        <is>
          <t>Bear Brand Swak</t>
        </is>
      </c>
      <c r="C32" t="inlineStr"/>
      <c r="D32" t="inlineStr">
        <is>
          <t>pieces</t>
        </is>
      </c>
      <c r="E32" t="n">
        <v>256</v>
      </c>
      <c r="F32" t="n">
        <v>2816</v>
      </c>
      <c r="G32" t="n">
        <v>11</v>
      </c>
    </row>
    <row r="33">
      <c r="A33" t="n">
        <v>21</v>
      </c>
      <c r="B33" t="inlineStr">
        <is>
          <t>Beef Laman (frozen)</t>
        </is>
      </c>
      <c r="C33" t="inlineStr">
        <is>
          <t>seara</t>
        </is>
      </c>
      <c r="D33" t="inlineStr">
        <is>
          <t>kilos</t>
        </is>
      </c>
      <c r="E33" t="n">
        <v>30</v>
      </c>
      <c r="F33" t="n">
        <v>9900</v>
      </c>
      <c r="G33" t="n">
        <v>330</v>
      </c>
    </row>
    <row r="34">
      <c r="A34" t="n">
        <v>21</v>
      </c>
      <c r="B34" t="inlineStr">
        <is>
          <t>Beef Laman (frozen)</t>
        </is>
      </c>
      <c r="C34" t="inlineStr"/>
      <c r="D34" t="inlineStr">
        <is>
          <t>kilos</t>
        </is>
      </c>
      <c r="E34" t="n">
        <v>39</v>
      </c>
      <c r="F34" t="n">
        <v>12363</v>
      </c>
      <c r="G34" t="n">
        <v>317</v>
      </c>
    </row>
    <row r="35">
      <c r="A35" t="n">
        <v>22</v>
      </c>
      <c r="B35" t="inlineStr">
        <is>
          <t>Beef Loaf</t>
        </is>
      </c>
      <c r="C35" t="inlineStr">
        <is>
          <t>Argentina/can/250grams</t>
        </is>
      </c>
      <c r="D35" t="inlineStr">
        <is>
          <t>grams</t>
        </is>
      </c>
      <c r="E35" t="n">
        <v>97.92</v>
      </c>
      <c r="F35" t="n">
        <v>2923.8912</v>
      </c>
      <c r="G35" t="n">
        <v>29.86</v>
      </c>
    </row>
    <row r="36">
      <c r="A36" t="n">
        <v>23</v>
      </c>
      <c r="B36" t="inlineStr">
        <is>
          <t>Beng-Beng Choco Caramel</t>
        </is>
      </c>
      <c r="C36" t="inlineStr"/>
      <c r="D36" t="inlineStr">
        <is>
          <t>pieces</t>
        </is>
      </c>
      <c r="E36" t="n">
        <v>8</v>
      </c>
      <c r="F36" t="n">
        <v>67.84</v>
      </c>
      <c r="G36" t="n">
        <v>8.48</v>
      </c>
    </row>
    <row r="37">
      <c r="A37" t="n">
        <v>24</v>
      </c>
      <c r="B37" t="inlineStr">
        <is>
          <t>Besuto</t>
        </is>
      </c>
      <c r="C37" t="inlineStr"/>
      <c r="D37" t="inlineStr">
        <is>
          <t>pieces</t>
        </is>
      </c>
      <c r="E37" t="n">
        <v>1500</v>
      </c>
      <c r="F37" t="n">
        <v>462</v>
      </c>
      <c r="G37" t="n">
        <v>0.308</v>
      </c>
    </row>
    <row r="38">
      <c r="A38" t="n">
        <v>25</v>
      </c>
      <c r="B38" t="inlineStr">
        <is>
          <t>Bihon</t>
        </is>
      </c>
      <c r="C38" t="inlineStr">
        <is>
          <t>Super Q/pack/1000grams</t>
        </is>
      </c>
      <c r="D38" t="inlineStr">
        <is>
          <t>grams</t>
        </is>
      </c>
      <c r="E38" t="n">
        <v>7000</v>
      </c>
      <c r="F38" t="n">
        <v>700</v>
      </c>
      <c r="G38" t="n">
        <v>0.1</v>
      </c>
    </row>
    <row r="39">
      <c r="A39" t="n">
        <v>25</v>
      </c>
      <c r="B39" t="inlineStr">
        <is>
          <t>Bihon</t>
        </is>
      </c>
      <c r="C39" t="inlineStr">
        <is>
          <t>Super Q/pack/500grams</t>
        </is>
      </c>
      <c r="D39" t="inlineStr">
        <is>
          <t>grams</t>
        </is>
      </c>
      <c r="E39" t="n">
        <v>9</v>
      </c>
      <c r="F39" t="n">
        <v>348.3</v>
      </c>
      <c r="G39" t="n">
        <v>38.7</v>
      </c>
    </row>
    <row r="40">
      <c r="A40" t="n">
        <v>25</v>
      </c>
      <c r="B40" t="inlineStr">
        <is>
          <t>Bihon</t>
        </is>
      </c>
      <c r="C40" t="inlineStr"/>
      <c r="D40" t="inlineStr">
        <is>
          <t>grams</t>
        </is>
      </c>
      <c r="E40" t="n">
        <v>1000</v>
      </c>
      <c r="F40" t="n">
        <v>83.8</v>
      </c>
      <c r="G40" t="n">
        <v>0.0838</v>
      </c>
    </row>
    <row r="41">
      <c r="A41" t="n">
        <v>26</v>
      </c>
      <c r="B41" t="inlineStr">
        <is>
          <t>Bingo Choco Orange</t>
        </is>
      </c>
      <c r="C41" t="inlineStr">
        <is>
          <t>Monde(10pcsx28grams)</t>
        </is>
      </c>
      <c r="D41" t="inlineStr">
        <is>
          <t>pieces</t>
        </is>
      </c>
      <c r="E41" t="n">
        <v>50</v>
      </c>
      <c r="F41" t="n">
        <v>291</v>
      </c>
      <c r="G41" t="n">
        <v>5.82</v>
      </c>
    </row>
    <row r="42">
      <c r="A42" t="n">
        <v>27</v>
      </c>
      <c r="B42" t="inlineStr">
        <is>
          <t>Bingo Double Choco</t>
        </is>
      </c>
      <c r="C42" t="inlineStr">
        <is>
          <t>Mondepack (10pcsx28grams)</t>
        </is>
      </c>
      <c r="D42" t="inlineStr">
        <is>
          <t>pieces</t>
        </is>
      </c>
      <c r="E42" t="n">
        <v>366</v>
      </c>
      <c r="F42" t="n">
        <v>2141.1</v>
      </c>
      <c r="G42" t="n">
        <v>5.85</v>
      </c>
    </row>
    <row r="43">
      <c r="A43" t="n">
        <v>28</v>
      </c>
      <c r="B43" t="inlineStr">
        <is>
          <t>Bingo Orange</t>
        </is>
      </c>
      <c r="C43" t="inlineStr">
        <is>
          <t>Monde(10pcsx28grams)</t>
        </is>
      </c>
      <c r="D43" t="inlineStr">
        <is>
          <t>pieces</t>
        </is>
      </c>
      <c r="E43" t="n">
        <v>370</v>
      </c>
      <c r="F43" t="n">
        <v>2109</v>
      </c>
      <c r="G43" t="n">
        <v>5.7</v>
      </c>
    </row>
    <row r="44">
      <c r="A44" t="n">
        <v>28</v>
      </c>
      <c r="B44" t="inlineStr">
        <is>
          <t>Bingo Orange</t>
        </is>
      </c>
      <c r="C44" t="inlineStr"/>
      <c r="D44" t="inlineStr">
        <is>
          <t>pieces</t>
        </is>
      </c>
      <c r="E44" t="n">
        <v>120</v>
      </c>
      <c r="F44" t="n">
        <v>740.4</v>
      </c>
      <c r="G44" t="n">
        <v>6.17</v>
      </c>
    </row>
    <row r="45">
      <c r="A45" t="n">
        <v>29</v>
      </c>
      <c r="B45" t="inlineStr">
        <is>
          <t>Bingo Vanilla Biscuits</t>
        </is>
      </c>
      <c r="C45" t="inlineStr">
        <is>
          <t>Monde (10pcsx28grams)</t>
        </is>
      </c>
      <c r="D45" t="inlineStr">
        <is>
          <t>pieces</t>
        </is>
      </c>
      <c r="E45" t="n">
        <v>380</v>
      </c>
      <c r="F45" t="n">
        <v>2166.6</v>
      </c>
      <c r="G45" t="n">
        <v>5.701578947368421</v>
      </c>
    </row>
    <row r="46">
      <c r="A46" t="n">
        <v>30</v>
      </c>
      <c r="B46" t="inlineStr">
        <is>
          <t>Birch Tree</t>
        </is>
      </c>
      <c r="C46" t="inlineStr">
        <is>
          <t>Birch Tree/pack (pcsx33grams)</t>
        </is>
      </c>
      <c r="D46" t="inlineStr">
        <is>
          <t>pieces</t>
        </is>
      </c>
      <c r="E46" t="n">
        <v>469</v>
      </c>
      <c r="F46" t="n">
        <v>4100.18</v>
      </c>
      <c r="G46" t="n">
        <v>8.742388059701494</v>
      </c>
    </row>
    <row r="47">
      <c r="A47" t="n">
        <v>30</v>
      </c>
      <c r="B47" t="inlineStr">
        <is>
          <t>Birch Tree</t>
        </is>
      </c>
      <c r="C47" t="inlineStr"/>
      <c r="D47" t="inlineStr">
        <is>
          <t>pieces</t>
        </is>
      </c>
      <c r="E47" t="n">
        <v>206</v>
      </c>
      <c r="F47" t="n">
        <v>1802.5</v>
      </c>
      <c r="G47" t="n">
        <v>8.75</v>
      </c>
    </row>
    <row r="48">
      <c r="A48" t="n">
        <v>31</v>
      </c>
      <c r="B48" t="inlineStr">
        <is>
          <t>Black Beans</t>
        </is>
      </c>
      <c r="C48" t="inlineStr">
        <is>
          <t>Temple/can/180grams</t>
        </is>
      </c>
      <c r="D48" t="inlineStr">
        <is>
          <t>grams</t>
        </is>
      </c>
      <c r="E48" t="n">
        <v>1</v>
      </c>
      <c r="F48" t="n">
        <v>31.1</v>
      </c>
      <c r="G48" t="n">
        <v>31.1</v>
      </c>
    </row>
    <row r="49">
      <c r="A49" t="n">
        <v>31</v>
      </c>
      <c r="B49" t="inlineStr">
        <is>
          <t>Black Beans</t>
        </is>
      </c>
      <c r="C49" t="inlineStr"/>
      <c r="D49" t="inlineStr">
        <is>
          <t>grams</t>
        </is>
      </c>
      <c r="E49" t="n">
        <v>5220</v>
      </c>
      <c r="F49" t="n">
        <v>898.9999999999999</v>
      </c>
      <c r="G49" t="n">
        <v>0.1722222222222222</v>
      </c>
    </row>
    <row r="50">
      <c r="A50" t="n">
        <v>32</v>
      </c>
      <c r="B50" t="inlineStr">
        <is>
          <t>Black Coffee</t>
        </is>
      </c>
      <c r="C50" t="inlineStr">
        <is>
          <t>Kopiko/pack (pcsx30grams)</t>
        </is>
      </c>
      <c r="D50" t="inlineStr">
        <is>
          <t>pieces</t>
        </is>
      </c>
      <c r="E50" t="n">
        <v>239</v>
      </c>
      <c r="F50" t="n">
        <v>1761.43</v>
      </c>
      <c r="G50" t="n">
        <v>7.37</v>
      </c>
    </row>
    <row r="51">
      <c r="A51" t="n">
        <v>33</v>
      </c>
      <c r="B51" t="inlineStr">
        <is>
          <t>Black Olives</t>
        </is>
      </c>
      <c r="C51" t="inlineStr">
        <is>
          <t>Dona Elena/bottle/330grams</t>
        </is>
      </c>
      <c r="D51" t="inlineStr">
        <is>
          <t>grams</t>
        </is>
      </c>
      <c r="E51" t="n">
        <v>330</v>
      </c>
      <c r="F51" t="n">
        <v>164.5</v>
      </c>
      <c r="G51" t="n">
        <v>0.4984848484848485</v>
      </c>
    </row>
    <row r="52">
      <c r="A52" t="n">
        <v>34</v>
      </c>
      <c r="B52" t="inlineStr">
        <is>
          <t>Black Peppercon - Ground</t>
        </is>
      </c>
      <c r="C52" t="inlineStr">
        <is>
          <t>Edward/pack/1000grams</t>
        </is>
      </c>
      <c r="D52" t="inlineStr">
        <is>
          <t>grams</t>
        </is>
      </c>
      <c r="E52" t="n">
        <v>0.5</v>
      </c>
      <c r="F52" t="n">
        <v>295</v>
      </c>
      <c r="G52" t="n">
        <v>590</v>
      </c>
    </row>
    <row r="53">
      <c r="A53" t="n">
        <v>35</v>
      </c>
      <c r="B53" t="inlineStr">
        <is>
          <t>Blanca Coffee</t>
        </is>
      </c>
      <c r="C53" t="inlineStr">
        <is>
          <t>Kopiko/pack (pcsx30grams)</t>
        </is>
      </c>
      <c r="D53" t="inlineStr">
        <is>
          <t>pieces</t>
        </is>
      </c>
      <c r="E53" t="n">
        <v>180</v>
      </c>
      <c r="F53" t="n">
        <v>1476</v>
      </c>
      <c r="G53" t="n">
        <v>8.199999999999999</v>
      </c>
    </row>
    <row r="54">
      <c r="A54" t="n">
        <v>36</v>
      </c>
      <c r="B54" t="inlineStr">
        <is>
          <t>Bleach</t>
        </is>
      </c>
      <c r="C54" t="inlineStr">
        <is>
          <t>Quinriv</t>
        </is>
      </c>
      <c r="D54" t="inlineStr">
        <is>
          <t>gal</t>
        </is>
      </c>
      <c r="E54" t="n">
        <v>9</v>
      </c>
      <c r="F54" t="n">
        <v>1143</v>
      </c>
      <c r="G54" t="n">
        <v>127</v>
      </c>
    </row>
    <row r="55">
      <c r="A55" t="n">
        <v>37</v>
      </c>
      <c r="B55" t="inlineStr">
        <is>
          <t>Blend 45</t>
        </is>
      </c>
      <c r="C55" t="inlineStr">
        <is>
          <t>URC/pack (pcsx18grams)</t>
        </is>
      </c>
      <c r="D55" t="inlineStr">
        <is>
          <t>pieces</t>
        </is>
      </c>
      <c r="E55" t="n">
        <v>100</v>
      </c>
      <c r="F55" t="n">
        <v>409.9999999999999</v>
      </c>
      <c r="G55" t="n">
        <v>4.1</v>
      </c>
    </row>
    <row r="56">
      <c r="A56" t="n">
        <v>37</v>
      </c>
      <c r="B56" t="inlineStr">
        <is>
          <t>Blend 45</t>
        </is>
      </c>
      <c r="C56" t="inlineStr"/>
      <c r="D56" t="inlineStr">
        <is>
          <t>pieces</t>
        </is>
      </c>
      <c r="E56" t="n">
        <v>196</v>
      </c>
      <c r="F56" t="n">
        <v>842.212</v>
      </c>
      <c r="G56" t="n">
        <v>4.297</v>
      </c>
    </row>
    <row r="57">
      <c r="A57" t="n">
        <v>38</v>
      </c>
      <c r="B57" t="inlineStr">
        <is>
          <t>Bread Crumbs</t>
        </is>
      </c>
      <c r="C57" t="inlineStr">
        <is>
          <t>Goodlife/pack/1000grams</t>
        </is>
      </c>
      <c r="D57" t="inlineStr">
        <is>
          <t>grams</t>
        </is>
      </c>
      <c r="E57" t="n">
        <v>9</v>
      </c>
      <c r="F57" t="n">
        <v>1288.8</v>
      </c>
      <c r="G57" t="n">
        <v>143.2</v>
      </c>
    </row>
    <row r="58">
      <c r="A58" t="n">
        <v>38</v>
      </c>
      <c r="B58" t="inlineStr">
        <is>
          <t>Bread Crumbs</t>
        </is>
      </c>
      <c r="C58" t="inlineStr">
        <is>
          <t>Krispers/pack/1000grams</t>
        </is>
      </c>
      <c r="D58" t="inlineStr">
        <is>
          <t>grams</t>
        </is>
      </c>
      <c r="E58" t="n">
        <v>13400</v>
      </c>
      <c r="F58" t="n">
        <v>2211</v>
      </c>
      <c r="G58" t="n">
        <v>0.165</v>
      </c>
    </row>
    <row r="59">
      <c r="A59" t="n">
        <v>39</v>
      </c>
      <c r="B59" t="inlineStr">
        <is>
          <t>Bread Stick</t>
        </is>
      </c>
      <c r="C59" t="inlineStr"/>
      <c r="D59" t="inlineStr">
        <is>
          <t>grams</t>
        </is>
      </c>
      <c r="E59" t="n">
        <v>2</v>
      </c>
      <c r="F59" t="n">
        <v>98</v>
      </c>
      <c r="G59" t="n">
        <v>49</v>
      </c>
    </row>
    <row r="60">
      <c r="A60" t="n">
        <v>40</v>
      </c>
      <c r="B60" t="inlineStr">
        <is>
          <t>Brewed Coffee</t>
        </is>
      </c>
      <c r="C60" t="inlineStr">
        <is>
          <t>Tropical Brewed/pack/1000</t>
        </is>
      </c>
      <c r="D60" t="inlineStr">
        <is>
          <t>grams</t>
        </is>
      </c>
      <c r="E60" t="n">
        <v>2000</v>
      </c>
      <c r="F60" t="n">
        <v>1400</v>
      </c>
      <c r="G60" t="n">
        <v>0.7</v>
      </c>
    </row>
    <row r="61">
      <c r="A61" t="n">
        <v>40</v>
      </c>
      <c r="B61" t="inlineStr">
        <is>
          <t>Brewed Coffee</t>
        </is>
      </c>
      <c r="C61" t="inlineStr">
        <is>
          <t>Tropical Brewed/pack/500grams</t>
        </is>
      </c>
      <c r="D61" t="inlineStr">
        <is>
          <t>grams</t>
        </is>
      </c>
      <c r="E61" t="n">
        <v>3</v>
      </c>
      <c r="F61" t="n">
        <v>1050</v>
      </c>
      <c r="G61" t="n">
        <v>350</v>
      </c>
    </row>
    <row r="62">
      <c r="A62" t="n">
        <v>40</v>
      </c>
      <c r="B62" t="inlineStr">
        <is>
          <t>Brewed Coffee</t>
        </is>
      </c>
      <c r="C62" t="inlineStr"/>
      <c r="D62" t="inlineStr">
        <is>
          <t>grams</t>
        </is>
      </c>
      <c r="E62" t="n">
        <v>2000</v>
      </c>
      <c r="F62" t="n">
        <v>1200</v>
      </c>
      <c r="G62" t="n">
        <v>0.6</v>
      </c>
    </row>
    <row r="63">
      <c r="A63" t="n">
        <v>41</v>
      </c>
      <c r="B63" t="inlineStr">
        <is>
          <t>Broth Cubes - Beef</t>
        </is>
      </c>
      <c r="C63" t="inlineStr">
        <is>
          <t>Knorr/box/grams/12pcs</t>
        </is>
      </c>
      <c r="D63" t="inlineStr">
        <is>
          <t>grams</t>
        </is>
      </c>
      <c r="E63" t="n">
        <v>240</v>
      </c>
      <c r="F63" t="n">
        <v>136</v>
      </c>
      <c r="G63" t="n">
        <v>0.5666666666666667</v>
      </c>
    </row>
    <row r="64">
      <c r="A64" t="n">
        <v>41</v>
      </c>
      <c r="B64" t="inlineStr">
        <is>
          <t>Broth Cubes - Beef</t>
        </is>
      </c>
      <c r="C64" t="inlineStr">
        <is>
          <t>Mc Cormick/bottle/30ml</t>
        </is>
      </c>
      <c r="D64" t="inlineStr">
        <is>
          <t>ml</t>
        </is>
      </c>
      <c r="E64" t="n">
        <v>30</v>
      </c>
      <c r="F64" t="n">
        <v>65.00000000000001</v>
      </c>
      <c r="G64" t="n">
        <v>2.166666666666667</v>
      </c>
    </row>
    <row r="65">
      <c r="A65" t="n">
        <v>41</v>
      </c>
      <c r="B65" t="inlineStr">
        <is>
          <t>Broth Cubes - Beef</t>
        </is>
      </c>
      <c r="C65" t="inlineStr">
        <is>
          <t>Knorr/box/60grams</t>
        </is>
      </c>
      <c r="D65" t="inlineStr">
        <is>
          <t>grams</t>
        </is>
      </c>
      <c r="E65" t="n">
        <v>2</v>
      </c>
      <c r="F65" t="n">
        <v>70.40000000000001</v>
      </c>
      <c r="G65" t="n">
        <v>35.2</v>
      </c>
    </row>
    <row r="66">
      <c r="A66" t="n">
        <v>42</v>
      </c>
      <c r="B66" t="inlineStr">
        <is>
          <t>Broth Cubes - Chicken</t>
        </is>
      </c>
      <c r="C66" t="inlineStr">
        <is>
          <t>Knorr/box/grams</t>
        </is>
      </c>
      <c r="D66" t="inlineStr">
        <is>
          <t>grams</t>
        </is>
      </c>
      <c r="E66" t="n">
        <v>240</v>
      </c>
      <c r="F66" t="n">
        <v>136.4</v>
      </c>
      <c r="G66" t="n">
        <v>0.5683333333333334</v>
      </c>
    </row>
    <row r="67">
      <c r="A67" t="n">
        <v>42</v>
      </c>
      <c r="B67" t="inlineStr">
        <is>
          <t>Broth Cubes - Chicken</t>
        </is>
      </c>
      <c r="C67" t="inlineStr">
        <is>
          <t>Knorr/box/60grams</t>
        </is>
      </c>
      <c r="D67" t="inlineStr">
        <is>
          <t>grams</t>
        </is>
      </c>
      <c r="E67" t="n">
        <v>3</v>
      </c>
      <c r="F67" t="n">
        <v>105.6</v>
      </c>
      <c r="G67" t="n">
        <v>35.2</v>
      </c>
    </row>
    <row r="68">
      <c r="A68" t="n">
        <v>43</v>
      </c>
      <c r="B68" t="inlineStr">
        <is>
          <t>Broth Cubes - Pork</t>
        </is>
      </c>
      <c r="C68" t="inlineStr">
        <is>
          <t>Knorr/box/grams</t>
        </is>
      </c>
      <c r="D68" t="inlineStr">
        <is>
          <t>grams</t>
        </is>
      </c>
      <c r="E68" t="n">
        <v>120</v>
      </c>
      <c r="F68" t="n">
        <v>68.2</v>
      </c>
      <c r="G68" t="n">
        <v>0.5683333333333334</v>
      </c>
    </row>
    <row r="69">
      <c r="A69" t="n">
        <v>44</v>
      </c>
      <c r="B69" t="inlineStr">
        <is>
          <t>Brown Supot #10</t>
        </is>
      </c>
      <c r="C69" t="inlineStr"/>
      <c r="D69" t="inlineStr">
        <is>
          <t>packs</t>
        </is>
      </c>
      <c r="E69" t="n">
        <v>4</v>
      </c>
      <c r="F69" t="n">
        <v>188</v>
      </c>
      <c r="G69" t="n">
        <v>47</v>
      </c>
    </row>
    <row r="70">
      <c r="A70" t="n">
        <v>45</v>
      </c>
      <c r="B70" t="inlineStr">
        <is>
          <t>Brown Supot #16</t>
        </is>
      </c>
      <c r="C70" t="inlineStr"/>
      <c r="D70" t="inlineStr">
        <is>
          <t>packs</t>
        </is>
      </c>
      <c r="E70" t="n">
        <v>3</v>
      </c>
      <c r="F70" t="n">
        <v>135</v>
      </c>
      <c r="G70" t="n">
        <v>45</v>
      </c>
    </row>
    <row r="71">
      <c r="A71" t="n">
        <v>46</v>
      </c>
      <c r="B71" t="inlineStr">
        <is>
          <t>Butter Coconut</t>
        </is>
      </c>
      <c r="C71" t="inlineStr">
        <is>
          <t>Nissin/pack (10pcsx28grams)</t>
        </is>
      </c>
      <c r="D71" t="inlineStr">
        <is>
          <t>pieces</t>
        </is>
      </c>
      <c r="E71" t="n">
        <v>60</v>
      </c>
      <c r="F71" t="n">
        <v>1275.6</v>
      </c>
      <c r="G71" t="n">
        <v>21.26</v>
      </c>
    </row>
    <row r="72">
      <c r="A72" t="n">
        <v>47</v>
      </c>
      <c r="B72" t="inlineStr">
        <is>
          <t>Button Mushroom Whole</t>
        </is>
      </c>
      <c r="C72" t="inlineStr">
        <is>
          <t>Jolly/can/400grams.200grams drained weight</t>
        </is>
      </c>
      <c r="D72" t="inlineStr">
        <is>
          <t>drained weight grams</t>
        </is>
      </c>
      <c r="E72" t="n">
        <v>23.205</v>
      </c>
      <c r="F72" t="n">
        <v>1336.84005</v>
      </c>
      <c r="G72" t="n">
        <v>57.60999999999999</v>
      </c>
    </row>
    <row r="73">
      <c r="A73" t="n">
        <v>48</v>
      </c>
      <c r="B73" t="inlineStr">
        <is>
          <t>C2 Solo Apple</t>
        </is>
      </c>
      <c r="C73" t="inlineStr">
        <is>
          <t>Pepsi/box (24x230ml)</t>
        </is>
      </c>
      <c r="D73" t="inlineStr">
        <is>
          <t>pieces</t>
        </is>
      </c>
      <c r="E73" t="n">
        <v>317</v>
      </c>
      <c r="F73" t="n">
        <v>3959.33</v>
      </c>
      <c r="G73" t="n">
        <v>12.49</v>
      </c>
    </row>
    <row r="74">
      <c r="A74" t="n">
        <v>49</v>
      </c>
      <c r="B74" t="inlineStr">
        <is>
          <t>Cabbage</t>
        </is>
      </c>
      <c r="C74" t="inlineStr">
        <is>
          <t>Fresh</t>
        </is>
      </c>
      <c r="D74" t="inlineStr">
        <is>
          <t>grams</t>
        </is>
      </c>
      <c r="E74" t="n">
        <v>5002</v>
      </c>
      <c r="F74" t="n">
        <v>530</v>
      </c>
      <c r="G74" t="n">
        <v>0.1059576169532187</v>
      </c>
    </row>
    <row r="75">
      <c r="A75" t="n">
        <v>50</v>
      </c>
      <c r="B75" t="inlineStr">
        <is>
          <t>Cake bar chocolate</t>
        </is>
      </c>
      <c r="C75" t="inlineStr">
        <is>
          <t>Alaska/box (48x80ml)</t>
        </is>
      </c>
      <c r="D75" t="inlineStr">
        <is>
          <t>pieces</t>
        </is>
      </c>
      <c r="E75" t="n">
        <v>6</v>
      </c>
      <c r="F75" t="n">
        <v>46.08</v>
      </c>
      <c r="G75" t="n">
        <v>7.68</v>
      </c>
    </row>
    <row r="76">
      <c r="A76" t="n">
        <v>50</v>
      </c>
      <c r="B76" t="inlineStr">
        <is>
          <t>Cake bar chocolate</t>
        </is>
      </c>
      <c r="C76" t="inlineStr">
        <is>
          <t>Fudgee bar/pack (10pcsx40grams)</t>
        </is>
      </c>
      <c r="D76" t="inlineStr">
        <is>
          <t>pieces</t>
        </is>
      </c>
      <c r="E76" t="n">
        <v>14</v>
      </c>
      <c r="F76" t="n">
        <v>107.38</v>
      </c>
      <c r="G76" t="n">
        <v>7.67</v>
      </c>
    </row>
    <row r="77">
      <c r="A77" t="n">
        <v>51</v>
      </c>
      <c r="B77" t="inlineStr">
        <is>
          <t>Cake Flour</t>
        </is>
      </c>
      <c r="C77" t="inlineStr">
        <is>
          <t>pack/1000grams</t>
        </is>
      </c>
      <c r="D77" t="inlineStr">
        <is>
          <t>grams</t>
        </is>
      </c>
      <c r="E77" t="n">
        <v>2</v>
      </c>
      <c r="F77" t="n">
        <v>150</v>
      </c>
      <c r="G77" t="n">
        <v>75</v>
      </c>
    </row>
    <row r="78">
      <c r="A78" t="n">
        <v>52</v>
      </c>
      <c r="B78" t="inlineStr">
        <is>
          <t>Calabasa</t>
        </is>
      </c>
      <c r="C78" t="inlineStr">
        <is>
          <t>Fresh</t>
        </is>
      </c>
      <c r="D78" t="inlineStr">
        <is>
          <t>grams</t>
        </is>
      </c>
      <c r="E78" t="n">
        <v>4</v>
      </c>
      <c r="F78" t="n">
        <v>580</v>
      </c>
      <c r="G78" t="n">
        <v>145</v>
      </c>
    </row>
    <row r="79">
      <c r="A79" t="n">
        <v>53</v>
      </c>
      <c r="B79" t="inlineStr">
        <is>
          <t>Calbee</t>
        </is>
      </c>
      <c r="C79" t="inlineStr"/>
      <c r="D79" t="inlineStr">
        <is>
          <t>pieces</t>
        </is>
      </c>
      <c r="E79" t="n">
        <v>1</v>
      </c>
      <c r="F79" t="n">
        <v>124.35</v>
      </c>
      <c r="G79" t="n">
        <v>124.35</v>
      </c>
    </row>
    <row r="80">
      <c r="A80" t="n">
        <v>54</v>
      </c>
      <c r="B80" t="inlineStr">
        <is>
          <t>Canola Oil</t>
        </is>
      </c>
      <c r="C80" t="inlineStr"/>
      <c r="D80" t="inlineStr">
        <is>
          <t>ml</t>
        </is>
      </c>
      <c r="E80" t="n">
        <v>1200</v>
      </c>
      <c r="F80" t="n">
        <v>172.98</v>
      </c>
      <c r="G80" t="n">
        <v>0.14415</v>
      </c>
    </row>
    <row r="81">
      <c r="A81" t="n">
        <v>55</v>
      </c>
      <c r="B81" t="inlineStr">
        <is>
          <t>Canton</t>
        </is>
      </c>
      <c r="C81" t="inlineStr">
        <is>
          <t>Excellent/pack/400grams</t>
        </is>
      </c>
      <c r="D81" t="inlineStr">
        <is>
          <t>grams</t>
        </is>
      </c>
      <c r="E81" t="n">
        <v>3022</v>
      </c>
      <c r="F81" t="n">
        <v>3652.58</v>
      </c>
      <c r="G81" t="n">
        <v>1.208663136995367</v>
      </c>
    </row>
    <row r="82">
      <c r="A82" t="n">
        <v>55</v>
      </c>
      <c r="B82" t="inlineStr">
        <is>
          <t>Canton</t>
        </is>
      </c>
      <c r="C82" t="inlineStr"/>
      <c r="D82" t="inlineStr">
        <is>
          <t>grams</t>
        </is>
      </c>
      <c r="E82" t="n">
        <v>10000</v>
      </c>
      <c r="F82" t="n">
        <v>1814.6</v>
      </c>
      <c r="G82" t="n">
        <v>0.18146</v>
      </c>
    </row>
    <row r="83">
      <c r="A83" t="n">
        <v>56</v>
      </c>
      <c r="B83" t="inlineStr">
        <is>
          <t>Caramel Popcorn</t>
        </is>
      </c>
      <c r="C83" t="inlineStr">
        <is>
          <t>Oishi/box (pcsx60grams)</t>
        </is>
      </c>
      <c r="D83" t="inlineStr">
        <is>
          <t>pieces</t>
        </is>
      </c>
      <c r="E83" t="n">
        <v>12</v>
      </c>
      <c r="F83" t="n">
        <v>182.28</v>
      </c>
      <c r="G83" t="n">
        <v>15.19</v>
      </c>
    </row>
    <row r="84">
      <c r="A84" t="n">
        <v>57</v>
      </c>
      <c r="B84" t="inlineStr">
        <is>
          <t>Carne Norte Classic</t>
        </is>
      </c>
      <c r="C84" t="inlineStr"/>
      <c r="D84" t="inlineStr">
        <is>
          <t>grams</t>
        </is>
      </c>
      <c r="E84" t="n">
        <v>1040</v>
      </c>
      <c r="F84" t="n">
        <v>183.6</v>
      </c>
      <c r="G84" t="n">
        <v>0.1765384615384615</v>
      </c>
    </row>
    <row r="85">
      <c r="A85" t="n">
        <v>58</v>
      </c>
      <c r="B85" t="inlineStr">
        <is>
          <t>Carrots</t>
        </is>
      </c>
      <c r="C85" t="inlineStr">
        <is>
          <t>Fresh</t>
        </is>
      </c>
      <c r="D85" t="inlineStr">
        <is>
          <t>grams</t>
        </is>
      </c>
      <c r="E85" t="n">
        <v>3</v>
      </c>
      <c r="F85" t="n">
        <v>360</v>
      </c>
      <c r="G85" t="n">
        <v>120</v>
      </c>
    </row>
    <row r="86">
      <c r="A86" t="n">
        <v>59</v>
      </c>
      <c r="B86" t="inlineStr">
        <is>
          <t>Cassava Starch</t>
        </is>
      </c>
      <c r="C86" t="inlineStr">
        <is>
          <t>pack/1000grams</t>
        </is>
      </c>
      <c r="D86" t="inlineStr">
        <is>
          <t>grams</t>
        </is>
      </c>
      <c r="E86" t="n">
        <v>1010</v>
      </c>
      <c r="F86" t="n">
        <v>805</v>
      </c>
      <c r="G86" t="n">
        <v>0.7970297029702971</v>
      </c>
    </row>
    <row r="87">
      <c r="A87" t="n">
        <v>60</v>
      </c>
      <c r="B87" t="inlineStr">
        <is>
          <t>Catsup</t>
        </is>
      </c>
      <c r="C87" t="inlineStr">
        <is>
          <t>Ticman/gallon/3500ml</t>
        </is>
      </c>
      <c r="D87" t="inlineStr">
        <is>
          <t>gal</t>
        </is>
      </c>
      <c r="E87" t="n">
        <v>41</v>
      </c>
      <c r="F87" t="n">
        <v>3608</v>
      </c>
      <c r="G87" t="n">
        <v>88</v>
      </c>
    </row>
    <row r="88">
      <c r="A88" t="n">
        <v>61</v>
      </c>
      <c r="B88" t="inlineStr">
        <is>
          <t>Cayenne Powder</t>
        </is>
      </c>
      <c r="C88" t="inlineStr"/>
      <c r="D88" t="inlineStr">
        <is>
          <t>grams</t>
        </is>
      </c>
      <c r="E88" t="n">
        <v>30</v>
      </c>
      <c r="F88" t="n">
        <v>33.99999999999999</v>
      </c>
      <c r="G88" t="n">
        <v>1.133333333333333</v>
      </c>
    </row>
    <row r="89">
      <c r="A89" t="n">
        <v>62</v>
      </c>
      <c r="B89" t="inlineStr">
        <is>
          <t>Century Flakes in Oil</t>
        </is>
      </c>
      <c r="C89" t="inlineStr"/>
      <c r="D89" t="inlineStr">
        <is>
          <t>grams</t>
        </is>
      </c>
      <c r="E89" t="n">
        <v>2520</v>
      </c>
      <c r="F89" t="n">
        <v>580.1999999999998</v>
      </c>
      <c r="G89" t="n">
        <v>0.2302380952380952</v>
      </c>
    </row>
    <row r="90">
      <c r="A90" t="n">
        <v>63</v>
      </c>
      <c r="B90" t="inlineStr">
        <is>
          <t>Champion</t>
        </is>
      </c>
      <c r="C90" t="inlineStr">
        <is>
          <t>Energen/pack (pcsx30grams)</t>
        </is>
      </c>
      <c r="D90" t="inlineStr">
        <is>
          <t>pieces</t>
        </is>
      </c>
      <c r="E90" t="n">
        <v>1022</v>
      </c>
      <c r="F90" t="n">
        <v>9033.960000000001</v>
      </c>
      <c r="G90" t="n">
        <v>8.83949119373777</v>
      </c>
    </row>
    <row r="91">
      <c r="A91" t="n">
        <v>64</v>
      </c>
      <c r="B91" t="inlineStr">
        <is>
          <t>Charmie liner</t>
        </is>
      </c>
      <c r="C91" t="inlineStr"/>
      <c r="D91" t="inlineStr">
        <is>
          <t>pieces</t>
        </is>
      </c>
      <c r="E91" t="n">
        <v>24</v>
      </c>
      <c r="F91" t="n">
        <v>624</v>
      </c>
      <c r="G91" t="n">
        <v>26</v>
      </c>
    </row>
    <row r="92">
      <c r="A92" t="n">
        <v>65</v>
      </c>
      <c r="B92" t="inlineStr">
        <is>
          <t>Cheese</t>
        </is>
      </c>
      <c r="C92" t="inlineStr">
        <is>
          <t>Daily Quezo/box/160grams</t>
        </is>
      </c>
      <c r="D92" t="inlineStr">
        <is>
          <t>grams</t>
        </is>
      </c>
      <c r="E92" t="n">
        <v>12832</v>
      </c>
      <c r="F92" t="n">
        <v>3956.48</v>
      </c>
      <c r="G92" t="n">
        <v>0.3083291770573566</v>
      </c>
    </row>
    <row r="93">
      <c r="A93" t="n">
        <v>65</v>
      </c>
      <c r="B93" t="inlineStr">
        <is>
          <t>Cheese</t>
        </is>
      </c>
      <c r="C93" t="inlineStr">
        <is>
          <t>Bigtime/pack/160grams</t>
        </is>
      </c>
      <c r="D93" t="inlineStr">
        <is>
          <t>grams</t>
        </is>
      </c>
      <c r="E93" t="n">
        <v>24</v>
      </c>
      <c r="F93" t="n">
        <v>859.6800000000001</v>
      </c>
      <c r="G93" t="n">
        <v>35.82</v>
      </c>
    </row>
    <row r="94">
      <c r="A94" t="n">
        <v>66</v>
      </c>
      <c r="B94" t="inlineStr">
        <is>
          <t>Cheese Ball</t>
        </is>
      </c>
      <c r="C94" t="inlineStr"/>
      <c r="D94" t="inlineStr">
        <is>
          <t>pieces</t>
        </is>
      </c>
      <c r="E94" t="n">
        <v>25</v>
      </c>
      <c r="F94" t="n">
        <v>393.1</v>
      </c>
      <c r="G94" t="n">
        <v>15.724</v>
      </c>
    </row>
    <row r="95">
      <c r="A95" t="n">
        <v>67</v>
      </c>
      <c r="B95" t="inlineStr">
        <is>
          <t>Cheese Curls</t>
        </is>
      </c>
      <c r="C95" t="inlineStr"/>
      <c r="D95" t="inlineStr">
        <is>
          <t>pieces</t>
        </is>
      </c>
      <c r="E95" t="n">
        <v>23</v>
      </c>
      <c r="F95" t="n">
        <v>436.3099999999999</v>
      </c>
      <c r="G95" t="n">
        <v>18.97</v>
      </c>
    </row>
    <row r="96">
      <c r="A96" t="n">
        <v>68</v>
      </c>
      <c r="B96" t="inlineStr">
        <is>
          <t>Cheese Powder</t>
        </is>
      </c>
      <c r="C96" t="inlineStr">
        <is>
          <t>SM Bonus/pack/50grams</t>
        </is>
      </c>
      <c r="D96" t="inlineStr">
        <is>
          <t>grams</t>
        </is>
      </c>
      <c r="E96" t="n">
        <v>6</v>
      </c>
      <c r="F96" t="n">
        <v>111</v>
      </c>
      <c r="G96" t="n">
        <v>18.5</v>
      </c>
    </row>
    <row r="97">
      <c r="A97" t="n">
        <v>69</v>
      </c>
      <c r="B97" t="inlineStr">
        <is>
          <t>Cheese Ring</t>
        </is>
      </c>
      <c r="C97" t="inlineStr"/>
      <c r="D97" t="inlineStr">
        <is>
          <t>pieces</t>
        </is>
      </c>
      <c r="E97" t="n">
        <v>25</v>
      </c>
      <c r="F97" t="n">
        <v>386.8</v>
      </c>
      <c r="G97" t="n">
        <v>15.472</v>
      </c>
    </row>
    <row r="98">
      <c r="A98" t="n">
        <v>70</v>
      </c>
      <c r="B98" t="inlineStr">
        <is>
          <t>Cheese Ring Cheese</t>
        </is>
      </c>
      <c r="C98" t="inlineStr">
        <is>
          <t>Regent/bundle (25x60 grams)</t>
        </is>
      </c>
      <c r="D98" t="inlineStr">
        <is>
          <t>pieces</t>
        </is>
      </c>
      <c r="E98" t="n">
        <v>60</v>
      </c>
      <c r="F98" t="n">
        <v>928.3000000000001</v>
      </c>
      <c r="G98" t="n">
        <v>15.47166666666667</v>
      </c>
    </row>
    <row r="99">
      <c r="A99" t="n">
        <v>71</v>
      </c>
      <c r="B99" t="inlineStr">
        <is>
          <t>Cheez-it Cheese</t>
        </is>
      </c>
      <c r="C99" t="inlineStr">
        <is>
          <t>Pepsi/case (24x500ml)</t>
        </is>
      </c>
      <c r="D99" t="inlineStr">
        <is>
          <t>pieces</t>
        </is>
      </c>
      <c r="E99" t="n">
        <v>24</v>
      </c>
      <c r="F99" t="n">
        <v>1041.6</v>
      </c>
      <c r="G99" t="n">
        <v>43.4</v>
      </c>
    </row>
    <row r="100">
      <c r="A100" t="n">
        <v>71</v>
      </c>
      <c r="B100" t="inlineStr">
        <is>
          <t>Cheez-it Cheese</t>
        </is>
      </c>
      <c r="C100" t="inlineStr">
        <is>
          <t>Nutri-Snackbundle (50x60grams)</t>
        </is>
      </c>
      <c r="D100" t="inlineStr">
        <is>
          <t>pieces</t>
        </is>
      </c>
      <c r="E100" t="n">
        <v>62</v>
      </c>
      <c r="F100" t="n">
        <v>1001.18</v>
      </c>
      <c r="G100" t="n">
        <v>16.14806451612903</v>
      </c>
    </row>
    <row r="101">
      <c r="A101" t="n">
        <v>71</v>
      </c>
      <c r="B101" t="inlineStr">
        <is>
          <t>Cheez-it Cheese</t>
        </is>
      </c>
      <c r="C101" t="inlineStr"/>
      <c r="D101" t="inlineStr">
        <is>
          <t>pieces</t>
        </is>
      </c>
      <c r="E101" t="n">
        <v>3</v>
      </c>
      <c r="F101" t="n">
        <v>46.17</v>
      </c>
      <c r="G101" t="n">
        <v>15.39</v>
      </c>
    </row>
    <row r="102">
      <c r="A102" t="n">
        <v>72</v>
      </c>
      <c r="B102" t="inlineStr">
        <is>
          <t>Cheezy</t>
        </is>
      </c>
      <c r="C102" t="inlineStr"/>
      <c r="D102" t="inlineStr">
        <is>
          <t>pieces</t>
        </is>
      </c>
      <c r="E102" t="n">
        <v>4</v>
      </c>
      <c r="F102" t="n">
        <v>105.4</v>
      </c>
      <c r="G102" t="n">
        <v>26.35</v>
      </c>
    </row>
    <row r="103">
      <c r="A103" t="n">
        <v>73</v>
      </c>
      <c r="B103" t="inlineStr">
        <is>
          <t>Chicken and Corn</t>
        </is>
      </c>
      <c r="C103" t="inlineStr">
        <is>
          <t>Knorr/sachet/60grams</t>
        </is>
      </c>
      <c r="D103" t="inlineStr">
        <is>
          <t>grams</t>
        </is>
      </c>
      <c r="E103" t="n">
        <v>12</v>
      </c>
      <c r="F103" t="n">
        <v>696</v>
      </c>
      <c r="G103" t="n">
        <v>58</v>
      </c>
    </row>
    <row r="104">
      <c r="A104" t="n">
        <v>74</v>
      </c>
      <c r="B104" t="inlineStr">
        <is>
          <t>Chicken Breast</t>
        </is>
      </c>
      <c r="C104" t="inlineStr">
        <is>
          <t>Star/pail/1000grams</t>
        </is>
      </c>
      <c r="D104" t="inlineStr">
        <is>
          <t>grams</t>
        </is>
      </c>
      <c r="E104" t="n">
        <v>7000</v>
      </c>
      <c r="F104" t="n">
        <v>840</v>
      </c>
      <c r="G104" t="n">
        <v>0.12</v>
      </c>
    </row>
    <row r="105">
      <c r="A105" t="n">
        <v>74</v>
      </c>
      <c r="B105" t="inlineStr">
        <is>
          <t>Chicken Breast</t>
        </is>
      </c>
      <c r="C105" t="inlineStr">
        <is>
          <t>Frozen with bone</t>
        </is>
      </c>
      <c r="D105" t="inlineStr">
        <is>
          <t>kilos</t>
        </is>
      </c>
      <c r="E105" t="n">
        <v>5</v>
      </c>
      <c r="F105" t="n">
        <v>1425</v>
      </c>
      <c r="G105" t="n">
        <v>285</v>
      </c>
    </row>
    <row r="106">
      <c r="A106" t="n">
        <v>75</v>
      </c>
      <c r="B106" t="inlineStr">
        <is>
          <t>Chicken Leg Quarter</t>
        </is>
      </c>
      <c r="C106" t="inlineStr">
        <is>
          <t>Frozen/box(kilos)</t>
        </is>
      </c>
      <c r="D106" t="inlineStr">
        <is>
          <t>kilos</t>
        </is>
      </c>
      <c r="E106" t="n">
        <v>173</v>
      </c>
      <c r="F106" t="n">
        <v>23874</v>
      </c>
      <c r="G106" t="n">
        <v>138</v>
      </c>
    </row>
    <row r="107">
      <c r="A107" t="n">
        <v>75</v>
      </c>
      <c r="B107" t="inlineStr">
        <is>
          <t>Chicken Leg Quarter</t>
        </is>
      </c>
      <c r="C107" t="inlineStr"/>
      <c r="D107" t="inlineStr">
        <is>
          <t>kilos</t>
        </is>
      </c>
      <c r="E107" t="n">
        <v>40</v>
      </c>
      <c r="F107" t="n">
        <v>5560</v>
      </c>
      <c r="G107" t="n">
        <v>139</v>
      </c>
    </row>
    <row r="108">
      <c r="A108" t="n">
        <v>76</v>
      </c>
      <c r="B108" t="inlineStr">
        <is>
          <t>Chicken Whole</t>
        </is>
      </c>
      <c r="C108" t="inlineStr">
        <is>
          <t>Frozen/box(kilos)</t>
        </is>
      </c>
      <c r="D108" t="inlineStr">
        <is>
          <t>kilos</t>
        </is>
      </c>
      <c r="E108" t="n">
        <v>58</v>
      </c>
      <c r="F108" t="n">
        <v>9802</v>
      </c>
      <c r="G108" t="n">
        <v>169</v>
      </c>
    </row>
    <row r="109">
      <c r="A109" t="n">
        <v>76</v>
      </c>
      <c r="B109" t="inlineStr">
        <is>
          <t>Chicken Whole</t>
        </is>
      </c>
      <c r="C109" t="inlineStr"/>
      <c r="D109" t="inlineStr">
        <is>
          <t>kilos</t>
        </is>
      </c>
      <c r="E109" t="n">
        <v>19</v>
      </c>
      <c r="F109" t="n">
        <v>3192</v>
      </c>
      <c r="G109" t="n">
        <v>168</v>
      </c>
    </row>
    <row r="110">
      <c r="A110" t="n">
        <v>77</v>
      </c>
      <c r="B110" t="inlineStr">
        <is>
          <t>Chicken Wings</t>
        </is>
      </c>
      <c r="C110" t="inlineStr">
        <is>
          <t>Fresh</t>
        </is>
      </c>
      <c r="D110" t="inlineStr">
        <is>
          <t>kilos</t>
        </is>
      </c>
      <c r="E110" t="n">
        <v>30</v>
      </c>
      <c r="F110" t="n">
        <v>5040</v>
      </c>
      <c r="G110" t="n">
        <v>168</v>
      </c>
    </row>
    <row r="111">
      <c r="A111" t="n">
        <v>78</v>
      </c>
      <c r="B111" t="inlineStr">
        <is>
          <t>Chili Garlic Sauce</t>
        </is>
      </c>
      <c r="C111" t="inlineStr">
        <is>
          <t>Lee Kum Kee/bottle/226grams</t>
        </is>
      </c>
      <c r="D111" t="inlineStr">
        <is>
          <t>grams</t>
        </is>
      </c>
      <c r="E111" t="n">
        <v>1</v>
      </c>
      <c r="F111" t="n">
        <v>240</v>
      </c>
      <c r="G111" t="n">
        <v>240</v>
      </c>
    </row>
    <row r="112">
      <c r="A112" t="n">
        <v>79</v>
      </c>
      <c r="B112" t="inlineStr">
        <is>
          <t>Chilli Powder</t>
        </is>
      </c>
      <c r="C112" t="inlineStr">
        <is>
          <t>UFC/pack/30grams</t>
        </is>
      </c>
      <c r="D112" t="inlineStr">
        <is>
          <t>grams</t>
        </is>
      </c>
      <c r="E112" t="n">
        <v>60</v>
      </c>
      <c r="F112" t="n">
        <v>87.59999999999999</v>
      </c>
      <c r="G112" t="n">
        <v>1.46</v>
      </c>
    </row>
    <row r="113">
      <c r="A113" t="n">
        <v>80</v>
      </c>
      <c r="B113" t="inlineStr">
        <is>
          <t>Chippy Babarque</t>
        </is>
      </c>
      <c r="C113" t="inlineStr">
        <is>
          <t>Jack n Jill/box (100/25grams)</t>
        </is>
      </c>
      <c r="D113" t="inlineStr">
        <is>
          <t>pieces</t>
        </is>
      </c>
      <c r="E113" t="n">
        <v>13</v>
      </c>
      <c r="F113" t="n">
        <v>88.27</v>
      </c>
      <c r="G113" t="n">
        <v>6.79</v>
      </c>
    </row>
    <row r="114">
      <c r="A114" t="n">
        <v>80</v>
      </c>
      <c r="B114" t="inlineStr">
        <is>
          <t>Chippy Babarque</t>
        </is>
      </c>
      <c r="C114" t="inlineStr"/>
      <c r="D114" t="inlineStr">
        <is>
          <t>pieces</t>
        </is>
      </c>
      <c r="E114" t="n">
        <v>50</v>
      </c>
      <c r="F114" t="n">
        <v>1165.65</v>
      </c>
      <c r="G114" t="n">
        <v>23.313</v>
      </c>
    </row>
    <row r="115">
      <c r="A115" t="n">
        <v>81</v>
      </c>
      <c r="B115" t="inlineStr">
        <is>
          <t>Chiz Curls</t>
        </is>
      </c>
      <c r="C115" t="inlineStr">
        <is>
          <t>Jack n Jill/box (pcsx55grams)</t>
        </is>
      </c>
      <c r="D115" t="inlineStr">
        <is>
          <t>pieces</t>
        </is>
      </c>
      <c r="E115" t="n">
        <v>139</v>
      </c>
      <c r="F115" t="n">
        <v>2675.75</v>
      </c>
      <c r="G115" t="n">
        <v>19.25</v>
      </c>
    </row>
    <row r="116">
      <c r="A116" t="n">
        <v>82</v>
      </c>
      <c r="B116" t="inlineStr">
        <is>
          <t>Chocnut</t>
        </is>
      </c>
      <c r="C116" t="inlineStr">
        <is>
          <t>King/pack (24pcsxgrams)</t>
        </is>
      </c>
      <c r="D116" t="inlineStr">
        <is>
          <t>pieces</t>
        </is>
      </c>
      <c r="E116" t="n">
        <v>379</v>
      </c>
      <c r="F116" t="n">
        <v>682.2</v>
      </c>
      <c r="G116" t="n">
        <v>1.8</v>
      </c>
    </row>
    <row r="117">
      <c r="A117" t="n">
        <v>83</v>
      </c>
      <c r="B117" t="inlineStr">
        <is>
          <t>Choco Crunchies</t>
        </is>
      </c>
      <c r="C117" t="inlineStr"/>
      <c r="D117" t="inlineStr">
        <is>
          <t>pieces</t>
        </is>
      </c>
      <c r="E117" t="n">
        <v>4</v>
      </c>
      <c r="F117" t="n">
        <v>10.32583333333333</v>
      </c>
      <c r="G117" t="n">
        <v>2.581458333333333</v>
      </c>
    </row>
    <row r="118">
      <c r="A118" t="n">
        <v>84</v>
      </c>
      <c r="B118" t="inlineStr">
        <is>
          <t>Chocolate Syrup</t>
        </is>
      </c>
      <c r="C118" t="inlineStr">
        <is>
          <t>Injoy bottle/750ml</t>
        </is>
      </c>
      <c r="D118" t="inlineStr">
        <is>
          <t>ml</t>
        </is>
      </c>
      <c r="E118" t="n">
        <v>750</v>
      </c>
      <c r="F118" t="n">
        <v>128</v>
      </c>
      <c r="G118" t="n">
        <v>0.1706666666666667</v>
      </c>
    </row>
    <row r="119">
      <c r="A119" t="n">
        <v>85</v>
      </c>
      <c r="B119" t="inlineStr">
        <is>
          <t>Chocolate-Cadbury</t>
        </is>
      </c>
      <c r="C119" t="inlineStr"/>
      <c r="D119" t="inlineStr">
        <is>
          <t>pieces</t>
        </is>
      </c>
      <c r="E119" t="n">
        <v>36</v>
      </c>
      <c r="F119" t="n">
        <v>298.08</v>
      </c>
      <c r="G119" t="n">
        <v>8.279999999999999</v>
      </c>
    </row>
    <row r="120">
      <c r="A120" t="n">
        <v>86</v>
      </c>
      <c r="B120" t="inlineStr">
        <is>
          <t>Chocolate-Kikkat</t>
        </is>
      </c>
      <c r="C120" t="inlineStr"/>
      <c r="D120" t="inlineStr">
        <is>
          <t>pieces</t>
        </is>
      </c>
      <c r="E120" t="n">
        <v>28</v>
      </c>
      <c r="F120" t="n">
        <v>473.1999999999999</v>
      </c>
      <c r="G120" t="n">
        <v>16.9</v>
      </c>
    </row>
    <row r="121">
      <c r="A121" t="n">
        <v>87</v>
      </c>
      <c r="B121" t="inlineStr">
        <is>
          <t>Chopsticks</t>
        </is>
      </c>
      <c r="C121" t="inlineStr">
        <is>
          <t>Welcome/pack 100s'</t>
        </is>
      </c>
      <c r="D121" t="inlineStr">
        <is>
          <t>packs</t>
        </is>
      </c>
      <c r="E121" t="n">
        <v>4</v>
      </c>
      <c r="F121" t="n">
        <v>400</v>
      </c>
      <c r="G121" t="n">
        <v>100</v>
      </c>
    </row>
    <row r="122">
      <c r="A122" t="n">
        <v>88</v>
      </c>
      <c r="B122" t="inlineStr">
        <is>
          <t>Cloud 9 Classic</t>
        </is>
      </c>
      <c r="C122" t="inlineStr">
        <is>
          <t>Jack n Jill/box (12pcsx/28grams)</t>
        </is>
      </c>
      <c r="D122" t="inlineStr">
        <is>
          <t>pieces</t>
        </is>
      </c>
      <c r="E122" t="n">
        <v>144</v>
      </c>
      <c r="F122" t="n">
        <v>1120.32</v>
      </c>
      <c r="G122" t="n">
        <v>7.779999999999999</v>
      </c>
    </row>
    <row r="123">
      <c r="A123" t="n">
        <v>89</v>
      </c>
      <c r="B123" t="inlineStr">
        <is>
          <t>Cloud 9 Classic mini</t>
        </is>
      </c>
      <c r="C123" t="inlineStr"/>
      <c r="D123" t="inlineStr">
        <is>
          <t>pieces</t>
        </is>
      </c>
      <c r="E123" t="n">
        <v>419</v>
      </c>
      <c r="F123" t="n">
        <v>884.5555555555555</v>
      </c>
      <c r="G123" t="n">
        <v>2.111111111111111</v>
      </c>
    </row>
    <row r="124">
      <c r="A124" t="n">
        <v>90</v>
      </c>
      <c r="B124" t="inlineStr">
        <is>
          <t>Clover BBQ</t>
        </is>
      </c>
      <c r="C124" t="inlineStr"/>
      <c r="D124" t="inlineStr">
        <is>
          <t>pieces</t>
        </is>
      </c>
      <c r="E124" t="n">
        <v>37</v>
      </c>
      <c r="F124" t="n">
        <v>1197.56</v>
      </c>
      <c r="G124" t="n">
        <v>32.36648648648649</v>
      </c>
    </row>
    <row r="125">
      <c r="A125" t="n">
        <v>91</v>
      </c>
      <c r="B125" t="inlineStr">
        <is>
          <t>Coconut Milk Powder</t>
        </is>
      </c>
      <c r="C125" t="inlineStr"/>
      <c r="D125" t="inlineStr">
        <is>
          <t>grams</t>
        </is>
      </c>
      <c r="E125" t="n">
        <v>50</v>
      </c>
      <c r="F125" t="n">
        <v>28.55</v>
      </c>
      <c r="G125" t="n">
        <v>0.5710000000000001</v>
      </c>
    </row>
    <row r="126">
      <c r="A126" t="n">
        <v>92</v>
      </c>
      <c r="B126" t="inlineStr">
        <is>
          <t>Coconut Powder</t>
        </is>
      </c>
      <c r="C126" t="inlineStr">
        <is>
          <t>Vista/pack (24pcsx50grams)</t>
        </is>
      </c>
      <c r="D126" t="inlineStr">
        <is>
          <t>grams</t>
        </is>
      </c>
      <c r="E126" t="n">
        <v>2350</v>
      </c>
      <c r="F126" t="n">
        <v>1482.85</v>
      </c>
      <c r="G126" t="n">
        <v>0.631</v>
      </c>
    </row>
    <row r="127">
      <c r="A127" t="n">
        <v>93</v>
      </c>
      <c r="B127" t="inlineStr">
        <is>
          <t>Coffee 5 in 1</t>
        </is>
      </c>
      <c r="C127" t="inlineStr"/>
      <c r="D127" t="inlineStr">
        <is>
          <t>pieces</t>
        </is>
      </c>
      <c r="E127" t="n">
        <v>20</v>
      </c>
      <c r="F127" t="n">
        <v>285</v>
      </c>
      <c r="G127" t="n">
        <v>14.25</v>
      </c>
    </row>
    <row r="128">
      <c r="A128" t="n">
        <v>94</v>
      </c>
      <c r="B128" t="inlineStr">
        <is>
          <t>Coffee Granules Stick</t>
        </is>
      </c>
      <c r="C128" t="inlineStr">
        <is>
          <t>Great Taste/1.8/Sachet</t>
        </is>
      </c>
      <c r="D128" t="inlineStr">
        <is>
          <t>pieces</t>
        </is>
      </c>
      <c r="E128" t="n">
        <v>1492</v>
      </c>
      <c r="F128" t="n">
        <v>3043.68</v>
      </c>
      <c r="G128" t="n">
        <v>2.04</v>
      </c>
    </row>
    <row r="129">
      <c r="A129" t="n">
        <v>94</v>
      </c>
      <c r="B129" t="inlineStr">
        <is>
          <t>Coffee Granules Stick</t>
        </is>
      </c>
      <c r="C129" t="inlineStr"/>
      <c r="D129" t="inlineStr">
        <is>
          <t>pieces</t>
        </is>
      </c>
      <c r="E129" t="n">
        <v>720</v>
      </c>
      <c r="F129" t="n">
        <v>1468.8</v>
      </c>
      <c r="G129" t="n">
        <v>2.04</v>
      </c>
    </row>
    <row r="130">
      <c r="A130" t="n">
        <v>95</v>
      </c>
      <c r="B130" t="inlineStr">
        <is>
          <t>Coffee mate</t>
        </is>
      </c>
      <c r="C130" t="inlineStr"/>
      <c r="D130" t="inlineStr">
        <is>
          <t>pieces</t>
        </is>
      </c>
      <c r="E130" t="n">
        <v>684</v>
      </c>
      <c r="F130" t="n">
        <v>1347.48</v>
      </c>
      <c r="G130" t="n">
        <v>1.97</v>
      </c>
    </row>
    <row r="131">
      <c r="A131" t="n">
        <v>96</v>
      </c>
      <c r="B131" t="inlineStr">
        <is>
          <t>Coffee Premuim Classic Stick</t>
        </is>
      </c>
      <c r="C131" t="inlineStr"/>
      <c r="D131" t="inlineStr">
        <is>
          <t>pieces</t>
        </is>
      </c>
      <c r="E131" t="n">
        <v>828</v>
      </c>
      <c r="F131" t="n">
        <v>2194.2</v>
      </c>
      <c r="G131" t="n">
        <v>2.65</v>
      </c>
    </row>
    <row r="132">
      <c r="A132" t="n">
        <v>97</v>
      </c>
      <c r="B132" t="inlineStr">
        <is>
          <t>Coffee Stick</t>
        </is>
      </c>
      <c r="C132" t="inlineStr">
        <is>
          <t>Great Tastepack (pcsx1.8grams)</t>
        </is>
      </c>
      <c r="D132" t="inlineStr">
        <is>
          <t>pieces</t>
        </is>
      </c>
      <c r="E132" t="n">
        <v>5888</v>
      </c>
      <c r="F132" t="n">
        <v>16785.12</v>
      </c>
      <c r="G132" t="n">
        <v>2.850733695652174</v>
      </c>
    </row>
    <row r="133">
      <c r="A133" t="n">
        <v>98</v>
      </c>
      <c r="B133" t="inlineStr">
        <is>
          <t>Coffee Stirrer</t>
        </is>
      </c>
      <c r="C133" t="inlineStr">
        <is>
          <t>My Everyday/50's</t>
        </is>
      </c>
      <c r="D133" t="inlineStr">
        <is>
          <t>packs</t>
        </is>
      </c>
      <c r="E133" t="n">
        <v>20</v>
      </c>
      <c r="F133" t="n">
        <v>266</v>
      </c>
      <c r="G133" t="n">
        <v>13.3</v>
      </c>
    </row>
    <row r="134">
      <c r="A134" t="n">
        <v>99</v>
      </c>
      <c r="B134" t="inlineStr">
        <is>
          <t>Coffeemate</t>
        </is>
      </c>
      <c r="C134" t="inlineStr">
        <is>
          <t>Nestle/pack/400grams</t>
        </is>
      </c>
      <c r="D134" t="inlineStr">
        <is>
          <t>grams</t>
        </is>
      </c>
      <c r="E134" t="n">
        <v>800</v>
      </c>
      <c r="F134" t="n">
        <v>206.6</v>
      </c>
      <c r="G134" t="n">
        <v>0.25825</v>
      </c>
    </row>
    <row r="135">
      <c r="A135" t="n">
        <v>99</v>
      </c>
      <c r="B135" t="inlineStr">
        <is>
          <t>Coffeemate</t>
        </is>
      </c>
      <c r="C135" t="inlineStr">
        <is>
          <t>Nestle/pack (pcsx5grams)</t>
        </is>
      </c>
      <c r="D135" t="inlineStr">
        <is>
          <t>pieces</t>
        </is>
      </c>
      <c r="E135" t="n">
        <v>1553</v>
      </c>
      <c r="F135" t="n">
        <v>3016.45</v>
      </c>
      <c r="G135" t="n">
        <v>1.942337411461687</v>
      </c>
    </row>
    <row r="136">
      <c r="A136" t="n">
        <v>100</v>
      </c>
      <c r="B136" t="inlineStr">
        <is>
          <t>Coke Mismo</t>
        </is>
      </c>
      <c r="C136" t="inlineStr">
        <is>
          <t>Coca-Cola/case (12x290ml)</t>
        </is>
      </c>
      <c r="D136" t="inlineStr">
        <is>
          <t>pieces</t>
        </is>
      </c>
      <c r="E136" t="n">
        <v>135</v>
      </c>
      <c r="F136" t="n">
        <v>2249.1</v>
      </c>
      <c r="G136" t="n">
        <v>16.66</v>
      </c>
    </row>
    <row r="137">
      <c r="A137" t="n">
        <v>101</v>
      </c>
      <c r="B137" t="inlineStr">
        <is>
          <t>Condensada</t>
        </is>
      </c>
      <c r="C137" t="inlineStr">
        <is>
          <t>Alaska (48x370ml)</t>
        </is>
      </c>
      <c r="D137" t="inlineStr">
        <is>
          <t>grams</t>
        </is>
      </c>
      <c r="E137" t="n">
        <v>9620</v>
      </c>
      <c r="F137" t="n">
        <v>1390.22</v>
      </c>
      <c r="G137" t="n">
        <v>0.1445135135135135</v>
      </c>
    </row>
    <row r="138">
      <c r="A138" t="n">
        <v>101</v>
      </c>
      <c r="B138" t="inlineStr">
        <is>
          <t>Condensada</t>
        </is>
      </c>
      <c r="C138" t="inlineStr">
        <is>
          <t>Alaska 206ml</t>
        </is>
      </c>
      <c r="D138" t="inlineStr">
        <is>
          <t>grams</t>
        </is>
      </c>
      <c r="E138" t="n">
        <v>3502</v>
      </c>
      <c r="F138" t="n">
        <v>596.7</v>
      </c>
      <c r="G138" t="n">
        <v>0.1703883495145631</v>
      </c>
    </row>
    <row r="139">
      <c r="A139" t="n">
        <v>102</v>
      </c>
      <c r="B139" t="inlineStr">
        <is>
          <t>Condensed Milk</t>
        </is>
      </c>
      <c r="C139" t="inlineStr">
        <is>
          <t>Cowbell/can/375ml</t>
        </is>
      </c>
      <c r="D139" t="inlineStr">
        <is>
          <t>ml</t>
        </is>
      </c>
      <c r="E139" t="n">
        <v>28875</v>
      </c>
      <c r="F139" t="n">
        <v>3234</v>
      </c>
      <c r="G139" t="n">
        <v>0.112</v>
      </c>
    </row>
    <row r="140">
      <c r="A140" t="n">
        <v>102</v>
      </c>
      <c r="B140" t="inlineStr">
        <is>
          <t>Condensed Milk</t>
        </is>
      </c>
      <c r="C140" t="inlineStr">
        <is>
          <t>Cowbell/can/374ml</t>
        </is>
      </c>
      <c r="D140" t="inlineStr">
        <is>
          <t>ml</t>
        </is>
      </c>
      <c r="E140" t="n">
        <v>163.64</v>
      </c>
      <c r="F140" t="n">
        <v>6663.420799999999</v>
      </c>
      <c r="G140" t="n">
        <v>40.72</v>
      </c>
    </row>
    <row r="141">
      <c r="A141" t="n">
        <v>103</v>
      </c>
      <c r="B141" t="inlineStr">
        <is>
          <t>Condensed Milk Macapuno</t>
        </is>
      </c>
      <c r="C141" t="inlineStr">
        <is>
          <t>Jersey/can/390ml</t>
        </is>
      </c>
      <c r="D141" t="inlineStr">
        <is>
          <t>ml</t>
        </is>
      </c>
      <c r="E141" t="n">
        <v>780</v>
      </c>
      <c r="F141" t="n">
        <v>112.8</v>
      </c>
      <c r="G141" t="n">
        <v>0.1446153846153846</v>
      </c>
    </row>
    <row r="142">
      <c r="A142" t="n">
        <v>104</v>
      </c>
      <c r="B142" t="inlineStr">
        <is>
          <t>Condensed Milk Mango</t>
        </is>
      </c>
      <c r="C142" t="inlineStr">
        <is>
          <t>Jersey/can/390ml</t>
        </is>
      </c>
      <c r="D142" t="inlineStr">
        <is>
          <t>ml</t>
        </is>
      </c>
      <c r="E142" t="n">
        <v>1</v>
      </c>
      <c r="F142" t="n">
        <v>62.7</v>
      </c>
      <c r="G142" t="n">
        <v>62.7</v>
      </c>
    </row>
    <row r="143">
      <c r="A143" t="n">
        <v>105</v>
      </c>
      <c r="B143" t="inlineStr">
        <is>
          <t>Condensed Milk Ube</t>
        </is>
      </c>
      <c r="C143" t="inlineStr">
        <is>
          <t>Jersey/can/390ml</t>
        </is>
      </c>
      <c r="D143" t="inlineStr">
        <is>
          <t>ml</t>
        </is>
      </c>
      <c r="E143" t="n">
        <v>390</v>
      </c>
      <c r="F143" t="n">
        <v>56.39999999999999</v>
      </c>
      <c r="G143" t="n">
        <v>0.1446153846153846</v>
      </c>
    </row>
    <row r="144">
      <c r="A144" t="n">
        <v>106</v>
      </c>
      <c r="B144" t="inlineStr">
        <is>
          <t>Confectioner sugar</t>
        </is>
      </c>
      <c r="C144" t="inlineStr">
        <is>
          <t>Peotraco/box/450grams</t>
        </is>
      </c>
      <c r="D144" t="inlineStr">
        <is>
          <t>grams</t>
        </is>
      </c>
      <c r="E144" t="n">
        <v>2.22</v>
      </c>
      <c r="F144" t="n">
        <v>777.0000000000001</v>
      </c>
      <c r="G144" t="n">
        <v>350</v>
      </c>
    </row>
    <row r="145">
      <c r="A145" t="n">
        <v>107</v>
      </c>
      <c r="B145" t="inlineStr">
        <is>
          <t>Cooked Ham</t>
        </is>
      </c>
      <c r="C145" t="inlineStr">
        <is>
          <t>CDO/pack/250grams</t>
        </is>
      </c>
      <c r="D145" t="inlineStr">
        <is>
          <t>grams</t>
        </is>
      </c>
      <c r="E145" t="n">
        <v>21</v>
      </c>
      <c r="F145" t="n">
        <v>1449</v>
      </c>
      <c r="G145" t="n">
        <v>69</v>
      </c>
    </row>
    <row r="146">
      <c r="A146" t="n">
        <v>108</v>
      </c>
      <c r="B146" t="inlineStr">
        <is>
          <t>Cooking Oil</t>
        </is>
      </c>
      <c r="C146" t="inlineStr">
        <is>
          <t>Happy Fiesta/pouch/1800ml</t>
        </is>
      </c>
      <c r="D146" t="inlineStr">
        <is>
          <t>ml</t>
        </is>
      </c>
      <c r="E146" t="n">
        <v>486000</v>
      </c>
      <c r="F146" t="n">
        <v>5775.299999999998</v>
      </c>
      <c r="G146" t="n">
        <v>0.01188333333333333</v>
      </c>
    </row>
    <row r="147">
      <c r="A147" t="n">
        <v>108</v>
      </c>
      <c r="B147" t="inlineStr">
        <is>
          <t>Cooking Oil</t>
        </is>
      </c>
      <c r="C147" t="inlineStr"/>
      <c r="D147" t="inlineStr">
        <is>
          <t>ml</t>
        </is>
      </c>
      <c r="E147" t="n">
        <v>10817</v>
      </c>
      <c r="F147" t="n">
        <v>7543.4</v>
      </c>
      <c r="G147" t="n">
        <v>0.697365258389572</v>
      </c>
    </row>
    <row r="148">
      <c r="A148" t="n">
        <v>109</v>
      </c>
      <c r="B148" t="inlineStr">
        <is>
          <t>Cooking Oil - Vegetable</t>
        </is>
      </c>
      <c r="C148" t="inlineStr">
        <is>
          <t>Freeto/tin can/16kilos</t>
        </is>
      </c>
      <c r="D148" t="inlineStr">
        <is>
          <t>kilos</t>
        </is>
      </c>
      <c r="E148" t="n">
        <v>112</v>
      </c>
      <c r="F148" t="n">
        <v>11760</v>
      </c>
      <c r="G148" t="n">
        <v>105</v>
      </c>
    </row>
    <row r="149">
      <c r="A149" t="n">
        <v>110</v>
      </c>
      <c r="B149" t="inlineStr">
        <is>
          <t>Corn Oil</t>
        </is>
      </c>
      <c r="C149" t="inlineStr">
        <is>
          <t>gallon/2000ml</t>
        </is>
      </c>
      <c r="D149" t="inlineStr">
        <is>
          <t>ml</t>
        </is>
      </c>
      <c r="E149" t="n">
        <v>1</v>
      </c>
      <c r="F149" t="n">
        <v>227</v>
      </c>
      <c r="G149" t="n">
        <v>227</v>
      </c>
    </row>
    <row r="150">
      <c r="A150" t="n">
        <v>111</v>
      </c>
      <c r="B150" t="inlineStr">
        <is>
          <t>Corned Beef</t>
        </is>
      </c>
      <c r="C150" t="inlineStr">
        <is>
          <t>Argentina/can/260grams</t>
        </is>
      </c>
      <c r="D150" t="inlineStr">
        <is>
          <t>grams</t>
        </is>
      </c>
      <c r="E150" t="n">
        <v>8</v>
      </c>
      <c r="F150" t="n">
        <v>440.4</v>
      </c>
      <c r="G150" t="n">
        <v>55.05</v>
      </c>
    </row>
    <row r="151">
      <c r="A151" t="n">
        <v>112</v>
      </c>
      <c r="B151" t="inlineStr">
        <is>
          <t>Corned Tuna chilli</t>
        </is>
      </c>
      <c r="C151" t="inlineStr"/>
      <c r="D151" t="inlineStr">
        <is>
          <t>grams</t>
        </is>
      </c>
      <c r="E151" t="n">
        <v>48</v>
      </c>
      <c r="F151" t="n">
        <v>1338.72</v>
      </c>
      <c r="G151" t="n">
        <v>27.89</v>
      </c>
    </row>
    <row r="152">
      <c r="A152" t="n">
        <v>113</v>
      </c>
      <c r="B152" t="inlineStr">
        <is>
          <t>Corned Tuna Plain</t>
        </is>
      </c>
      <c r="C152" t="inlineStr"/>
      <c r="D152" t="inlineStr">
        <is>
          <t>pieces</t>
        </is>
      </c>
      <c r="E152" t="n">
        <v>48</v>
      </c>
      <c r="F152" t="n">
        <v>1338.72</v>
      </c>
      <c r="G152" t="n">
        <v>27.89</v>
      </c>
    </row>
    <row r="153">
      <c r="A153" t="n">
        <v>114</v>
      </c>
      <c r="B153" t="inlineStr">
        <is>
          <t>Cornstarch</t>
        </is>
      </c>
      <c r="C153" t="inlineStr">
        <is>
          <t>Superior/pack/1000grams</t>
        </is>
      </c>
      <c r="D153" t="inlineStr">
        <is>
          <t>grams</t>
        </is>
      </c>
      <c r="E153" t="n">
        <v>7228</v>
      </c>
      <c r="F153" t="n">
        <v>1842.4</v>
      </c>
      <c r="G153" t="n">
        <v>0.2548976203652463</v>
      </c>
    </row>
    <row r="154">
      <c r="A154" t="n">
        <v>115</v>
      </c>
      <c r="B154" t="inlineStr">
        <is>
          <t>Crab and Corn</t>
        </is>
      </c>
      <c r="C154" t="inlineStr">
        <is>
          <t>Knorr/sachet/37grams</t>
        </is>
      </c>
      <c r="D154" t="inlineStr">
        <is>
          <t>grams</t>
        </is>
      </c>
      <c r="E154" t="n">
        <v>15</v>
      </c>
      <c r="F154" t="n">
        <v>538.5</v>
      </c>
      <c r="G154" t="n">
        <v>35.9</v>
      </c>
    </row>
    <row r="155">
      <c r="A155" t="n">
        <v>116</v>
      </c>
      <c r="B155" t="inlineStr">
        <is>
          <t>Cracklings Salt &amp; Vinegar</t>
        </is>
      </c>
      <c r="C155" t="inlineStr">
        <is>
          <t>Oishi/box (50pcsx50grams)</t>
        </is>
      </c>
      <c r="D155" t="inlineStr">
        <is>
          <t>pieces</t>
        </is>
      </c>
      <c r="E155" t="n">
        <v>25</v>
      </c>
      <c r="F155" t="n">
        <v>339.1</v>
      </c>
      <c r="G155" t="n">
        <v>13.564</v>
      </c>
    </row>
    <row r="156">
      <c r="A156" t="n">
        <v>117</v>
      </c>
      <c r="B156" t="inlineStr">
        <is>
          <t>Cream Dory Fish Fillet</t>
        </is>
      </c>
      <c r="C156" t="inlineStr"/>
      <c r="D156" t="inlineStr">
        <is>
          <t>grams</t>
        </is>
      </c>
      <c r="E156" t="n">
        <v>10004</v>
      </c>
      <c r="F156" t="n">
        <v>1717</v>
      </c>
      <c r="G156" t="n">
        <v>0.1716313474610156</v>
      </c>
    </row>
    <row r="157">
      <c r="A157" t="n">
        <v>118</v>
      </c>
      <c r="B157" t="inlineStr">
        <is>
          <t>CREAM O CAKE BAR</t>
        </is>
      </c>
      <c r="C157" t="inlineStr">
        <is>
          <t>CREAM O37G</t>
        </is>
      </c>
      <c r="D157" t="inlineStr">
        <is>
          <t>pieces</t>
        </is>
      </c>
      <c r="E157" t="n">
        <v>11</v>
      </c>
      <c r="F157" t="n">
        <v>89.20999999999999</v>
      </c>
      <c r="G157" t="n">
        <v>8.109999999999999</v>
      </c>
    </row>
    <row r="158">
      <c r="A158" t="n">
        <v>119</v>
      </c>
      <c r="B158" t="inlineStr">
        <is>
          <t>CREAM O CRINKLES</t>
        </is>
      </c>
      <c r="C158" t="inlineStr">
        <is>
          <t>CREAM O 30G</t>
        </is>
      </c>
      <c r="D158" t="inlineStr">
        <is>
          <t>pieces</t>
        </is>
      </c>
      <c r="E158" t="n">
        <v>15</v>
      </c>
      <c r="F158" t="n">
        <v>105.45</v>
      </c>
      <c r="G158" t="n">
        <v>7.03</v>
      </c>
    </row>
    <row r="159">
      <c r="A159" t="n">
        <v>120</v>
      </c>
      <c r="B159" t="inlineStr">
        <is>
          <t>Cream of Corn Stye</t>
        </is>
      </c>
      <c r="C159" t="inlineStr">
        <is>
          <t>Jolly/can/425grams</t>
        </is>
      </c>
      <c r="D159" t="inlineStr">
        <is>
          <t>grams</t>
        </is>
      </c>
      <c r="E159" t="n">
        <v>2550</v>
      </c>
      <c r="F159" t="n">
        <v>258</v>
      </c>
      <c r="G159" t="n">
        <v>0.1011764705882353</v>
      </c>
    </row>
    <row r="160">
      <c r="A160" t="n">
        <v>120</v>
      </c>
      <c r="B160" t="inlineStr">
        <is>
          <t>Cream of Corn Stye</t>
        </is>
      </c>
      <c r="C160" t="inlineStr">
        <is>
          <t>Mega Prime/can/425grams</t>
        </is>
      </c>
      <c r="D160" t="inlineStr">
        <is>
          <t>grams</t>
        </is>
      </c>
      <c r="E160" t="n">
        <v>17</v>
      </c>
      <c r="F160" t="n">
        <v>731</v>
      </c>
      <c r="G160" t="n">
        <v>43</v>
      </c>
    </row>
    <row r="161">
      <c r="A161" t="n">
        <v>120</v>
      </c>
      <c r="B161" t="inlineStr">
        <is>
          <t>Cream of Corn Stye</t>
        </is>
      </c>
      <c r="C161" t="inlineStr"/>
      <c r="D161" t="inlineStr">
        <is>
          <t>grams</t>
        </is>
      </c>
      <c r="E161" t="n">
        <v>2125</v>
      </c>
      <c r="F161" t="n">
        <v>289.9999999999999</v>
      </c>
      <c r="G161" t="n">
        <v>0.1364705882352941</v>
      </c>
    </row>
    <row r="162">
      <c r="A162" t="n">
        <v>121</v>
      </c>
      <c r="B162" t="inlineStr">
        <is>
          <t>Cream of Mushroom</t>
        </is>
      </c>
      <c r="C162" t="inlineStr">
        <is>
          <t>Knorr/sachet/62grams</t>
        </is>
      </c>
      <c r="D162" t="inlineStr">
        <is>
          <t>grams</t>
        </is>
      </c>
      <c r="E162" t="n">
        <v>952</v>
      </c>
      <c r="F162" t="n">
        <v>1937.2</v>
      </c>
      <c r="G162" t="n">
        <v>2.034873949579832</v>
      </c>
    </row>
    <row r="163">
      <c r="A163" t="n">
        <v>122</v>
      </c>
      <c r="B163" t="inlineStr">
        <is>
          <t>Cream- O Vanilla</t>
        </is>
      </c>
      <c r="C163" t="inlineStr">
        <is>
          <t>Jack n Jill/pack (10pcsx33grams)</t>
        </is>
      </c>
      <c r="D163" t="inlineStr">
        <is>
          <t>pieces</t>
        </is>
      </c>
      <c r="E163" t="n">
        <v>13</v>
      </c>
      <c r="F163" t="n">
        <v>91.91</v>
      </c>
      <c r="G163" t="n">
        <v>7.069999999999999</v>
      </c>
    </row>
    <row r="164">
      <c r="A164" t="n">
        <v>123</v>
      </c>
      <c r="B164" t="inlineStr">
        <is>
          <t>Cream-O Choco</t>
        </is>
      </c>
      <c r="C164" t="inlineStr">
        <is>
          <t>ZEST-O Big 250/box (10x250ml)</t>
        </is>
      </c>
      <c r="D164" t="inlineStr">
        <is>
          <t>pieces</t>
        </is>
      </c>
      <c r="E164" t="n">
        <v>7</v>
      </c>
      <c r="F164" t="n">
        <v>68.18000000000001</v>
      </c>
      <c r="G164" t="n">
        <v>9.74</v>
      </c>
    </row>
    <row r="165">
      <c r="A165" t="n">
        <v>123</v>
      </c>
      <c r="B165" t="inlineStr">
        <is>
          <t>Cream-O Choco</t>
        </is>
      </c>
      <c r="C165" t="inlineStr">
        <is>
          <t>Jack n Jill/pack (10pcsx33grams)</t>
        </is>
      </c>
      <c r="D165" t="inlineStr">
        <is>
          <t>pieces</t>
        </is>
      </c>
      <c r="E165" t="n">
        <v>162</v>
      </c>
      <c r="F165" t="n">
        <v>1101.63</v>
      </c>
      <c r="G165" t="n">
        <v>6.800185185185186</v>
      </c>
    </row>
    <row r="166">
      <c r="A166" t="n">
        <v>123</v>
      </c>
      <c r="B166" t="inlineStr">
        <is>
          <t>Cream-O Choco</t>
        </is>
      </c>
      <c r="C166" t="inlineStr"/>
      <c r="D166" t="inlineStr">
        <is>
          <t>pieces</t>
        </is>
      </c>
      <c r="E166" t="n">
        <v>38</v>
      </c>
      <c r="F166" t="n">
        <v>311.98</v>
      </c>
      <c r="G166" t="n">
        <v>8.209999999999999</v>
      </c>
    </row>
    <row r="167">
      <c r="A167" t="n">
        <v>124</v>
      </c>
      <c r="B167" t="inlineStr">
        <is>
          <t>Cream-O Choco Chips</t>
        </is>
      </c>
      <c r="C167" t="inlineStr"/>
      <c r="D167" t="inlineStr">
        <is>
          <t>pieces</t>
        </is>
      </c>
      <c r="E167" t="n">
        <v>18</v>
      </c>
      <c r="F167" t="n">
        <v>169.2</v>
      </c>
      <c r="G167" t="n">
        <v>9.4</v>
      </c>
    </row>
    <row r="168">
      <c r="A168" t="n">
        <v>125</v>
      </c>
      <c r="B168" t="inlineStr">
        <is>
          <t>Cream-O Crinkles</t>
        </is>
      </c>
      <c r="C168" t="inlineStr">
        <is>
          <t>Jack n Jill/pack (10x30grams)</t>
        </is>
      </c>
      <c r="D168" t="inlineStr">
        <is>
          <t>pieces</t>
        </is>
      </c>
      <c r="E168" t="n">
        <v>410</v>
      </c>
      <c r="F168" t="n">
        <v>2460</v>
      </c>
      <c r="G168" t="n">
        <v>6</v>
      </c>
    </row>
    <row r="169">
      <c r="A169" t="n">
        <v>126</v>
      </c>
      <c r="B169" t="inlineStr">
        <is>
          <t>Cream-O Vanilla</t>
        </is>
      </c>
      <c r="C169" t="inlineStr">
        <is>
          <t>Jack n Jill/pack (10pcsx30grams)</t>
        </is>
      </c>
      <c r="D169" t="inlineStr">
        <is>
          <t>pieces</t>
        </is>
      </c>
      <c r="E169" t="n">
        <v>497</v>
      </c>
      <c r="F169" t="n">
        <v>3911.39</v>
      </c>
      <c r="G169" t="n">
        <v>7.87</v>
      </c>
    </row>
    <row r="170">
      <c r="A170" t="n">
        <v>126</v>
      </c>
      <c r="B170" t="inlineStr">
        <is>
          <t>Cream-O Vanilla</t>
        </is>
      </c>
      <c r="C170" t="inlineStr"/>
      <c r="D170" t="inlineStr">
        <is>
          <t>pieces</t>
        </is>
      </c>
      <c r="E170" t="n">
        <v>65</v>
      </c>
      <c r="F170" t="n">
        <v>511.55</v>
      </c>
      <c r="G170" t="n">
        <v>7.87</v>
      </c>
    </row>
    <row r="171">
      <c r="A171" t="n">
        <v>127</v>
      </c>
      <c r="B171" t="inlineStr">
        <is>
          <t>Creamy White</t>
        </is>
      </c>
      <c r="C171" t="inlineStr">
        <is>
          <t>Great Taste/pack (pcsx26grams)</t>
        </is>
      </c>
      <c r="D171" t="inlineStr">
        <is>
          <t>pieces</t>
        </is>
      </c>
      <c r="E171" t="n">
        <v>167</v>
      </c>
      <c r="F171" t="n">
        <v>1392.78</v>
      </c>
      <c r="G171" t="n">
        <v>8.34</v>
      </c>
    </row>
    <row r="172">
      <c r="A172" t="n">
        <v>128</v>
      </c>
      <c r="B172" t="inlineStr">
        <is>
          <t>Crispy fry</t>
        </is>
      </c>
      <c r="C172" t="inlineStr"/>
      <c r="D172" t="inlineStr">
        <is>
          <t>grams</t>
        </is>
      </c>
      <c r="E172" t="n">
        <v>676</v>
      </c>
      <c r="F172" t="n">
        <v>232.9075630252101</v>
      </c>
      <c r="G172" t="n">
        <v>0.3445378151260504</v>
      </c>
    </row>
    <row r="173">
      <c r="A173" t="n">
        <v>129</v>
      </c>
      <c r="B173" t="inlineStr">
        <is>
          <t>Crispy Fry Breadcrumbs</t>
        </is>
      </c>
      <c r="C173" t="inlineStr">
        <is>
          <t>Ajinomoto/pack/62grams</t>
        </is>
      </c>
      <c r="D173" t="inlineStr">
        <is>
          <t>grams</t>
        </is>
      </c>
      <c r="E173" t="n">
        <v>248</v>
      </c>
      <c r="F173" t="n">
        <v>66.8</v>
      </c>
      <c r="G173" t="n">
        <v>0.2693548387096774</v>
      </c>
    </row>
    <row r="174">
      <c r="A174" t="n">
        <v>130</v>
      </c>
      <c r="B174" t="inlineStr">
        <is>
          <t>Crushed Graham</t>
        </is>
      </c>
      <c r="C174" t="inlineStr">
        <is>
          <t>My San/pack/200grams</t>
        </is>
      </c>
      <c r="D174" t="inlineStr">
        <is>
          <t>grams</t>
        </is>
      </c>
      <c r="E174" t="n">
        <v>200</v>
      </c>
      <c r="F174" t="n">
        <v>47</v>
      </c>
      <c r="G174" t="n">
        <v>0.235</v>
      </c>
    </row>
    <row r="175">
      <c r="A175" t="n">
        <v>131</v>
      </c>
      <c r="B175" t="inlineStr">
        <is>
          <t>Cumin Powder</t>
        </is>
      </c>
      <c r="C175" t="inlineStr">
        <is>
          <t>Robinson /pack/20grams</t>
        </is>
      </c>
      <c r="D175" t="inlineStr">
        <is>
          <t>grams</t>
        </is>
      </c>
      <c r="E175" t="n">
        <v>2</v>
      </c>
      <c r="F175" t="n">
        <v>36.5</v>
      </c>
      <c r="G175" t="n">
        <v>18.25</v>
      </c>
    </row>
    <row r="176">
      <c r="A176" t="n">
        <v>131</v>
      </c>
      <c r="B176" t="inlineStr">
        <is>
          <t>Cumin Powder</t>
        </is>
      </c>
      <c r="C176" t="inlineStr"/>
      <c r="D176" t="inlineStr">
        <is>
          <t>grams</t>
        </is>
      </c>
      <c r="E176" t="n">
        <v>40</v>
      </c>
      <c r="F176" t="n">
        <v>36.5</v>
      </c>
      <c r="G176" t="n">
        <v>0.9125</v>
      </c>
    </row>
    <row r="177">
      <c r="A177" t="n">
        <v>132</v>
      </c>
      <c r="B177" t="inlineStr">
        <is>
          <t>Cup Cake Holder</t>
        </is>
      </c>
      <c r="C177" t="inlineStr">
        <is>
          <t>Cupcake Holder</t>
        </is>
      </c>
      <c r="D177" t="inlineStr">
        <is>
          <t>pieces</t>
        </is>
      </c>
      <c r="E177" t="n">
        <v>300</v>
      </c>
      <c r="F177" t="n">
        <v>375</v>
      </c>
      <c r="G177" t="n">
        <v>1.25</v>
      </c>
    </row>
    <row r="178">
      <c r="A178" t="n">
        <v>133</v>
      </c>
      <c r="B178" t="inlineStr">
        <is>
          <t>Cup-Noodles Chicken Sotanghon</t>
        </is>
      </c>
      <c r="C178" t="inlineStr">
        <is>
          <t>Lucky Me/box (48pcsx40grams)</t>
        </is>
      </c>
      <c r="D178" t="inlineStr">
        <is>
          <t>pieces</t>
        </is>
      </c>
      <c r="E178" t="n">
        <v>48</v>
      </c>
      <c r="F178" t="n">
        <v>1197.12</v>
      </c>
      <c r="G178" t="n">
        <v>24.94</v>
      </c>
    </row>
    <row r="179">
      <c r="A179" t="n">
        <v>134</v>
      </c>
      <c r="B179" t="inlineStr">
        <is>
          <t>Cup-Noodles Jjamppong</t>
        </is>
      </c>
      <c r="C179" t="inlineStr">
        <is>
          <t>Lucky Me/box (48pcsx40grams)</t>
        </is>
      </c>
      <c r="D179" t="inlineStr">
        <is>
          <t>pieces</t>
        </is>
      </c>
      <c r="E179" t="n">
        <v>48</v>
      </c>
      <c r="F179" t="n">
        <v>1188.96</v>
      </c>
      <c r="G179" t="n">
        <v>24.77</v>
      </c>
    </row>
    <row r="180">
      <c r="A180" t="n">
        <v>135</v>
      </c>
      <c r="B180" t="inlineStr">
        <is>
          <t>Curry Bar</t>
        </is>
      </c>
      <c r="C180" t="inlineStr">
        <is>
          <t>bar/1000grams</t>
        </is>
      </c>
      <c r="D180" t="inlineStr">
        <is>
          <t>grams</t>
        </is>
      </c>
      <c r="E180" t="n">
        <v>2</v>
      </c>
      <c r="F180" t="n">
        <v>440</v>
      </c>
      <c r="G180" t="n">
        <v>220</v>
      </c>
    </row>
    <row r="181">
      <c r="A181" t="n">
        <v>136</v>
      </c>
      <c r="B181" t="inlineStr">
        <is>
          <t>Curry Powder</t>
        </is>
      </c>
      <c r="C181" t="inlineStr">
        <is>
          <t>Mama/canister/1000grams</t>
        </is>
      </c>
      <c r="D181" t="inlineStr">
        <is>
          <t>grams</t>
        </is>
      </c>
      <c r="E181" t="n">
        <v>1000</v>
      </c>
      <c r="F181" t="n">
        <v>220</v>
      </c>
      <c r="G181" t="n">
        <v>0.22</v>
      </c>
    </row>
    <row r="182">
      <c r="A182" t="n">
        <v>136</v>
      </c>
      <c r="B182" t="inlineStr">
        <is>
          <t>Curry Powder</t>
        </is>
      </c>
      <c r="C182" t="inlineStr">
        <is>
          <t>S8 Greatbuy/pack/30grams</t>
        </is>
      </c>
      <c r="D182" t="inlineStr">
        <is>
          <t>grams</t>
        </is>
      </c>
      <c r="E182" t="n">
        <v>150</v>
      </c>
      <c r="F182" t="n">
        <v>159</v>
      </c>
      <c r="G182" t="n">
        <v>1.06</v>
      </c>
    </row>
    <row r="183">
      <c r="A183" t="n">
        <v>136</v>
      </c>
      <c r="B183" t="inlineStr">
        <is>
          <t>Curry Powder</t>
        </is>
      </c>
      <c r="C183" t="inlineStr">
        <is>
          <t>Pure Basic/pack/50grams</t>
        </is>
      </c>
      <c r="D183" t="inlineStr">
        <is>
          <t>grams</t>
        </is>
      </c>
      <c r="E183" t="n">
        <v>7</v>
      </c>
      <c r="F183" t="n">
        <v>791</v>
      </c>
      <c r="G183" t="n">
        <v>113</v>
      </c>
    </row>
    <row r="184">
      <c r="A184" t="n">
        <v>137</v>
      </c>
      <c r="B184" t="inlineStr">
        <is>
          <t>Dashi</t>
        </is>
      </c>
      <c r="C184" t="inlineStr">
        <is>
          <t>Marutomo</t>
        </is>
      </c>
      <c r="D184" t="inlineStr">
        <is>
          <t>grams</t>
        </is>
      </c>
      <c r="E184" t="n">
        <v>1</v>
      </c>
      <c r="F184" t="n">
        <v>450</v>
      </c>
      <c r="G184" t="n">
        <v>450</v>
      </c>
    </row>
    <row r="185">
      <c r="A185" t="n">
        <v>137</v>
      </c>
      <c r="B185" t="inlineStr">
        <is>
          <t>Dashi</t>
        </is>
      </c>
      <c r="C185" t="inlineStr"/>
      <c r="D185" t="inlineStr">
        <is>
          <t>grams</t>
        </is>
      </c>
      <c r="E185" t="n">
        <v>500</v>
      </c>
      <c r="F185" t="n">
        <v>280</v>
      </c>
      <c r="G185" t="n">
        <v>0.5600000000000001</v>
      </c>
    </row>
    <row r="186">
      <c r="A186" t="n">
        <v>138</v>
      </c>
      <c r="B186" t="inlineStr">
        <is>
          <t>Dewberry Blueberry</t>
        </is>
      </c>
      <c r="C186" t="inlineStr">
        <is>
          <t>Jack n Jill/pack (10x33 grams)</t>
        </is>
      </c>
      <c r="D186" t="inlineStr">
        <is>
          <t>pieces</t>
        </is>
      </c>
      <c r="E186" t="n">
        <v>400</v>
      </c>
      <c r="F186" t="n">
        <v>2860</v>
      </c>
      <c r="G186" t="n">
        <v>7.15</v>
      </c>
    </row>
    <row r="187">
      <c r="A187" t="n">
        <v>139</v>
      </c>
      <c r="B187" t="inlineStr">
        <is>
          <t>Dewberry Cakeberry</t>
        </is>
      </c>
      <c r="C187" t="inlineStr">
        <is>
          <t>Jack n Jill/pack (10pcsx/2grams)</t>
        </is>
      </c>
      <c r="D187" t="inlineStr">
        <is>
          <t>pieces</t>
        </is>
      </c>
      <c r="E187" t="n">
        <v>459</v>
      </c>
      <c r="F187" t="n">
        <v>3609.54</v>
      </c>
      <c r="G187" t="n">
        <v>7.863921568627451</v>
      </c>
    </row>
    <row r="188">
      <c r="A188" t="n">
        <v>140</v>
      </c>
      <c r="B188" t="inlineStr">
        <is>
          <t>Dishwashing Liquid</t>
        </is>
      </c>
      <c r="C188" t="inlineStr">
        <is>
          <t>Quinriv</t>
        </is>
      </c>
      <c r="D188" t="inlineStr">
        <is>
          <t>gal</t>
        </is>
      </c>
      <c r="E188" t="n">
        <v>27</v>
      </c>
      <c r="F188" t="n">
        <v>8343</v>
      </c>
      <c r="G188" t="n">
        <v>309</v>
      </c>
    </row>
    <row r="189">
      <c r="A189" t="n">
        <v>141</v>
      </c>
      <c r="B189" t="inlineStr">
        <is>
          <t>Dried Dilis</t>
        </is>
      </c>
      <c r="C189" t="inlineStr"/>
      <c r="D189" t="inlineStr">
        <is>
          <t>grams</t>
        </is>
      </c>
      <c r="E189" t="n">
        <v>1300</v>
      </c>
      <c r="F189" t="n">
        <v>416</v>
      </c>
      <c r="G189" t="n">
        <v>0.32</v>
      </c>
    </row>
    <row r="190">
      <c r="A190" t="n">
        <v>142</v>
      </c>
      <c r="B190" t="inlineStr">
        <is>
          <t>Dried Mushroom</t>
        </is>
      </c>
      <c r="C190" t="inlineStr">
        <is>
          <t>pack/1000grams</t>
        </is>
      </c>
      <c r="D190" t="inlineStr">
        <is>
          <t>grams</t>
        </is>
      </c>
      <c r="E190" t="n">
        <v>250</v>
      </c>
      <c r="F190" t="n">
        <v>156.25</v>
      </c>
      <c r="G190" t="n">
        <v>0.625</v>
      </c>
    </row>
    <row r="191">
      <c r="A191" t="n">
        <v>142</v>
      </c>
      <c r="B191" t="inlineStr">
        <is>
          <t>Dried Mushroom</t>
        </is>
      </c>
      <c r="C191" t="inlineStr"/>
      <c r="D191" t="inlineStr">
        <is>
          <t>grams</t>
        </is>
      </c>
      <c r="E191" t="n">
        <v>100</v>
      </c>
      <c r="F191" t="n">
        <v>35</v>
      </c>
      <c r="G191" t="n">
        <v>0.35</v>
      </c>
    </row>
    <row r="192">
      <c r="A192" t="n">
        <v>143</v>
      </c>
      <c r="B192" t="inlineStr">
        <is>
          <t>Dulong</t>
        </is>
      </c>
      <c r="C192" t="inlineStr">
        <is>
          <t>100grams per pc</t>
        </is>
      </c>
      <c r="D192" t="inlineStr">
        <is>
          <t>grams</t>
        </is>
      </c>
      <c r="E192" t="n">
        <v>10000</v>
      </c>
      <c r="F192" t="n">
        <v>1800</v>
      </c>
      <c r="G192" t="n">
        <v>0.18</v>
      </c>
    </row>
    <row r="193">
      <c r="A193" t="n">
        <v>144</v>
      </c>
      <c r="B193" t="inlineStr">
        <is>
          <t>Dutchmill Yogurt Orange</t>
        </is>
      </c>
      <c r="C193" t="inlineStr"/>
      <c r="D193" t="inlineStr">
        <is>
          <t>pieces</t>
        </is>
      </c>
      <c r="E193" t="n">
        <v>4</v>
      </c>
      <c r="F193" t="n">
        <v>78.09999999999999</v>
      </c>
      <c r="G193" t="n">
        <v>19.525</v>
      </c>
    </row>
    <row r="194">
      <c r="A194" t="n">
        <v>145</v>
      </c>
      <c r="B194" t="inlineStr">
        <is>
          <t>Dutchmill Yogurt Strawberry</t>
        </is>
      </c>
      <c r="C194" t="inlineStr"/>
      <c r="D194" t="inlineStr">
        <is>
          <t>pieces</t>
        </is>
      </c>
      <c r="E194" t="n">
        <v>4</v>
      </c>
      <c r="F194" t="n">
        <v>78.09999999999999</v>
      </c>
      <c r="G194" t="n">
        <v>19.525</v>
      </c>
    </row>
    <row r="195">
      <c r="A195" t="n">
        <v>146</v>
      </c>
      <c r="B195" t="inlineStr">
        <is>
          <t>eco sun</t>
        </is>
      </c>
      <c r="C195" t="inlineStr"/>
      <c r="D195" t="inlineStr">
        <is>
          <t>gal</t>
        </is>
      </c>
      <c r="E195" t="n">
        <v>17</v>
      </c>
      <c r="F195" t="n">
        <v>11152</v>
      </c>
      <c r="G195" t="n">
        <v>656</v>
      </c>
    </row>
    <row r="196">
      <c r="A196" t="n">
        <v>147</v>
      </c>
      <c r="B196" t="inlineStr">
        <is>
          <t>Egg</t>
        </is>
      </c>
      <c r="C196" t="inlineStr">
        <is>
          <t>Mr Brown/bottle/350ml</t>
        </is>
      </c>
      <c r="D196" t="inlineStr">
        <is>
          <t>ml</t>
        </is>
      </c>
      <c r="E196" t="n">
        <v>350</v>
      </c>
      <c r="F196" t="n">
        <v>85.00000000000001</v>
      </c>
      <c r="G196" t="n">
        <v>0.2428571428571429</v>
      </c>
    </row>
    <row r="197">
      <c r="A197" t="n">
        <v>147</v>
      </c>
      <c r="B197" t="inlineStr">
        <is>
          <t>Egg</t>
        </is>
      </c>
      <c r="C197" t="inlineStr">
        <is>
          <t>Small/tray</t>
        </is>
      </c>
      <c r="D197" t="inlineStr">
        <is>
          <t>pieces</t>
        </is>
      </c>
      <c r="E197" t="n">
        <v>10889</v>
      </c>
      <c r="F197" t="n">
        <v>74927.42999999999</v>
      </c>
      <c r="G197" t="n">
        <v>6.881020295711267</v>
      </c>
    </row>
    <row r="198">
      <c r="A198" t="n">
        <v>147</v>
      </c>
      <c r="B198" t="inlineStr">
        <is>
          <t>Egg</t>
        </is>
      </c>
      <c r="C198" t="inlineStr"/>
      <c r="D198" t="inlineStr">
        <is>
          <t>pieces</t>
        </is>
      </c>
      <c r="E198" t="n">
        <v>2015</v>
      </c>
      <c r="F198" t="n">
        <v>14565</v>
      </c>
      <c r="G198" t="n">
        <v>7.228287841191067</v>
      </c>
    </row>
    <row r="199">
      <c r="A199" t="n">
        <v>148</v>
      </c>
      <c r="B199" t="inlineStr">
        <is>
          <t>Energen Champion</t>
        </is>
      </c>
      <c r="C199" t="inlineStr"/>
      <c r="D199" t="inlineStr">
        <is>
          <t>pieces</t>
        </is>
      </c>
      <c r="E199" t="n">
        <v>47</v>
      </c>
      <c r="F199" t="n">
        <v>427.7</v>
      </c>
      <c r="G199" t="n">
        <v>9.1</v>
      </c>
    </row>
    <row r="200">
      <c r="A200" t="n">
        <v>149</v>
      </c>
      <c r="B200" t="inlineStr">
        <is>
          <t>Energen Choco</t>
        </is>
      </c>
      <c r="C200" t="inlineStr">
        <is>
          <t>Energen/pack (pcsx40grams)</t>
        </is>
      </c>
      <c r="D200" t="inlineStr">
        <is>
          <t>pieces</t>
        </is>
      </c>
      <c r="E200" t="n">
        <v>19</v>
      </c>
      <c r="F200" t="n">
        <v>161.69</v>
      </c>
      <c r="G200" t="n">
        <v>8.51</v>
      </c>
    </row>
    <row r="201">
      <c r="A201" t="n">
        <v>149</v>
      </c>
      <c r="B201" t="inlineStr">
        <is>
          <t>Energen Choco</t>
        </is>
      </c>
      <c r="C201" t="inlineStr"/>
      <c r="D201" t="inlineStr">
        <is>
          <t>pieces</t>
        </is>
      </c>
      <c r="E201" t="n">
        <v>86</v>
      </c>
      <c r="F201" t="n">
        <v>748.1999999999999</v>
      </c>
      <c r="G201" t="n">
        <v>8.699999999999999</v>
      </c>
    </row>
    <row r="202">
      <c r="A202" t="n">
        <v>150</v>
      </c>
      <c r="B202" t="inlineStr">
        <is>
          <t>Energen Chocolate</t>
        </is>
      </c>
      <c r="C202" t="inlineStr"/>
      <c r="D202" t="inlineStr">
        <is>
          <t>pieces</t>
        </is>
      </c>
      <c r="E202" t="n">
        <v>60</v>
      </c>
      <c r="F202" t="n">
        <v>522</v>
      </c>
      <c r="G202" t="n">
        <v>8.699999999999999</v>
      </c>
    </row>
    <row r="203">
      <c r="A203" t="n">
        <v>151</v>
      </c>
      <c r="B203" t="inlineStr">
        <is>
          <t>Energen Vanilla</t>
        </is>
      </c>
      <c r="C203" t="inlineStr">
        <is>
          <t>Energen/pack (pcsx40grams)</t>
        </is>
      </c>
      <c r="D203" t="inlineStr">
        <is>
          <t>pieces</t>
        </is>
      </c>
      <c r="E203" t="n">
        <v>250</v>
      </c>
      <c r="F203" t="n">
        <v>2127.5</v>
      </c>
      <c r="G203" t="n">
        <v>8.51</v>
      </c>
    </row>
    <row r="204">
      <c r="A204" t="n">
        <v>151</v>
      </c>
      <c r="B204" t="inlineStr">
        <is>
          <t>Energen Vanilla</t>
        </is>
      </c>
      <c r="C204" t="inlineStr"/>
      <c r="D204" t="inlineStr">
        <is>
          <t>pieces</t>
        </is>
      </c>
      <c r="E204" t="n">
        <v>71</v>
      </c>
      <c r="F204" t="n">
        <v>617.6999999999999</v>
      </c>
      <c r="G204" t="n">
        <v>8.699999999999999</v>
      </c>
    </row>
    <row r="205">
      <c r="A205" t="n">
        <v>152</v>
      </c>
      <c r="B205" t="inlineStr">
        <is>
          <t>Evaporated Milk</t>
        </is>
      </c>
      <c r="C205" t="inlineStr">
        <is>
          <t>Alaska/can/360ml</t>
        </is>
      </c>
      <c r="D205" t="inlineStr">
        <is>
          <t>ml</t>
        </is>
      </c>
      <c r="E205" t="n">
        <v>42480</v>
      </c>
      <c r="F205" t="n">
        <v>3961.26</v>
      </c>
      <c r="G205" t="n">
        <v>0.09325</v>
      </c>
    </row>
    <row r="206">
      <c r="A206" t="n">
        <v>152</v>
      </c>
      <c r="B206" t="inlineStr">
        <is>
          <t>Evaporated Milk</t>
        </is>
      </c>
      <c r="C206" t="inlineStr">
        <is>
          <t>Cowbell/can/360ml</t>
        </is>
      </c>
      <c r="D206" t="inlineStr">
        <is>
          <t>ml</t>
        </is>
      </c>
      <c r="E206" t="n">
        <v>191.73</v>
      </c>
      <c r="F206" t="n">
        <v>5680.9599</v>
      </c>
      <c r="G206" t="n">
        <v>29.63</v>
      </c>
    </row>
    <row r="207">
      <c r="A207" t="n">
        <v>152</v>
      </c>
      <c r="B207" t="inlineStr">
        <is>
          <t>Evaporated Milk</t>
        </is>
      </c>
      <c r="C207" t="inlineStr">
        <is>
          <t>Alaska/tetrapack/1liter</t>
        </is>
      </c>
      <c r="D207" t="inlineStr">
        <is>
          <t>ml</t>
        </is>
      </c>
      <c r="E207" t="n">
        <v>4000</v>
      </c>
      <c r="F207" t="n">
        <v>360.4</v>
      </c>
      <c r="G207" t="n">
        <v>0.0901</v>
      </c>
    </row>
    <row r="208">
      <c r="A208" t="n">
        <v>152</v>
      </c>
      <c r="B208" t="inlineStr">
        <is>
          <t>Evaporated Milk</t>
        </is>
      </c>
      <c r="C208" t="inlineStr">
        <is>
          <t>Healthy cow/can/370ml</t>
        </is>
      </c>
      <c r="D208" t="inlineStr">
        <is>
          <t>ml</t>
        </is>
      </c>
      <c r="E208" t="n">
        <v>370</v>
      </c>
      <c r="F208" t="n">
        <v>55.60277777777778</v>
      </c>
      <c r="G208" t="n">
        <v>0.1502777777777778</v>
      </c>
    </row>
    <row r="209">
      <c r="A209" t="n">
        <v>153</v>
      </c>
      <c r="B209" t="inlineStr">
        <is>
          <t>Fish ball</t>
        </is>
      </c>
      <c r="C209" t="inlineStr">
        <is>
          <t>Shanghai/pack/250grams</t>
        </is>
      </c>
      <c r="D209" t="inlineStr">
        <is>
          <t>grams</t>
        </is>
      </c>
      <c r="E209" t="n">
        <v>12</v>
      </c>
      <c r="F209" t="n">
        <v>960</v>
      </c>
      <c r="G209" t="n">
        <v>80</v>
      </c>
    </row>
    <row r="210">
      <c r="A210" t="n">
        <v>154</v>
      </c>
      <c r="B210" t="inlineStr">
        <is>
          <t>Fish Sauce</t>
        </is>
      </c>
      <c r="C210" t="inlineStr">
        <is>
          <t>Ticman/gallon/3500ml</t>
        </is>
      </c>
      <c r="D210" t="inlineStr">
        <is>
          <t>gal</t>
        </is>
      </c>
      <c r="E210" t="n">
        <v>12</v>
      </c>
      <c r="F210" t="n">
        <v>876</v>
      </c>
      <c r="G210" t="n">
        <v>73</v>
      </c>
    </row>
    <row r="211">
      <c r="A211" t="n">
        <v>154</v>
      </c>
      <c r="B211" t="inlineStr">
        <is>
          <t>Fish Sauce</t>
        </is>
      </c>
      <c r="C211" t="inlineStr"/>
      <c r="D211" t="inlineStr">
        <is>
          <t>gal</t>
        </is>
      </c>
      <c r="E211" t="n">
        <v>8</v>
      </c>
      <c r="F211" t="n">
        <v>584</v>
      </c>
      <c r="G211" t="n">
        <v>73</v>
      </c>
    </row>
    <row r="212">
      <c r="A212" t="n">
        <v>155</v>
      </c>
      <c r="B212" t="inlineStr">
        <is>
          <t>Fishda</t>
        </is>
      </c>
      <c r="C212" t="inlineStr">
        <is>
          <t>Oishibox(pcsx90grams)</t>
        </is>
      </c>
      <c r="D212" t="inlineStr">
        <is>
          <t>pieces</t>
        </is>
      </c>
      <c r="E212" t="n">
        <v>7</v>
      </c>
      <c r="F212" t="n">
        <v>143.78</v>
      </c>
      <c r="G212" t="n">
        <v>20.54</v>
      </c>
    </row>
    <row r="213">
      <c r="A213" t="n">
        <v>156</v>
      </c>
      <c r="B213" t="inlineStr">
        <is>
          <t>Fit n Right Burn Pineapple</t>
        </is>
      </c>
      <c r="C213" t="inlineStr">
        <is>
          <t>Del Monte/box (24x320ml)</t>
        </is>
      </c>
      <c r="D213" t="inlineStr">
        <is>
          <t>pieces</t>
        </is>
      </c>
      <c r="E213" t="n">
        <v>50</v>
      </c>
      <c r="F213" t="n">
        <v>1309.8</v>
      </c>
      <c r="G213" t="n">
        <v>26.196</v>
      </c>
    </row>
    <row r="214">
      <c r="A214" t="n">
        <v>157</v>
      </c>
      <c r="B214" t="inlineStr">
        <is>
          <t>Fita Crackers</t>
        </is>
      </c>
      <c r="C214" t="inlineStr">
        <is>
          <t>MY Sac/pck/10/30g</t>
        </is>
      </c>
      <c r="D214" t="inlineStr">
        <is>
          <t>pieces</t>
        </is>
      </c>
      <c r="E214" t="n">
        <v>170</v>
      </c>
      <c r="F214" t="n">
        <v>950.3</v>
      </c>
      <c r="G214" t="n">
        <v>5.59</v>
      </c>
    </row>
    <row r="215">
      <c r="A215" t="n">
        <v>158</v>
      </c>
      <c r="B215" t="inlineStr">
        <is>
          <t>Fita Crackers Plain</t>
        </is>
      </c>
      <c r="C215" t="inlineStr">
        <is>
          <t>M.Y Sanpack (10x30grams)</t>
        </is>
      </c>
      <c r="D215" t="inlineStr">
        <is>
          <t>pieces</t>
        </is>
      </c>
      <c r="E215" t="n">
        <v>480</v>
      </c>
      <c r="F215" t="n">
        <v>2683.2</v>
      </c>
      <c r="G215" t="n">
        <v>5.59</v>
      </c>
    </row>
    <row r="216">
      <c r="A216" t="n">
        <v>159</v>
      </c>
      <c r="B216" t="inlineStr">
        <is>
          <t>Food Color</t>
        </is>
      </c>
      <c r="C216" t="inlineStr">
        <is>
          <t>Hyco/bottle/454grams</t>
        </is>
      </c>
      <c r="D216" t="inlineStr">
        <is>
          <t>grams</t>
        </is>
      </c>
      <c r="E216" t="n">
        <v>125</v>
      </c>
      <c r="F216" t="n">
        <v>145</v>
      </c>
      <c r="G216" t="n">
        <v>1.16</v>
      </c>
    </row>
    <row r="217">
      <c r="A217" t="n">
        <v>160</v>
      </c>
      <c r="B217" t="inlineStr">
        <is>
          <t>Food Flavoring-Cheese Powder</t>
        </is>
      </c>
      <c r="C217" t="inlineStr">
        <is>
          <t>Good Foods/100grams/pack</t>
        </is>
      </c>
      <c r="D217" t="inlineStr">
        <is>
          <t>grams</t>
        </is>
      </c>
      <c r="E217" t="n">
        <v>300</v>
      </c>
      <c r="F217" t="n">
        <v>121.5</v>
      </c>
      <c r="G217" t="n">
        <v>0.405</v>
      </c>
    </row>
    <row r="218">
      <c r="A218" t="n">
        <v>161</v>
      </c>
      <c r="B218" t="inlineStr">
        <is>
          <t>Freshmilk</t>
        </is>
      </c>
      <c r="C218" t="inlineStr"/>
      <c r="D218" t="inlineStr">
        <is>
          <t>pieces</t>
        </is>
      </c>
      <c r="E218" t="n">
        <v>24</v>
      </c>
      <c r="F218" t="n">
        <v>4353.36</v>
      </c>
      <c r="G218" t="n">
        <v>181.39</v>
      </c>
    </row>
    <row r="219">
      <c r="A219" t="n">
        <v>162</v>
      </c>
      <c r="B219" t="inlineStr">
        <is>
          <t>Fruit Cocktail</t>
        </is>
      </c>
      <c r="C219" t="inlineStr">
        <is>
          <t>Today's/can/836grams/422drainedweight</t>
        </is>
      </c>
      <c r="D219" t="inlineStr">
        <is>
          <t>grams</t>
        </is>
      </c>
      <c r="E219" t="n">
        <v>422</v>
      </c>
      <c r="F219" t="n">
        <v>86.60000000000001</v>
      </c>
      <c r="G219" t="n">
        <v>0.2052132701421801</v>
      </c>
    </row>
    <row r="220">
      <c r="A220" t="n">
        <v>162</v>
      </c>
      <c r="B220" t="inlineStr">
        <is>
          <t>Fruit Cocktail</t>
        </is>
      </c>
      <c r="C220" t="inlineStr">
        <is>
          <t>Today's/can/3033grams</t>
        </is>
      </c>
      <c r="D220" t="inlineStr">
        <is>
          <t>grams</t>
        </is>
      </c>
      <c r="E220" t="n">
        <v>2</v>
      </c>
      <c r="F220" t="n">
        <v>506.66</v>
      </c>
      <c r="G220" t="n">
        <v>253.33</v>
      </c>
    </row>
    <row r="221">
      <c r="A221" t="n">
        <v>162</v>
      </c>
      <c r="B221" t="inlineStr">
        <is>
          <t>Fruit Cocktail</t>
        </is>
      </c>
      <c r="C221" t="inlineStr"/>
      <c r="D221" t="inlineStr">
        <is>
          <t>grams</t>
        </is>
      </c>
      <c r="E221" t="n">
        <v>3104</v>
      </c>
      <c r="F221" t="n">
        <v>506.6600000000001</v>
      </c>
      <c r="G221" t="n">
        <v>0.1632280927835052</v>
      </c>
    </row>
    <row r="222">
      <c r="A222" t="n">
        <v>163</v>
      </c>
      <c r="B222" t="inlineStr">
        <is>
          <t>Fruit Dalandan</t>
        </is>
      </c>
      <c r="C222" t="inlineStr"/>
      <c r="D222" t="inlineStr">
        <is>
          <t>pieces</t>
        </is>
      </c>
      <c r="E222" t="n">
        <v>60</v>
      </c>
      <c r="F222" t="n">
        <v>57.5</v>
      </c>
      <c r="G222" t="n">
        <v>0.9583333333333334</v>
      </c>
    </row>
    <row r="223">
      <c r="A223" t="n">
        <v>164</v>
      </c>
      <c r="B223" t="inlineStr">
        <is>
          <t>Fruit Kalamansi</t>
        </is>
      </c>
      <c r="C223" t="inlineStr"/>
      <c r="D223" t="inlineStr">
        <is>
          <t>pieces</t>
        </is>
      </c>
      <c r="E223" t="n">
        <v>49</v>
      </c>
      <c r="F223" t="n">
        <v>46.95833333333334</v>
      </c>
      <c r="G223" t="n">
        <v>0.9583333333333334</v>
      </c>
    </row>
    <row r="224">
      <c r="A224" t="n">
        <v>165</v>
      </c>
      <c r="B224" t="inlineStr">
        <is>
          <t>Fruit Soda Orange</t>
        </is>
      </c>
      <c r="C224" t="inlineStr"/>
      <c r="D224" t="inlineStr">
        <is>
          <t>pieces</t>
        </is>
      </c>
      <c r="E224" t="n">
        <v>41</v>
      </c>
      <c r="F224" t="n">
        <v>439.52</v>
      </c>
      <c r="G224" t="n">
        <v>10.72</v>
      </c>
    </row>
    <row r="225">
      <c r="A225" t="n">
        <v>166</v>
      </c>
      <c r="B225" t="inlineStr">
        <is>
          <t>Fruitti Apple</t>
        </is>
      </c>
      <c r="C225" t="inlineStr"/>
      <c r="D225" t="inlineStr">
        <is>
          <t>pieces</t>
        </is>
      </c>
      <c r="E225" t="n">
        <v>54</v>
      </c>
      <c r="F225" t="n">
        <v>466.5600000000001</v>
      </c>
      <c r="G225" t="n">
        <v>8.640000000000001</v>
      </c>
    </row>
    <row r="226">
      <c r="A226" t="n">
        <v>167</v>
      </c>
      <c r="B226" t="inlineStr">
        <is>
          <t>Fudge Bar - Macapuno</t>
        </is>
      </c>
      <c r="C226" t="inlineStr">
        <is>
          <t>Suncrest Food/pack (10pcsx41grams)</t>
        </is>
      </c>
      <c r="D226" t="inlineStr">
        <is>
          <t>pieces</t>
        </is>
      </c>
      <c r="E226" t="n">
        <v>320</v>
      </c>
      <c r="F226" t="n">
        <v>2403.2</v>
      </c>
      <c r="G226" t="n">
        <v>7.51</v>
      </c>
    </row>
    <row r="227">
      <c r="A227" t="n">
        <v>168</v>
      </c>
      <c r="B227" t="inlineStr">
        <is>
          <t>Fussili Gourmet</t>
        </is>
      </c>
      <c r="C227" t="inlineStr"/>
      <c r="D227" t="inlineStr">
        <is>
          <t>grams</t>
        </is>
      </c>
      <c r="E227" t="n">
        <v>500</v>
      </c>
      <c r="F227" t="n">
        <v>105</v>
      </c>
      <c r="G227" t="n">
        <v>0.21</v>
      </c>
    </row>
    <row r="228">
      <c r="A228" t="n">
        <v>169</v>
      </c>
      <c r="B228" t="inlineStr">
        <is>
          <t>Garbanzos</t>
        </is>
      </c>
      <c r="C228" t="inlineStr">
        <is>
          <t>Ram/can/450grams</t>
        </is>
      </c>
      <c r="D228" t="inlineStr">
        <is>
          <t>drained weight grams</t>
        </is>
      </c>
      <c r="E228" t="n">
        <v>1351</v>
      </c>
      <c r="F228" t="n">
        <v>188.8</v>
      </c>
      <c r="G228" t="n">
        <v>0.1397483345669874</v>
      </c>
    </row>
    <row r="229">
      <c r="A229" t="n">
        <v>169</v>
      </c>
      <c r="B229" t="inlineStr">
        <is>
          <t>Garbanzos</t>
        </is>
      </c>
      <c r="C229" t="inlineStr"/>
      <c r="D229" t="inlineStr">
        <is>
          <t>grams</t>
        </is>
      </c>
      <c r="E229" t="n">
        <v>791</v>
      </c>
      <c r="F229" t="n">
        <v>190.4</v>
      </c>
      <c r="G229" t="n">
        <v>0.2407079646017699</v>
      </c>
    </row>
    <row r="230">
      <c r="A230" t="n">
        <v>170</v>
      </c>
      <c r="B230" t="inlineStr">
        <is>
          <t>Garlic</t>
        </is>
      </c>
      <c r="C230" t="inlineStr">
        <is>
          <t>Fresh</t>
        </is>
      </c>
      <c r="D230" t="inlineStr">
        <is>
          <t>grams</t>
        </is>
      </c>
      <c r="E230" t="n">
        <v>2</v>
      </c>
      <c r="F230" t="n">
        <v>286</v>
      </c>
      <c r="G230" t="n">
        <v>143</v>
      </c>
    </row>
    <row r="231">
      <c r="A231" t="n">
        <v>171</v>
      </c>
      <c r="B231" t="inlineStr">
        <is>
          <t>Garlic Peanut</t>
        </is>
      </c>
      <c r="C231" t="inlineStr">
        <is>
          <t>Growers/box (24pcsx80grams)</t>
        </is>
      </c>
      <c r="D231" t="inlineStr">
        <is>
          <t>pieces</t>
        </is>
      </c>
      <c r="E231" t="n">
        <v>24</v>
      </c>
      <c r="F231" t="n">
        <v>1570.56</v>
      </c>
      <c r="G231" t="n">
        <v>65.44</v>
      </c>
    </row>
    <row r="232">
      <c r="A232" t="n">
        <v>172</v>
      </c>
      <c r="B232" t="inlineStr">
        <is>
          <t>Garlic Powder</t>
        </is>
      </c>
      <c r="C232" t="inlineStr">
        <is>
          <t>Sure buy/pack/30grams</t>
        </is>
      </c>
      <c r="D232" t="inlineStr">
        <is>
          <t>grams</t>
        </is>
      </c>
      <c r="E232" t="n">
        <v>2</v>
      </c>
      <c r="F232" t="n">
        <v>40.5</v>
      </c>
      <c r="G232" t="n">
        <v>20.25</v>
      </c>
    </row>
    <row r="233">
      <c r="A233" t="n">
        <v>173</v>
      </c>
      <c r="B233" t="inlineStr">
        <is>
          <t>Gatorade (asstd flavor)</t>
        </is>
      </c>
      <c r="C233" t="inlineStr">
        <is>
          <t>Pepsi/case (24x500ml)</t>
        </is>
      </c>
      <c r="D233" t="inlineStr">
        <is>
          <t>pieces</t>
        </is>
      </c>
      <c r="E233" t="n">
        <v>69</v>
      </c>
      <c r="F233" t="n">
        <v>2319.78</v>
      </c>
      <c r="G233" t="n">
        <v>33.62</v>
      </c>
    </row>
    <row r="234">
      <c r="A234" t="n">
        <v>174</v>
      </c>
      <c r="B234" t="inlineStr">
        <is>
          <t>General Sanitizer</t>
        </is>
      </c>
      <c r="C234" t="inlineStr"/>
      <c r="D234" t="inlineStr">
        <is>
          <t>gal</t>
        </is>
      </c>
      <c r="E234" t="n">
        <v>1</v>
      </c>
      <c r="F234" t="n">
        <v>342</v>
      </c>
      <c r="G234" t="n">
        <v>342</v>
      </c>
    </row>
    <row r="235">
      <c r="A235" t="n">
        <v>175</v>
      </c>
      <c r="B235" t="inlineStr">
        <is>
          <t>Ginger</t>
        </is>
      </c>
      <c r="C235" t="inlineStr">
        <is>
          <t>Fresh</t>
        </is>
      </c>
      <c r="D235" t="inlineStr">
        <is>
          <t>grams</t>
        </is>
      </c>
      <c r="E235" t="n">
        <v>5</v>
      </c>
      <c r="F235" t="n">
        <v>690</v>
      </c>
      <c r="G235" t="n">
        <v>138</v>
      </c>
    </row>
    <row r="236">
      <c r="A236" t="n">
        <v>176</v>
      </c>
      <c r="B236" t="inlineStr">
        <is>
          <t>Giniling</t>
        </is>
      </c>
      <c r="C236" t="inlineStr"/>
      <c r="D236" t="inlineStr">
        <is>
          <t>grams</t>
        </is>
      </c>
      <c r="E236" t="n">
        <v>750</v>
      </c>
      <c r="F236" t="n">
        <v>124.8</v>
      </c>
      <c r="G236" t="n">
        <v>0.1664</v>
      </c>
    </row>
    <row r="237">
      <c r="A237" t="n">
        <v>177</v>
      </c>
      <c r="B237" t="inlineStr">
        <is>
          <t>Glutinous Rice Flour</t>
        </is>
      </c>
      <c r="C237" t="inlineStr">
        <is>
          <t>Polar Bear/pack/500grams</t>
        </is>
      </c>
      <c r="D237" t="inlineStr">
        <is>
          <t>grams</t>
        </is>
      </c>
      <c r="E237" t="n">
        <v>2002</v>
      </c>
      <c r="F237" t="n">
        <v>345</v>
      </c>
      <c r="G237" t="n">
        <v>0.1723276723276723</v>
      </c>
    </row>
    <row r="238">
      <c r="A238" t="n">
        <v>177</v>
      </c>
      <c r="B238" t="inlineStr">
        <is>
          <t>Glutinous Rice Flour</t>
        </is>
      </c>
      <c r="C238" t="inlineStr">
        <is>
          <t>Kings/pack/500grams</t>
        </is>
      </c>
      <c r="D238" t="inlineStr">
        <is>
          <t>grams</t>
        </is>
      </c>
      <c r="E238" t="n">
        <v>3000</v>
      </c>
      <c r="F238" t="n">
        <v>570</v>
      </c>
      <c r="G238" t="n">
        <v>0.19</v>
      </c>
    </row>
    <row r="239">
      <c r="A239" t="n">
        <v>178</v>
      </c>
      <c r="B239" t="inlineStr">
        <is>
          <t>Goto</t>
        </is>
      </c>
      <c r="C239" t="inlineStr"/>
      <c r="D239" t="inlineStr">
        <is>
          <t>kilos</t>
        </is>
      </c>
      <c r="E239" t="n">
        <v>20</v>
      </c>
      <c r="F239" t="n">
        <v>3720</v>
      </c>
      <c r="G239" t="n">
        <v>186</v>
      </c>
    </row>
    <row r="240">
      <c r="A240" t="n">
        <v>179</v>
      </c>
      <c r="B240" t="inlineStr">
        <is>
          <t>Goya Chocolate Big</t>
        </is>
      </c>
      <c r="C240" t="inlineStr"/>
      <c r="D240" t="inlineStr">
        <is>
          <t>pieces</t>
        </is>
      </c>
      <c r="E240" t="n">
        <v>2</v>
      </c>
      <c r="F240" t="n">
        <v>354.8</v>
      </c>
      <c r="G240" t="n">
        <v>177.4</v>
      </c>
    </row>
    <row r="241">
      <c r="A241" t="n">
        <v>180</v>
      </c>
      <c r="B241" t="inlineStr">
        <is>
          <t>Goya Chocolate small</t>
        </is>
      </c>
      <c r="C241" t="inlineStr"/>
      <c r="D241" t="inlineStr">
        <is>
          <t>pieces</t>
        </is>
      </c>
      <c r="E241" t="n">
        <v>3</v>
      </c>
      <c r="F241" t="n">
        <v>354</v>
      </c>
      <c r="G241" t="n">
        <v>118</v>
      </c>
    </row>
    <row r="242">
      <c r="A242" t="n">
        <v>181</v>
      </c>
      <c r="B242" t="inlineStr">
        <is>
          <t>Graham Crackers</t>
        </is>
      </c>
      <c r="C242" t="inlineStr">
        <is>
          <t>M.Y San/pack (210grams)</t>
        </is>
      </c>
      <c r="D242" t="inlineStr">
        <is>
          <t>pieces</t>
        </is>
      </c>
      <c r="E242" t="n">
        <v>15</v>
      </c>
      <c r="F242" t="n">
        <v>628.5</v>
      </c>
      <c r="G242" t="n">
        <v>41.9</v>
      </c>
    </row>
    <row r="243">
      <c r="A243" t="n">
        <v>181</v>
      </c>
      <c r="B243" t="inlineStr">
        <is>
          <t>Graham Crackers</t>
        </is>
      </c>
      <c r="C243" t="inlineStr"/>
      <c r="D243" t="inlineStr">
        <is>
          <t>pieces</t>
        </is>
      </c>
      <c r="E243" t="n">
        <v>9</v>
      </c>
      <c r="F243" t="n">
        <v>377.1</v>
      </c>
      <c r="G243" t="n">
        <v>41.9</v>
      </c>
    </row>
    <row r="244">
      <c r="A244" t="n">
        <v>182</v>
      </c>
      <c r="B244" t="inlineStr">
        <is>
          <t>Graham Crushed</t>
        </is>
      </c>
      <c r="C244" t="inlineStr">
        <is>
          <t>M.Y San/pack (200grams)</t>
        </is>
      </c>
      <c r="D244" t="inlineStr">
        <is>
          <t>pieces</t>
        </is>
      </c>
      <c r="E244" t="n">
        <v>6</v>
      </c>
      <c r="F244" t="n">
        <v>277.7</v>
      </c>
      <c r="G244" t="n">
        <v>46.28333333333333</v>
      </c>
    </row>
    <row r="245">
      <c r="A245" t="n">
        <v>183</v>
      </c>
      <c r="B245" t="inlineStr">
        <is>
          <t>Grass Jelly</t>
        </is>
      </c>
      <c r="C245" t="inlineStr">
        <is>
          <t>Jolly/can/540grams</t>
        </is>
      </c>
      <c r="D245" t="inlineStr">
        <is>
          <t>grams</t>
        </is>
      </c>
      <c r="E245" t="n">
        <v>1080</v>
      </c>
      <c r="F245" t="n">
        <v>102</v>
      </c>
      <c r="G245" t="n">
        <v>0.09444444444444444</v>
      </c>
    </row>
    <row r="246">
      <c r="A246" t="n">
        <v>183</v>
      </c>
      <c r="B246" t="inlineStr">
        <is>
          <t>Grass Jelly</t>
        </is>
      </c>
      <c r="C246" t="inlineStr"/>
      <c r="D246" t="inlineStr">
        <is>
          <t>grams</t>
        </is>
      </c>
      <c r="E246" t="n">
        <v>1620</v>
      </c>
      <c r="F246" t="n">
        <v>156</v>
      </c>
      <c r="G246" t="n">
        <v>0.0962962962962963</v>
      </c>
    </row>
    <row r="247">
      <c r="A247" t="n">
        <v>184</v>
      </c>
      <c r="B247" t="inlineStr">
        <is>
          <t>Great taste - White</t>
        </is>
      </c>
      <c r="C247" t="inlineStr">
        <is>
          <t>Great Taste/pack (10pcsx30grams)</t>
        </is>
      </c>
      <c r="D247" t="inlineStr">
        <is>
          <t>pieces</t>
        </is>
      </c>
      <c r="E247" t="n">
        <v>314</v>
      </c>
      <c r="F247" t="n">
        <v>2424.08</v>
      </c>
      <c r="G247" t="n">
        <v>7.72</v>
      </c>
    </row>
    <row r="248">
      <c r="A248" t="n">
        <v>184</v>
      </c>
      <c r="B248" t="inlineStr">
        <is>
          <t>Great Taste - White</t>
        </is>
      </c>
      <c r="C248" t="inlineStr"/>
      <c r="D248" t="inlineStr">
        <is>
          <t>pieces</t>
        </is>
      </c>
      <c r="E248" t="n">
        <v>30</v>
      </c>
      <c r="F248" t="n">
        <v>237</v>
      </c>
      <c r="G248" t="n">
        <v>7.9</v>
      </c>
    </row>
    <row r="249">
      <c r="A249" t="n">
        <v>185</v>
      </c>
      <c r="B249" t="inlineStr">
        <is>
          <t>Green Tea</t>
        </is>
      </c>
      <c r="C249" t="inlineStr">
        <is>
          <t>Lipton/box (pcsx1.5grams)</t>
        </is>
      </c>
      <c r="D249" t="inlineStr">
        <is>
          <t>pieces</t>
        </is>
      </c>
      <c r="E249" t="n">
        <v>12</v>
      </c>
      <c r="F249" t="n">
        <v>103.08</v>
      </c>
      <c r="G249" t="n">
        <v>8.59</v>
      </c>
    </row>
    <row r="250">
      <c r="A250" t="n">
        <v>185</v>
      </c>
      <c r="B250" t="inlineStr">
        <is>
          <t>Green Tea</t>
        </is>
      </c>
      <c r="C250" t="inlineStr"/>
      <c r="D250" t="inlineStr">
        <is>
          <t>pieces</t>
        </is>
      </c>
      <c r="E250" t="n">
        <v>50</v>
      </c>
      <c r="F250" t="n">
        <v>1702.857142857143</v>
      </c>
      <c r="G250" t="n">
        <v>34.05714285714286</v>
      </c>
    </row>
    <row r="251">
      <c r="A251" t="n">
        <v>186</v>
      </c>
      <c r="B251" t="inlineStr">
        <is>
          <t>Ground Pepper</t>
        </is>
      </c>
      <c r="C251" t="inlineStr"/>
      <c r="D251" t="inlineStr">
        <is>
          <t>grams</t>
        </is>
      </c>
      <c r="E251" t="n">
        <v>30</v>
      </c>
      <c r="F251" t="n">
        <v>59.00000000000001</v>
      </c>
      <c r="G251" t="n">
        <v>1.966666666666667</v>
      </c>
    </row>
    <row r="252">
      <c r="A252" t="n">
        <v>187</v>
      </c>
      <c r="B252" t="inlineStr">
        <is>
          <t>Gulaman - Buko Pandan</t>
        </is>
      </c>
      <c r="C252" t="inlineStr">
        <is>
          <t>Mr Gulaman/box/(10sachetx25grams)</t>
        </is>
      </c>
      <c r="D252" t="inlineStr">
        <is>
          <t>grams</t>
        </is>
      </c>
      <c r="E252" t="n">
        <v>600</v>
      </c>
      <c r="F252" t="n">
        <v>303.36</v>
      </c>
      <c r="G252" t="n">
        <v>0.5056</v>
      </c>
    </row>
    <row r="253">
      <c r="A253" t="n">
        <v>188</v>
      </c>
      <c r="B253" t="inlineStr">
        <is>
          <t>Gulaman - Coffee</t>
        </is>
      </c>
      <c r="C253" t="inlineStr">
        <is>
          <t>Mr Gulaman/box/(10sachetx25grams)</t>
        </is>
      </c>
      <c r="D253" t="inlineStr">
        <is>
          <t>grams</t>
        </is>
      </c>
      <c r="E253" t="n">
        <v>200</v>
      </c>
      <c r="F253" t="n">
        <v>102.56</v>
      </c>
      <c r="G253" t="n">
        <v>0.5128</v>
      </c>
    </row>
    <row r="254">
      <c r="A254" t="n">
        <v>189</v>
      </c>
      <c r="B254" t="inlineStr">
        <is>
          <t>Gulaman - Green</t>
        </is>
      </c>
      <c r="C254" t="inlineStr">
        <is>
          <t>Mr Gulaman/box/(10sachetx25grams)</t>
        </is>
      </c>
      <c r="D254" t="inlineStr">
        <is>
          <t>grams</t>
        </is>
      </c>
      <c r="E254" t="n">
        <v>34</v>
      </c>
      <c r="F254" t="n">
        <v>170.768</v>
      </c>
      <c r="G254" t="n">
        <v>5.022588235294117</v>
      </c>
    </row>
    <row r="255">
      <c r="A255" t="n">
        <v>190</v>
      </c>
      <c r="B255" t="inlineStr">
        <is>
          <t>Gulaman - Mango</t>
        </is>
      </c>
      <c r="C255" t="inlineStr">
        <is>
          <t>Mr Gulaman/box/(10sachetx25grams)</t>
        </is>
      </c>
      <c r="D255" t="inlineStr">
        <is>
          <t>grams</t>
        </is>
      </c>
      <c r="E255" t="n">
        <v>20</v>
      </c>
      <c r="F255" t="n">
        <v>280</v>
      </c>
      <c r="G255" t="n">
        <v>14</v>
      </c>
    </row>
    <row r="256">
      <c r="A256" t="n">
        <v>191</v>
      </c>
      <c r="B256" t="inlineStr">
        <is>
          <t>Gulaman - Red</t>
        </is>
      </c>
      <c r="C256" t="inlineStr">
        <is>
          <t>Mr Gulaman/box/(10sachetx25grams)</t>
        </is>
      </c>
      <c r="D256" t="inlineStr">
        <is>
          <t>grams</t>
        </is>
      </c>
      <c r="E256" t="n">
        <v>15</v>
      </c>
      <c r="F256" t="n">
        <v>195.5</v>
      </c>
      <c r="G256" t="n">
        <v>13.03333333333333</v>
      </c>
    </row>
    <row r="257">
      <c r="A257" t="n">
        <v>192</v>
      </c>
      <c r="B257" t="inlineStr">
        <is>
          <t>Gulaman - White</t>
        </is>
      </c>
      <c r="C257" t="inlineStr">
        <is>
          <t>Mr Gulaman/box/(10sachetx25grams)</t>
        </is>
      </c>
      <c r="D257" t="inlineStr">
        <is>
          <t>grams</t>
        </is>
      </c>
      <c r="E257" t="n">
        <v>64</v>
      </c>
      <c r="F257" t="n">
        <v>832.2</v>
      </c>
      <c r="G257" t="n">
        <v>13.003125</v>
      </c>
    </row>
    <row r="258">
      <c r="A258" t="n">
        <v>193</v>
      </c>
      <c r="B258" t="inlineStr">
        <is>
          <t>Gulaman - Yellow</t>
        </is>
      </c>
      <c r="C258" t="inlineStr">
        <is>
          <t>Mr Gulaman/box/(10sachetx25grams)</t>
        </is>
      </c>
      <c r="D258" t="inlineStr">
        <is>
          <t>grams</t>
        </is>
      </c>
      <c r="E258" t="n">
        <v>20</v>
      </c>
      <c r="F258" t="n">
        <v>989.15</v>
      </c>
      <c r="G258" t="n">
        <v>49.4575</v>
      </c>
    </row>
    <row r="259">
      <c r="A259" t="n">
        <v>194</v>
      </c>
      <c r="B259" t="inlineStr">
        <is>
          <t>Guyabano Juice</t>
        </is>
      </c>
      <c r="C259" t="inlineStr">
        <is>
          <t>ZEST-O Big 250/box (10x250ml)</t>
        </is>
      </c>
      <c r="D259" t="inlineStr">
        <is>
          <t>pieces</t>
        </is>
      </c>
      <c r="E259" t="n">
        <v>190</v>
      </c>
      <c r="F259" t="n">
        <v>1683.4</v>
      </c>
      <c r="G259" t="n">
        <v>8.859999999999999</v>
      </c>
    </row>
    <row r="260">
      <c r="A260" t="n">
        <v>195</v>
      </c>
      <c r="B260" t="inlineStr">
        <is>
          <t>Hand Gloves</t>
        </is>
      </c>
      <c r="C260" t="inlineStr">
        <is>
          <t>My Eveyday ( 1 X 100 )</t>
        </is>
      </c>
      <c r="D260" t="inlineStr">
        <is>
          <t>pieces</t>
        </is>
      </c>
      <c r="E260" t="n">
        <v>20</v>
      </c>
      <c r="F260" t="n">
        <v>980</v>
      </c>
      <c r="G260" t="n">
        <v>49</v>
      </c>
    </row>
    <row r="261">
      <c r="A261" t="n">
        <v>196</v>
      </c>
      <c r="B261" t="inlineStr">
        <is>
          <t>Hand Sanitizer</t>
        </is>
      </c>
      <c r="C261" t="inlineStr"/>
      <c r="D261" t="inlineStr">
        <is>
          <t>gal</t>
        </is>
      </c>
      <c r="E261" t="n">
        <v>0.5</v>
      </c>
      <c r="F261" t="n">
        <v>303.5</v>
      </c>
      <c r="G261" t="n">
        <v>607</v>
      </c>
    </row>
    <row r="262">
      <c r="A262" t="n">
        <v>197</v>
      </c>
      <c r="B262" t="inlineStr">
        <is>
          <t>Hansel Cracker - Plain</t>
        </is>
      </c>
      <c r="C262" t="inlineStr">
        <is>
          <t>Rebisco/pack (10pcsx32grams)</t>
        </is>
      </c>
      <c r="D262" t="inlineStr">
        <is>
          <t>pieces</t>
        </is>
      </c>
      <c r="E262" t="n">
        <v>600</v>
      </c>
      <c r="F262" t="n">
        <v>3480</v>
      </c>
      <c r="G262" t="n">
        <v>5.8</v>
      </c>
    </row>
    <row r="263">
      <c r="A263" t="n">
        <v>198</v>
      </c>
      <c r="B263" t="inlineStr">
        <is>
          <t>Hansel Crackers - Milk</t>
        </is>
      </c>
      <c r="C263" t="inlineStr">
        <is>
          <t>Rebisco/pack (10pcsx31grams)</t>
        </is>
      </c>
      <c r="D263" t="inlineStr">
        <is>
          <t>pieces</t>
        </is>
      </c>
      <c r="E263" t="n">
        <v>200</v>
      </c>
      <c r="F263" t="n">
        <v>1158</v>
      </c>
      <c r="G263" t="n">
        <v>5.79</v>
      </c>
    </row>
    <row r="264">
      <c r="A264" t="n">
        <v>199</v>
      </c>
      <c r="B264" t="inlineStr">
        <is>
          <t>Hansel Crackers - Mocha</t>
        </is>
      </c>
      <c r="C264" t="inlineStr">
        <is>
          <t>Rebisco/pack (10pcsx31grams)</t>
        </is>
      </c>
      <c r="D264" t="inlineStr">
        <is>
          <t>pieces</t>
        </is>
      </c>
      <c r="E264" t="n">
        <v>220</v>
      </c>
      <c r="F264" t="n">
        <v>1273.8</v>
      </c>
      <c r="G264" t="n">
        <v>5.79</v>
      </c>
    </row>
    <row r="265">
      <c r="A265" t="n">
        <v>200</v>
      </c>
      <c r="B265" t="inlineStr">
        <is>
          <t>Hany Milk</t>
        </is>
      </c>
      <c r="C265" t="inlineStr"/>
      <c r="D265" t="inlineStr">
        <is>
          <t>packs</t>
        </is>
      </c>
      <c r="E265" t="n">
        <v>785</v>
      </c>
      <c r="F265" t="n">
        <v>50.37083333333333</v>
      </c>
      <c r="G265" t="n">
        <v>0.06416666666666666</v>
      </c>
    </row>
    <row r="266">
      <c r="A266" t="n">
        <v>201</v>
      </c>
      <c r="B266" t="inlineStr">
        <is>
          <t>Hello Panda Caramel</t>
        </is>
      </c>
      <c r="C266" t="inlineStr"/>
      <c r="D266" t="inlineStr">
        <is>
          <t>pieces</t>
        </is>
      </c>
      <c r="E266" t="n">
        <v>5</v>
      </c>
      <c r="F266" t="n">
        <v>25.6</v>
      </c>
      <c r="G266" t="n">
        <v>5.12</v>
      </c>
    </row>
    <row r="267">
      <c r="A267" t="n">
        <v>202</v>
      </c>
      <c r="B267" t="inlineStr">
        <is>
          <t>Hello Wafer Strawberry</t>
        </is>
      </c>
      <c r="C267" t="inlineStr">
        <is>
          <t>Jack n Jill/pack (10pcsX15grams)</t>
        </is>
      </c>
      <c r="D267" t="inlineStr">
        <is>
          <t>pieces</t>
        </is>
      </c>
      <c r="E267" t="n">
        <v>28</v>
      </c>
      <c r="F267" t="n">
        <v>183.68</v>
      </c>
      <c r="G267" t="n">
        <v>6.56</v>
      </c>
    </row>
    <row r="268">
      <c r="A268" t="n">
        <v>203</v>
      </c>
      <c r="B268" t="inlineStr">
        <is>
          <t>Hi-ho</t>
        </is>
      </c>
      <c r="C268" t="inlineStr"/>
      <c r="D268" t="inlineStr">
        <is>
          <t>pieces</t>
        </is>
      </c>
      <c r="E268" t="n">
        <v>2</v>
      </c>
      <c r="F268" t="n">
        <v>28.406</v>
      </c>
      <c r="G268" t="n">
        <v>14.203</v>
      </c>
    </row>
    <row r="269">
      <c r="A269" t="n">
        <v>204</v>
      </c>
      <c r="B269" t="inlineStr">
        <is>
          <t>Hipon ( 30 )</t>
        </is>
      </c>
      <c r="C269" t="inlineStr"/>
      <c r="D269" t="inlineStr">
        <is>
          <t>grams</t>
        </is>
      </c>
      <c r="E269" t="n">
        <v>1000</v>
      </c>
      <c r="F269" t="n">
        <v>520</v>
      </c>
      <c r="G269" t="n">
        <v>0.52</v>
      </c>
    </row>
    <row r="270">
      <c r="A270" t="n">
        <v>205</v>
      </c>
      <c r="B270" t="inlineStr">
        <is>
          <t>Hiro</t>
        </is>
      </c>
      <c r="C270" t="inlineStr">
        <is>
          <t>Fibisco/pack (10pcsx33grams)</t>
        </is>
      </c>
      <c r="D270" t="inlineStr">
        <is>
          <t>pieces</t>
        </is>
      </c>
      <c r="E270" t="n">
        <v>361</v>
      </c>
      <c r="F270" t="n">
        <v>2172</v>
      </c>
      <c r="G270" t="n">
        <v>6.016620498614959</v>
      </c>
    </row>
    <row r="271">
      <c r="A271" t="n">
        <v>205</v>
      </c>
      <c r="B271" t="inlineStr">
        <is>
          <t>Hiro</t>
        </is>
      </c>
      <c r="C271" t="inlineStr"/>
      <c r="D271" t="inlineStr">
        <is>
          <t>pieces</t>
        </is>
      </c>
      <c r="E271" t="n">
        <v>80</v>
      </c>
      <c r="F271" t="n">
        <v>495.2</v>
      </c>
      <c r="G271" t="n">
        <v>6.19</v>
      </c>
    </row>
    <row r="272">
      <c r="A272" t="n">
        <v>206</v>
      </c>
      <c r="B272" t="inlineStr">
        <is>
          <t>Honey Butter</t>
        </is>
      </c>
      <c r="C272" t="inlineStr">
        <is>
          <t>Rebisco/pack (10pcsx32grams)</t>
        </is>
      </c>
      <c r="D272" t="inlineStr">
        <is>
          <t>pieces</t>
        </is>
      </c>
      <c r="E272" t="n">
        <v>200</v>
      </c>
      <c r="F272" t="n">
        <v>1160</v>
      </c>
      <c r="G272" t="n">
        <v>5.8</v>
      </c>
    </row>
    <row r="273">
      <c r="A273" t="n">
        <v>207</v>
      </c>
      <c r="B273" t="inlineStr">
        <is>
          <t>Hotcake Mix</t>
        </is>
      </c>
      <c r="C273" t="inlineStr">
        <is>
          <t>Maya/box/500grams</t>
        </is>
      </c>
      <c r="D273" t="inlineStr">
        <is>
          <t>grams</t>
        </is>
      </c>
      <c r="E273" t="n">
        <v>1</v>
      </c>
      <c r="F273" t="n">
        <v>56.2</v>
      </c>
      <c r="G273" t="n">
        <v>56.2</v>
      </c>
    </row>
    <row r="274">
      <c r="A274" t="n">
        <v>208</v>
      </c>
      <c r="B274" t="inlineStr">
        <is>
          <t>Hotdog Jumbo</t>
        </is>
      </c>
      <c r="C274" t="inlineStr">
        <is>
          <t>Purefoods/pack/1000grams</t>
        </is>
      </c>
      <c r="D274" t="inlineStr">
        <is>
          <t>grams</t>
        </is>
      </c>
      <c r="E274" t="n">
        <v>5.6</v>
      </c>
      <c r="F274" t="n">
        <v>1013.6</v>
      </c>
      <c r="G274" t="n">
        <v>181</v>
      </c>
    </row>
    <row r="275">
      <c r="A275" t="n">
        <v>209</v>
      </c>
      <c r="B275" t="inlineStr">
        <is>
          <t>Hotdog King Size</t>
        </is>
      </c>
      <c r="C275" t="inlineStr">
        <is>
          <t>Purefoods/pack/1000grams</t>
        </is>
      </c>
      <c r="D275" t="inlineStr">
        <is>
          <t>grams</t>
        </is>
      </c>
      <c r="E275" t="n">
        <v>24000</v>
      </c>
      <c r="F275" t="n">
        <v>4104</v>
      </c>
      <c r="G275" t="n">
        <v>0.171</v>
      </c>
    </row>
    <row r="276">
      <c r="A276" t="n">
        <v>210</v>
      </c>
      <c r="B276" t="inlineStr">
        <is>
          <t>Instant Oats</t>
        </is>
      </c>
      <c r="C276" t="inlineStr">
        <is>
          <t>Australia Harvest/pack/1000grams</t>
        </is>
      </c>
      <c r="D276" t="inlineStr">
        <is>
          <t>grams</t>
        </is>
      </c>
      <c r="E276" t="n">
        <v>600</v>
      </c>
      <c r="F276" t="n">
        <v>84.51000000000001</v>
      </c>
      <c r="G276" t="n">
        <v>0.14085</v>
      </c>
    </row>
    <row r="277">
      <c r="A277" t="n">
        <v>211</v>
      </c>
      <c r="B277" t="inlineStr">
        <is>
          <t>Italian Spaghetti Sauce</t>
        </is>
      </c>
      <c r="C277" t="inlineStr">
        <is>
          <t>Del Monte/pack/900grams</t>
        </is>
      </c>
      <c r="D277" t="inlineStr">
        <is>
          <t>grams</t>
        </is>
      </c>
      <c r="E277" t="n">
        <v>1800</v>
      </c>
      <c r="F277" t="n">
        <v>180.5999999999999</v>
      </c>
      <c r="G277" t="n">
        <v>0.1003333333333333</v>
      </c>
    </row>
    <row r="278">
      <c r="A278" t="n">
        <v>212</v>
      </c>
      <c r="B278" t="inlineStr">
        <is>
          <t>Jamonila</t>
        </is>
      </c>
      <c r="C278" t="inlineStr">
        <is>
          <t>Tulip/can/24pcsx340 grams</t>
        </is>
      </c>
      <c r="D278" t="inlineStr">
        <is>
          <t>grams</t>
        </is>
      </c>
      <c r="E278" t="n">
        <v>11564</v>
      </c>
      <c r="F278" t="n">
        <v>6285.939999999999</v>
      </c>
      <c r="G278" t="n">
        <v>0.5435783465928743</v>
      </c>
    </row>
    <row r="279">
      <c r="A279" t="n">
        <v>212</v>
      </c>
      <c r="B279" t="inlineStr">
        <is>
          <t>Jamonila</t>
        </is>
      </c>
      <c r="C279" t="inlineStr">
        <is>
          <t>Tulip/can24pcs/340 grams</t>
        </is>
      </c>
      <c r="D279" t="inlineStr">
        <is>
          <t>grams</t>
        </is>
      </c>
      <c r="E279" t="n">
        <v>29</v>
      </c>
      <c r="F279" t="n">
        <v>4826.47</v>
      </c>
      <c r="G279" t="n">
        <v>166.43</v>
      </c>
    </row>
    <row r="280">
      <c r="A280" t="n">
        <v>212</v>
      </c>
      <c r="B280" t="inlineStr">
        <is>
          <t>Jamonila</t>
        </is>
      </c>
      <c r="C280" t="inlineStr"/>
      <c r="D280" t="inlineStr">
        <is>
          <t>grams</t>
        </is>
      </c>
      <c r="E280" t="n">
        <v>8160</v>
      </c>
      <c r="F280" t="n">
        <v>3595.92</v>
      </c>
      <c r="G280" t="n">
        <v>0.4406764705882353</v>
      </c>
    </row>
    <row r="281">
      <c r="A281" t="n">
        <v>213</v>
      </c>
      <c r="B281" t="inlineStr">
        <is>
          <t>Japanese Cake</t>
        </is>
      </c>
      <c r="C281" t="inlineStr">
        <is>
          <t>Regent/pack (10pcsx34grams)</t>
        </is>
      </c>
      <c r="D281" t="inlineStr">
        <is>
          <t>pieces</t>
        </is>
      </c>
      <c r="E281" t="n">
        <v>281</v>
      </c>
      <c r="F281" t="n">
        <v>2268.7</v>
      </c>
      <c r="G281" t="n">
        <v>8.073665480427046</v>
      </c>
    </row>
    <row r="282">
      <c r="A282" t="n">
        <v>214</v>
      </c>
      <c r="B282" t="inlineStr">
        <is>
          <t>Japanese Cake-ube</t>
        </is>
      </c>
      <c r="C282" t="inlineStr"/>
      <c r="D282" t="inlineStr">
        <is>
          <t>pieces</t>
        </is>
      </c>
      <c r="E282" t="n">
        <v>30</v>
      </c>
      <c r="F282" t="n">
        <v>261</v>
      </c>
      <c r="G282" t="n">
        <v>8.699999999999999</v>
      </c>
    </row>
    <row r="283">
      <c r="A283" t="n">
        <v>215</v>
      </c>
      <c r="B283" t="inlineStr">
        <is>
          <t>Japanese Mayonaise</t>
        </is>
      </c>
      <c r="C283" t="inlineStr"/>
      <c r="D283" t="inlineStr">
        <is>
          <t>ml</t>
        </is>
      </c>
      <c r="E283" t="n">
        <v>6500</v>
      </c>
      <c r="F283" t="n">
        <v>2722.2</v>
      </c>
      <c r="G283" t="n">
        <v>0.4188</v>
      </c>
    </row>
    <row r="284">
      <c r="A284" t="n">
        <v>216</v>
      </c>
      <c r="B284" t="inlineStr">
        <is>
          <t>Japanese Mayonnaise</t>
        </is>
      </c>
      <c r="C284" t="inlineStr">
        <is>
          <t>Kewpie/bottle/1000ml</t>
        </is>
      </c>
      <c r="D284" t="inlineStr">
        <is>
          <t>ml</t>
        </is>
      </c>
      <c r="E284" t="n">
        <v>0.7</v>
      </c>
      <c r="F284" t="n">
        <v>273</v>
      </c>
      <c r="G284" t="n">
        <v>390</v>
      </c>
    </row>
    <row r="285">
      <c r="A285" t="n">
        <v>217</v>
      </c>
      <c r="B285" t="inlineStr">
        <is>
          <t>Japanese Motchi</t>
        </is>
      </c>
      <c r="C285" t="inlineStr">
        <is>
          <t>Regent/pack (10pcsx34grams)</t>
        </is>
      </c>
      <c r="D285" t="inlineStr">
        <is>
          <t>pieces</t>
        </is>
      </c>
      <c r="E285" t="n">
        <v>8</v>
      </c>
      <c r="F285" t="n">
        <v>512</v>
      </c>
      <c r="G285" t="n">
        <v>64</v>
      </c>
    </row>
    <row r="286">
      <c r="A286" t="n">
        <v>218</v>
      </c>
      <c r="B286" t="inlineStr">
        <is>
          <t>Japanese Rice</t>
        </is>
      </c>
      <c r="C286" t="inlineStr"/>
      <c r="D286" t="inlineStr">
        <is>
          <t>kilos</t>
        </is>
      </c>
      <c r="E286" t="n">
        <v>16</v>
      </c>
      <c r="F286" t="n">
        <v>4826</v>
      </c>
      <c r="G286" t="n">
        <v>301.625</v>
      </c>
    </row>
    <row r="287">
      <c r="A287" t="n">
        <v>218</v>
      </c>
      <c r="B287" t="inlineStr">
        <is>
          <t>Japanese Rice</t>
        </is>
      </c>
      <c r="C287" t="inlineStr">
        <is>
          <t>Mt. Fuji/sack/25kilos</t>
        </is>
      </c>
      <c r="D287" t="inlineStr">
        <is>
          <t>kilos</t>
        </is>
      </c>
      <c r="E287" t="n">
        <v>1</v>
      </c>
      <c r="F287" t="n">
        <v>189</v>
      </c>
      <c r="G287" t="n">
        <v>189</v>
      </c>
    </row>
    <row r="288">
      <c r="A288" t="n">
        <v>219</v>
      </c>
      <c r="B288" t="inlineStr">
        <is>
          <t>Japanesemayonnaise</t>
        </is>
      </c>
      <c r="C288" t="inlineStr">
        <is>
          <t>kewpien/500ml</t>
        </is>
      </c>
      <c r="D288" t="inlineStr">
        <is>
          <t>ml</t>
        </is>
      </c>
      <c r="E288" t="n">
        <v>1500</v>
      </c>
      <c r="F288" t="n">
        <v>840.0000000000001</v>
      </c>
      <c r="G288" t="n">
        <v>0.5600000000000001</v>
      </c>
    </row>
    <row r="289">
      <c r="A289" t="n">
        <v>220</v>
      </c>
      <c r="B289" t="inlineStr">
        <is>
          <t>Jasmine Rice</t>
        </is>
      </c>
      <c r="C289" t="inlineStr">
        <is>
          <t>Thai Jasmine/sack/25kilos</t>
        </is>
      </c>
      <c r="D289" t="inlineStr">
        <is>
          <t>kilos</t>
        </is>
      </c>
      <c r="E289" t="n">
        <v>405</v>
      </c>
      <c r="F289" t="n">
        <v>19764</v>
      </c>
      <c r="G289" t="n">
        <v>48.8</v>
      </c>
    </row>
    <row r="290">
      <c r="A290" t="n">
        <v>221</v>
      </c>
      <c r="B290" t="inlineStr">
        <is>
          <t>Jet Dry</t>
        </is>
      </c>
      <c r="C290" t="inlineStr"/>
      <c r="D290" t="inlineStr">
        <is>
          <t>gal</t>
        </is>
      </c>
      <c r="E290" t="n">
        <v>0.5</v>
      </c>
      <c r="F290" t="n">
        <v>930</v>
      </c>
      <c r="G290" t="n">
        <v>1860</v>
      </c>
    </row>
    <row r="291">
      <c r="A291" t="n">
        <v>222</v>
      </c>
      <c r="B291" t="inlineStr">
        <is>
          <t>Jolly Biscuit</t>
        </is>
      </c>
      <c r="C291" t="inlineStr"/>
      <c r="D291" t="inlineStr">
        <is>
          <t>pieces</t>
        </is>
      </c>
      <c r="E291" t="n">
        <v>4</v>
      </c>
      <c r="F291" t="n">
        <v>25.92</v>
      </c>
      <c r="G291" t="n">
        <v>6.48</v>
      </c>
    </row>
    <row r="292">
      <c r="A292" t="n">
        <v>223</v>
      </c>
      <c r="B292" t="inlineStr">
        <is>
          <t>Kernel Corn Whole</t>
        </is>
      </c>
      <c r="C292" t="inlineStr">
        <is>
          <t>J em J/can/425grams</t>
        </is>
      </c>
      <c r="D292" t="inlineStr">
        <is>
          <t>grams</t>
        </is>
      </c>
      <c r="E292" t="n">
        <v>22.47</v>
      </c>
      <c r="F292" t="n">
        <v>943.74</v>
      </c>
      <c r="G292" t="n">
        <v>42</v>
      </c>
    </row>
    <row r="293">
      <c r="A293" t="n">
        <v>223</v>
      </c>
      <c r="B293" t="inlineStr">
        <is>
          <t>Kernel Corn Whole</t>
        </is>
      </c>
      <c r="C293" t="inlineStr"/>
      <c r="D293" t="inlineStr">
        <is>
          <t>grams</t>
        </is>
      </c>
      <c r="E293" t="n">
        <v>250</v>
      </c>
      <c r="F293" t="n">
        <v>43.02</v>
      </c>
      <c r="G293" t="n">
        <v>0.17208</v>
      </c>
    </row>
    <row r="294">
      <c r="A294" t="n">
        <v>224</v>
      </c>
      <c r="B294" t="inlineStr">
        <is>
          <t>Kikiam</t>
        </is>
      </c>
      <c r="C294" t="inlineStr">
        <is>
          <t>Shanghai/pack/1000grams</t>
        </is>
      </c>
      <c r="D294" t="inlineStr">
        <is>
          <t>grams</t>
        </is>
      </c>
      <c r="E294" t="n">
        <v>3.5</v>
      </c>
      <c r="F294" t="n">
        <v>417.5</v>
      </c>
      <c r="G294" t="n">
        <v>119.2857142857143</v>
      </c>
    </row>
    <row r="295">
      <c r="A295" t="n">
        <v>225</v>
      </c>
      <c r="B295" t="inlineStr">
        <is>
          <t>Kopiko Black</t>
        </is>
      </c>
      <c r="C295" t="inlineStr">
        <is>
          <t>Kopiko/pack (30x30grams)</t>
        </is>
      </c>
      <c r="D295" t="inlineStr">
        <is>
          <t>pieces</t>
        </is>
      </c>
      <c r="E295" t="n">
        <v>139</v>
      </c>
      <c r="F295" t="n">
        <v>1024.43</v>
      </c>
      <c r="G295" t="n">
        <v>7.37</v>
      </c>
    </row>
    <row r="296">
      <c r="A296" t="n">
        <v>225</v>
      </c>
      <c r="B296" t="inlineStr">
        <is>
          <t>Kopiko Black</t>
        </is>
      </c>
      <c r="C296" t="inlineStr">
        <is>
          <t>Kopiko/pack (10x30grams)</t>
        </is>
      </c>
      <c r="D296" t="inlineStr">
        <is>
          <t>pieces</t>
        </is>
      </c>
      <c r="E296" t="n">
        <v>240</v>
      </c>
      <c r="F296" t="n">
        <v>1680</v>
      </c>
      <c r="G296" t="n">
        <v>7</v>
      </c>
    </row>
    <row r="297">
      <c r="A297" t="n">
        <v>225</v>
      </c>
      <c r="B297" t="inlineStr">
        <is>
          <t>Kopiko Black</t>
        </is>
      </c>
      <c r="C297" t="inlineStr"/>
      <c r="D297" t="inlineStr">
        <is>
          <t>pieces</t>
        </is>
      </c>
      <c r="E297" t="n">
        <v>489</v>
      </c>
      <c r="F297" t="n">
        <v>3784.86</v>
      </c>
      <c r="G297" t="n">
        <v>7.74</v>
      </c>
    </row>
    <row r="298">
      <c r="A298" t="n">
        <v>226</v>
      </c>
      <c r="B298" t="inlineStr">
        <is>
          <t>Kopiko Blanca</t>
        </is>
      </c>
      <c r="C298" t="inlineStr">
        <is>
          <t>Kopiko/pack (30x30grams)</t>
        </is>
      </c>
      <c r="D298" t="inlineStr">
        <is>
          <t>pieces</t>
        </is>
      </c>
      <c r="E298" t="n">
        <v>170</v>
      </c>
      <c r="F298" t="n">
        <v>1394</v>
      </c>
      <c r="G298" t="n">
        <v>8.199999999999999</v>
      </c>
    </row>
    <row r="299">
      <c r="A299" t="n">
        <v>226</v>
      </c>
      <c r="B299" t="inlineStr">
        <is>
          <t>Kopiko Blanca</t>
        </is>
      </c>
      <c r="C299" t="inlineStr"/>
      <c r="D299" t="inlineStr">
        <is>
          <t>pieces</t>
        </is>
      </c>
      <c r="E299" t="n">
        <v>4</v>
      </c>
      <c r="F299" t="n">
        <v>35</v>
      </c>
      <c r="G299" t="n">
        <v>8.75</v>
      </c>
    </row>
    <row r="300">
      <c r="A300" t="n">
        <v>227</v>
      </c>
      <c r="B300" t="inlineStr">
        <is>
          <t>Kopiko Brown</t>
        </is>
      </c>
      <c r="C300" t="inlineStr">
        <is>
          <t>Kopiko/pack (10x27.5grams)</t>
        </is>
      </c>
      <c r="D300" t="inlineStr">
        <is>
          <t>pieces</t>
        </is>
      </c>
      <c r="E300" t="n">
        <v>351</v>
      </c>
      <c r="F300" t="n">
        <v>2457</v>
      </c>
      <c r="G300" t="n">
        <v>7</v>
      </c>
    </row>
    <row r="301">
      <c r="A301" t="n">
        <v>227</v>
      </c>
      <c r="B301" t="inlineStr">
        <is>
          <t>Kopiko Brown</t>
        </is>
      </c>
      <c r="C301" t="inlineStr"/>
      <c r="D301" t="inlineStr">
        <is>
          <t>pieces</t>
        </is>
      </c>
      <c r="E301" t="n">
        <v>311</v>
      </c>
      <c r="F301" t="n">
        <v>2394.7</v>
      </c>
      <c r="G301" t="n">
        <v>7.700000000000001</v>
      </c>
    </row>
    <row r="302">
      <c r="A302" t="n">
        <v>228</v>
      </c>
      <c r="B302" t="inlineStr">
        <is>
          <t>Kopiko L.A</t>
        </is>
      </c>
      <c r="C302" t="inlineStr">
        <is>
          <t>Kopikopack (20pcsx/25grams)</t>
        </is>
      </c>
      <c r="D302" t="inlineStr">
        <is>
          <t>pieces</t>
        </is>
      </c>
      <c r="E302" t="n">
        <v>176</v>
      </c>
      <c r="F302" t="n">
        <v>1364.52</v>
      </c>
      <c r="G302" t="n">
        <v>7.752954545454545</v>
      </c>
    </row>
    <row r="303">
      <c r="A303" t="n">
        <v>229</v>
      </c>
      <c r="B303" t="inlineStr">
        <is>
          <t>Lala Tempura</t>
        </is>
      </c>
      <c r="C303" t="inlineStr"/>
      <c r="D303" t="inlineStr">
        <is>
          <t>pieces</t>
        </is>
      </c>
      <c r="E303" t="n">
        <v>24</v>
      </c>
      <c r="F303" t="n">
        <v>806.6999999999999</v>
      </c>
      <c r="G303" t="n">
        <v>33.6125</v>
      </c>
    </row>
    <row r="304">
      <c r="A304" t="n">
        <v>230</v>
      </c>
      <c r="B304" t="inlineStr">
        <is>
          <t>Lard</t>
        </is>
      </c>
      <c r="C304" t="inlineStr">
        <is>
          <t>Spring Shortening/pail/11000grams</t>
        </is>
      </c>
      <c r="D304" t="inlineStr">
        <is>
          <t>grams</t>
        </is>
      </c>
      <c r="E304" t="n">
        <v>0.14</v>
      </c>
      <c r="F304" t="n">
        <v>201.6</v>
      </c>
      <c r="G304" t="n">
        <v>1440</v>
      </c>
    </row>
    <row r="305">
      <c r="A305" t="n">
        <v>231</v>
      </c>
      <c r="B305" t="inlineStr">
        <is>
          <t>Lasagna Noodles</t>
        </is>
      </c>
      <c r="C305" t="inlineStr">
        <is>
          <t>Ideal/box/500grams</t>
        </is>
      </c>
      <c r="D305" t="inlineStr">
        <is>
          <t>grams</t>
        </is>
      </c>
      <c r="E305" t="n">
        <v>1816</v>
      </c>
      <c r="F305" t="n">
        <v>523.6</v>
      </c>
      <c r="G305" t="n">
        <v>0.2883259911894273</v>
      </c>
    </row>
    <row r="306">
      <c r="A306" t="n">
        <v>232</v>
      </c>
      <c r="B306" t="inlineStr">
        <is>
          <t>Laurel Leaves</t>
        </is>
      </c>
      <c r="C306" t="inlineStr"/>
      <c r="D306" t="inlineStr">
        <is>
          <t>grams</t>
        </is>
      </c>
      <c r="E306" t="n">
        <v>750</v>
      </c>
      <c r="F306" t="n">
        <v>292.5</v>
      </c>
      <c r="G306" t="n">
        <v>0.39</v>
      </c>
    </row>
    <row r="307">
      <c r="A307" t="n">
        <v>233</v>
      </c>
      <c r="B307" t="inlineStr">
        <is>
          <t>Lechon Sauce</t>
        </is>
      </c>
      <c r="C307" t="inlineStr">
        <is>
          <t>Mang Tomas/bottle/550grams</t>
        </is>
      </c>
      <c r="D307" t="inlineStr">
        <is>
          <t>grams</t>
        </is>
      </c>
      <c r="E307" t="n">
        <v>1673</v>
      </c>
      <c r="F307" t="n">
        <v>1266.2</v>
      </c>
      <c r="G307" t="n">
        <v>0.7568439928272565</v>
      </c>
    </row>
    <row r="308">
      <c r="A308" t="n">
        <v>234</v>
      </c>
      <c r="B308" t="inlineStr">
        <is>
          <t>Lihia</t>
        </is>
      </c>
      <c r="C308" t="inlineStr">
        <is>
          <t>Mr. Brown/bottle/350ml</t>
        </is>
      </c>
      <c r="D308" t="inlineStr">
        <is>
          <t>ml</t>
        </is>
      </c>
      <c r="E308" t="n">
        <v>3</v>
      </c>
      <c r="F308" t="n">
        <v>165</v>
      </c>
      <c r="G308" t="n">
        <v>55</v>
      </c>
    </row>
    <row r="309">
      <c r="A309" t="n">
        <v>235</v>
      </c>
      <c r="B309" t="inlineStr">
        <is>
          <t>Lihia/Lye Water</t>
        </is>
      </c>
      <c r="C309" t="inlineStr">
        <is>
          <t>Green Leaves/bottle/375ml</t>
        </is>
      </c>
      <c r="D309" t="inlineStr">
        <is>
          <t>ml</t>
        </is>
      </c>
      <c r="E309" t="n">
        <v>1125</v>
      </c>
      <c r="F309" t="n">
        <v>150</v>
      </c>
      <c r="G309" t="n">
        <v>0.1333333333333333</v>
      </c>
    </row>
    <row r="310">
      <c r="A310" t="n">
        <v>236</v>
      </c>
      <c r="B310" t="inlineStr">
        <is>
          <t>Lime Away</t>
        </is>
      </c>
      <c r="C310" t="inlineStr"/>
      <c r="D310" t="inlineStr">
        <is>
          <t>gal</t>
        </is>
      </c>
      <c r="E310" t="n">
        <v>1.5</v>
      </c>
      <c r="F310" t="n">
        <v>7081.664999999999</v>
      </c>
      <c r="G310" t="n">
        <v>4721.11</v>
      </c>
    </row>
    <row r="311">
      <c r="A311" t="n">
        <v>237</v>
      </c>
      <c r="B311" t="inlineStr">
        <is>
          <t>Liquid Seasoning</t>
        </is>
      </c>
      <c r="C311" t="inlineStr">
        <is>
          <t>Knorr/bottle/500ml</t>
        </is>
      </c>
      <c r="D311" t="inlineStr">
        <is>
          <t>ml</t>
        </is>
      </c>
      <c r="E311" t="n">
        <v>1000</v>
      </c>
      <c r="F311" t="n">
        <v>316.6</v>
      </c>
      <c r="G311" t="n">
        <v>0.3166</v>
      </c>
    </row>
    <row r="312">
      <c r="A312" t="n">
        <v>237</v>
      </c>
      <c r="B312" t="inlineStr">
        <is>
          <t>Liquid Seasoning</t>
        </is>
      </c>
      <c r="C312" t="inlineStr">
        <is>
          <t>Knorr/bottle/1000ml</t>
        </is>
      </c>
      <c r="D312" t="inlineStr">
        <is>
          <t>ml</t>
        </is>
      </c>
      <c r="E312" t="n">
        <v>3</v>
      </c>
      <c r="F312" t="n">
        <v>905.4000000000001</v>
      </c>
      <c r="G312" t="n">
        <v>301.8</v>
      </c>
    </row>
    <row r="313">
      <c r="A313" t="n">
        <v>238</v>
      </c>
      <c r="B313" t="inlineStr">
        <is>
          <t>Liver Spread</t>
        </is>
      </c>
      <c r="C313" t="inlineStr">
        <is>
          <t>CDO/can/85grams</t>
        </is>
      </c>
      <c r="D313" t="inlineStr">
        <is>
          <t>grams</t>
        </is>
      </c>
      <c r="E313" t="n">
        <v>12</v>
      </c>
      <c r="F313" t="n">
        <v>273.84</v>
      </c>
      <c r="G313" t="n">
        <v>22.82</v>
      </c>
    </row>
    <row r="314">
      <c r="A314" t="n">
        <v>238</v>
      </c>
      <c r="B314" t="inlineStr">
        <is>
          <t>Liver Spread</t>
        </is>
      </c>
      <c r="C314" t="inlineStr"/>
      <c r="D314" t="inlineStr">
        <is>
          <t>grams</t>
        </is>
      </c>
      <c r="E314" t="n">
        <v>4080</v>
      </c>
      <c r="F314" t="n">
        <v>1092.48</v>
      </c>
      <c r="G314" t="n">
        <v>0.267764705882353</v>
      </c>
    </row>
    <row r="315">
      <c r="A315" t="n">
        <v>239</v>
      </c>
      <c r="B315" t="inlineStr">
        <is>
          <t>Luncheon Meat</t>
        </is>
      </c>
      <c r="C315" t="inlineStr">
        <is>
          <t>Purefoods/can/340grams</t>
        </is>
      </c>
      <c r="D315" t="inlineStr">
        <is>
          <t>grams</t>
        </is>
      </c>
      <c r="E315" t="n">
        <v>37.382</v>
      </c>
      <c r="F315" t="n">
        <v>2953.178</v>
      </c>
      <c r="G315" t="n">
        <v>79</v>
      </c>
    </row>
    <row r="316">
      <c r="A316" t="n">
        <v>240</v>
      </c>
      <c r="B316" t="inlineStr">
        <is>
          <t>Luncheon Meat - Chicken</t>
        </is>
      </c>
      <c r="C316" t="inlineStr"/>
      <c r="D316" t="inlineStr">
        <is>
          <t>grams</t>
        </is>
      </c>
      <c r="E316" t="n">
        <v>9360</v>
      </c>
      <c r="F316" t="n">
        <v>1902.939999999999</v>
      </c>
      <c r="G316" t="n">
        <v>0.2033055555555555</v>
      </c>
    </row>
    <row r="317">
      <c r="A317" t="n">
        <v>241</v>
      </c>
      <c r="B317" t="inlineStr">
        <is>
          <t>Luncheon Meat- Chicken</t>
        </is>
      </c>
      <c r="C317" t="inlineStr">
        <is>
          <t>Purefoods/can/340grams</t>
        </is>
      </c>
      <c r="D317" t="inlineStr">
        <is>
          <t>grams</t>
        </is>
      </c>
      <c r="E317" t="n">
        <v>11160</v>
      </c>
      <c r="F317" t="n">
        <v>2268.889999999999</v>
      </c>
      <c r="G317" t="n">
        <v>0.2033055555555555</v>
      </c>
    </row>
    <row r="318">
      <c r="A318" t="n">
        <v>242</v>
      </c>
      <c r="B318" t="inlineStr">
        <is>
          <t>Luya</t>
        </is>
      </c>
      <c r="C318" t="inlineStr">
        <is>
          <t>Fresh</t>
        </is>
      </c>
      <c r="D318" t="inlineStr">
        <is>
          <t>grams</t>
        </is>
      </c>
      <c r="E318" t="n">
        <v>1000</v>
      </c>
      <c r="F318" t="n">
        <v>95</v>
      </c>
      <c r="G318" t="n">
        <v>0.095</v>
      </c>
    </row>
    <row r="319">
      <c r="A319" t="n">
        <v>243</v>
      </c>
      <c r="B319" t="inlineStr">
        <is>
          <t>Lychees</t>
        </is>
      </c>
      <c r="C319" t="inlineStr"/>
      <c r="D319" t="inlineStr">
        <is>
          <t>grams</t>
        </is>
      </c>
      <c r="E319" t="n">
        <v>690</v>
      </c>
      <c r="F319" t="n">
        <v>130.0619469026548</v>
      </c>
      <c r="G319" t="n">
        <v>0.1884955752212389</v>
      </c>
    </row>
    <row r="320">
      <c r="A320" t="n">
        <v>244</v>
      </c>
      <c r="B320" t="inlineStr">
        <is>
          <t>Macaroni (Elbow)</t>
        </is>
      </c>
      <c r="C320" t="inlineStr">
        <is>
          <t>White king/pack/1000grams</t>
        </is>
      </c>
      <c r="D320" t="inlineStr">
        <is>
          <t>grams</t>
        </is>
      </c>
      <c r="E320" t="n">
        <v>1000</v>
      </c>
      <c r="F320" t="n">
        <v>59.61000000000001</v>
      </c>
      <c r="G320" t="n">
        <v>0.05961</v>
      </c>
    </row>
    <row r="321">
      <c r="A321" t="n">
        <v>244</v>
      </c>
      <c r="B321" t="inlineStr">
        <is>
          <t>Macaroni (Elbow)</t>
        </is>
      </c>
      <c r="C321" t="inlineStr"/>
      <c r="D321" t="inlineStr">
        <is>
          <t>grams</t>
        </is>
      </c>
      <c r="E321" t="n">
        <v>15600</v>
      </c>
      <c r="F321" t="n">
        <v>929.9160000000001</v>
      </c>
      <c r="G321" t="n">
        <v>0.05961</v>
      </c>
    </row>
    <row r="322">
      <c r="A322" t="n">
        <v>245</v>
      </c>
      <c r="B322" t="inlineStr">
        <is>
          <t>Macaroni Noodles</t>
        </is>
      </c>
      <c r="C322" t="inlineStr">
        <is>
          <t>Ideal/pack/1000grams</t>
        </is>
      </c>
      <c r="D322" t="inlineStr">
        <is>
          <t>grams</t>
        </is>
      </c>
      <c r="E322" t="n">
        <v>7</v>
      </c>
      <c r="F322" t="n">
        <v>415.1</v>
      </c>
      <c r="G322" t="n">
        <v>59.3</v>
      </c>
    </row>
    <row r="323">
      <c r="A323" t="n">
        <v>246</v>
      </c>
      <c r="B323" t="inlineStr">
        <is>
          <t>Mackerel in Natural Oil</t>
        </is>
      </c>
      <c r="C323" t="inlineStr">
        <is>
          <t>Unipack/can/425grams</t>
        </is>
      </c>
      <c r="D323" t="inlineStr">
        <is>
          <t>grams</t>
        </is>
      </c>
      <c r="E323" t="n">
        <v>14546</v>
      </c>
      <c r="F323" t="n">
        <v>9350.200000000001</v>
      </c>
      <c r="G323" t="n">
        <v>0.6428021449195656</v>
      </c>
    </row>
    <row r="324">
      <c r="A324" t="n">
        <v>247</v>
      </c>
      <c r="B324" t="inlineStr">
        <is>
          <t>Magic Creams Butter</t>
        </is>
      </c>
      <c r="C324" t="inlineStr">
        <is>
          <t>Rebisco/box (10pcsx28grams)</t>
        </is>
      </c>
      <c r="D324" t="inlineStr">
        <is>
          <t>pieces</t>
        </is>
      </c>
      <c r="E324" t="n">
        <v>400</v>
      </c>
      <c r="F324" t="n">
        <v>2236</v>
      </c>
      <c r="G324" t="n">
        <v>5.59</v>
      </c>
    </row>
    <row r="325">
      <c r="A325" t="n">
        <v>248</v>
      </c>
      <c r="B325" t="inlineStr">
        <is>
          <t>Magic Creams Peanut Butter</t>
        </is>
      </c>
      <c r="C325" t="inlineStr"/>
      <c r="D325" t="inlineStr">
        <is>
          <t>pieces</t>
        </is>
      </c>
      <c r="E325" t="n">
        <v>20</v>
      </c>
      <c r="F325" t="n">
        <v>138</v>
      </c>
      <c r="G325" t="n">
        <v>6.9</v>
      </c>
    </row>
    <row r="326">
      <c r="A326" t="n">
        <v>249</v>
      </c>
      <c r="B326" t="inlineStr">
        <is>
          <t>Magic Flakes Plain Crackers</t>
        </is>
      </c>
      <c r="C326" t="inlineStr">
        <is>
          <t>Jack n jill/pack (10pcsx28grams)</t>
        </is>
      </c>
      <c r="D326" t="inlineStr">
        <is>
          <t>pieces</t>
        </is>
      </c>
      <c r="E326" t="n">
        <v>300</v>
      </c>
      <c r="F326" t="n">
        <v>1650</v>
      </c>
      <c r="G326" t="n">
        <v>5.5</v>
      </c>
    </row>
    <row r="327">
      <c r="A327" t="n">
        <v>250</v>
      </c>
      <c r="B327" t="inlineStr">
        <is>
          <t>Magic Sarap</t>
        </is>
      </c>
      <c r="C327" t="inlineStr">
        <is>
          <t>Maggi/sachet/8grams</t>
        </is>
      </c>
      <c r="D327" t="inlineStr">
        <is>
          <t>grams</t>
        </is>
      </c>
      <c r="E327" t="n">
        <v>10596</v>
      </c>
      <c r="F327" t="n">
        <v>17670.12</v>
      </c>
      <c r="G327" t="n">
        <v>1.66762174405436</v>
      </c>
    </row>
    <row r="328">
      <c r="A328" t="n">
        <v>250</v>
      </c>
      <c r="B328" t="inlineStr">
        <is>
          <t>Magic Sarap</t>
        </is>
      </c>
      <c r="C328" t="inlineStr"/>
      <c r="D328" t="inlineStr">
        <is>
          <t>grams</t>
        </is>
      </c>
      <c r="E328" t="n">
        <v>2432</v>
      </c>
      <c r="F328" t="n">
        <v>1465.28</v>
      </c>
      <c r="G328" t="n">
        <v>0.6025</v>
      </c>
    </row>
    <row r="329">
      <c r="A329" t="n">
        <v>251</v>
      </c>
      <c r="B329" t="inlineStr">
        <is>
          <t>Malagkit na Bigas</t>
        </is>
      </c>
      <c r="C329" t="inlineStr">
        <is>
          <t>Amparos/pack/1kilos</t>
        </is>
      </c>
      <c r="D329" t="inlineStr">
        <is>
          <t>kilos</t>
        </is>
      </c>
      <c r="E329" t="n">
        <v>13</v>
      </c>
      <c r="F329" t="n">
        <v>1105</v>
      </c>
      <c r="G329" t="n">
        <v>85</v>
      </c>
    </row>
    <row r="330">
      <c r="A330" t="n">
        <v>251</v>
      </c>
      <c r="B330" t="inlineStr">
        <is>
          <t>Malagkit na Bigas</t>
        </is>
      </c>
      <c r="C330" t="inlineStr"/>
      <c r="D330" t="inlineStr">
        <is>
          <t>kilos</t>
        </is>
      </c>
      <c r="E330" t="n">
        <v>23.5</v>
      </c>
      <c r="F330" t="n">
        <v>1997.5</v>
      </c>
      <c r="G330" t="n">
        <v>85</v>
      </c>
    </row>
    <row r="331">
      <c r="A331" t="n">
        <v>252</v>
      </c>
      <c r="B331" t="inlineStr">
        <is>
          <t>Mang Juan Chix &amp; Skin</t>
        </is>
      </c>
      <c r="C331" t="inlineStr"/>
      <c r="D331" t="inlineStr">
        <is>
          <t>pieces</t>
        </is>
      </c>
      <c r="E331" t="n">
        <v>50</v>
      </c>
      <c r="F331" t="n">
        <v>929.1499999999999</v>
      </c>
      <c r="G331" t="n">
        <v>18.583</v>
      </c>
    </row>
    <row r="332">
      <c r="A332" t="n">
        <v>253</v>
      </c>
      <c r="B332" t="inlineStr">
        <is>
          <t>Mang Juan Sukang Paombong</t>
        </is>
      </c>
      <c r="C332" t="inlineStr">
        <is>
          <t>Jack n Jill/bundle (18x90grams)</t>
        </is>
      </c>
      <c r="D332" t="inlineStr">
        <is>
          <t>pieces</t>
        </is>
      </c>
      <c r="E332" t="n">
        <v>40</v>
      </c>
      <c r="F332" t="n">
        <v>867.6</v>
      </c>
      <c r="G332" t="n">
        <v>21.69</v>
      </c>
    </row>
    <row r="333">
      <c r="A333" t="n">
        <v>254</v>
      </c>
      <c r="B333" t="inlineStr">
        <is>
          <t>Mango Juice</t>
        </is>
      </c>
      <c r="C333" t="inlineStr"/>
      <c r="D333" t="inlineStr">
        <is>
          <t>pieces</t>
        </is>
      </c>
      <c r="E333" t="n">
        <v>1</v>
      </c>
      <c r="F333" t="n">
        <v>6.958333333333333</v>
      </c>
      <c r="G333" t="n">
        <v>6.958333333333333</v>
      </c>
    </row>
    <row r="334">
      <c r="A334" t="n">
        <v>255</v>
      </c>
      <c r="B334" t="inlineStr">
        <is>
          <t>Margarine</t>
        </is>
      </c>
      <c r="C334" t="inlineStr">
        <is>
          <t>Freeto/pail/11000grams</t>
        </is>
      </c>
      <c r="D334" t="inlineStr">
        <is>
          <t>grams</t>
        </is>
      </c>
      <c r="E334" t="n">
        <v>1</v>
      </c>
      <c r="F334" t="n">
        <v>1120</v>
      </c>
      <c r="G334" t="n">
        <v>1120</v>
      </c>
    </row>
    <row r="335">
      <c r="A335" t="n">
        <v>256</v>
      </c>
      <c r="B335" t="inlineStr">
        <is>
          <t>Marsmallow</t>
        </is>
      </c>
      <c r="C335" t="inlineStr">
        <is>
          <t>Mello/680</t>
        </is>
      </c>
      <c r="D335" t="inlineStr">
        <is>
          <t>grams</t>
        </is>
      </c>
      <c r="E335" t="n">
        <v>680</v>
      </c>
      <c r="F335" t="n">
        <v>120</v>
      </c>
      <c r="G335" t="n">
        <v>0.1764705882352941</v>
      </c>
    </row>
    <row r="336">
      <c r="A336" t="n">
        <v>257</v>
      </c>
      <c r="B336" t="inlineStr">
        <is>
          <t>Mayo Sandwich Spread</t>
        </is>
      </c>
      <c r="C336" t="inlineStr">
        <is>
          <t>Best Foods/gallon/3500ml</t>
        </is>
      </c>
      <c r="D336" t="inlineStr">
        <is>
          <t>ml</t>
        </is>
      </c>
      <c r="E336" t="n">
        <v>3</v>
      </c>
      <c r="F336" t="n">
        <v>1261.8</v>
      </c>
      <c r="G336" t="n">
        <v>420.6000000000001</v>
      </c>
    </row>
    <row r="337">
      <c r="A337" t="n">
        <v>258</v>
      </c>
      <c r="B337" t="inlineStr">
        <is>
          <t>Mc Cormick - Chili Powder</t>
        </is>
      </c>
      <c r="C337" t="inlineStr">
        <is>
          <t>Mc Cormik/bottle/35grams</t>
        </is>
      </c>
      <c r="D337" t="inlineStr">
        <is>
          <t>grams</t>
        </is>
      </c>
      <c r="E337" t="n">
        <v>1.43</v>
      </c>
      <c r="F337" t="n">
        <v>125.125</v>
      </c>
      <c r="G337" t="n">
        <v>87.5</v>
      </c>
    </row>
    <row r="338">
      <c r="A338" t="n">
        <v>259</v>
      </c>
      <c r="B338" t="inlineStr">
        <is>
          <t>Mc Cormick - Cream of tartar</t>
        </is>
      </c>
      <c r="C338" t="inlineStr">
        <is>
          <t>Mc Cormick/bottle/45grams</t>
        </is>
      </c>
      <c r="D338" t="inlineStr">
        <is>
          <t>grams</t>
        </is>
      </c>
      <c r="E338" t="n">
        <v>1.67</v>
      </c>
      <c r="F338" t="n">
        <v>171.175</v>
      </c>
      <c r="G338" t="n">
        <v>102.5</v>
      </c>
    </row>
    <row r="339">
      <c r="A339" t="n">
        <v>260</v>
      </c>
      <c r="B339" t="inlineStr">
        <is>
          <t>Mc Cormick - Cumin Ground</t>
        </is>
      </c>
      <c r="C339" t="inlineStr">
        <is>
          <t>Mc Cormick/bottle/30grams</t>
        </is>
      </c>
      <c r="D339" t="inlineStr">
        <is>
          <t>grams</t>
        </is>
      </c>
      <c r="E339" t="n">
        <v>30</v>
      </c>
      <c r="F339" t="n">
        <v>81.3</v>
      </c>
      <c r="G339" t="n">
        <v>2.71</v>
      </c>
    </row>
    <row r="340">
      <c r="A340" t="n">
        <v>261</v>
      </c>
      <c r="B340" t="inlineStr">
        <is>
          <t>Mc Cormick - Dry Mustard</t>
        </is>
      </c>
      <c r="C340" t="inlineStr"/>
      <c r="D340" t="inlineStr">
        <is>
          <t>grams</t>
        </is>
      </c>
      <c r="E340" t="n">
        <v>400</v>
      </c>
      <c r="F340" t="n">
        <v>200.1</v>
      </c>
      <c r="G340" t="n">
        <v>0.50025</v>
      </c>
    </row>
    <row r="341">
      <c r="A341" t="n">
        <v>262</v>
      </c>
      <c r="B341" t="inlineStr">
        <is>
          <t>Mc Cormick - Marjoram</t>
        </is>
      </c>
      <c r="C341" t="inlineStr"/>
      <c r="D341" t="inlineStr">
        <is>
          <t>grams</t>
        </is>
      </c>
      <c r="E341" t="n">
        <v>7</v>
      </c>
      <c r="F341" t="n">
        <v>59.24999999999999</v>
      </c>
      <c r="G341" t="n">
        <v>8.464285714285714</v>
      </c>
    </row>
    <row r="342">
      <c r="A342" t="n">
        <v>263</v>
      </c>
      <c r="B342" t="inlineStr">
        <is>
          <t>Mc Cormick - Oregano Ground</t>
        </is>
      </c>
      <c r="C342" t="inlineStr">
        <is>
          <t>Mc Cormick/bottle/23grams</t>
        </is>
      </c>
      <c r="D342" t="inlineStr">
        <is>
          <t>grams</t>
        </is>
      </c>
      <c r="E342" t="n">
        <v>0.87</v>
      </c>
      <c r="F342" t="n">
        <v>95.9175</v>
      </c>
      <c r="G342" t="n">
        <v>110.25</v>
      </c>
    </row>
    <row r="343">
      <c r="A343" t="n">
        <v>264</v>
      </c>
      <c r="B343" t="inlineStr">
        <is>
          <t>Mc Cormick - Rosemary Leaves</t>
        </is>
      </c>
      <c r="C343" t="inlineStr">
        <is>
          <t>Mc Cormick/bottle/11grams</t>
        </is>
      </c>
      <c r="D343" t="inlineStr">
        <is>
          <t>grams</t>
        </is>
      </c>
      <c r="E343" t="n">
        <v>2</v>
      </c>
      <c r="F343" t="n">
        <v>135</v>
      </c>
      <c r="G343" t="n">
        <v>67.5</v>
      </c>
    </row>
    <row r="344">
      <c r="A344" t="n">
        <v>265</v>
      </c>
      <c r="B344" t="inlineStr">
        <is>
          <t>Mc Cormick - Taco Seasoning</t>
        </is>
      </c>
      <c r="C344" t="inlineStr"/>
      <c r="D344" t="inlineStr">
        <is>
          <t>grams</t>
        </is>
      </c>
      <c r="E344" t="n">
        <v>200</v>
      </c>
      <c r="F344" t="n">
        <v>265</v>
      </c>
      <c r="G344" t="n">
        <v>1.325</v>
      </c>
    </row>
    <row r="345">
      <c r="A345" t="n">
        <v>266</v>
      </c>
      <c r="B345" t="inlineStr">
        <is>
          <t>Mc Cormick - Thyme Leaves Whole</t>
        </is>
      </c>
      <c r="C345" t="inlineStr">
        <is>
          <t>Mc Cormick/bottle/14grams</t>
        </is>
      </c>
      <c r="D345" t="inlineStr">
        <is>
          <t>grams</t>
        </is>
      </c>
      <c r="E345" t="n">
        <v>2.57</v>
      </c>
      <c r="F345" t="n">
        <v>178.615</v>
      </c>
      <c r="G345" t="n">
        <v>69.5</v>
      </c>
    </row>
    <row r="346">
      <c r="A346" t="n">
        <v>267</v>
      </c>
      <c r="B346" t="inlineStr">
        <is>
          <t>Mc Cormick - White Pepper</t>
        </is>
      </c>
      <c r="C346" t="inlineStr">
        <is>
          <t>Mc Cormick/bottle/31grams</t>
        </is>
      </c>
      <c r="D346" t="inlineStr">
        <is>
          <t>grams</t>
        </is>
      </c>
      <c r="E346" t="n">
        <v>0.806</v>
      </c>
      <c r="F346" t="n">
        <v>79.79400000000001</v>
      </c>
      <c r="G346" t="n">
        <v>99.00000000000001</v>
      </c>
    </row>
    <row r="347">
      <c r="A347" t="n">
        <v>268</v>
      </c>
      <c r="B347" t="inlineStr">
        <is>
          <t>Meat loaf</t>
        </is>
      </c>
      <c r="C347" t="inlineStr"/>
      <c r="D347" t="inlineStr">
        <is>
          <t>grams</t>
        </is>
      </c>
      <c r="E347" t="n">
        <v>15100</v>
      </c>
      <c r="F347" t="n">
        <v>1884.48</v>
      </c>
      <c r="G347" t="n">
        <v>0.1248</v>
      </c>
    </row>
    <row r="348">
      <c r="A348" t="n">
        <v>269</v>
      </c>
      <c r="B348" t="inlineStr">
        <is>
          <t>Microwavable - Rectangular 500ml</t>
        </is>
      </c>
      <c r="C348" t="inlineStr">
        <is>
          <t>Bestbuy/pack by 10s'</t>
        </is>
      </c>
      <c r="D348" t="inlineStr">
        <is>
          <t>pieces</t>
        </is>
      </c>
      <c r="E348" t="n">
        <v>18</v>
      </c>
      <c r="F348" t="n">
        <v>1386</v>
      </c>
      <c r="G348" t="n">
        <v>77</v>
      </c>
    </row>
    <row r="349">
      <c r="A349" t="n">
        <v>270</v>
      </c>
      <c r="B349" t="inlineStr">
        <is>
          <t>Microwavable - Rectangular 750ml</t>
        </is>
      </c>
      <c r="C349" t="inlineStr">
        <is>
          <t>Gold Label/pack by 10s'</t>
        </is>
      </c>
      <c r="D349" t="inlineStr">
        <is>
          <t>pieces</t>
        </is>
      </c>
      <c r="E349" t="n">
        <v>13.19</v>
      </c>
      <c r="F349" t="n">
        <v>323.761</v>
      </c>
      <c r="G349" t="n">
        <v>24.54594389689158</v>
      </c>
    </row>
    <row r="350">
      <c r="A350" t="n">
        <v>271</v>
      </c>
      <c r="B350" t="inlineStr">
        <is>
          <t>Milk Shake</t>
        </is>
      </c>
      <c r="C350" t="inlineStr">
        <is>
          <t>Milk Shake/Injoy/1000</t>
        </is>
      </c>
      <c r="D350" t="inlineStr">
        <is>
          <t>grams</t>
        </is>
      </c>
      <c r="E350" t="n">
        <v>1000</v>
      </c>
      <c r="F350" t="n">
        <v>150</v>
      </c>
      <c r="G350" t="n">
        <v>0.15</v>
      </c>
    </row>
    <row r="351">
      <c r="A351" t="n">
        <v>272</v>
      </c>
      <c r="B351" t="inlineStr">
        <is>
          <t>Milky Knots Choco (100x25g)</t>
        </is>
      </c>
      <c r="C351" t="inlineStr"/>
      <c r="D351" t="inlineStr">
        <is>
          <t>pieces</t>
        </is>
      </c>
      <c r="E351" t="n">
        <v>101</v>
      </c>
      <c r="F351" t="n">
        <v>720.13</v>
      </c>
      <c r="G351" t="n">
        <v>7.13</v>
      </c>
    </row>
    <row r="352">
      <c r="A352" t="n">
        <v>273</v>
      </c>
      <c r="B352" t="inlineStr">
        <is>
          <t>Milo</t>
        </is>
      </c>
      <c r="C352" t="inlineStr">
        <is>
          <t>Nestle/pack (12x24grams)</t>
        </is>
      </c>
      <c r="D352" t="inlineStr">
        <is>
          <t>pieces</t>
        </is>
      </c>
      <c r="E352" t="n">
        <v>1161</v>
      </c>
      <c r="F352" t="n">
        <v>10123.92</v>
      </c>
      <c r="G352" t="n">
        <v>8.720000000000002</v>
      </c>
    </row>
    <row r="353">
      <c r="A353" t="n">
        <v>273</v>
      </c>
      <c r="B353" t="inlineStr">
        <is>
          <t>Milo</t>
        </is>
      </c>
      <c r="C353" t="inlineStr"/>
      <c r="D353" t="inlineStr">
        <is>
          <t>pieces</t>
        </is>
      </c>
      <c r="E353" t="n">
        <v>655</v>
      </c>
      <c r="F353" t="n">
        <v>5403.75</v>
      </c>
      <c r="G353" t="n">
        <v>8.25</v>
      </c>
    </row>
    <row r="354">
      <c r="A354" t="n">
        <v>274</v>
      </c>
      <c r="B354" t="inlineStr">
        <is>
          <t>Mineral Water</t>
        </is>
      </c>
      <c r="C354" t="inlineStr">
        <is>
          <t>Below Zero/box (24pcsx500ml)</t>
        </is>
      </c>
      <c r="D354" t="inlineStr">
        <is>
          <t>pieces</t>
        </is>
      </c>
      <c r="E354" t="n">
        <v>3519</v>
      </c>
      <c r="F354" t="n">
        <v>26392.5</v>
      </c>
      <c r="G354" t="n">
        <v>7.5</v>
      </c>
    </row>
    <row r="355">
      <c r="A355" t="n">
        <v>274</v>
      </c>
      <c r="B355" t="inlineStr">
        <is>
          <t>Mineral Water</t>
        </is>
      </c>
      <c r="C355" t="inlineStr"/>
      <c r="D355" t="inlineStr">
        <is>
          <t>pieces</t>
        </is>
      </c>
      <c r="E355" t="n">
        <v>47</v>
      </c>
      <c r="F355" t="n">
        <v>352.5</v>
      </c>
      <c r="G355" t="n">
        <v>7.5</v>
      </c>
    </row>
    <row r="356">
      <c r="A356" t="n">
        <v>275</v>
      </c>
      <c r="B356" t="inlineStr">
        <is>
          <t>Minute Maid Fresh</t>
        </is>
      </c>
      <c r="C356" t="inlineStr">
        <is>
          <t>Coca-Cola (pcsx250ml)</t>
        </is>
      </c>
      <c r="D356" t="inlineStr">
        <is>
          <t>pieces</t>
        </is>
      </c>
      <c r="E356" t="n">
        <v>240</v>
      </c>
      <c r="F356" t="n">
        <v>3444</v>
      </c>
      <c r="G356" t="n">
        <v>14.35</v>
      </c>
    </row>
    <row r="357">
      <c r="A357" t="n">
        <v>276</v>
      </c>
      <c r="B357" t="inlineStr">
        <is>
          <t>Mirin</t>
        </is>
      </c>
      <c r="C357" t="inlineStr"/>
      <c r="D357" t="inlineStr">
        <is>
          <t>grams</t>
        </is>
      </c>
      <c r="E357" t="n">
        <v>400</v>
      </c>
      <c r="F357" t="n">
        <v>76.88888888888889</v>
      </c>
      <c r="G357" t="n">
        <v>0.1922222222222222</v>
      </c>
    </row>
    <row r="358">
      <c r="A358" t="n">
        <v>277</v>
      </c>
      <c r="B358" t="inlineStr">
        <is>
          <t>Miso</t>
        </is>
      </c>
      <c r="C358" t="inlineStr"/>
      <c r="D358" t="inlineStr">
        <is>
          <t>grams</t>
        </is>
      </c>
      <c r="E358" t="n">
        <v>150</v>
      </c>
      <c r="F358" t="n">
        <v>23.85</v>
      </c>
      <c r="G358" t="n">
        <v>0.159</v>
      </c>
    </row>
    <row r="359">
      <c r="A359" t="n">
        <v>278</v>
      </c>
      <c r="B359" t="inlineStr">
        <is>
          <t>Miso Paste</t>
        </is>
      </c>
      <c r="C359" t="inlineStr">
        <is>
          <t>marukume</t>
        </is>
      </c>
      <c r="D359" t="inlineStr">
        <is>
          <t>grams</t>
        </is>
      </c>
      <c r="E359" t="n">
        <v>2</v>
      </c>
      <c r="F359" t="n">
        <v>396</v>
      </c>
      <c r="G359" t="n">
        <v>198</v>
      </c>
    </row>
    <row r="360">
      <c r="A360" t="n">
        <v>279</v>
      </c>
      <c r="B360" t="inlineStr">
        <is>
          <t>Misua</t>
        </is>
      </c>
      <c r="C360" t="inlineStr">
        <is>
          <t>Excellent/pack/10x100grams</t>
        </is>
      </c>
      <c r="D360" t="inlineStr">
        <is>
          <t>grams</t>
        </is>
      </c>
      <c r="E360" t="n">
        <v>4</v>
      </c>
      <c r="F360" t="n">
        <v>946.8</v>
      </c>
      <c r="G360" t="n">
        <v>236.7</v>
      </c>
    </row>
    <row r="361">
      <c r="A361" t="n">
        <v>279</v>
      </c>
      <c r="B361" t="inlineStr">
        <is>
          <t>Misua</t>
        </is>
      </c>
      <c r="C361" t="inlineStr"/>
      <c r="D361" t="inlineStr">
        <is>
          <t>grams</t>
        </is>
      </c>
      <c r="E361" t="n">
        <v>2800</v>
      </c>
      <c r="F361" t="n">
        <v>662.76</v>
      </c>
      <c r="G361" t="n">
        <v>0.2367</v>
      </c>
    </row>
    <row r="362">
      <c r="A362" t="n">
        <v>280</v>
      </c>
      <c r="B362" t="inlineStr">
        <is>
          <t>Miswa</t>
        </is>
      </c>
      <c r="C362" t="inlineStr">
        <is>
          <t>Unicorn/pack/1000grams</t>
        </is>
      </c>
      <c r="D362" t="inlineStr">
        <is>
          <t>grams</t>
        </is>
      </c>
      <c r="E362" t="n">
        <v>3000</v>
      </c>
      <c r="F362" t="n">
        <v>375</v>
      </c>
      <c r="G362" t="n">
        <v>0.125</v>
      </c>
    </row>
    <row r="363">
      <c r="A363" t="n">
        <v>281</v>
      </c>
      <c r="B363" t="inlineStr">
        <is>
          <t>Moby</t>
        </is>
      </c>
      <c r="C363" t="inlineStr">
        <is>
          <t>Oishi/pack/pc/60grams</t>
        </is>
      </c>
      <c r="D363" t="inlineStr">
        <is>
          <t>pieces</t>
        </is>
      </c>
      <c r="E363" t="n">
        <v>50</v>
      </c>
      <c r="F363" t="n">
        <v>816.4999999999999</v>
      </c>
      <c r="G363" t="n">
        <v>16.33</v>
      </c>
    </row>
    <row r="364">
      <c r="A364" t="n">
        <v>282</v>
      </c>
      <c r="B364" t="inlineStr">
        <is>
          <t>Moby-Caramel puff</t>
        </is>
      </c>
      <c r="C364" t="inlineStr"/>
      <c r="D364" t="inlineStr">
        <is>
          <t>pieces</t>
        </is>
      </c>
      <c r="E364" t="n">
        <v>113</v>
      </c>
      <c r="F364" t="n">
        <v>1699.52</v>
      </c>
      <c r="G364" t="n">
        <v>15.04</v>
      </c>
    </row>
    <row r="365">
      <c r="A365" t="n">
        <v>283</v>
      </c>
      <c r="B365" t="inlineStr">
        <is>
          <t>Monggo</t>
        </is>
      </c>
      <c r="C365" t="inlineStr">
        <is>
          <t>Fresh</t>
        </is>
      </c>
      <c r="D365" t="inlineStr">
        <is>
          <t>grams</t>
        </is>
      </c>
      <c r="E365" t="n">
        <v>5015</v>
      </c>
      <c r="F365" t="n">
        <v>2500</v>
      </c>
      <c r="G365" t="n">
        <v>0.4985044865403789</v>
      </c>
    </row>
    <row r="366">
      <c r="A366" t="n">
        <v>283</v>
      </c>
      <c r="B366" t="inlineStr">
        <is>
          <t>Monggo</t>
        </is>
      </c>
      <c r="C366" t="inlineStr"/>
      <c r="D366" t="inlineStr">
        <is>
          <t>grams</t>
        </is>
      </c>
      <c r="E366" t="n">
        <v>9000</v>
      </c>
      <c r="F366" t="n">
        <v>1260</v>
      </c>
      <c r="G366" t="n">
        <v>0.14</v>
      </c>
    </row>
    <row r="367">
      <c r="A367" t="n">
        <v>284</v>
      </c>
      <c r="B367" t="inlineStr">
        <is>
          <t>Mop Head</t>
        </is>
      </c>
      <c r="C367" t="inlineStr">
        <is>
          <t>Universal/large/piece</t>
        </is>
      </c>
      <c r="D367" t="inlineStr">
        <is>
          <t>pieces</t>
        </is>
      </c>
      <c r="E367" t="n">
        <v>10</v>
      </c>
      <c r="F367" t="n">
        <v>962</v>
      </c>
      <c r="G367" t="n">
        <v>96.2</v>
      </c>
    </row>
    <row r="368">
      <c r="A368" t="n">
        <v>285</v>
      </c>
      <c r="B368" t="inlineStr">
        <is>
          <t>Mountain Dew</t>
        </is>
      </c>
      <c r="C368" t="inlineStr">
        <is>
          <t>Pepsi (12x290ml)</t>
        </is>
      </c>
      <c r="D368" t="inlineStr">
        <is>
          <t>pieces</t>
        </is>
      </c>
      <c r="E368" t="n">
        <v>125</v>
      </c>
      <c r="F368" t="n">
        <v>2010</v>
      </c>
      <c r="G368" t="n">
        <v>16.08</v>
      </c>
    </row>
    <row r="369">
      <c r="A369" t="n">
        <v>286</v>
      </c>
      <c r="B369" t="inlineStr">
        <is>
          <t>Mountaindew</t>
        </is>
      </c>
      <c r="C369" t="inlineStr">
        <is>
          <t>pepsi/290ml</t>
        </is>
      </c>
      <c r="D369" t="inlineStr">
        <is>
          <t>pieces</t>
        </is>
      </c>
      <c r="E369" t="n">
        <v>48</v>
      </c>
      <c r="F369" t="n">
        <v>774.72</v>
      </c>
      <c r="G369" t="n">
        <v>16.14</v>
      </c>
    </row>
    <row r="370">
      <c r="A370" t="n">
        <v>287</v>
      </c>
      <c r="B370" t="inlineStr">
        <is>
          <t>Mr Chips Sweet Corn</t>
        </is>
      </c>
      <c r="C370" t="inlineStr"/>
      <c r="D370" t="inlineStr">
        <is>
          <t>pieces</t>
        </is>
      </c>
      <c r="E370" t="n">
        <v>48</v>
      </c>
      <c r="F370" t="n">
        <v>854.8799999999999</v>
      </c>
      <c r="G370" t="n">
        <v>17.81</v>
      </c>
    </row>
    <row r="371">
      <c r="A371" t="n">
        <v>288</v>
      </c>
      <c r="B371" t="inlineStr">
        <is>
          <t>Mug Rootbeer - Can</t>
        </is>
      </c>
      <c r="C371" t="inlineStr">
        <is>
          <t>Pepsi/case (24x330ml)</t>
        </is>
      </c>
      <c r="D371" t="inlineStr">
        <is>
          <t>pieces</t>
        </is>
      </c>
      <c r="E371" t="n">
        <v>71</v>
      </c>
      <c r="F371" t="n">
        <v>2134.97</v>
      </c>
      <c r="G371" t="n">
        <v>30.07</v>
      </c>
    </row>
    <row r="372">
      <c r="A372" t="n">
        <v>289</v>
      </c>
      <c r="B372" t="inlineStr">
        <is>
          <t>Multi-Purpse Cleaner ( MPC)</t>
        </is>
      </c>
      <c r="C372" t="inlineStr"/>
      <c r="D372" t="inlineStr">
        <is>
          <t>gal</t>
        </is>
      </c>
      <c r="E372" t="n">
        <v>7</v>
      </c>
      <c r="F372" t="n">
        <v>2163</v>
      </c>
      <c r="G372" t="n">
        <v>309</v>
      </c>
    </row>
    <row r="373">
      <c r="A373" t="n">
        <v>290</v>
      </c>
      <c r="B373" t="inlineStr">
        <is>
          <t>Multipurpose Cleaner</t>
        </is>
      </c>
      <c r="C373" t="inlineStr">
        <is>
          <t>Quinriv/gallon</t>
        </is>
      </c>
      <c r="D373" t="inlineStr">
        <is>
          <t>gal</t>
        </is>
      </c>
      <c r="E373" t="n">
        <v>3</v>
      </c>
      <c r="F373" t="n">
        <v>927</v>
      </c>
      <c r="G373" t="n">
        <v>309</v>
      </c>
    </row>
    <row r="374">
      <c r="A374" t="n">
        <v>291</v>
      </c>
      <c r="B374" t="inlineStr">
        <is>
          <t>Mushroom Pieces &amp; Stem</t>
        </is>
      </c>
      <c r="C374" t="inlineStr">
        <is>
          <t>Mr Gulaman/box/(10sachetx25grams)</t>
        </is>
      </c>
      <c r="D374" t="inlineStr">
        <is>
          <t>grams</t>
        </is>
      </c>
      <c r="E374" t="n">
        <v>300</v>
      </c>
      <c r="F374" t="n">
        <v>134.64</v>
      </c>
      <c r="G374" t="n">
        <v>0.4488</v>
      </c>
    </row>
    <row r="375">
      <c r="A375" t="n">
        <v>291</v>
      </c>
      <c r="B375" t="inlineStr">
        <is>
          <t>Mushroom Pieces &amp; Stem</t>
        </is>
      </c>
      <c r="C375" t="inlineStr"/>
      <c r="D375" t="inlineStr">
        <is>
          <t>grams</t>
        </is>
      </c>
      <c r="E375" t="n">
        <v>460</v>
      </c>
      <c r="F375" t="n">
        <v>121.2</v>
      </c>
      <c r="G375" t="n">
        <v>0.2634782608695652</v>
      </c>
    </row>
    <row r="376">
      <c r="A376" t="n">
        <v>292</v>
      </c>
      <c r="B376" t="inlineStr">
        <is>
          <t>Mushroom Whole</t>
        </is>
      </c>
      <c r="C376" t="inlineStr">
        <is>
          <t>Jolly/can/284grams/156 drained weight</t>
        </is>
      </c>
      <c r="D376" t="inlineStr">
        <is>
          <t>drained weight grams</t>
        </is>
      </c>
      <c r="E376" t="n">
        <v>780</v>
      </c>
      <c r="F376" t="n">
        <v>239</v>
      </c>
      <c r="G376" t="n">
        <v>0.3064102564102564</v>
      </c>
    </row>
    <row r="377">
      <c r="A377" t="n">
        <v>292</v>
      </c>
      <c r="B377" t="inlineStr">
        <is>
          <t>Mushroom Whole</t>
        </is>
      </c>
      <c r="C377" t="inlineStr"/>
      <c r="D377" t="inlineStr">
        <is>
          <t>grams</t>
        </is>
      </c>
      <c r="E377" t="n">
        <v>156</v>
      </c>
      <c r="F377" t="n">
        <v>57.00000000000001</v>
      </c>
      <c r="G377" t="n">
        <v>0.3653846153846154</v>
      </c>
    </row>
    <row r="378">
      <c r="A378" t="n">
        <v>293</v>
      </c>
      <c r="B378" t="inlineStr">
        <is>
          <t>Nachos</t>
        </is>
      </c>
      <c r="C378" t="inlineStr"/>
      <c r="D378" t="inlineStr">
        <is>
          <t>grams</t>
        </is>
      </c>
      <c r="E378" t="n">
        <v>600</v>
      </c>
      <c r="F378" t="n">
        <v>53.4375</v>
      </c>
      <c r="G378" t="n">
        <v>0.0890625</v>
      </c>
    </row>
    <row r="379">
      <c r="A379" t="n">
        <v>294</v>
      </c>
      <c r="B379" t="inlineStr">
        <is>
          <t>Nescafe Coffee Original</t>
        </is>
      </c>
      <c r="C379" t="inlineStr">
        <is>
          <t>Nescafe/pack (30pcsx26grams)</t>
        </is>
      </c>
      <c r="D379" t="inlineStr">
        <is>
          <t>pieces</t>
        </is>
      </c>
      <c r="E379" t="n">
        <v>1854</v>
      </c>
      <c r="F379" t="n">
        <v>13900.57</v>
      </c>
      <c r="G379" t="n">
        <v>7.497610571736785</v>
      </c>
    </row>
    <row r="380">
      <c r="A380" t="n">
        <v>294</v>
      </c>
      <c r="B380" t="inlineStr">
        <is>
          <t>Nescafe Coffee Original</t>
        </is>
      </c>
      <c r="C380" t="inlineStr"/>
      <c r="D380" t="inlineStr">
        <is>
          <t>pieces</t>
        </is>
      </c>
      <c r="E380" t="n">
        <v>379</v>
      </c>
      <c r="F380" t="n">
        <v>2899.35</v>
      </c>
      <c r="G380" t="n">
        <v>7.649999999999999</v>
      </c>
    </row>
    <row r="381">
      <c r="A381" t="n">
        <v>295</v>
      </c>
      <c r="B381" t="inlineStr">
        <is>
          <t>Nescafe Creamy Latte</t>
        </is>
      </c>
      <c r="C381" t="inlineStr"/>
      <c r="D381" t="inlineStr">
        <is>
          <t>pieces</t>
        </is>
      </c>
      <c r="E381" t="n">
        <v>100</v>
      </c>
      <c r="F381" t="n">
        <v>851</v>
      </c>
      <c r="G381" t="n">
        <v>8.51</v>
      </c>
    </row>
    <row r="382">
      <c r="A382" t="n">
        <v>296</v>
      </c>
      <c r="B382" t="inlineStr">
        <is>
          <t>Nescafe Creamy White</t>
        </is>
      </c>
      <c r="C382" t="inlineStr">
        <is>
          <t>Nestle /(pcsx25.5grams)</t>
        </is>
      </c>
      <c r="D382" t="inlineStr">
        <is>
          <t>pieces</t>
        </is>
      </c>
      <c r="E382" t="n">
        <v>249</v>
      </c>
      <c r="F382" t="n">
        <v>2076.66</v>
      </c>
      <c r="G382" t="n">
        <v>8.34</v>
      </c>
    </row>
    <row r="383">
      <c r="A383" t="n">
        <v>297</v>
      </c>
      <c r="B383" t="inlineStr">
        <is>
          <t>Nescafe Creamy White Coffee</t>
        </is>
      </c>
      <c r="C383" t="inlineStr">
        <is>
          <t>Nescafe/ (pcsx/25.5grams)</t>
        </is>
      </c>
      <c r="D383" t="inlineStr">
        <is>
          <t>pieces</t>
        </is>
      </c>
      <c r="E383" t="n">
        <v>166</v>
      </c>
      <c r="F383" t="n">
        <v>1384.44</v>
      </c>
      <c r="G383" t="n">
        <v>8.34</v>
      </c>
    </row>
    <row r="384">
      <c r="A384" t="n">
        <v>297</v>
      </c>
      <c r="B384" t="inlineStr">
        <is>
          <t>Nescafe Creamy White Coffee</t>
        </is>
      </c>
      <c r="C384" t="inlineStr"/>
      <c r="D384" t="inlineStr">
        <is>
          <t>pieces</t>
        </is>
      </c>
      <c r="E384" t="n">
        <v>428</v>
      </c>
      <c r="F384" t="n">
        <v>3638</v>
      </c>
      <c r="G384" t="n">
        <v>8.5</v>
      </c>
    </row>
    <row r="385">
      <c r="A385" t="n">
        <v>298</v>
      </c>
      <c r="B385" t="inlineStr">
        <is>
          <t>Nido Oriental Style</t>
        </is>
      </c>
      <c r="C385" t="inlineStr">
        <is>
          <t>Knorr/sachet/53grams</t>
        </is>
      </c>
      <c r="D385" t="inlineStr">
        <is>
          <t>grams</t>
        </is>
      </c>
      <c r="E385" t="n">
        <v>9.339</v>
      </c>
      <c r="F385" t="n">
        <v>491.2314</v>
      </c>
      <c r="G385" t="n">
        <v>52.6</v>
      </c>
    </row>
    <row r="386">
      <c r="A386" t="n">
        <v>299</v>
      </c>
      <c r="B386" t="inlineStr">
        <is>
          <t>Nova Cheddar</t>
        </is>
      </c>
      <c r="C386" t="inlineStr">
        <is>
          <t>Jack &amp; Jill/box/ (80pcsx 38grams)</t>
        </is>
      </c>
      <c r="D386" t="inlineStr">
        <is>
          <t>pieces</t>
        </is>
      </c>
      <c r="E386" t="n">
        <v>160</v>
      </c>
      <c r="F386" t="n">
        <v>2481.6</v>
      </c>
      <c r="G386" t="n">
        <v>15.51</v>
      </c>
    </row>
    <row r="387">
      <c r="A387" t="n">
        <v>299</v>
      </c>
      <c r="B387" t="inlineStr">
        <is>
          <t>Nova Cheddar</t>
        </is>
      </c>
      <c r="C387" t="inlineStr"/>
      <c r="D387" t="inlineStr">
        <is>
          <t>pieces</t>
        </is>
      </c>
      <c r="E387" t="n">
        <v>18</v>
      </c>
      <c r="F387" t="n">
        <v>1190.1</v>
      </c>
      <c r="G387" t="n">
        <v>66.11666666666666</v>
      </c>
    </row>
    <row r="388">
      <c r="A388" t="n">
        <v>300</v>
      </c>
      <c r="B388" t="inlineStr">
        <is>
          <t>O-Pusit</t>
        </is>
      </c>
      <c r="C388" t="inlineStr">
        <is>
          <t>Oishi/80grams</t>
        </is>
      </c>
      <c r="D388" t="inlineStr">
        <is>
          <t>pieces</t>
        </is>
      </c>
      <c r="E388" t="n">
        <v>34</v>
      </c>
      <c r="F388" t="n">
        <v>760.92</v>
      </c>
      <c r="G388" t="n">
        <v>22.38</v>
      </c>
    </row>
    <row r="389">
      <c r="A389" t="n">
        <v>300</v>
      </c>
      <c r="B389" t="inlineStr">
        <is>
          <t>O-Pusit</t>
        </is>
      </c>
      <c r="C389" t="inlineStr"/>
      <c r="D389" t="inlineStr">
        <is>
          <t>packs</t>
        </is>
      </c>
      <c r="E389" t="n">
        <v>16</v>
      </c>
      <c r="F389" t="n">
        <v>358.0533333333333</v>
      </c>
      <c r="G389" t="n">
        <v>22.37833333333333</v>
      </c>
    </row>
    <row r="390">
      <c r="A390" t="n">
        <v>301</v>
      </c>
      <c r="B390" t="inlineStr">
        <is>
          <t>Olive Oil - Pure</t>
        </is>
      </c>
      <c r="C390" t="inlineStr">
        <is>
          <t>Dona Elena/bottle/250ml</t>
        </is>
      </c>
      <c r="D390" t="inlineStr">
        <is>
          <t>ml</t>
        </is>
      </c>
      <c r="E390" t="n">
        <v>250</v>
      </c>
      <c r="F390" t="n">
        <v>279.1</v>
      </c>
      <c r="G390" t="n">
        <v>1.1164</v>
      </c>
    </row>
    <row r="391">
      <c r="A391" t="n">
        <v>302</v>
      </c>
      <c r="B391" t="inlineStr">
        <is>
          <t>Onion White</t>
        </is>
      </c>
      <c r="C391" t="inlineStr">
        <is>
          <t>Fresh</t>
        </is>
      </c>
      <c r="D391" t="inlineStr">
        <is>
          <t>grams</t>
        </is>
      </c>
      <c r="E391" t="n">
        <v>3020</v>
      </c>
      <c r="F391" t="n">
        <v>2530</v>
      </c>
      <c r="G391" t="n">
        <v>0.8377483443708609</v>
      </c>
    </row>
    <row r="392">
      <c r="A392" t="n">
        <v>303</v>
      </c>
      <c r="B392" t="inlineStr">
        <is>
          <t>Orange Juice Powder</t>
        </is>
      </c>
      <c r="C392" t="inlineStr">
        <is>
          <t>Tang/pack/19grams</t>
        </is>
      </c>
      <c r="D392" t="inlineStr">
        <is>
          <t>grams</t>
        </is>
      </c>
      <c r="E392" t="n">
        <v>30</v>
      </c>
      <c r="F392" t="n">
        <v>570</v>
      </c>
      <c r="G392" t="n">
        <v>19</v>
      </c>
    </row>
    <row r="393">
      <c r="A393" t="n">
        <v>304</v>
      </c>
      <c r="B393" t="inlineStr">
        <is>
          <t>Oreo - Vanilla</t>
        </is>
      </c>
      <c r="C393" t="inlineStr">
        <is>
          <t>Mondelez/pack (9pcsx27.6grams)</t>
        </is>
      </c>
      <c r="D393" t="inlineStr">
        <is>
          <t>pieces</t>
        </is>
      </c>
      <c r="E393" t="n">
        <v>250</v>
      </c>
      <c r="F393" t="n">
        <v>2127.5</v>
      </c>
      <c r="G393" t="n">
        <v>8.51</v>
      </c>
    </row>
    <row r="394">
      <c r="A394" t="n">
        <v>305</v>
      </c>
      <c r="B394" t="inlineStr">
        <is>
          <t>Original Chiz Whiz</t>
        </is>
      </c>
      <c r="C394" t="inlineStr"/>
      <c r="D394" t="inlineStr">
        <is>
          <t>pieces</t>
        </is>
      </c>
      <c r="E394" t="n">
        <v>2</v>
      </c>
      <c r="F394" t="n">
        <v>370.9</v>
      </c>
      <c r="G394" t="n">
        <v>185.45</v>
      </c>
    </row>
    <row r="395">
      <c r="A395" t="n">
        <v>306</v>
      </c>
      <c r="B395" t="inlineStr">
        <is>
          <t>Oyster Sauce</t>
        </is>
      </c>
      <c r="C395" t="inlineStr">
        <is>
          <t>Ticman/gallon/3500ml</t>
        </is>
      </c>
      <c r="D395" t="inlineStr">
        <is>
          <t>gal</t>
        </is>
      </c>
      <c r="E395" t="n">
        <v>3</v>
      </c>
      <c r="F395" t="n">
        <v>597</v>
      </c>
      <c r="G395" t="n">
        <v>199</v>
      </c>
    </row>
    <row r="396">
      <c r="A396" t="n">
        <v>306</v>
      </c>
      <c r="B396" t="inlineStr">
        <is>
          <t>Oyster Sauce</t>
        </is>
      </c>
      <c r="C396" t="inlineStr">
        <is>
          <t>Mama Sitas/bottle/405grams</t>
        </is>
      </c>
      <c r="D396" t="inlineStr">
        <is>
          <t>grams</t>
        </is>
      </c>
      <c r="E396" t="n">
        <v>2</v>
      </c>
      <c r="F396" t="n">
        <v>207.2</v>
      </c>
      <c r="G396" t="n">
        <v>103.6</v>
      </c>
    </row>
    <row r="397">
      <c r="A397" t="n">
        <v>307</v>
      </c>
      <c r="B397" t="inlineStr">
        <is>
          <t>Palabok</t>
        </is>
      </c>
      <c r="C397" t="inlineStr">
        <is>
          <t>Super Q/pack/500grams</t>
        </is>
      </c>
      <c r="D397" t="inlineStr">
        <is>
          <t>grams</t>
        </is>
      </c>
      <c r="E397" t="n">
        <v>1500</v>
      </c>
      <c r="F397" t="n">
        <v>129</v>
      </c>
      <c r="G397" t="n">
        <v>0.08599999999999999</v>
      </c>
    </row>
    <row r="398">
      <c r="A398" t="n">
        <v>307</v>
      </c>
      <c r="B398" t="inlineStr">
        <is>
          <t>Palabok</t>
        </is>
      </c>
      <c r="C398" t="inlineStr"/>
      <c r="D398" t="inlineStr">
        <is>
          <t>grams</t>
        </is>
      </c>
      <c r="E398" t="n">
        <v>14500</v>
      </c>
      <c r="F398" t="n">
        <v>1537</v>
      </c>
      <c r="G398" t="n">
        <v>0.106</v>
      </c>
    </row>
    <row r="399">
      <c r="A399" t="n">
        <v>308</v>
      </c>
      <c r="B399" t="inlineStr">
        <is>
          <t>Pandesal Mate Chocolate Drink</t>
        </is>
      </c>
      <c r="C399" t="inlineStr">
        <is>
          <t>Energen/pack (pcsx30grams)</t>
        </is>
      </c>
      <c r="D399" t="inlineStr">
        <is>
          <t>pieces</t>
        </is>
      </c>
      <c r="E399" t="n">
        <v>534</v>
      </c>
      <c r="F399" t="n">
        <v>4787.39</v>
      </c>
      <c r="G399" t="n">
        <v>8.965149812734083</v>
      </c>
    </row>
    <row r="400">
      <c r="A400" t="n">
        <v>309</v>
      </c>
      <c r="B400" t="inlineStr">
        <is>
          <t>Panty Liner</t>
        </is>
      </c>
      <c r="C400" t="inlineStr">
        <is>
          <t>charme</t>
        </is>
      </c>
      <c r="D400" t="inlineStr">
        <is>
          <t>pieces</t>
        </is>
      </c>
      <c r="E400" t="n">
        <v>808</v>
      </c>
      <c r="F400" t="n">
        <v>1018.08</v>
      </c>
      <c r="G400" t="n">
        <v>1.26</v>
      </c>
    </row>
    <row r="401">
      <c r="A401" t="n">
        <v>309</v>
      </c>
      <c r="B401" t="inlineStr">
        <is>
          <t>Panty Liner</t>
        </is>
      </c>
      <c r="C401" t="inlineStr">
        <is>
          <t>Sister/pack/8s'</t>
        </is>
      </c>
      <c r="D401" t="inlineStr">
        <is>
          <t>packs</t>
        </is>
      </c>
      <c r="E401" t="n">
        <v>20</v>
      </c>
      <c r="F401" t="n">
        <v>1200</v>
      </c>
      <c r="G401" t="n">
        <v>60</v>
      </c>
    </row>
    <row r="402">
      <c r="A402" t="n">
        <v>309</v>
      </c>
      <c r="B402" t="inlineStr">
        <is>
          <t>Panty Liner</t>
        </is>
      </c>
      <c r="C402" t="inlineStr"/>
      <c r="D402" t="inlineStr">
        <is>
          <t>packs</t>
        </is>
      </c>
      <c r="E402" t="n">
        <v>11</v>
      </c>
      <c r="F402" t="n">
        <v>82.5</v>
      </c>
      <c r="G402" t="n">
        <v>7.5</v>
      </c>
    </row>
    <row r="403">
      <c r="A403" t="n">
        <v>309</v>
      </c>
      <c r="B403" t="inlineStr">
        <is>
          <t>Panty Liner</t>
        </is>
      </c>
      <c r="C403" t="inlineStr"/>
      <c r="D403" t="inlineStr">
        <is>
          <t>pieces</t>
        </is>
      </c>
      <c r="E403" t="n">
        <v>84</v>
      </c>
      <c r="F403" t="n">
        <v>110.88</v>
      </c>
      <c r="G403" t="n">
        <v>1.32</v>
      </c>
    </row>
    <row r="404">
      <c r="A404" t="n">
        <v>310</v>
      </c>
      <c r="B404" t="inlineStr">
        <is>
          <t>Peanut Butter</t>
        </is>
      </c>
      <c r="C404" t="inlineStr">
        <is>
          <t>Mama/canister/1000grams</t>
        </is>
      </c>
      <c r="D404" t="inlineStr">
        <is>
          <t>grams</t>
        </is>
      </c>
      <c r="E404" t="n">
        <v>1000</v>
      </c>
      <c r="F404" t="n">
        <v>230</v>
      </c>
      <c r="G404" t="n">
        <v>0.23</v>
      </c>
    </row>
    <row r="405">
      <c r="A405" t="n">
        <v>311</v>
      </c>
      <c r="B405" t="inlineStr">
        <is>
          <t>Peanut Butter Big</t>
        </is>
      </c>
      <c r="C405" t="inlineStr">
        <is>
          <t>Baby/canister/1800grams</t>
        </is>
      </c>
      <c r="D405" t="inlineStr">
        <is>
          <t>grams</t>
        </is>
      </c>
      <c r="E405" t="n">
        <v>5400</v>
      </c>
      <c r="F405" t="n">
        <v>690.0000000000001</v>
      </c>
      <c r="G405" t="n">
        <v>0.1277777777777778</v>
      </c>
    </row>
    <row r="406">
      <c r="A406" t="n">
        <v>312</v>
      </c>
      <c r="B406" t="inlineStr">
        <is>
          <t>Piattos - Cheese</t>
        </is>
      </c>
      <c r="C406" t="inlineStr">
        <is>
          <t>Jack n Jill/box (50pcsx85grams)</t>
        </is>
      </c>
      <c r="D406" t="inlineStr">
        <is>
          <t>pieces</t>
        </is>
      </c>
      <c r="E406" t="n">
        <v>80</v>
      </c>
      <c r="F406" t="n">
        <v>1219.2</v>
      </c>
      <c r="G406" t="n">
        <v>15.24</v>
      </c>
    </row>
    <row r="407">
      <c r="A407" t="n">
        <v>313</v>
      </c>
      <c r="B407" t="inlineStr">
        <is>
          <t>Piattos Cheese</t>
        </is>
      </c>
      <c r="C407" t="inlineStr">
        <is>
          <t>Jack n Jill/box (50pcsx85grams)</t>
        </is>
      </c>
      <c r="D407" t="inlineStr">
        <is>
          <t>pieces</t>
        </is>
      </c>
      <c r="E407" t="n">
        <v>3</v>
      </c>
      <c r="F407" t="n">
        <v>95.76000000000001</v>
      </c>
      <c r="G407" t="n">
        <v>31.92</v>
      </c>
    </row>
    <row r="408">
      <c r="A408" t="n">
        <v>314</v>
      </c>
      <c r="B408" t="inlineStr">
        <is>
          <t>Pimiento Chiz Whiz</t>
        </is>
      </c>
      <c r="C408" t="inlineStr"/>
      <c r="D408" t="inlineStr">
        <is>
          <t>pieces</t>
        </is>
      </c>
      <c r="E408" t="n">
        <v>2</v>
      </c>
      <c r="F408" t="n">
        <v>386</v>
      </c>
      <c r="G408" t="n">
        <v>193</v>
      </c>
    </row>
    <row r="409">
      <c r="A409" t="n">
        <v>315</v>
      </c>
      <c r="B409" t="inlineStr">
        <is>
          <t>Pinatsu Seaweed</t>
        </is>
      </c>
      <c r="C409" t="inlineStr">
        <is>
          <t>Oishi/pack(30x 100grams)</t>
        </is>
      </c>
      <c r="D409" t="inlineStr">
        <is>
          <t>pieces</t>
        </is>
      </c>
      <c r="E409" t="n">
        <v>30</v>
      </c>
      <c r="F409" t="n">
        <v>841.8</v>
      </c>
      <c r="G409" t="n">
        <v>28.06</v>
      </c>
    </row>
    <row r="410">
      <c r="A410" t="n">
        <v>316</v>
      </c>
      <c r="B410" t="inlineStr">
        <is>
          <t>Pineapple Chunks</t>
        </is>
      </c>
      <c r="C410" t="inlineStr">
        <is>
          <t>Del Monte/can227grams/137drained weight</t>
        </is>
      </c>
      <c r="D410" t="inlineStr">
        <is>
          <t>drained weight grams</t>
        </is>
      </c>
      <c r="E410" t="n">
        <v>411</v>
      </c>
      <c r="F410" t="n">
        <v>106.5</v>
      </c>
      <c r="G410" t="n">
        <v>0.2591240875912409</v>
      </c>
    </row>
    <row r="411">
      <c r="A411" t="n">
        <v>316</v>
      </c>
      <c r="B411" t="inlineStr">
        <is>
          <t>Pineapple Chunks</t>
        </is>
      </c>
      <c r="C411" t="inlineStr">
        <is>
          <t>Mr Gulaman/box/(10sachetx25grams)</t>
        </is>
      </c>
      <c r="D411" t="inlineStr">
        <is>
          <t>grams</t>
        </is>
      </c>
      <c r="E411" t="n">
        <v>450</v>
      </c>
      <c r="F411" t="n">
        <v>201.96</v>
      </c>
      <c r="G411" t="n">
        <v>0.4488</v>
      </c>
    </row>
    <row r="412">
      <c r="A412" t="n">
        <v>316</v>
      </c>
      <c r="B412" t="inlineStr">
        <is>
          <t>Pineapple Chunks</t>
        </is>
      </c>
      <c r="C412" t="inlineStr">
        <is>
          <t>Del Monte/can (200grams)</t>
        </is>
      </c>
      <c r="D412" t="inlineStr">
        <is>
          <t>grams</t>
        </is>
      </c>
      <c r="E412" t="n">
        <v>12</v>
      </c>
      <c r="F412" t="n">
        <v>327.6</v>
      </c>
      <c r="G412" t="n">
        <v>27.3</v>
      </c>
    </row>
    <row r="413">
      <c r="A413" t="n">
        <v>317</v>
      </c>
      <c r="B413" t="inlineStr">
        <is>
          <t>Pineapple Juice</t>
        </is>
      </c>
      <c r="C413" t="inlineStr">
        <is>
          <t>ZEST-O Big 250/box(10x250ml)</t>
        </is>
      </c>
      <c r="D413" t="inlineStr">
        <is>
          <t>pieces</t>
        </is>
      </c>
      <c r="E413" t="n">
        <v>3</v>
      </c>
      <c r="F413" t="n">
        <v>26.58</v>
      </c>
      <c r="G413" t="n">
        <v>8.859999999999999</v>
      </c>
    </row>
    <row r="414">
      <c r="A414" t="n">
        <v>318</v>
      </c>
      <c r="B414" t="inlineStr">
        <is>
          <t>Pineapple Juice Powder</t>
        </is>
      </c>
      <c r="C414" t="inlineStr">
        <is>
          <t>Tang/sachet/19grams</t>
        </is>
      </c>
      <c r="D414" t="inlineStr">
        <is>
          <t>grams</t>
        </is>
      </c>
      <c r="E414" t="n">
        <v>12</v>
      </c>
      <c r="F414" t="n">
        <v>228</v>
      </c>
      <c r="G414" t="n">
        <v>19</v>
      </c>
    </row>
    <row r="415">
      <c r="A415" t="n">
        <v>319</v>
      </c>
      <c r="B415" t="inlineStr">
        <is>
          <t>Pineapple Juice with ACE</t>
        </is>
      </c>
      <c r="C415" t="inlineStr">
        <is>
          <t>Del Monte/case (24x220ml)</t>
        </is>
      </c>
      <c r="D415" t="inlineStr">
        <is>
          <t>pieces</t>
        </is>
      </c>
      <c r="E415" t="n">
        <v>34</v>
      </c>
      <c r="F415" t="n">
        <v>950.98</v>
      </c>
      <c r="G415" t="n">
        <v>27.97</v>
      </c>
    </row>
    <row r="416">
      <c r="A416" t="n">
        <v>319</v>
      </c>
      <c r="B416" t="inlineStr">
        <is>
          <t>Pineapple Juice with ACE</t>
        </is>
      </c>
      <c r="C416" t="inlineStr">
        <is>
          <t>Del Monte/case (24pcsx220ml)</t>
        </is>
      </c>
      <c r="D416" t="inlineStr">
        <is>
          <t>pieces</t>
        </is>
      </c>
      <c r="E416" t="n">
        <v>72</v>
      </c>
      <c r="F416" t="n">
        <v>2014.56</v>
      </c>
      <c r="G416" t="n">
        <v>27.98</v>
      </c>
    </row>
    <row r="417">
      <c r="A417" t="n">
        <v>320</v>
      </c>
      <c r="B417" t="inlineStr">
        <is>
          <t>Pineapple sliced</t>
        </is>
      </c>
      <c r="C417" t="inlineStr">
        <is>
          <t>Del Monte/can/137227grams</t>
        </is>
      </c>
      <c r="D417" t="inlineStr">
        <is>
          <t>grams</t>
        </is>
      </c>
      <c r="E417" t="n">
        <v>681</v>
      </c>
      <c r="F417" t="n">
        <v>111.6</v>
      </c>
      <c r="G417" t="n">
        <v>0.1638766519823789</v>
      </c>
    </row>
    <row r="418">
      <c r="A418" t="n">
        <v>321</v>
      </c>
      <c r="B418" t="inlineStr">
        <is>
          <t>Pineapple Tidbits</t>
        </is>
      </c>
      <c r="C418" t="inlineStr"/>
      <c r="D418" t="inlineStr">
        <is>
          <t>grams</t>
        </is>
      </c>
      <c r="E418" t="n">
        <v>514</v>
      </c>
      <c r="F418" t="n">
        <v>67</v>
      </c>
      <c r="G418" t="n">
        <v>0.1303501945525292</v>
      </c>
    </row>
    <row r="419">
      <c r="A419" t="n">
        <v>322</v>
      </c>
      <c r="B419" t="inlineStr">
        <is>
          <t>Pink Salmon</t>
        </is>
      </c>
      <c r="C419" t="inlineStr">
        <is>
          <t>Indicate ave weight/piece</t>
        </is>
      </c>
      <c r="D419" t="inlineStr">
        <is>
          <t>grams</t>
        </is>
      </c>
      <c r="E419" t="n">
        <v>9</v>
      </c>
      <c r="F419" t="n">
        <v>6030</v>
      </c>
      <c r="G419" t="n">
        <v>670</v>
      </c>
    </row>
    <row r="420">
      <c r="A420" t="n">
        <v>322</v>
      </c>
      <c r="B420" t="inlineStr">
        <is>
          <t>Pink Salmon</t>
        </is>
      </c>
      <c r="C420" t="inlineStr"/>
      <c r="D420" t="inlineStr">
        <is>
          <t>grams</t>
        </is>
      </c>
      <c r="E420" t="n">
        <v>3000</v>
      </c>
      <c r="F420" t="n">
        <v>2100</v>
      </c>
      <c r="G420" t="n">
        <v>0.7</v>
      </c>
    </row>
    <row r="421">
      <c r="A421" t="n">
        <v>323</v>
      </c>
      <c r="B421" t="inlineStr">
        <is>
          <t>Pink Salmon Head</t>
        </is>
      </c>
      <c r="C421" t="inlineStr">
        <is>
          <t>Indicate ave weight/piece</t>
        </is>
      </c>
      <c r="D421" t="inlineStr">
        <is>
          <t>grams</t>
        </is>
      </c>
      <c r="E421" t="n">
        <v>12</v>
      </c>
      <c r="F421" t="n">
        <v>2460</v>
      </c>
      <c r="G421" t="n">
        <v>205</v>
      </c>
    </row>
    <row r="422">
      <c r="A422" t="n">
        <v>324</v>
      </c>
      <c r="B422" t="inlineStr">
        <is>
          <t>Pocky</t>
        </is>
      </c>
      <c r="C422" t="inlineStr"/>
      <c r="D422" t="inlineStr">
        <is>
          <t>pieces</t>
        </is>
      </c>
      <c r="E422" t="n">
        <v>17</v>
      </c>
      <c r="F422" t="n">
        <v>433.84</v>
      </c>
      <c r="G422" t="n">
        <v>25.52</v>
      </c>
    </row>
    <row r="423">
      <c r="A423" t="n">
        <v>325</v>
      </c>
      <c r="B423" t="inlineStr">
        <is>
          <t>Pods Pea Snacks</t>
        </is>
      </c>
      <c r="C423" t="inlineStr">
        <is>
          <t>Oishi/ box (50pcsx60grams)</t>
        </is>
      </c>
      <c r="D423" t="inlineStr">
        <is>
          <t>pieces</t>
        </is>
      </c>
      <c r="E423" t="n">
        <v>49</v>
      </c>
      <c r="F423" t="n">
        <v>745.7800000000001</v>
      </c>
      <c r="G423" t="n">
        <v>15.22</v>
      </c>
    </row>
    <row r="424">
      <c r="A424" t="n">
        <v>326</v>
      </c>
      <c r="B424" t="inlineStr">
        <is>
          <t>Popcorn Caramel</t>
        </is>
      </c>
      <c r="C424" t="inlineStr">
        <is>
          <t>oishi/box/50/60g</t>
        </is>
      </c>
      <c r="D424" t="inlineStr">
        <is>
          <t>pieces</t>
        </is>
      </c>
      <c r="E424" t="n">
        <v>28</v>
      </c>
      <c r="F424" t="n">
        <v>425.32</v>
      </c>
      <c r="G424" t="n">
        <v>15.19</v>
      </c>
    </row>
    <row r="425">
      <c r="A425" t="n">
        <v>327</v>
      </c>
      <c r="B425" t="inlineStr">
        <is>
          <t>Pork &amp; Beans</t>
        </is>
      </c>
      <c r="C425" t="inlineStr">
        <is>
          <t>Hunts/can/425grams</t>
        </is>
      </c>
      <c r="D425" t="inlineStr">
        <is>
          <t>grams</t>
        </is>
      </c>
      <c r="E425" t="n">
        <v>1</v>
      </c>
      <c r="F425" t="n">
        <v>59.8</v>
      </c>
      <c r="G425" t="n">
        <v>59.8</v>
      </c>
    </row>
    <row r="426">
      <c r="A426" t="n">
        <v>328</v>
      </c>
      <c r="B426" t="inlineStr">
        <is>
          <t>Pork Ears</t>
        </is>
      </c>
      <c r="C426" t="inlineStr"/>
      <c r="D426" t="inlineStr">
        <is>
          <t>kilos</t>
        </is>
      </c>
      <c r="E426" t="n">
        <v>18</v>
      </c>
      <c r="F426" t="n">
        <v>2610</v>
      </c>
      <c r="G426" t="n">
        <v>145</v>
      </c>
    </row>
    <row r="427">
      <c r="A427" t="n">
        <v>329</v>
      </c>
      <c r="B427" t="inlineStr">
        <is>
          <t>Pork Jowls</t>
        </is>
      </c>
      <c r="C427" t="inlineStr">
        <is>
          <t>Frozen/box(kilos)</t>
        </is>
      </c>
      <c r="D427" t="inlineStr">
        <is>
          <t>kilos</t>
        </is>
      </c>
      <c r="E427" t="n">
        <v>111</v>
      </c>
      <c r="F427" t="n">
        <v>20964</v>
      </c>
      <c r="G427" t="n">
        <v>188.8648648648649</v>
      </c>
    </row>
    <row r="428">
      <c r="A428" t="n">
        <v>329</v>
      </c>
      <c r="B428" t="inlineStr">
        <is>
          <t>Pork Jowls</t>
        </is>
      </c>
      <c r="C428" t="inlineStr"/>
      <c r="D428" t="inlineStr">
        <is>
          <t>kilos</t>
        </is>
      </c>
      <c r="E428" t="n">
        <v>45.78</v>
      </c>
      <c r="F428" t="n">
        <v>8789.76</v>
      </c>
      <c r="G428" t="n">
        <v>192</v>
      </c>
    </row>
    <row r="429">
      <c r="A429" t="n">
        <v>330</v>
      </c>
      <c r="B429" t="inlineStr">
        <is>
          <t>Pork Kasim</t>
        </is>
      </c>
      <c r="C429" t="inlineStr">
        <is>
          <t>Frozen/box(kilos)</t>
        </is>
      </c>
      <c r="D429" t="inlineStr">
        <is>
          <t>kilos</t>
        </is>
      </c>
      <c r="E429" t="n">
        <v>290</v>
      </c>
      <c r="F429" t="n">
        <v>64140</v>
      </c>
      <c r="G429" t="n">
        <v>221.1724137931035</v>
      </c>
    </row>
    <row r="430">
      <c r="A430" t="n">
        <v>330</v>
      </c>
      <c r="B430" t="inlineStr">
        <is>
          <t>Pork Kasim</t>
        </is>
      </c>
      <c r="C430" t="inlineStr"/>
      <c r="D430" t="inlineStr">
        <is>
          <t>kilos</t>
        </is>
      </c>
      <c r="E430" t="n">
        <v>25</v>
      </c>
      <c r="F430" t="n">
        <v>5650</v>
      </c>
      <c r="G430" t="n">
        <v>226</v>
      </c>
    </row>
    <row r="431">
      <c r="A431" t="n">
        <v>331</v>
      </c>
      <c r="B431" t="inlineStr">
        <is>
          <t>Pork Liempo</t>
        </is>
      </c>
      <c r="C431" t="inlineStr">
        <is>
          <t>Frozen/box(20kilo)</t>
        </is>
      </c>
      <c r="D431" t="inlineStr">
        <is>
          <t>kilos</t>
        </is>
      </c>
      <c r="E431" t="n">
        <v>47</v>
      </c>
      <c r="F431" t="n">
        <v>13254</v>
      </c>
      <c r="G431" t="n">
        <v>282</v>
      </c>
    </row>
    <row r="432">
      <c r="A432" t="n">
        <v>332</v>
      </c>
      <c r="B432" t="inlineStr">
        <is>
          <t>Pork Liver</t>
        </is>
      </c>
      <c r="C432" t="inlineStr"/>
      <c r="D432" t="inlineStr">
        <is>
          <t>kilos</t>
        </is>
      </c>
      <c r="E432" t="n">
        <v>6</v>
      </c>
      <c r="F432" t="n">
        <v>930</v>
      </c>
      <c r="G432" t="n">
        <v>155</v>
      </c>
    </row>
    <row r="433">
      <c r="A433" t="n">
        <v>333</v>
      </c>
      <c r="B433" t="inlineStr">
        <is>
          <t>Pork Liver/mascara</t>
        </is>
      </c>
      <c r="C433" t="inlineStr">
        <is>
          <t>Frozen/box(kilos)</t>
        </is>
      </c>
      <c r="D433" t="inlineStr">
        <is>
          <t>kilos</t>
        </is>
      </c>
      <c r="E433" t="n">
        <v>74</v>
      </c>
      <c r="F433" t="n">
        <v>10286</v>
      </c>
      <c r="G433" t="n">
        <v>139</v>
      </c>
    </row>
    <row r="434">
      <c r="A434" t="n">
        <v>334</v>
      </c>
      <c r="B434" t="inlineStr">
        <is>
          <t>Pork Longganisa</t>
        </is>
      </c>
      <c r="C434" t="inlineStr">
        <is>
          <t>CDO/pack/200grams</t>
        </is>
      </c>
      <c r="D434" t="inlineStr">
        <is>
          <t>grams</t>
        </is>
      </c>
      <c r="E434" t="n">
        <v>1000</v>
      </c>
      <c r="F434" t="n">
        <v>267.5</v>
      </c>
      <c r="G434" t="n">
        <v>0.2675</v>
      </c>
    </row>
    <row r="435">
      <c r="A435" t="n">
        <v>335</v>
      </c>
      <c r="B435" t="inlineStr">
        <is>
          <t>Porkchop</t>
        </is>
      </c>
      <c r="C435" t="inlineStr">
        <is>
          <t>Frozen</t>
        </is>
      </c>
      <c r="D435" t="inlineStr">
        <is>
          <t>kilos</t>
        </is>
      </c>
      <c r="E435" t="n">
        <v>76</v>
      </c>
      <c r="F435" t="n">
        <v>15580</v>
      </c>
      <c r="G435" t="n">
        <v>205</v>
      </c>
    </row>
    <row r="436">
      <c r="A436" t="n">
        <v>335</v>
      </c>
      <c r="B436" t="inlineStr">
        <is>
          <t>Porkchop</t>
        </is>
      </c>
      <c r="C436" t="inlineStr"/>
      <c r="D436" t="inlineStr">
        <is>
          <t>kilos</t>
        </is>
      </c>
      <c r="E436" t="n">
        <v>31</v>
      </c>
      <c r="F436" t="n">
        <v>7006</v>
      </c>
      <c r="G436" t="n">
        <v>226</v>
      </c>
    </row>
    <row r="437">
      <c r="A437" t="n">
        <v>336</v>
      </c>
      <c r="B437" t="inlineStr">
        <is>
          <t>Pot Holder</t>
        </is>
      </c>
      <c r="C437" t="inlineStr"/>
      <c r="D437" t="inlineStr">
        <is>
          <t>pieces</t>
        </is>
      </c>
      <c r="E437" t="n">
        <v>10</v>
      </c>
      <c r="F437" t="n">
        <v>247.5</v>
      </c>
      <c r="G437" t="n">
        <v>24.75</v>
      </c>
    </row>
    <row r="438">
      <c r="A438" t="n">
        <v>337</v>
      </c>
      <c r="B438" t="inlineStr">
        <is>
          <t>Potato</t>
        </is>
      </c>
      <c r="C438" t="inlineStr">
        <is>
          <t>Fresh</t>
        </is>
      </c>
      <c r="D438" t="inlineStr">
        <is>
          <t>grams</t>
        </is>
      </c>
      <c r="E438" t="n">
        <v>4</v>
      </c>
      <c r="F438" t="n">
        <v>572</v>
      </c>
      <c r="G438" t="n">
        <v>143</v>
      </c>
    </row>
    <row r="439">
      <c r="A439" t="n">
        <v>338</v>
      </c>
      <c r="B439" t="inlineStr">
        <is>
          <t>Potato Fries - Cheese</t>
        </is>
      </c>
      <c r="C439" t="inlineStr">
        <is>
          <t>Oishi/box (50pcsx50grams)</t>
        </is>
      </c>
      <c r="D439" t="inlineStr">
        <is>
          <t>pieces</t>
        </is>
      </c>
      <c r="E439" t="n">
        <v>30</v>
      </c>
      <c r="F439" t="n">
        <v>410.7</v>
      </c>
      <c r="G439" t="n">
        <v>13.69</v>
      </c>
    </row>
    <row r="440">
      <c r="A440" t="n">
        <v>339</v>
      </c>
      <c r="B440" t="inlineStr">
        <is>
          <t>Potato Fries Plain</t>
        </is>
      </c>
      <c r="C440" t="inlineStr">
        <is>
          <t>Oishi/box (50pcsx50grams)</t>
        </is>
      </c>
      <c r="D440" t="inlineStr">
        <is>
          <t>pieces</t>
        </is>
      </c>
      <c r="E440" t="n">
        <v>15</v>
      </c>
      <c r="F440" t="n">
        <v>205.35</v>
      </c>
      <c r="G440" t="n">
        <v>13.69</v>
      </c>
    </row>
    <row r="441">
      <c r="A441" t="n">
        <v>340</v>
      </c>
      <c r="B441" t="inlineStr">
        <is>
          <t>Powdered-juices</t>
        </is>
      </c>
      <c r="C441" t="inlineStr"/>
      <c r="D441" t="inlineStr">
        <is>
          <t>grams</t>
        </is>
      </c>
      <c r="E441" t="n">
        <v>3381</v>
      </c>
      <c r="F441" t="n">
        <v>3396</v>
      </c>
      <c r="G441" t="n">
        <v>1.004436557231588</v>
      </c>
    </row>
    <row r="442">
      <c r="A442" t="n">
        <v>341</v>
      </c>
      <c r="B442" t="inlineStr">
        <is>
          <t>Presto Creams - Peanut Butter</t>
        </is>
      </c>
      <c r="C442" t="inlineStr">
        <is>
          <t>Jack n Jill/ pack (10pcsx30grams)</t>
        </is>
      </c>
      <c r="D442" t="inlineStr">
        <is>
          <t>pieces</t>
        </is>
      </c>
      <c r="E442" t="n">
        <v>150</v>
      </c>
      <c r="F442" t="n">
        <v>871.4999999999999</v>
      </c>
      <c r="G442" t="n">
        <v>5.81</v>
      </c>
    </row>
    <row r="443">
      <c r="A443" t="n">
        <v>342</v>
      </c>
      <c r="B443" t="inlineStr">
        <is>
          <t>Presto Creams Choco Peanut Butter</t>
        </is>
      </c>
      <c r="C443" t="inlineStr">
        <is>
          <t>Jack n Jill/ pack (10pcsx30grams)</t>
        </is>
      </c>
      <c r="D443" t="inlineStr">
        <is>
          <t>pieces</t>
        </is>
      </c>
      <c r="E443" t="n">
        <v>110</v>
      </c>
      <c r="F443" t="n">
        <v>675.4</v>
      </c>
      <c r="G443" t="n">
        <v>6.14</v>
      </c>
    </row>
    <row r="444">
      <c r="A444" t="n">
        <v>343</v>
      </c>
      <c r="B444" t="inlineStr">
        <is>
          <t>Presto Creams Choco Vanilla</t>
        </is>
      </c>
      <c r="C444" t="inlineStr">
        <is>
          <t>Jack n Jill/ pack (10pcsx30grams)</t>
        </is>
      </c>
      <c r="D444" t="inlineStr">
        <is>
          <t>pieces</t>
        </is>
      </c>
      <c r="E444" t="n">
        <v>21</v>
      </c>
      <c r="F444" t="n">
        <v>132.09</v>
      </c>
      <c r="G444" t="n">
        <v>6.29</v>
      </c>
    </row>
    <row r="445">
      <c r="A445" t="n">
        <v>344</v>
      </c>
      <c r="B445" t="inlineStr">
        <is>
          <t>Pusit Kalawang</t>
        </is>
      </c>
      <c r="C445" t="inlineStr"/>
      <c r="D445" t="inlineStr">
        <is>
          <t>grams</t>
        </is>
      </c>
      <c r="E445" t="n">
        <v>10000</v>
      </c>
      <c r="F445" t="n">
        <v>2700</v>
      </c>
      <c r="G445" t="n">
        <v>0.27</v>
      </c>
    </row>
    <row r="446">
      <c r="A446" t="n">
        <v>345</v>
      </c>
      <c r="B446" t="inlineStr">
        <is>
          <t>Quake Black Forest</t>
        </is>
      </c>
      <c r="C446" t="inlineStr"/>
      <c r="D446" t="inlineStr">
        <is>
          <t>pieces</t>
        </is>
      </c>
      <c r="E446" t="n">
        <v>2</v>
      </c>
      <c r="F446" t="n">
        <v>14.96</v>
      </c>
      <c r="G446" t="n">
        <v>7.48</v>
      </c>
    </row>
    <row r="447">
      <c r="A447" t="n">
        <v>346</v>
      </c>
      <c r="B447" t="inlineStr">
        <is>
          <t>Quake Overload</t>
        </is>
      </c>
      <c r="C447" t="inlineStr">
        <is>
          <t>Jack &amp; Jill/pack(10pcsx38grams))</t>
        </is>
      </c>
      <c r="D447" t="inlineStr">
        <is>
          <t>pieces</t>
        </is>
      </c>
      <c r="E447" t="n">
        <v>34</v>
      </c>
      <c r="F447" t="n">
        <v>243.78</v>
      </c>
      <c r="G447" t="n">
        <v>7.17</v>
      </c>
    </row>
    <row r="448">
      <c r="A448" t="n">
        <v>346</v>
      </c>
      <c r="B448" t="inlineStr">
        <is>
          <t>Quake Overload</t>
        </is>
      </c>
      <c r="C448" t="inlineStr">
        <is>
          <t>Jack &amp; Jill/pack(10pcsx33grams))</t>
        </is>
      </c>
      <c r="D448" t="inlineStr">
        <is>
          <t>pieces</t>
        </is>
      </c>
      <c r="E448" t="n">
        <v>595</v>
      </c>
      <c r="F448" t="n">
        <v>4754.05</v>
      </c>
      <c r="G448" t="n">
        <v>7.99</v>
      </c>
    </row>
    <row r="449">
      <c r="A449" t="n">
        <v>347</v>
      </c>
      <c r="B449" t="inlineStr">
        <is>
          <t>Quake Strawberry</t>
        </is>
      </c>
      <c r="C449" t="inlineStr"/>
      <c r="D449" t="inlineStr">
        <is>
          <t>pieces</t>
        </is>
      </c>
      <c r="E449" t="n">
        <v>1</v>
      </c>
      <c r="F449" t="n">
        <v>8.1</v>
      </c>
      <c r="G449" t="n">
        <v>8.1</v>
      </c>
    </row>
    <row r="450">
      <c r="A450" t="n">
        <v>348</v>
      </c>
      <c r="B450" t="inlineStr">
        <is>
          <t>Quaker Oats Instant Oatmeal</t>
        </is>
      </c>
      <c r="C450" t="inlineStr"/>
      <c r="D450" t="inlineStr">
        <is>
          <t>pieces</t>
        </is>
      </c>
      <c r="E450" t="n">
        <v>11</v>
      </c>
      <c r="F450" t="n">
        <v>26.125</v>
      </c>
      <c r="G450" t="n">
        <v>2.375</v>
      </c>
    </row>
    <row r="451">
      <c r="A451" t="n">
        <v>349</v>
      </c>
      <c r="B451" t="inlineStr">
        <is>
          <t>Raisins</t>
        </is>
      </c>
      <c r="C451" t="inlineStr">
        <is>
          <t>Hermano/pack/1000grams</t>
        </is>
      </c>
      <c r="D451" t="inlineStr">
        <is>
          <t>grams</t>
        </is>
      </c>
      <c r="E451" t="n">
        <v>38000</v>
      </c>
      <c r="F451" t="n">
        <v>3062.8</v>
      </c>
      <c r="G451" t="n">
        <v>0.08059999999999999</v>
      </c>
    </row>
    <row r="452">
      <c r="A452" t="n">
        <v>349</v>
      </c>
      <c r="B452" t="inlineStr">
        <is>
          <t>Raisins</t>
        </is>
      </c>
      <c r="C452" t="inlineStr">
        <is>
          <t>Ram/pack/1000grams</t>
        </is>
      </c>
      <c r="D452" t="inlineStr">
        <is>
          <t>grams</t>
        </is>
      </c>
      <c r="E452" t="n">
        <v>500</v>
      </c>
      <c r="F452" t="n">
        <v>75</v>
      </c>
      <c r="G452" t="n">
        <v>0.15</v>
      </c>
    </row>
    <row r="453">
      <c r="A453" t="n">
        <v>349</v>
      </c>
      <c r="B453" t="inlineStr">
        <is>
          <t>Raisins</t>
        </is>
      </c>
      <c r="C453" t="inlineStr"/>
      <c r="D453" t="inlineStr">
        <is>
          <t>grams</t>
        </is>
      </c>
      <c r="E453" t="n">
        <v>800</v>
      </c>
      <c r="F453" t="n">
        <v>209.6</v>
      </c>
      <c r="G453" t="n">
        <v>0.262</v>
      </c>
    </row>
    <row r="454">
      <c r="A454" t="n">
        <v>350</v>
      </c>
      <c r="B454" t="inlineStr">
        <is>
          <t>Raw Sago</t>
        </is>
      </c>
      <c r="C454" t="inlineStr">
        <is>
          <t>No Brand/1000grams</t>
        </is>
      </c>
      <c r="D454" t="inlineStr">
        <is>
          <t>grams</t>
        </is>
      </c>
      <c r="E454" t="n">
        <v>4000</v>
      </c>
      <c r="F454" t="n">
        <v>500</v>
      </c>
      <c r="G454" t="n">
        <v>0.125</v>
      </c>
    </row>
    <row r="455">
      <c r="A455" t="n">
        <v>351</v>
      </c>
      <c r="B455" t="inlineStr">
        <is>
          <t>RC Cola</t>
        </is>
      </c>
      <c r="C455" t="inlineStr">
        <is>
          <t>Rc Cola (12 x 237 )</t>
        </is>
      </c>
      <c r="D455" t="inlineStr">
        <is>
          <t>pieces</t>
        </is>
      </c>
      <c r="E455" t="n">
        <v>167</v>
      </c>
      <c r="F455" t="n">
        <v>1790.24</v>
      </c>
      <c r="G455" t="n">
        <v>10.72</v>
      </c>
    </row>
    <row r="456">
      <c r="A456" t="n">
        <v>352</v>
      </c>
      <c r="B456" t="inlineStr">
        <is>
          <t>Rebisco Cracker - Plain</t>
        </is>
      </c>
      <c r="C456" t="inlineStr">
        <is>
          <t>Rebisco (10pcsx33grams)</t>
        </is>
      </c>
      <c r="D456" t="inlineStr">
        <is>
          <t>pieces</t>
        </is>
      </c>
      <c r="E456" t="n">
        <v>200</v>
      </c>
      <c r="F456" t="n">
        <v>1160</v>
      </c>
      <c r="G456" t="n">
        <v>5.8</v>
      </c>
    </row>
    <row r="457">
      <c r="A457" t="n">
        <v>353</v>
      </c>
      <c r="B457" t="inlineStr">
        <is>
          <t>Rebisco Crackers - Chocolate</t>
        </is>
      </c>
      <c r="C457" t="inlineStr"/>
      <c r="D457" t="inlineStr">
        <is>
          <t>pieces</t>
        </is>
      </c>
      <c r="E457" t="n">
        <v>1</v>
      </c>
      <c r="F457" t="n">
        <v>6.88</v>
      </c>
      <c r="G457" t="n">
        <v>6.88</v>
      </c>
    </row>
    <row r="458">
      <c r="A458" t="n">
        <v>354</v>
      </c>
      <c r="B458" t="inlineStr">
        <is>
          <t>Red Cane Vinegar</t>
        </is>
      </c>
      <c r="C458" t="inlineStr">
        <is>
          <t>bottle/490ml</t>
        </is>
      </c>
      <c r="D458" t="inlineStr">
        <is>
          <t>ml</t>
        </is>
      </c>
      <c r="E458" t="n">
        <v>1</v>
      </c>
      <c r="F458" t="n">
        <v>57</v>
      </c>
      <c r="G458" t="n">
        <v>57</v>
      </c>
    </row>
    <row r="459">
      <c r="A459" t="n">
        <v>355</v>
      </c>
      <c r="B459" t="inlineStr">
        <is>
          <t>Red Pimiento</t>
        </is>
      </c>
      <c r="C459" t="inlineStr">
        <is>
          <t>Mr Gulaman/box/(10sachetx25grams)</t>
        </is>
      </c>
      <c r="D459" t="inlineStr">
        <is>
          <t>grams</t>
        </is>
      </c>
      <c r="E459" t="n">
        <v>450</v>
      </c>
      <c r="F459" t="n">
        <v>201.6</v>
      </c>
      <c r="G459" t="n">
        <v>0.448</v>
      </c>
    </row>
    <row r="460">
      <c r="A460" t="n">
        <v>356</v>
      </c>
      <c r="B460" t="inlineStr">
        <is>
          <t>Regent</t>
        </is>
      </c>
      <c r="C460" t="inlineStr"/>
      <c r="D460" t="inlineStr">
        <is>
          <t>pieces</t>
        </is>
      </c>
      <c r="E460" t="n">
        <v>10</v>
      </c>
      <c r="F460" t="n">
        <v>67.69999999999999</v>
      </c>
      <c r="G460" t="n">
        <v>6.769999999999999</v>
      </c>
    </row>
    <row r="461">
      <c r="A461" t="n">
        <v>357</v>
      </c>
      <c r="B461" t="inlineStr">
        <is>
          <t>Rice</t>
        </is>
      </c>
      <c r="C461" t="inlineStr">
        <is>
          <t>Super Alsa/sack/25kilos</t>
        </is>
      </c>
      <c r="D461" t="inlineStr">
        <is>
          <t>kilos</t>
        </is>
      </c>
      <c r="E461" t="n">
        <v>18</v>
      </c>
      <c r="F461" t="n">
        <v>21060</v>
      </c>
      <c r="G461" t="n">
        <v>1170</v>
      </c>
    </row>
    <row r="462">
      <c r="A462" t="n">
        <v>357</v>
      </c>
      <c r="B462" t="inlineStr">
        <is>
          <t>Rice</t>
        </is>
      </c>
      <c r="C462" t="inlineStr">
        <is>
          <t>Sinandomeng/sack25kilos</t>
        </is>
      </c>
      <c r="D462" t="inlineStr">
        <is>
          <t>kilos</t>
        </is>
      </c>
      <c r="E462" t="n">
        <v>17</v>
      </c>
      <c r="F462" t="n">
        <v>20060</v>
      </c>
      <c r="G462" t="n">
        <v>1180</v>
      </c>
    </row>
    <row r="463">
      <c r="A463" t="n">
        <v>357</v>
      </c>
      <c r="B463" t="inlineStr">
        <is>
          <t>Rice</t>
        </is>
      </c>
      <c r="C463" t="inlineStr"/>
      <c r="D463" t="inlineStr">
        <is>
          <t>kilos</t>
        </is>
      </c>
      <c r="E463" t="n">
        <v>975</v>
      </c>
      <c r="F463" t="n">
        <v>46800</v>
      </c>
      <c r="G463" t="n">
        <v>48</v>
      </c>
    </row>
    <row r="464">
      <c r="A464" t="n">
        <v>358</v>
      </c>
      <c r="B464" t="inlineStr">
        <is>
          <t>Rinbee Cheese Sticks</t>
        </is>
      </c>
      <c r="C464" t="inlineStr"/>
      <c r="D464" t="inlineStr">
        <is>
          <t>pieces</t>
        </is>
      </c>
      <c r="E464" t="n">
        <v>1</v>
      </c>
      <c r="F464" t="n">
        <v>22.37833333333333</v>
      </c>
      <c r="G464" t="n">
        <v>22.37833333333333</v>
      </c>
    </row>
    <row r="465">
      <c r="A465" t="n">
        <v>359</v>
      </c>
      <c r="B465" t="inlineStr">
        <is>
          <t>Rite &amp; Lite Rootbeer</t>
        </is>
      </c>
      <c r="C465" t="inlineStr">
        <is>
          <t>case (24pcsx250ml)</t>
        </is>
      </c>
      <c r="D465" t="inlineStr">
        <is>
          <t>pieces</t>
        </is>
      </c>
      <c r="E465" t="n">
        <v>18</v>
      </c>
      <c r="F465" t="n">
        <v>541.26</v>
      </c>
      <c r="G465" t="n">
        <v>30.07</v>
      </c>
    </row>
    <row r="466">
      <c r="A466" t="n">
        <v>360</v>
      </c>
      <c r="B466" t="inlineStr">
        <is>
          <t>Royal - Can</t>
        </is>
      </c>
      <c r="C466" t="inlineStr"/>
      <c r="D466" t="inlineStr">
        <is>
          <t>pieces</t>
        </is>
      </c>
      <c r="E466" t="n">
        <v>8</v>
      </c>
      <c r="F466" t="n">
        <v>262.75</v>
      </c>
      <c r="G466" t="n">
        <v>32.84375</v>
      </c>
    </row>
    <row r="467">
      <c r="A467" t="n">
        <v>361</v>
      </c>
      <c r="B467" t="inlineStr">
        <is>
          <t>Royal mismo</t>
        </is>
      </c>
      <c r="C467" t="inlineStr">
        <is>
          <t>Coca-Cola/case (24x250ml)</t>
        </is>
      </c>
      <c r="D467" t="inlineStr">
        <is>
          <t>pieces</t>
        </is>
      </c>
      <c r="E467" t="n">
        <v>123</v>
      </c>
      <c r="F467" t="n">
        <v>2036.91</v>
      </c>
      <c r="G467" t="n">
        <v>16.56024390243903</v>
      </c>
    </row>
    <row r="468">
      <c r="A468" t="n">
        <v>362</v>
      </c>
      <c r="B468" t="inlineStr">
        <is>
          <t>Sake</t>
        </is>
      </c>
      <c r="C468" t="inlineStr"/>
      <c r="D468" t="inlineStr">
        <is>
          <t>ml</t>
        </is>
      </c>
      <c r="E468" t="n">
        <v>400</v>
      </c>
      <c r="F468" t="n">
        <v>68</v>
      </c>
      <c r="G468" t="n">
        <v>0.17</v>
      </c>
    </row>
    <row r="469">
      <c r="A469" t="n">
        <v>363</v>
      </c>
      <c r="B469" t="inlineStr">
        <is>
          <t>Salabat</t>
        </is>
      </c>
      <c r="C469" t="inlineStr">
        <is>
          <t>Ludys/box (pcsx8 grams)</t>
        </is>
      </c>
      <c r="D469" t="inlineStr">
        <is>
          <t>pieces</t>
        </is>
      </c>
      <c r="E469" t="n">
        <v>166</v>
      </c>
      <c r="F469" t="n">
        <v>649.0600000000001</v>
      </c>
      <c r="G469" t="n">
        <v>3.91</v>
      </c>
    </row>
    <row r="470">
      <c r="A470" t="n">
        <v>363</v>
      </c>
      <c r="B470" t="inlineStr">
        <is>
          <t>Salabat</t>
        </is>
      </c>
      <c r="C470" t="inlineStr"/>
      <c r="D470" t="inlineStr">
        <is>
          <t>pieces</t>
        </is>
      </c>
      <c r="E470" t="n">
        <v>133</v>
      </c>
      <c r="F470" t="n">
        <v>530.8916666666665</v>
      </c>
      <c r="G470" t="n">
        <v>3.991666666666666</v>
      </c>
    </row>
    <row r="471">
      <c r="A471" t="n">
        <v>364</v>
      </c>
      <c r="B471" t="inlineStr">
        <is>
          <t>Salt</t>
        </is>
      </c>
      <c r="C471" t="inlineStr">
        <is>
          <t>Crystal/pack/1000grams</t>
        </is>
      </c>
      <c r="D471" t="inlineStr">
        <is>
          <t>grams</t>
        </is>
      </c>
      <c r="E471" t="n">
        <v>2000</v>
      </c>
      <c r="F471" t="n">
        <v>24</v>
      </c>
      <c r="G471" t="n">
        <v>0.012</v>
      </c>
    </row>
    <row r="472">
      <c r="A472" t="n">
        <v>364</v>
      </c>
      <c r="B472" t="inlineStr">
        <is>
          <t>Salt</t>
        </is>
      </c>
      <c r="C472" t="inlineStr"/>
      <c r="D472" t="inlineStr">
        <is>
          <t>grams</t>
        </is>
      </c>
      <c r="E472" t="n">
        <v>8000</v>
      </c>
      <c r="F472" t="n">
        <v>200</v>
      </c>
      <c r="G472" t="n">
        <v>0.025</v>
      </c>
    </row>
    <row r="473">
      <c r="A473" t="n">
        <v>365</v>
      </c>
      <c r="B473" t="inlineStr">
        <is>
          <t>Salt - Rock</t>
        </is>
      </c>
      <c r="C473" t="inlineStr">
        <is>
          <t>/pack/1000grams</t>
        </is>
      </c>
      <c r="D473" t="inlineStr">
        <is>
          <t>grams</t>
        </is>
      </c>
      <c r="E473" t="n">
        <v>3</v>
      </c>
      <c r="F473" t="n">
        <v>45</v>
      </c>
      <c r="G473" t="n">
        <v>15</v>
      </c>
    </row>
    <row r="474">
      <c r="A474" t="n">
        <v>366</v>
      </c>
      <c r="B474" t="inlineStr">
        <is>
          <t>Salted Black Beans</t>
        </is>
      </c>
      <c r="C474" t="inlineStr">
        <is>
          <t>Ram/pack/100grams</t>
        </is>
      </c>
      <c r="D474" t="inlineStr">
        <is>
          <t>grams</t>
        </is>
      </c>
      <c r="E474" t="n">
        <v>3500</v>
      </c>
      <c r="F474" t="n">
        <v>550.2</v>
      </c>
      <c r="G474" t="n">
        <v>0.1572</v>
      </c>
    </row>
    <row r="475">
      <c r="A475" t="n">
        <v>367</v>
      </c>
      <c r="B475" t="inlineStr">
        <is>
          <t>San Mig Coffee - Original</t>
        </is>
      </c>
      <c r="C475" t="inlineStr">
        <is>
          <t>San Mig/pack/7grams</t>
        </is>
      </c>
      <c r="D475" t="inlineStr">
        <is>
          <t>pieces</t>
        </is>
      </c>
      <c r="E475" t="n">
        <v>354</v>
      </c>
      <c r="F475" t="n">
        <v>2368.26</v>
      </c>
      <c r="G475" t="n">
        <v>6.69</v>
      </c>
    </row>
    <row r="476">
      <c r="A476" t="n">
        <v>368</v>
      </c>
      <c r="B476" t="inlineStr">
        <is>
          <t>San Mig Coffee - Sugar Free</t>
        </is>
      </c>
      <c r="C476" t="inlineStr">
        <is>
          <t>San Mig/pack (10pcsx20grams)</t>
        </is>
      </c>
      <c r="D476" t="inlineStr">
        <is>
          <t>pieces</t>
        </is>
      </c>
      <c r="E476" t="n">
        <v>850</v>
      </c>
      <c r="F476" t="n">
        <v>7385.400000000001</v>
      </c>
      <c r="G476" t="n">
        <v>8.688705882352942</v>
      </c>
    </row>
    <row r="477">
      <c r="A477" t="n">
        <v>369</v>
      </c>
      <c r="B477" t="inlineStr">
        <is>
          <t>Sanitary Napkin - Day</t>
        </is>
      </c>
      <c r="C477" t="inlineStr"/>
      <c r="D477" t="inlineStr">
        <is>
          <t>pieces</t>
        </is>
      </c>
      <c r="E477" t="n">
        <v>116</v>
      </c>
      <c r="F477" t="n">
        <v>2320</v>
      </c>
      <c r="G477" t="n">
        <v>20</v>
      </c>
    </row>
    <row r="478">
      <c r="A478" t="n">
        <v>370</v>
      </c>
      <c r="B478" t="inlineStr">
        <is>
          <t>Sanitary Napkin - Night Max</t>
        </is>
      </c>
      <c r="C478" t="inlineStr"/>
      <c r="D478" t="inlineStr">
        <is>
          <t>pieces</t>
        </is>
      </c>
      <c r="E478" t="n">
        <v>72</v>
      </c>
      <c r="F478" t="n">
        <v>1716.48</v>
      </c>
      <c r="G478" t="n">
        <v>23.84</v>
      </c>
    </row>
    <row r="479">
      <c r="A479" t="n">
        <v>371</v>
      </c>
      <c r="B479" t="inlineStr">
        <is>
          <t>Sanitary Napkin non Wings</t>
        </is>
      </c>
      <c r="C479" t="inlineStr">
        <is>
          <t>Silkday/packx20's</t>
        </is>
      </c>
      <c r="D479" t="inlineStr">
        <is>
          <t>pieces</t>
        </is>
      </c>
      <c r="E479" t="n">
        <v>304</v>
      </c>
      <c r="F479" t="n">
        <v>845.1199999999999</v>
      </c>
      <c r="G479" t="n">
        <v>2.78</v>
      </c>
    </row>
    <row r="480">
      <c r="A480" t="n">
        <v>372</v>
      </c>
      <c r="B480" t="inlineStr">
        <is>
          <t>Sardines in Tomato Sauce</t>
        </is>
      </c>
      <c r="C480" t="inlineStr">
        <is>
          <t>Mega/can/425grams</t>
        </is>
      </c>
      <c r="D480" t="inlineStr">
        <is>
          <t>grams</t>
        </is>
      </c>
      <c r="E480" t="n">
        <v>4250</v>
      </c>
      <c r="F480" t="n">
        <v>578.3</v>
      </c>
      <c r="G480" t="n">
        <v>0.1360705882352941</v>
      </c>
    </row>
    <row r="481">
      <c r="A481" t="n">
        <v>372</v>
      </c>
      <c r="B481" t="inlineStr">
        <is>
          <t>Sardines in Tomato Sauce</t>
        </is>
      </c>
      <c r="C481" t="inlineStr">
        <is>
          <t>555/can/425grams</t>
        </is>
      </c>
      <c r="D481" t="inlineStr">
        <is>
          <t>grams</t>
        </is>
      </c>
      <c r="E481" t="n">
        <v>72</v>
      </c>
      <c r="F481" t="n">
        <v>4194</v>
      </c>
      <c r="G481" t="n">
        <v>58.25</v>
      </c>
    </row>
    <row r="482">
      <c r="A482" t="n">
        <v>372</v>
      </c>
      <c r="B482" t="inlineStr">
        <is>
          <t>Sardines in Tomato Sauce</t>
        </is>
      </c>
      <c r="C482" t="inlineStr"/>
      <c r="D482" t="inlineStr">
        <is>
          <t>grams</t>
        </is>
      </c>
      <c r="E482" t="n">
        <v>18700</v>
      </c>
      <c r="F482" t="n">
        <v>2556.840000000001</v>
      </c>
      <c r="G482" t="n">
        <v>0.1367294117647059</v>
      </c>
    </row>
    <row r="483">
      <c r="A483" t="n">
        <v>373</v>
      </c>
      <c r="B483" t="inlineStr">
        <is>
          <t>Sayote</t>
        </is>
      </c>
      <c r="C483" t="inlineStr">
        <is>
          <t>Fresh</t>
        </is>
      </c>
      <c r="D483" t="inlineStr">
        <is>
          <t>grams</t>
        </is>
      </c>
      <c r="E483" t="n">
        <v>5000</v>
      </c>
      <c r="F483" t="n">
        <v>475</v>
      </c>
      <c r="G483" t="n">
        <v>0.095</v>
      </c>
    </row>
    <row r="484">
      <c r="A484" t="n">
        <v>374</v>
      </c>
      <c r="B484" t="inlineStr">
        <is>
          <t>Scotchbrite</t>
        </is>
      </c>
      <c r="C484" t="inlineStr"/>
      <c r="D484" t="inlineStr">
        <is>
          <t>pieces</t>
        </is>
      </c>
      <c r="E484" t="n">
        <v>3</v>
      </c>
      <c r="F484" t="n">
        <v>99.30000000000001</v>
      </c>
      <c r="G484" t="n">
        <v>33.1</v>
      </c>
    </row>
    <row r="485">
      <c r="A485" t="n">
        <v>375</v>
      </c>
      <c r="B485" t="inlineStr">
        <is>
          <t>Scrubbing Pad 3 in 1</t>
        </is>
      </c>
      <c r="C485" t="inlineStr"/>
      <c r="D485" t="inlineStr">
        <is>
          <t>pieces</t>
        </is>
      </c>
      <c r="E485" t="n">
        <v>7</v>
      </c>
      <c r="F485" t="n">
        <v>707</v>
      </c>
      <c r="G485" t="n">
        <v>101</v>
      </c>
    </row>
    <row r="486">
      <c r="A486" t="n">
        <v>376</v>
      </c>
      <c r="B486" t="inlineStr">
        <is>
          <t>Scrubbing pad 3m</t>
        </is>
      </c>
      <c r="C486" t="inlineStr">
        <is>
          <t>Scotchbrite</t>
        </is>
      </c>
      <c r="D486" t="inlineStr">
        <is>
          <t>pieces</t>
        </is>
      </c>
      <c r="E486" t="n">
        <v>3</v>
      </c>
      <c r="F486" t="n">
        <v>102</v>
      </c>
      <c r="G486" t="n">
        <v>34</v>
      </c>
    </row>
    <row r="487">
      <c r="A487" t="n">
        <v>376</v>
      </c>
      <c r="B487" t="inlineStr">
        <is>
          <t>Scrubbing pad 3m</t>
        </is>
      </c>
      <c r="C487" t="inlineStr"/>
      <c r="D487" t="inlineStr">
        <is>
          <t>pieces</t>
        </is>
      </c>
      <c r="E487" t="n">
        <v>2</v>
      </c>
      <c r="F487" t="n">
        <v>68</v>
      </c>
      <c r="G487" t="n">
        <v>34</v>
      </c>
    </row>
    <row r="488">
      <c r="A488" t="n">
        <v>377</v>
      </c>
      <c r="B488" t="inlineStr">
        <is>
          <t>Scrubbing pad black</t>
        </is>
      </c>
      <c r="C488" t="inlineStr">
        <is>
          <t>Scotchbrite</t>
        </is>
      </c>
      <c r="D488" t="inlineStr">
        <is>
          <t>pieces</t>
        </is>
      </c>
      <c r="E488" t="n">
        <v>4</v>
      </c>
      <c r="F488" t="n">
        <v>136</v>
      </c>
      <c r="G488" t="n">
        <v>34</v>
      </c>
    </row>
    <row r="489">
      <c r="A489" t="n">
        <v>378</v>
      </c>
      <c r="B489" t="inlineStr">
        <is>
          <t>Sesame Dressing</t>
        </is>
      </c>
      <c r="C489" t="inlineStr"/>
      <c r="D489" t="inlineStr">
        <is>
          <t>grams</t>
        </is>
      </c>
      <c r="E489" t="n">
        <v>5000</v>
      </c>
      <c r="F489" t="n">
        <v>1895</v>
      </c>
      <c r="G489" t="n">
        <v>0.379</v>
      </c>
    </row>
    <row r="490">
      <c r="A490" t="n">
        <v>379</v>
      </c>
      <c r="B490" t="inlineStr">
        <is>
          <t>Sesame Oil</t>
        </is>
      </c>
      <c r="C490" t="inlineStr">
        <is>
          <t>Lee Kum Kee/bottle/410grams</t>
        </is>
      </c>
      <c r="D490" t="inlineStr">
        <is>
          <t>grams</t>
        </is>
      </c>
      <c r="E490" t="n">
        <v>410</v>
      </c>
      <c r="F490" t="n">
        <v>295.4</v>
      </c>
      <c r="G490" t="n">
        <v>0.7204878048780488</v>
      </c>
    </row>
    <row r="491">
      <c r="A491" t="n">
        <v>379</v>
      </c>
      <c r="B491" t="inlineStr">
        <is>
          <t>Sesame Oil</t>
        </is>
      </c>
      <c r="C491" t="inlineStr"/>
      <c r="D491" t="inlineStr">
        <is>
          <t>liters</t>
        </is>
      </c>
      <c r="E491" t="n">
        <v>1000</v>
      </c>
      <c r="F491" t="n">
        <v>700</v>
      </c>
      <c r="G491" t="n">
        <v>0.7</v>
      </c>
    </row>
    <row r="492">
      <c r="A492" t="n">
        <v>380</v>
      </c>
      <c r="B492" t="inlineStr">
        <is>
          <t>Sinigang Mix Original</t>
        </is>
      </c>
      <c r="C492" t="inlineStr">
        <is>
          <t>Hermano/pack/1000grams</t>
        </is>
      </c>
      <c r="D492" t="inlineStr">
        <is>
          <t>grams</t>
        </is>
      </c>
      <c r="E492" t="n">
        <v>15000</v>
      </c>
      <c r="F492" t="n">
        <v>1230</v>
      </c>
      <c r="G492" t="n">
        <v>0.082</v>
      </c>
    </row>
    <row r="493">
      <c r="A493" t="n">
        <v>380</v>
      </c>
      <c r="B493" t="inlineStr">
        <is>
          <t>Sinigang Mix Original</t>
        </is>
      </c>
      <c r="C493" t="inlineStr">
        <is>
          <t>Knorr/sachet/44grams</t>
        </is>
      </c>
      <c r="D493" t="inlineStr">
        <is>
          <t>grams</t>
        </is>
      </c>
      <c r="E493" t="n">
        <v>1360.045</v>
      </c>
      <c r="F493" t="n">
        <v>1940.2465</v>
      </c>
      <c r="G493" t="n">
        <v>1.426604634405479</v>
      </c>
    </row>
    <row r="494">
      <c r="A494" t="n">
        <v>381</v>
      </c>
      <c r="B494" t="inlineStr">
        <is>
          <t>Sinigang Mix sa Bayabas</t>
        </is>
      </c>
      <c r="C494" t="inlineStr"/>
      <c r="D494" t="inlineStr">
        <is>
          <t>grams</t>
        </is>
      </c>
      <c r="E494" t="n">
        <v>120</v>
      </c>
      <c r="F494" t="n">
        <v>105.45</v>
      </c>
      <c r="G494" t="n">
        <v>0.8787499999999999</v>
      </c>
    </row>
    <row r="495">
      <c r="A495" t="n">
        <v>382</v>
      </c>
      <c r="B495" t="inlineStr">
        <is>
          <t>Sinigang Mix sa Sampalok</t>
        </is>
      </c>
      <c r="C495" t="inlineStr"/>
      <c r="D495" t="inlineStr">
        <is>
          <t>grams</t>
        </is>
      </c>
      <c r="E495" t="n">
        <v>792</v>
      </c>
      <c r="F495" t="n">
        <v>498.6</v>
      </c>
      <c r="G495" t="n">
        <v>0.6295454545454545</v>
      </c>
    </row>
    <row r="496">
      <c r="A496" t="n">
        <v>383</v>
      </c>
      <c r="B496" t="inlineStr">
        <is>
          <t>Skyflakes Crackers</t>
        </is>
      </c>
      <c r="C496" t="inlineStr">
        <is>
          <t>M.Y San/ pack (10pcsx25grams)</t>
        </is>
      </c>
      <c r="D496" t="inlineStr">
        <is>
          <t>pieces</t>
        </is>
      </c>
      <c r="E496" t="n">
        <v>600</v>
      </c>
      <c r="F496" t="n">
        <v>3438</v>
      </c>
      <c r="G496" t="n">
        <v>5.73</v>
      </c>
    </row>
    <row r="497">
      <c r="A497" t="n">
        <v>384</v>
      </c>
      <c r="B497" t="inlineStr">
        <is>
          <t>Sotanghon</t>
        </is>
      </c>
      <c r="C497" t="inlineStr">
        <is>
          <t>Goodlife/pack/1000grams</t>
        </is>
      </c>
      <c r="D497" t="inlineStr">
        <is>
          <t>grams</t>
        </is>
      </c>
      <c r="E497" t="n">
        <v>4</v>
      </c>
      <c r="F497" t="n">
        <v>1166.4</v>
      </c>
      <c r="G497" t="n">
        <v>291.6</v>
      </c>
    </row>
    <row r="498">
      <c r="A498" t="n">
        <v>384</v>
      </c>
      <c r="B498" t="inlineStr">
        <is>
          <t>Sotanghon</t>
        </is>
      </c>
      <c r="C498" t="inlineStr"/>
      <c r="D498" t="inlineStr">
        <is>
          <t>grams</t>
        </is>
      </c>
      <c r="E498" t="n">
        <v>1000</v>
      </c>
      <c r="F498" t="n">
        <v>292</v>
      </c>
      <c r="G498" t="n">
        <v>0.292</v>
      </c>
    </row>
    <row r="499">
      <c r="A499" t="n">
        <v>385</v>
      </c>
      <c r="B499" t="inlineStr">
        <is>
          <t>Soup Chicken &amp; Corn</t>
        </is>
      </c>
      <c r="C499" t="inlineStr"/>
      <c r="D499" t="inlineStr">
        <is>
          <t>grams</t>
        </is>
      </c>
      <c r="E499" t="n">
        <v>60</v>
      </c>
      <c r="F499" t="n">
        <v>52.6</v>
      </c>
      <c r="G499" t="n">
        <v>0.8766666666666667</v>
      </c>
    </row>
    <row r="500">
      <c r="A500" t="n">
        <v>386</v>
      </c>
      <c r="B500" t="inlineStr">
        <is>
          <t>Soup Crab and Corn Soup</t>
        </is>
      </c>
      <c r="C500" t="inlineStr"/>
      <c r="D500" t="inlineStr">
        <is>
          <t>grams</t>
        </is>
      </c>
      <c r="E500" t="n">
        <v>440</v>
      </c>
      <c r="F500" t="n">
        <v>444</v>
      </c>
      <c r="G500" t="n">
        <v>1.009090909090909</v>
      </c>
    </row>
    <row r="501">
      <c r="A501" t="n">
        <v>387</v>
      </c>
      <c r="B501" t="inlineStr">
        <is>
          <t>Soup Cream of Mushroom</t>
        </is>
      </c>
      <c r="C501" t="inlineStr"/>
      <c r="D501" t="inlineStr">
        <is>
          <t>grams</t>
        </is>
      </c>
      <c r="E501" t="n">
        <v>124</v>
      </c>
      <c r="F501" t="n">
        <v>110</v>
      </c>
      <c r="G501" t="n">
        <v>0.8870967741935484</v>
      </c>
    </row>
    <row r="502">
      <c r="A502" t="n">
        <v>388</v>
      </c>
      <c r="B502" t="inlineStr">
        <is>
          <t>Soup Nido Oriental</t>
        </is>
      </c>
      <c r="C502" t="inlineStr"/>
      <c r="D502" t="inlineStr">
        <is>
          <t>grams</t>
        </is>
      </c>
      <c r="E502" t="n">
        <v>901</v>
      </c>
      <c r="F502" t="n">
        <v>894.2</v>
      </c>
      <c r="G502" t="n">
        <v>0.9924528301886792</v>
      </c>
    </row>
    <row r="503">
      <c r="A503" t="n">
        <v>389</v>
      </c>
      <c r="B503" t="inlineStr">
        <is>
          <t>sourcream powder</t>
        </is>
      </c>
      <c r="C503" t="inlineStr">
        <is>
          <t>pck</t>
        </is>
      </c>
      <c r="D503" t="inlineStr">
        <is>
          <t>pieces</t>
        </is>
      </c>
      <c r="E503" t="n">
        <v>1</v>
      </c>
      <c r="F503" t="n">
        <v>68</v>
      </c>
      <c r="G503" t="n">
        <v>68</v>
      </c>
    </row>
    <row r="504">
      <c r="A504" t="n">
        <v>390</v>
      </c>
      <c r="B504" t="inlineStr">
        <is>
          <t>Soy Sauce</t>
        </is>
      </c>
      <c r="C504" t="inlineStr">
        <is>
          <t>Ticman/gallon/3500ml</t>
        </is>
      </c>
      <c r="D504" t="inlineStr">
        <is>
          <t>gal</t>
        </is>
      </c>
      <c r="E504" t="n">
        <v>35</v>
      </c>
      <c r="F504" t="n">
        <v>2555</v>
      </c>
      <c r="G504" t="n">
        <v>73</v>
      </c>
    </row>
    <row r="505">
      <c r="A505" t="n">
        <v>390</v>
      </c>
      <c r="B505" t="inlineStr">
        <is>
          <t>Soy Sauce</t>
        </is>
      </c>
      <c r="C505" t="inlineStr">
        <is>
          <t>Hermano/pack/1000grams</t>
        </is>
      </c>
      <c r="D505" t="inlineStr">
        <is>
          <t>grams</t>
        </is>
      </c>
      <c r="E505" t="n">
        <v>10000</v>
      </c>
      <c r="F505" t="n">
        <v>862</v>
      </c>
      <c r="G505" t="n">
        <v>0.0862</v>
      </c>
    </row>
    <row r="506">
      <c r="A506" t="n">
        <v>390</v>
      </c>
      <c r="B506" t="inlineStr">
        <is>
          <t>Soy Sauce</t>
        </is>
      </c>
      <c r="C506" t="inlineStr">
        <is>
          <t>Kikkoman/bottle/1000ml</t>
        </is>
      </c>
      <c r="D506" t="inlineStr">
        <is>
          <t>ml</t>
        </is>
      </c>
      <c r="E506" t="n">
        <v>1000</v>
      </c>
      <c r="F506" t="n">
        <v>249.55</v>
      </c>
      <c r="G506" t="n">
        <v>0.24955</v>
      </c>
    </row>
    <row r="507">
      <c r="A507" t="n">
        <v>390</v>
      </c>
      <c r="B507" t="inlineStr">
        <is>
          <t>Soy Sauce</t>
        </is>
      </c>
      <c r="C507" t="inlineStr"/>
      <c r="D507" t="inlineStr">
        <is>
          <t>gal</t>
        </is>
      </c>
      <c r="E507" t="n">
        <v>3</v>
      </c>
      <c r="F507" t="n">
        <v>195</v>
      </c>
      <c r="G507" t="n">
        <v>65</v>
      </c>
    </row>
    <row r="508">
      <c r="A508" t="n">
        <v>390</v>
      </c>
      <c r="B508" t="inlineStr">
        <is>
          <t>Soy Sauce</t>
        </is>
      </c>
      <c r="C508" t="inlineStr"/>
      <c r="D508" t="inlineStr">
        <is>
          <t>ml</t>
        </is>
      </c>
      <c r="E508" t="n">
        <v>2000</v>
      </c>
      <c r="F508" t="n">
        <v>520</v>
      </c>
      <c r="G508" t="n">
        <v>0.26</v>
      </c>
    </row>
    <row r="509">
      <c r="A509" t="n">
        <v>391</v>
      </c>
      <c r="B509" t="inlineStr">
        <is>
          <t>Spaghetti</t>
        </is>
      </c>
      <c r="C509" t="inlineStr">
        <is>
          <t>Sunshine/pack/900grams</t>
        </is>
      </c>
      <c r="D509" t="inlineStr">
        <is>
          <t>grams</t>
        </is>
      </c>
      <c r="E509" t="n">
        <v>3600</v>
      </c>
      <c r="F509" t="n">
        <v>322.48</v>
      </c>
      <c r="G509" t="n">
        <v>0.08957777777777778</v>
      </c>
    </row>
    <row r="510">
      <c r="A510" t="n">
        <v>391</v>
      </c>
      <c r="B510" t="inlineStr">
        <is>
          <t>Spaghetti</t>
        </is>
      </c>
      <c r="C510" t="inlineStr">
        <is>
          <t>Ideal/pack/1000grams</t>
        </is>
      </c>
      <c r="D510" t="inlineStr">
        <is>
          <t>grams</t>
        </is>
      </c>
      <c r="E510" t="n">
        <v>3</v>
      </c>
      <c r="F510" t="n">
        <v>195</v>
      </c>
      <c r="G510" t="n">
        <v>65</v>
      </c>
    </row>
    <row r="511">
      <c r="A511" t="n">
        <v>391</v>
      </c>
      <c r="B511" t="inlineStr">
        <is>
          <t>Spaghetti</t>
        </is>
      </c>
      <c r="C511" t="inlineStr"/>
      <c r="D511" t="inlineStr">
        <is>
          <t>grams</t>
        </is>
      </c>
      <c r="E511" t="n">
        <v>2700</v>
      </c>
      <c r="F511" t="n">
        <v>213.6</v>
      </c>
      <c r="G511" t="n">
        <v>0.07911111111111112</v>
      </c>
    </row>
    <row r="512">
      <c r="A512" t="n">
        <v>392</v>
      </c>
      <c r="B512" t="inlineStr">
        <is>
          <t>Spam Lite</t>
        </is>
      </c>
      <c r="C512" t="inlineStr"/>
      <c r="D512" t="inlineStr">
        <is>
          <t>grams</t>
        </is>
      </c>
      <c r="E512" t="n">
        <v>5100</v>
      </c>
      <c r="F512" t="n">
        <v>3180</v>
      </c>
      <c r="G512" t="n">
        <v>0.6235294117647059</v>
      </c>
    </row>
    <row r="513">
      <c r="A513" t="n">
        <v>393</v>
      </c>
      <c r="B513" t="inlineStr">
        <is>
          <t>Sponge</t>
        </is>
      </c>
      <c r="C513" t="inlineStr">
        <is>
          <t>Scotchbrite</t>
        </is>
      </c>
      <c r="D513" t="inlineStr">
        <is>
          <t>pieces</t>
        </is>
      </c>
      <c r="E513" t="n">
        <v>3</v>
      </c>
      <c r="F513" t="n">
        <v>58.2</v>
      </c>
      <c r="G513" t="n">
        <v>19.4</v>
      </c>
    </row>
    <row r="514">
      <c r="A514" t="n">
        <v>394</v>
      </c>
      <c r="B514" t="inlineStr">
        <is>
          <t>Sponge with Scrub</t>
        </is>
      </c>
      <c r="C514" t="inlineStr">
        <is>
          <t>Scotchbrite</t>
        </is>
      </c>
      <c r="D514" t="inlineStr">
        <is>
          <t>pieces</t>
        </is>
      </c>
      <c r="E514" t="n">
        <v>12</v>
      </c>
      <c r="F514" t="n">
        <v>404.4</v>
      </c>
      <c r="G514" t="n">
        <v>33.7</v>
      </c>
    </row>
    <row r="515">
      <c r="A515" t="n">
        <v>395</v>
      </c>
      <c r="B515" t="inlineStr">
        <is>
          <t>Spread</t>
        </is>
      </c>
      <c r="C515" t="inlineStr"/>
      <c r="D515" t="inlineStr">
        <is>
          <t>pieces</t>
        </is>
      </c>
      <c r="E515" t="n">
        <v>2</v>
      </c>
      <c r="F515" t="n">
        <v>193.8</v>
      </c>
      <c r="G515" t="n">
        <v>96.90000000000001</v>
      </c>
    </row>
    <row r="516">
      <c r="A516" t="n">
        <v>396</v>
      </c>
      <c r="B516" t="inlineStr">
        <is>
          <t>Star Anise</t>
        </is>
      </c>
      <c r="C516" t="inlineStr">
        <is>
          <t>Lipa Spices/pack/1000grams</t>
        </is>
      </c>
      <c r="D516" t="inlineStr">
        <is>
          <t>grams</t>
        </is>
      </c>
      <c r="E516" t="n">
        <v>500</v>
      </c>
      <c r="F516" t="n">
        <v>422.5</v>
      </c>
      <c r="G516" t="n">
        <v>0.845</v>
      </c>
    </row>
    <row r="517">
      <c r="A517" t="n">
        <v>396</v>
      </c>
      <c r="B517" t="inlineStr">
        <is>
          <t>Star Anise</t>
        </is>
      </c>
      <c r="C517" t="inlineStr"/>
      <c r="D517" t="inlineStr">
        <is>
          <t>grams</t>
        </is>
      </c>
      <c r="E517" t="n">
        <v>800</v>
      </c>
      <c r="F517" t="n">
        <v>280</v>
      </c>
      <c r="G517" t="n">
        <v>0.35</v>
      </c>
    </row>
    <row r="518">
      <c r="A518" t="n">
        <v>397</v>
      </c>
      <c r="B518" t="inlineStr">
        <is>
          <t>Star Margarine</t>
        </is>
      </c>
      <c r="C518" t="inlineStr"/>
      <c r="D518" t="inlineStr">
        <is>
          <t>pieces</t>
        </is>
      </c>
      <c r="E518" t="n">
        <v>33</v>
      </c>
      <c r="F518" t="n">
        <v>372.9</v>
      </c>
      <c r="G518" t="n">
        <v>11.3</v>
      </c>
    </row>
    <row r="519">
      <c r="A519" t="n">
        <v>398</v>
      </c>
      <c r="B519" t="inlineStr">
        <is>
          <t>Sting</t>
        </is>
      </c>
      <c r="C519" t="inlineStr">
        <is>
          <t>Pepsi/case (24pcsx320ml)</t>
        </is>
      </c>
      <c r="D519" t="inlineStr">
        <is>
          <t>pieces</t>
        </is>
      </c>
      <c r="E519" t="n">
        <v>373</v>
      </c>
      <c r="F519" t="n">
        <v>6878.120000000001</v>
      </c>
      <c r="G519" t="n">
        <v>18.44</v>
      </c>
    </row>
    <row r="520">
      <c r="A520" t="n">
        <v>399</v>
      </c>
      <c r="B520" t="inlineStr">
        <is>
          <t>Suga r- Refined</t>
        </is>
      </c>
      <c r="C520" t="inlineStr">
        <is>
          <t>Hermano/pack/1000grams</t>
        </is>
      </c>
      <c r="D520" t="inlineStr">
        <is>
          <t>grams</t>
        </is>
      </c>
      <c r="E520" t="n">
        <v>37000</v>
      </c>
      <c r="F520" t="n">
        <v>3189.4</v>
      </c>
      <c r="G520" t="n">
        <v>0.0862</v>
      </c>
    </row>
    <row r="521">
      <c r="A521" t="n">
        <v>400</v>
      </c>
      <c r="B521" t="inlineStr">
        <is>
          <t>Sugar</t>
        </is>
      </c>
      <c r="C521" t="inlineStr">
        <is>
          <t>Cilgar/pack (pcsx1gram)</t>
        </is>
      </c>
      <c r="D521" t="inlineStr">
        <is>
          <t>pieces</t>
        </is>
      </c>
      <c r="E521" t="n">
        <v>305</v>
      </c>
      <c r="F521" t="n">
        <v>396.5</v>
      </c>
      <c r="G521" t="n">
        <v>1.3</v>
      </c>
    </row>
    <row r="522">
      <c r="A522" t="n">
        <v>401</v>
      </c>
      <c r="B522" t="inlineStr">
        <is>
          <t>Sugar - Brown</t>
        </is>
      </c>
      <c r="C522" t="inlineStr">
        <is>
          <t>Hermano/pack/1000grams</t>
        </is>
      </c>
      <c r="D522" t="inlineStr">
        <is>
          <t>grams</t>
        </is>
      </c>
      <c r="E522" t="n">
        <v>38008</v>
      </c>
      <c r="F522" t="n">
        <v>3737.320000000001</v>
      </c>
      <c r="G522" t="n">
        <v>0.09832982529993688</v>
      </c>
    </row>
    <row r="523">
      <c r="A523" t="n">
        <v>402</v>
      </c>
      <c r="B523" t="inlineStr">
        <is>
          <t>Sugar - Brown Sachet</t>
        </is>
      </c>
      <c r="C523" t="inlineStr">
        <is>
          <t>My Everyday/sachet/5grams</t>
        </is>
      </c>
      <c r="D523" t="inlineStr">
        <is>
          <t>grams</t>
        </is>
      </c>
      <c r="E523" t="n">
        <v>2250</v>
      </c>
      <c r="F523" t="n">
        <v>540</v>
      </c>
      <c r="G523" t="n">
        <v>0.24</v>
      </c>
    </row>
    <row r="524">
      <c r="A524" t="n">
        <v>403</v>
      </c>
      <c r="B524" t="inlineStr">
        <is>
          <t>Sugar - Intense</t>
        </is>
      </c>
      <c r="C524" t="inlineStr">
        <is>
          <t>Injoy/pack/200grams</t>
        </is>
      </c>
      <c r="D524" t="inlineStr">
        <is>
          <t>grams</t>
        </is>
      </c>
      <c r="E524" t="n">
        <v>200</v>
      </c>
      <c r="F524" t="n">
        <v>37</v>
      </c>
      <c r="G524" t="n">
        <v>0.185</v>
      </c>
    </row>
    <row r="525">
      <c r="A525" t="n">
        <v>404</v>
      </c>
      <c r="B525" t="inlineStr">
        <is>
          <t>Sugar - Washed</t>
        </is>
      </c>
      <c r="C525" t="inlineStr">
        <is>
          <t>Hermano/pack/1000grams</t>
        </is>
      </c>
      <c r="D525" t="inlineStr">
        <is>
          <t>grams</t>
        </is>
      </c>
      <c r="E525" t="n">
        <v>71</v>
      </c>
      <c r="F525" t="n">
        <v>5702.719999999999</v>
      </c>
      <c r="G525" t="n">
        <v>80.31999999999999</v>
      </c>
    </row>
    <row r="526">
      <c r="A526" t="n">
        <v>405</v>
      </c>
      <c r="B526" t="inlineStr">
        <is>
          <t>Sugar - White</t>
        </is>
      </c>
      <c r="C526" t="inlineStr">
        <is>
          <t>Hermano/pack/1000grams</t>
        </is>
      </c>
      <c r="D526" t="inlineStr">
        <is>
          <t>grams</t>
        </is>
      </c>
      <c r="E526" t="n">
        <v>22</v>
      </c>
      <c r="F526" t="n">
        <v>1857.68</v>
      </c>
      <c r="G526" t="n">
        <v>84.44</v>
      </c>
    </row>
    <row r="527">
      <c r="A527" t="n">
        <v>406</v>
      </c>
      <c r="B527" t="inlineStr">
        <is>
          <t>Sugar - White Premuim</t>
        </is>
      </c>
      <c r="C527" t="inlineStr">
        <is>
          <t>Hermano/pack/1000grams</t>
        </is>
      </c>
      <c r="D527" t="inlineStr">
        <is>
          <t>grams</t>
        </is>
      </c>
      <c r="E527" t="n">
        <v>12000</v>
      </c>
      <c r="F527" t="n">
        <v>1176</v>
      </c>
      <c r="G527" t="n">
        <v>0.098</v>
      </c>
    </row>
    <row r="528">
      <c r="A528" t="n">
        <v>407</v>
      </c>
      <c r="B528" t="inlineStr">
        <is>
          <t>Table Napkin</t>
        </is>
      </c>
      <c r="C528" t="inlineStr">
        <is>
          <t>Everyday/pack by 1000s'</t>
        </is>
      </c>
      <c r="D528" t="inlineStr">
        <is>
          <t>packs</t>
        </is>
      </c>
      <c r="E528" t="n">
        <v>8</v>
      </c>
      <c r="F528" t="n">
        <v>420.16</v>
      </c>
      <c r="G528" t="n">
        <v>52.52</v>
      </c>
    </row>
    <row r="529">
      <c r="A529" t="n">
        <v>408</v>
      </c>
      <c r="B529" t="inlineStr">
        <is>
          <t>Table Napkin - Pre Cut</t>
        </is>
      </c>
      <c r="C529" t="inlineStr">
        <is>
          <t>Everyday/pack by 1000s'</t>
        </is>
      </c>
      <c r="D529" t="inlineStr">
        <is>
          <t>packs</t>
        </is>
      </c>
      <c r="E529" t="n">
        <v>3</v>
      </c>
      <c r="F529" t="n">
        <v>222</v>
      </c>
      <c r="G529" t="n">
        <v>74</v>
      </c>
    </row>
    <row r="530">
      <c r="A530" t="n">
        <v>409</v>
      </c>
      <c r="B530" t="inlineStr">
        <is>
          <t>Tanigue</t>
        </is>
      </c>
      <c r="C530" t="inlineStr"/>
      <c r="D530" t="inlineStr">
        <is>
          <t>grams</t>
        </is>
      </c>
      <c r="E530" t="n">
        <v>3000</v>
      </c>
      <c r="F530" t="n">
        <v>1320</v>
      </c>
      <c r="G530" t="n">
        <v>0.44</v>
      </c>
    </row>
    <row r="531">
      <c r="A531" t="n">
        <v>410</v>
      </c>
      <c r="B531" t="inlineStr">
        <is>
          <t>Tater Thins Crackers</t>
        </is>
      </c>
      <c r="C531" t="inlineStr">
        <is>
          <t>Oishi/packs/75grams</t>
        </is>
      </c>
      <c r="D531" t="inlineStr">
        <is>
          <t>pieces</t>
        </is>
      </c>
      <c r="E531" t="n">
        <v>6</v>
      </c>
      <c r="F531" t="n">
        <v>134.28</v>
      </c>
      <c r="G531" t="n">
        <v>22.38</v>
      </c>
    </row>
    <row r="532">
      <c r="A532" t="n">
        <v>411</v>
      </c>
      <c r="B532" t="inlineStr">
        <is>
          <t>Tater Thins Cucumber Snacks</t>
        </is>
      </c>
      <c r="C532" t="inlineStr"/>
      <c r="D532" t="inlineStr">
        <is>
          <t>pieces</t>
        </is>
      </c>
      <c r="E532" t="n">
        <v>30</v>
      </c>
      <c r="F532" t="n">
        <v>671.3499999999999</v>
      </c>
      <c r="G532" t="n">
        <v>22.37833333333333</v>
      </c>
    </row>
    <row r="533">
      <c r="A533" t="n">
        <v>412</v>
      </c>
      <c r="B533" t="inlineStr">
        <is>
          <t>Tempura</t>
        </is>
      </c>
      <c r="C533" t="inlineStr">
        <is>
          <t>Below Zero/box (24pcsx500ml)</t>
        </is>
      </c>
      <c r="D533" t="inlineStr">
        <is>
          <t>pieces</t>
        </is>
      </c>
      <c r="E533" t="n">
        <v>1001</v>
      </c>
      <c r="F533" t="n">
        <v>7507.5</v>
      </c>
      <c r="G533" t="n">
        <v>7.5</v>
      </c>
    </row>
    <row r="534">
      <c r="A534" t="n">
        <v>413</v>
      </c>
      <c r="B534" t="inlineStr">
        <is>
          <t>Tenga Daga</t>
        </is>
      </c>
      <c r="C534" t="inlineStr">
        <is>
          <t>pack/1000grams</t>
        </is>
      </c>
      <c r="D534" t="inlineStr">
        <is>
          <t>grams</t>
        </is>
      </c>
      <c r="E534" t="n">
        <v>250</v>
      </c>
      <c r="F534" t="n">
        <v>85</v>
      </c>
      <c r="G534" t="n">
        <v>0.34</v>
      </c>
    </row>
    <row r="535">
      <c r="A535" t="n">
        <v>413</v>
      </c>
      <c r="B535" t="inlineStr">
        <is>
          <t>Tenga Daga</t>
        </is>
      </c>
      <c r="C535" t="inlineStr"/>
      <c r="D535" t="inlineStr">
        <is>
          <t>grams</t>
        </is>
      </c>
      <c r="E535" t="n">
        <v>200</v>
      </c>
      <c r="F535" t="n">
        <v>130</v>
      </c>
      <c r="G535" t="n">
        <v>0.65</v>
      </c>
    </row>
    <row r="536">
      <c r="A536" t="n">
        <v>414</v>
      </c>
      <c r="B536" t="inlineStr">
        <is>
          <t>Tilapia</t>
        </is>
      </c>
      <c r="C536" t="inlineStr">
        <is>
          <t>Indicate ave weight/piece</t>
        </is>
      </c>
      <c r="D536" t="inlineStr">
        <is>
          <t>grams</t>
        </is>
      </c>
      <c r="E536" t="n">
        <v>4000</v>
      </c>
      <c r="F536" t="n">
        <v>592</v>
      </c>
      <c r="G536" t="n">
        <v>0.148</v>
      </c>
    </row>
    <row r="537">
      <c r="A537" t="n">
        <v>415</v>
      </c>
      <c r="B537" t="inlineStr">
        <is>
          <t>Tinapa</t>
        </is>
      </c>
      <c r="C537" t="inlineStr"/>
      <c r="D537" t="inlineStr">
        <is>
          <t>grams</t>
        </is>
      </c>
      <c r="E537" t="n">
        <v>4</v>
      </c>
      <c r="F537" t="n">
        <v>1280</v>
      </c>
      <c r="G537" t="n">
        <v>320</v>
      </c>
    </row>
    <row r="538">
      <c r="A538" t="n">
        <v>416</v>
      </c>
      <c r="B538" t="inlineStr">
        <is>
          <t>Tinapa Powder</t>
        </is>
      </c>
      <c r="C538" t="inlineStr"/>
      <c r="D538" t="inlineStr">
        <is>
          <t>grams</t>
        </is>
      </c>
      <c r="E538" t="n">
        <v>1001</v>
      </c>
      <c r="F538" t="n">
        <v>360</v>
      </c>
      <c r="G538" t="n">
        <v>0.3596403596403596</v>
      </c>
    </row>
    <row r="539">
      <c r="A539" t="n">
        <v>417</v>
      </c>
      <c r="B539" t="inlineStr">
        <is>
          <t>Tissue</t>
        </is>
      </c>
      <c r="C539" t="inlineStr">
        <is>
          <t>Femme</t>
        </is>
      </c>
      <c r="D539" t="inlineStr">
        <is>
          <t>pieces</t>
        </is>
      </c>
      <c r="E539" t="n">
        <v>30</v>
      </c>
      <c r="F539" t="n">
        <v>456</v>
      </c>
      <c r="G539" t="n">
        <v>15.2</v>
      </c>
    </row>
    <row r="540">
      <c r="A540" t="n">
        <v>417</v>
      </c>
      <c r="B540" t="inlineStr">
        <is>
          <t>Tissue</t>
        </is>
      </c>
      <c r="C540" t="inlineStr"/>
      <c r="D540" t="inlineStr">
        <is>
          <t>pieces</t>
        </is>
      </c>
      <c r="E540" t="n">
        <v>10</v>
      </c>
      <c r="F540" t="n">
        <v>635</v>
      </c>
      <c r="G540" t="n">
        <v>63.5</v>
      </c>
    </row>
    <row r="541">
      <c r="A541" t="n">
        <v>418</v>
      </c>
      <c r="B541" t="inlineStr">
        <is>
          <t>Tissue - Pre-cut</t>
        </is>
      </c>
      <c r="C541" t="inlineStr">
        <is>
          <t>Jade /pack/1000s'</t>
        </is>
      </c>
      <c r="D541" t="inlineStr">
        <is>
          <t>pieces</t>
        </is>
      </c>
      <c r="E541" t="n">
        <v>70</v>
      </c>
      <c r="F541" t="n">
        <v>3684.8</v>
      </c>
      <c r="G541" t="n">
        <v>52.64</v>
      </c>
    </row>
    <row r="542">
      <c r="A542" t="n">
        <v>419</v>
      </c>
      <c r="B542" t="inlineStr">
        <is>
          <t>Tissue Pre-cut</t>
        </is>
      </c>
      <c r="C542" t="inlineStr"/>
      <c r="D542" t="inlineStr">
        <is>
          <t>packs</t>
        </is>
      </c>
      <c r="E542" t="n">
        <v>55</v>
      </c>
      <c r="F542" t="n">
        <v>2860</v>
      </c>
      <c r="G542" t="n">
        <v>52</v>
      </c>
    </row>
    <row r="543">
      <c r="A543" t="n">
        <v>420</v>
      </c>
      <c r="B543" t="inlineStr">
        <is>
          <t>Togarashi</t>
        </is>
      </c>
      <c r="C543" t="inlineStr">
        <is>
          <t>S/B</t>
        </is>
      </c>
      <c r="D543" t="inlineStr">
        <is>
          <t>grams</t>
        </is>
      </c>
      <c r="E543" t="n">
        <v>300</v>
      </c>
      <c r="F543" t="n">
        <v>255</v>
      </c>
      <c r="G543" t="n">
        <v>0.85</v>
      </c>
    </row>
    <row r="544">
      <c r="A544" t="n">
        <v>421</v>
      </c>
      <c r="B544" t="inlineStr">
        <is>
          <t>Tomato Paste</t>
        </is>
      </c>
      <c r="C544" t="inlineStr">
        <is>
          <t>Del Monte/sachet/150grams</t>
        </is>
      </c>
      <c r="D544" t="inlineStr">
        <is>
          <t>grams</t>
        </is>
      </c>
      <c r="E544" t="n">
        <v>48</v>
      </c>
      <c r="F544" t="n">
        <v>1467.36</v>
      </c>
      <c r="G544" t="n">
        <v>30.57</v>
      </c>
    </row>
    <row r="545">
      <c r="A545" t="n">
        <v>421</v>
      </c>
      <c r="B545" t="inlineStr">
        <is>
          <t>Tomato Paste</t>
        </is>
      </c>
      <c r="C545" t="inlineStr"/>
      <c r="D545" t="inlineStr">
        <is>
          <t>grams</t>
        </is>
      </c>
      <c r="E545" t="n">
        <v>3450</v>
      </c>
      <c r="F545" t="n">
        <v>703.11</v>
      </c>
      <c r="G545" t="n">
        <v>0.2038</v>
      </c>
    </row>
    <row r="546">
      <c r="A546" t="n">
        <v>422</v>
      </c>
      <c r="B546" t="inlineStr">
        <is>
          <t>Tomato Sauce</t>
        </is>
      </c>
      <c r="C546" t="inlineStr">
        <is>
          <t>Ticman/gallon/3500ml</t>
        </is>
      </c>
      <c r="D546" t="inlineStr">
        <is>
          <t>gal</t>
        </is>
      </c>
      <c r="E546" t="n">
        <v>9</v>
      </c>
      <c r="F546" t="n">
        <v>1215</v>
      </c>
      <c r="G546" t="n">
        <v>135</v>
      </c>
    </row>
    <row r="547">
      <c r="A547" t="n">
        <v>422</v>
      </c>
      <c r="B547" t="inlineStr">
        <is>
          <t>Tomato Sauce</t>
        </is>
      </c>
      <c r="C547" t="inlineStr"/>
      <c r="D547" t="inlineStr">
        <is>
          <t>gal</t>
        </is>
      </c>
      <c r="E547" t="n">
        <v>14000</v>
      </c>
      <c r="F547" t="n">
        <v>540</v>
      </c>
      <c r="G547" t="n">
        <v>0.03857142857142857</v>
      </c>
    </row>
    <row r="548">
      <c r="A548" t="n">
        <v>423</v>
      </c>
      <c r="B548" t="inlineStr">
        <is>
          <t>Tonkatsu Sauce</t>
        </is>
      </c>
      <c r="C548" t="inlineStr">
        <is>
          <t>Bulldog/bottle</t>
        </is>
      </c>
      <c r="D548" t="inlineStr">
        <is>
          <t>grams</t>
        </is>
      </c>
      <c r="E548" t="n">
        <v>1800</v>
      </c>
      <c r="F548" t="n">
        <v>329.9999999999999</v>
      </c>
      <c r="G548" t="n">
        <v>0.1833333333333333</v>
      </c>
    </row>
    <row r="549">
      <c r="A549" t="n">
        <v>423</v>
      </c>
      <c r="B549" t="inlineStr">
        <is>
          <t>Tonkatsu Sauce</t>
        </is>
      </c>
      <c r="C549" t="inlineStr"/>
      <c r="D549" t="inlineStr">
        <is>
          <t>grams</t>
        </is>
      </c>
      <c r="E549" t="n">
        <v>500</v>
      </c>
      <c r="F549" t="n">
        <v>105.2777777777778</v>
      </c>
      <c r="G549" t="n">
        <v>0.2105555555555556</v>
      </c>
    </row>
    <row r="550">
      <c r="A550" t="n">
        <v>424</v>
      </c>
      <c r="B550" t="inlineStr">
        <is>
          <t>Toothbrush</t>
        </is>
      </c>
      <c r="C550" t="inlineStr">
        <is>
          <t>Colgate/66g</t>
        </is>
      </c>
      <c r="D550" t="inlineStr">
        <is>
          <t>pieces</t>
        </is>
      </c>
      <c r="E550" t="n">
        <v>4</v>
      </c>
      <c r="F550" t="n">
        <v>272.4</v>
      </c>
      <c r="G550" t="n">
        <v>68.09999999999999</v>
      </c>
    </row>
    <row r="551">
      <c r="A551" t="n">
        <v>424</v>
      </c>
      <c r="B551" t="inlineStr">
        <is>
          <t>Toothbrush</t>
        </is>
      </c>
      <c r="C551" t="inlineStr">
        <is>
          <t>Colgate/classic/adult</t>
        </is>
      </c>
      <c r="D551" t="inlineStr">
        <is>
          <t>pieces</t>
        </is>
      </c>
      <c r="E551" t="n">
        <v>198</v>
      </c>
      <c r="F551" t="n">
        <v>3663</v>
      </c>
      <c r="G551" t="n">
        <v>18.5</v>
      </c>
    </row>
    <row r="552">
      <c r="A552" t="n">
        <v>424</v>
      </c>
      <c r="B552" t="inlineStr">
        <is>
          <t>Toothbrush</t>
        </is>
      </c>
      <c r="C552" t="inlineStr"/>
      <c r="D552" t="inlineStr">
        <is>
          <t>pieces</t>
        </is>
      </c>
      <c r="E552" t="n">
        <v>5</v>
      </c>
      <c r="F552" t="n">
        <v>171</v>
      </c>
      <c r="G552" t="n">
        <v>34.2</v>
      </c>
    </row>
    <row r="553">
      <c r="A553" t="n">
        <v>425</v>
      </c>
      <c r="B553" t="inlineStr">
        <is>
          <t>Toothpaste</t>
        </is>
      </c>
      <c r="C553" t="inlineStr">
        <is>
          <t>Coca-Cola/case (12x290ml)</t>
        </is>
      </c>
      <c r="D553" t="inlineStr">
        <is>
          <t>pieces</t>
        </is>
      </c>
      <c r="E553" t="n">
        <v>48</v>
      </c>
      <c r="F553" t="n">
        <v>774.72</v>
      </c>
      <c r="G553" t="n">
        <v>16.14</v>
      </c>
    </row>
    <row r="554">
      <c r="A554" t="n">
        <v>425</v>
      </c>
      <c r="B554" t="inlineStr">
        <is>
          <t>Toothpaste</t>
        </is>
      </c>
      <c r="C554" t="inlineStr">
        <is>
          <t>Unique/tube/50ml</t>
        </is>
      </c>
      <c r="D554" t="inlineStr">
        <is>
          <t>pieces</t>
        </is>
      </c>
      <c r="E554" t="n">
        <v>21</v>
      </c>
      <c r="F554" t="n">
        <v>525.63</v>
      </c>
      <c r="G554" t="n">
        <v>25.03</v>
      </c>
    </row>
    <row r="555">
      <c r="A555" t="n">
        <v>425</v>
      </c>
      <c r="B555" t="inlineStr">
        <is>
          <t>Toothpaste</t>
        </is>
      </c>
      <c r="C555" t="inlineStr">
        <is>
          <t>Unique/tube/150ml</t>
        </is>
      </c>
      <c r="D555" t="inlineStr">
        <is>
          <t>pieces</t>
        </is>
      </c>
      <c r="E555" t="n">
        <v>2</v>
      </c>
      <c r="F555" t="n">
        <v>114.82</v>
      </c>
      <c r="G555" t="n">
        <v>57.41</v>
      </c>
    </row>
    <row r="556">
      <c r="A556" t="n">
        <v>425</v>
      </c>
      <c r="B556" t="inlineStr">
        <is>
          <t>Toothpaste</t>
        </is>
      </c>
      <c r="C556" t="inlineStr">
        <is>
          <t>Close-Up/twinpack/20g</t>
        </is>
      </c>
      <c r="D556" t="inlineStr">
        <is>
          <t>pieces</t>
        </is>
      </c>
      <c r="E556" t="n">
        <v>343</v>
      </c>
      <c r="F556" t="n">
        <v>2572.5</v>
      </c>
      <c r="G556" t="n">
        <v>7.5</v>
      </c>
    </row>
    <row r="557">
      <c r="A557" t="n">
        <v>425</v>
      </c>
      <c r="B557" t="inlineStr">
        <is>
          <t>Toothpaste</t>
        </is>
      </c>
      <c r="C557" t="inlineStr"/>
      <c r="D557" t="inlineStr">
        <is>
          <t>pieces</t>
        </is>
      </c>
      <c r="E557" t="n">
        <v>14</v>
      </c>
      <c r="F557" t="n">
        <v>833</v>
      </c>
      <c r="G557" t="n">
        <v>59.5</v>
      </c>
    </row>
    <row r="558">
      <c r="A558" t="n">
        <v>426</v>
      </c>
      <c r="B558" t="inlineStr">
        <is>
          <t>Toothpick</t>
        </is>
      </c>
      <c r="C558" t="inlineStr">
        <is>
          <t>pack by 100's</t>
        </is>
      </c>
      <c r="D558" t="inlineStr">
        <is>
          <t>packs</t>
        </is>
      </c>
      <c r="E558" t="n">
        <v>6</v>
      </c>
      <c r="F558" t="n">
        <v>90</v>
      </c>
      <c r="G558" t="n">
        <v>15</v>
      </c>
    </row>
    <row r="559">
      <c r="A559" t="n">
        <v>427</v>
      </c>
      <c r="B559" t="inlineStr">
        <is>
          <t>Tops</t>
        </is>
      </c>
      <c r="C559" t="inlineStr">
        <is>
          <t>Suncrest Food/pack (10pcsx34grams)</t>
        </is>
      </c>
      <c r="D559" t="inlineStr">
        <is>
          <t>pieces</t>
        </is>
      </c>
      <c r="E559" t="n">
        <v>100</v>
      </c>
      <c r="F559" t="n">
        <v>739</v>
      </c>
      <c r="G559" t="n">
        <v>7.39</v>
      </c>
    </row>
    <row r="560">
      <c r="A560" t="n">
        <v>428</v>
      </c>
      <c r="B560" t="inlineStr">
        <is>
          <t>Tortillos - BBQ</t>
        </is>
      </c>
      <c r="C560" t="inlineStr">
        <is>
          <t>Granny Goose/box(50pcsx100grams)</t>
        </is>
      </c>
      <c r="D560" t="inlineStr">
        <is>
          <t>pieces</t>
        </is>
      </c>
      <c r="E560" t="n">
        <v>50</v>
      </c>
      <c r="F560" t="n">
        <v>1218.5</v>
      </c>
      <c r="G560" t="n">
        <v>24.37</v>
      </c>
    </row>
    <row r="561">
      <c r="A561" t="n">
        <v>429</v>
      </c>
      <c r="B561" t="inlineStr">
        <is>
          <t>Tortillos Cheese</t>
        </is>
      </c>
      <c r="C561" t="inlineStr">
        <is>
          <t>Granny Goose/box(50pcsx72grams)</t>
        </is>
      </c>
      <c r="D561" t="inlineStr">
        <is>
          <t>pieces</t>
        </is>
      </c>
      <c r="E561" t="n">
        <v>11</v>
      </c>
      <c r="F561" t="n">
        <v>360.47</v>
      </c>
      <c r="G561" t="n">
        <v>32.77</v>
      </c>
    </row>
    <row r="562">
      <c r="A562" t="n">
        <v>430</v>
      </c>
      <c r="B562" t="inlineStr">
        <is>
          <t>Trash Bag Black</t>
        </is>
      </c>
      <c r="C562" t="inlineStr"/>
      <c r="D562" t="inlineStr">
        <is>
          <t>pieces</t>
        </is>
      </c>
      <c r="E562" t="n">
        <v>100</v>
      </c>
      <c r="F562" t="n">
        <v>580</v>
      </c>
      <c r="G562" t="n">
        <v>5.8</v>
      </c>
    </row>
    <row r="563">
      <c r="A563" t="n">
        <v>430</v>
      </c>
      <c r="B563" t="inlineStr">
        <is>
          <t>Trash Bag Black</t>
        </is>
      </c>
      <c r="C563" t="inlineStr">
        <is>
          <t>Superb/rollx10pcs/XXL</t>
        </is>
      </c>
      <c r="D563" t="inlineStr">
        <is>
          <t>roll</t>
        </is>
      </c>
      <c r="E563" t="n">
        <v>58</v>
      </c>
      <c r="F563" t="n">
        <v>3713.16</v>
      </c>
      <c r="G563" t="n">
        <v>64.02</v>
      </c>
    </row>
    <row r="564">
      <c r="A564" t="n">
        <v>431</v>
      </c>
      <c r="B564" t="inlineStr">
        <is>
          <t>Trash Bag xl-White</t>
        </is>
      </c>
      <c r="C564" t="inlineStr"/>
      <c r="D564" t="inlineStr">
        <is>
          <t>roll</t>
        </is>
      </c>
      <c r="E564" t="n">
        <v>1</v>
      </c>
      <c r="F564" t="n">
        <v>508.05</v>
      </c>
      <c r="G564" t="n">
        <v>508.05</v>
      </c>
    </row>
    <row r="565">
      <c r="A565" t="n">
        <v>432</v>
      </c>
      <c r="B565" t="inlineStr">
        <is>
          <t>Trash Bag xxl-Black</t>
        </is>
      </c>
      <c r="C565" t="inlineStr"/>
      <c r="D565" t="inlineStr">
        <is>
          <t>pieces</t>
        </is>
      </c>
      <c r="E565" t="n">
        <v>1</v>
      </c>
      <c r="F565" t="n">
        <v>629.7</v>
      </c>
      <c r="G565" t="n">
        <v>629.7</v>
      </c>
    </row>
    <row r="566">
      <c r="A566" t="n">
        <v>433</v>
      </c>
      <c r="B566" t="inlineStr">
        <is>
          <t>Trash Bag xxl-White</t>
        </is>
      </c>
      <c r="C566" t="inlineStr"/>
      <c r="D566" t="inlineStr">
        <is>
          <t>roll</t>
        </is>
      </c>
      <c r="E566" t="n">
        <v>1</v>
      </c>
      <c r="F566" t="n">
        <v>668</v>
      </c>
      <c r="G566" t="n">
        <v>668</v>
      </c>
    </row>
    <row r="567">
      <c r="A567" t="n">
        <v>434</v>
      </c>
      <c r="B567" t="inlineStr">
        <is>
          <t>Tuna Afritada</t>
        </is>
      </c>
      <c r="C567" t="inlineStr"/>
      <c r="D567" t="inlineStr">
        <is>
          <t>pieces</t>
        </is>
      </c>
      <c r="E567" t="n">
        <v>50</v>
      </c>
      <c r="F567" t="n">
        <v>1341</v>
      </c>
      <c r="G567" t="n">
        <v>26.82</v>
      </c>
    </row>
    <row r="568">
      <c r="A568" t="n">
        <v>435</v>
      </c>
      <c r="B568" t="inlineStr">
        <is>
          <t>Tuna Flakes in Oil</t>
        </is>
      </c>
      <c r="C568" t="inlineStr">
        <is>
          <t>Maya/box/500grams</t>
        </is>
      </c>
      <c r="D568" t="inlineStr">
        <is>
          <t>grams</t>
        </is>
      </c>
      <c r="E568" t="n">
        <v>7000</v>
      </c>
      <c r="F568" t="n">
        <v>803.6</v>
      </c>
      <c r="G568" t="n">
        <v>0.1148</v>
      </c>
    </row>
    <row r="569">
      <c r="A569" t="n">
        <v>435</v>
      </c>
      <c r="B569" t="inlineStr">
        <is>
          <t>Tuna Flakes in Oil</t>
        </is>
      </c>
      <c r="C569" t="inlineStr">
        <is>
          <t>Century/can420grams</t>
        </is>
      </c>
      <c r="D569" t="inlineStr">
        <is>
          <t>grams</t>
        </is>
      </c>
      <c r="E569" t="n">
        <v>2520</v>
      </c>
      <c r="F569" t="n">
        <v>580.1999999999998</v>
      </c>
      <c r="G569" t="n">
        <v>0.2302380952380952</v>
      </c>
    </row>
    <row r="570">
      <c r="A570" t="n">
        <v>436</v>
      </c>
      <c r="B570" t="inlineStr">
        <is>
          <t>Tuna Loin</t>
        </is>
      </c>
      <c r="C570" t="inlineStr"/>
      <c r="D570" t="inlineStr">
        <is>
          <t>grams</t>
        </is>
      </c>
      <c r="E570" t="n">
        <v>2000</v>
      </c>
      <c r="F570" t="n">
        <v>880</v>
      </c>
      <c r="G570" t="n">
        <v>0.44</v>
      </c>
    </row>
    <row r="571">
      <c r="A571" t="n">
        <v>437</v>
      </c>
      <c r="B571" t="inlineStr">
        <is>
          <t>Upo</t>
        </is>
      </c>
      <c r="C571" t="inlineStr">
        <is>
          <t>Fresh</t>
        </is>
      </c>
      <c r="D571" t="inlineStr">
        <is>
          <t>grams</t>
        </is>
      </c>
      <c r="E571" t="n">
        <v>7</v>
      </c>
      <c r="F571" t="n">
        <v>345</v>
      </c>
      <c r="G571" t="n">
        <v>49.28571428571428</v>
      </c>
    </row>
    <row r="572">
      <c r="A572" t="n">
        <v>438</v>
      </c>
      <c r="B572" t="inlineStr">
        <is>
          <t>Vanilla Flavor</t>
        </is>
      </c>
      <c r="C572" t="inlineStr">
        <is>
          <t>Orion/bottle/375ml</t>
        </is>
      </c>
      <c r="D572" t="inlineStr">
        <is>
          <t>ml</t>
        </is>
      </c>
      <c r="E572" t="n">
        <v>4</v>
      </c>
      <c r="F572" t="n">
        <v>200</v>
      </c>
      <c r="G572" t="n">
        <v>50</v>
      </c>
    </row>
    <row r="573">
      <c r="A573" t="n">
        <v>439</v>
      </c>
      <c r="B573" t="inlineStr">
        <is>
          <t>Vienna Sausage</t>
        </is>
      </c>
      <c r="C573" t="inlineStr">
        <is>
          <t>Argentina/can/260grams</t>
        </is>
      </c>
      <c r="D573" t="inlineStr">
        <is>
          <t>drained weight grams</t>
        </is>
      </c>
      <c r="E573" t="n">
        <v>2860</v>
      </c>
      <c r="F573" t="n">
        <v>547.7999999999998</v>
      </c>
      <c r="G573" t="n">
        <v>0.1915384615384615</v>
      </c>
    </row>
    <row r="574">
      <c r="A574" t="n">
        <v>439</v>
      </c>
      <c r="B574" t="inlineStr">
        <is>
          <t>Vienna Sausage</t>
        </is>
      </c>
      <c r="C574" t="inlineStr">
        <is>
          <t>Argentina/can/260grams/155drained weight</t>
        </is>
      </c>
      <c r="D574" t="inlineStr">
        <is>
          <t>drained weight grams</t>
        </is>
      </c>
      <c r="E574" t="n">
        <v>19</v>
      </c>
      <c r="F574" t="n">
        <v>948.48</v>
      </c>
      <c r="G574" t="n">
        <v>49.92</v>
      </c>
    </row>
    <row r="575">
      <c r="A575" t="n">
        <v>440</v>
      </c>
      <c r="B575" t="inlineStr">
        <is>
          <t>Vinegar</t>
        </is>
      </c>
      <c r="C575" t="inlineStr">
        <is>
          <t>Ticman/gallon/3500ml</t>
        </is>
      </c>
      <c r="D575" t="inlineStr">
        <is>
          <t>ml</t>
        </is>
      </c>
      <c r="E575" t="n">
        <v>15</v>
      </c>
      <c r="F575" t="n">
        <v>1050</v>
      </c>
      <c r="G575" t="n">
        <v>70</v>
      </c>
    </row>
    <row r="576">
      <c r="A576" t="n">
        <v>440</v>
      </c>
      <c r="B576" t="inlineStr">
        <is>
          <t>Vinegar</t>
        </is>
      </c>
      <c r="C576" t="inlineStr">
        <is>
          <t>Ticman/gallon/3500ml</t>
        </is>
      </c>
      <c r="D576" t="inlineStr">
        <is>
          <t>gal</t>
        </is>
      </c>
      <c r="E576" t="n">
        <v>30</v>
      </c>
      <c r="F576" t="n">
        <v>2100</v>
      </c>
      <c r="G576" t="n">
        <v>70</v>
      </c>
    </row>
    <row r="577">
      <c r="A577" t="n">
        <v>440</v>
      </c>
      <c r="B577" t="inlineStr">
        <is>
          <t>Vinegar</t>
        </is>
      </c>
      <c r="C577" t="inlineStr"/>
      <c r="D577" t="inlineStr">
        <is>
          <t>gal</t>
        </is>
      </c>
      <c r="E577" t="n">
        <v>5</v>
      </c>
      <c r="F577" t="n">
        <v>350</v>
      </c>
      <c r="G577" t="n">
        <v>70</v>
      </c>
    </row>
    <row r="578">
      <c r="A578" t="n">
        <v>440</v>
      </c>
      <c r="B578" t="inlineStr">
        <is>
          <t>Vinegar</t>
        </is>
      </c>
      <c r="C578" t="inlineStr"/>
      <c r="D578" t="inlineStr">
        <is>
          <t>grams</t>
        </is>
      </c>
      <c r="E578" t="n">
        <v>1000</v>
      </c>
      <c r="F578" t="n">
        <v>191.1111111111111</v>
      </c>
      <c r="G578" t="n">
        <v>0.1911111111111111</v>
      </c>
    </row>
    <row r="579">
      <c r="A579" t="n">
        <v>441</v>
      </c>
      <c r="B579" t="inlineStr">
        <is>
          <t>Wafertime</t>
        </is>
      </c>
      <c r="C579" t="inlineStr">
        <is>
          <t>Rebisco (10pcsxgrams)</t>
        </is>
      </c>
      <c r="D579" t="inlineStr">
        <is>
          <t>pieces</t>
        </is>
      </c>
      <c r="E579" t="n">
        <v>240</v>
      </c>
      <c r="F579" t="n">
        <v>1687.2</v>
      </c>
      <c r="G579" t="n">
        <v>7.03</v>
      </c>
    </row>
    <row r="580">
      <c r="A580" t="n">
        <v>442</v>
      </c>
      <c r="B580" t="inlineStr">
        <is>
          <t>Wakame</t>
        </is>
      </c>
      <c r="C580" t="inlineStr"/>
      <c r="D580" t="inlineStr">
        <is>
          <t>grams</t>
        </is>
      </c>
      <c r="E580" t="n">
        <v>1500</v>
      </c>
      <c r="F580" t="n">
        <v>1396</v>
      </c>
      <c r="G580" t="n">
        <v>0.9306666666666666</v>
      </c>
    </row>
    <row r="581">
      <c r="A581" t="n">
        <v>442</v>
      </c>
      <c r="B581" t="inlineStr">
        <is>
          <t>Wakame</t>
        </is>
      </c>
      <c r="C581" t="inlineStr">
        <is>
          <t>grams</t>
        </is>
      </c>
      <c r="D581" t="inlineStr">
        <is>
          <t>grams</t>
        </is>
      </c>
      <c r="E581" t="n">
        <v>2</v>
      </c>
      <c r="F581" t="n">
        <v>376</v>
      </c>
      <c r="G581" t="n">
        <v>188</v>
      </c>
    </row>
    <row r="582">
      <c r="A582" t="n">
        <v>443</v>
      </c>
      <c r="B582" t="inlineStr">
        <is>
          <t>White Beans</t>
        </is>
      </c>
      <c r="C582" t="inlineStr">
        <is>
          <t>Amparos/pack/500grams</t>
        </is>
      </c>
      <c r="D582" t="inlineStr">
        <is>
          <t>grams</t>
        </is>
      </c>
      <c r="E582" t="n">
        <v>400</v>
      </c>
      <c r="F582" t="n">
        <v>90</v>
      </c>
      <c r="G582" t="n">
        <v>0.225</v>
      </c>
    </row>
    <row r="583">
      <c r="A583" t="n">
        <v>444</v>
      </c>
      <c r="B583" t="inlineStr">
        <is>
          <t>Whole Corn Kernel</t>
        </is>
      </c>
      <c r="C583" t="inlineStr"/>
      <c r="D583" t="inlineStr">
        <is>
          <t>grams</t>
        </is>
      </c>
      <c r="E583" t="n">
        <v>4000</v>
      </c>
      <c r="F583" t="n">
        <v>643.2</v>
      </c>
      <c r="G583" t="n">
        <v>0.1608</v>
      </c>
    </row>
    <row r="584">
      <c r="A584" t="n">
        <v>445</v>
      </c>
      <c r="B584" t="inlineStr">
        <is>
          <t>Whoopie Marshmallow Cake - Strawberry</t>
        </is>
      </c>
      <c r="C584" t="inlineStr">
        <is>
          <t>Suncrest Food/pack(10pcsx32grams)</t>
        </is>
      </c>
      <c r="D584" t="inlineStr">
        <is>
          <t>pieces</t>
        </is>
      </c>
      <c r="E584" t="n">
        <v>150</v>
      </c>
      <c r="F584" t="n">
        <v>1333.5</v>
      </c>
      <c r="G584" t="n">
        <v>8.890000000000001</v>
      </c>
    </row>
    <row r="585">
      <c r="A585" t="n">
        <v>446</v>
      </c>
      <c r="B585" t="inlineStr">
        <is>
          <t>Wooden Fork</t>
        </is>
      </c>
      <c r="C585" t="inlineStr">
        <is>
          <t>Versa/pack by 25s'</t>
        </is>
      </c>
      <c r="D585" t="inlineStr">
        <is>
          <t>packs</t>
        </is>
      </c>
      <c r="E585" t="n">
        <v>1</v>
      </c>
      <c r="F585" t="n">
        <v>22</v>
      </c>
      <c r="G585" t="n">
        <v>22</v>
      </c>
    </row>
    <row r="586">
      <c r="A586" t="n">
        <v>447</v>
      </c>
      <c r="B586" t="inlineStr">
        <is>
          <t>Wooden Spoon</t>
        </is>
      </c>
      <c r="C586" t="inlineStr">
        <is>
          <t>Versa/pack by 25s'</t>
        </is>
      </c>
      <c r="D586" t="inlineStr">
        <is>
          <t>packs</t>
        </is>
      </c>
      <c r="E586" t="n">
        <v>1</v>
      </c>
      <c r="F586" t="n">
        <v>22</v>
      </c>
      <c r="G586" t="n">
        <v>22</v>
      </c>
    </row>
    <row r="587">
      <c r="A587" t="n">
        <v>448</v>
      </c>
      <c r="B587" t="inlineStr">
        <is>
          <t>Worcestireshire Sauce</t>
        </is>
      </c>
      <c r="C587" t="inlineStr">
        <is>
          <t>Lea &amp; Perrins/bottle/270</t>
        </is>
      </c>
      <c r="D587" t="inlineStr">
        <is>
          <t>grams</t>
        </is>
      </c>
      <c r="E587" t="n">
        <v>270</v>
      </c>
      <c r="F587" t="n">
        <v>247.9</v>
      </c>
      <c r="G587" t="n">
        <v>0.9181481481481482</v>
      </c>
    </row>
    <row r="588">
      <c r="A588" t="n">
        <v>449</v>
      </c>
      <c r="B588" t="inlineStr">
        <is>
          <t>Yellow Label Tea</t>
        </is>
      </c>
      <c r="C588" t="inlineStr"/>
      <c r="D588" t="inlineStr">
        <is>
          <t>pieces</t>
        </is>
      </c>
      <c r="E588" t="n">
        <v>108</v>
      </c>
      <c r="F588" t="n">
        <v>412.56</v>
      </c>
      <c r="G588" t="n">
        <v>3.82</v>
      </c>
    </row>
    <row r="589">
      <c r="A589" t="n">
        <v>450</v>
      </c>
      <c r="B589" t="inlineStr">
        <is>
          <t>Young Corn Cuts</t>
        </is>
      </c>
      <c r="C589" t="inlineStr"/>
      <c r="D589" t="inlineStr">
        <is>
          <t>grams</t>
        </is>
      </c>
      <c r="E589" t="n">
        <v>200</v>
      </c>
      <c r="F589" t="n">
        <v>53.8</v>
      </c>
      <c r="G589" t="n">
        <v>0.269</v>
      </c>
    </row>
    <row r="590">
      <c r="A590" t="n">
        <v>451</v>
      </c>
      <c r="B590" t="inlineStr">
        <is>
          <t>Zesto Big Apple</t>
        </is>
      </c>
      <c r="C590" t="inlineStr"/>
      <c r="D590" t="inlineStr">
        <is>
          <t>pieces</t>
        </is>
      </c>
      <c r="E590" t="n">
        <v>10</v>
      </c>
      <c r="F590" t="n">
        <v>88.59999999999999</v>
      </c>
      <c r="G590" t="n">
        <v>8.859999999999999</v>
      </c>
    </row>
    <row r="591">
      <c r="A591" t="n">
        <v>452</v>
      </c>
      <c r="B591" t="inlineStr">
        <is>
          <t>Zesto Big Orange</t>
        </is>
      </c>
      <c r="C591" t="inlineStr"/>
      <c r="D591" t="inlineStr">
        <is>
          <t>pieces</t>
        </is>
      </c>
      <c r="E591" t="n">
        <v>29</v>
      </c>
      <c r="F591" t="n">
        <v>256.94</v>
      </c>
      <c r="G591" t="n">
        <v>8.859999999999999</v>
      </c>
    </row>
    <row r="592">
      <c r="A592" t="n">
        <v>453</v>
      </c>
      <c r="B592" t="inlineStr">
        <is>
          <t>Zesto Big PineApple</t>
        </is>
      </c>
      <c r="C592" t="inlineStr"/>
      <c r="D592" t="inlineStr">
        <is>
          <t>pieces</t>
        </is>
      </c>
      <c r="E592" t="n">
        <v>20</v>
      </c>
      <c r="F592" t="n">
        <v>177.2</v>
      </c>
      <c r="G592" t="n">
        <v>8.859999999999999</v>
      </c>
    </row>
    <row r="593">
      <c r="A593" t="n">
        <v>454</v>
      </c>
      <c r="B593" t="inlineStr">
        <is>
          <t>3in1 Coffee</t>
        </is>
      </c>
      <c r="C593" t="inlineStr">
        <is>
          <t>Kopiko - Blanca</t>
        </is>
      </c>
      <c r="D593" t="inlineStr">
        <is>
          <t>grams</t>
        </is>
      </c>
      <c r="E593" t="n">
        <v>249</v>
      </c>
      <c r="F593" t="n">
        <v>2094.58</v>
      </c>
      <c r="G593" t="n">
        <v>8.411967871485944</v>
      </c>
    </row>
    <row r="594">
      <c r="A594" t="n">
        <v>454</v>
      </c>
      <c r="B594" t="inlineStr">
        <is>
          <t>3in1 Coffee</t>
        </is>
      </c>
      <c r="C594" t="inlineStr">
        <is>
          <t>Kopiko - Brown</t>
        </is>
      </c>
      <c r="D594" t="inlineStr">
        <is>
          <t>grams</t>
        </is>
      </c>
      <c r="E594" t="n">
        <v>44</v>
      </c>
      <c r="F594" t="n">
        <v>355.92</v>
      </c>
      <c r="G594" t="n">
        <v>8.08909090909091</v>
      </c>
    </row>
    <row r="595">
      <c r="A595" t="n">
        <v>454</v>
      </c>
      <c r="B595" t="inlineStr">
        <is>
          <t>3in1 Coffee</t>
        </is>
      </c>
      <c r="C595" t="inlineStr">
        <is>
          <t>Kopiko - L.A. Coffee</t>
        </is>
      </c>
      <c r="D595" t="inlineStr">
        <is>
          <t>grams</t>
        </is>
      </c>
      <c r="E595" t="n">
        <v>7</v>
      </c>
      <c r="F595" t="n">
        <v>58.9</v>
      </c>
      <c r="G595" t="n">
        <v>8.414285714285715</v>
      </c>
    </row>
    <row r="596">
      <c r="A596" t="n">
        <v>454</v>
      </c>
      <c r="B596" t="inlineStr">
        <is>
          <t>3in1 Coffee</t>
        </is>
      </c>
      <c r="C596" t="inlineStr">
        <is>
          <t>Nestle - Nescafe Original</t>
        </is>
      </c>
      <c r="D596" t="inlineStr">
        <is>
          <t>grams</t>
        </is>
      </c>
      <c r="E596" t="n">
        <v>919</v>
      </c>
      <c r="F596" t="n">
        <v>7038.15</v>
      </c>
      <c r="G596" t="n">
        <v>7.658487486398259</v>
      </c>
    </row>
    <row r="597">
      <c r="A597" t="n">
        <v>454</v>
      </c>
      <c r="B597" t="inlineStr">
        <is>
          <t>3in1 Coffee</t>
        </is>
      </c>
      <c r="C597" t="inlineStr">
        <is>
          <t>Nestle - Nescafe Creamy White</t>
        </is>
      </c>
      <c r="D597" t="inlineStr">
        <is>
          <t>grams</t>
        </is>
      </c>
      <c r="E597" t="n">
        <v>561</v>
      </c>
      <c r="F597" t="n">
        <v>5004.17</v>
      </c>
      <c r="G597" t="n">
        <v>8.920089126559715</v>
      </c>
    </row>
    <row r="598">
      <c r="A598" t="n">
        <v>454</v>
      </c>
      <c r="B598" t="inlineStr">
        <is>
          <t>3in1 Coffee</t>
        </is>
      </c>
      <c r="C598" t="inlineStr">
        <is>
          <t>Nestle - Nescafe Creamylatte</t>
        </is>
      </c>
      <c r="D598" t="inlineStr">
        <is>
          <t>grams</t>
        </is>
      </c>
      <c r="E598" t="n">
        <v>62</v>
      </c>
      <c r="F598" t="n">
        <v>861.8000000000001</v>
      </c>
      <c r="G598" t="n">
        <v>13.9</v>
      </c>
    </row>
    <row r="599">
      <c r="A599" t="n">
        <v>454</v>
      </c>
      <c r="B599" t="inlineStr">
        <is>
          <t>3in1 Coffee</t>
        </is>
      </c>
      <c r="C599" t="inlineStr">
        <is>
          <t>Nestle - Nescafe Creamylatte twin</t>
        </is>
      </c>
      <c r="D599" t="inlineStr">
        <is>
          <t>grams</t>
        </is>
      </c>
      <c r="E599" t="n">
        <v>270</v>
      </c>
      <c r="F599" t="n">
        <v>3253.95</v>
      </c>
      <c r="G599" t="n">
        <v>12.05166666666667</v>
      </c>
    </row>
    <row r="600">
      <c r="A600" t="n">
        <v>454</v>
      </c>
      <c r="B600" t="inlineStr">
        <is>
          <t>3in1 Coffee</t>
        </is>
      </c>
      <c r="C600" t="inlineStr">
        <is>
          <t>San Mig Coffee - Original</t>
        </is>
      </c>
      <c r="D600" t="inlineStr">
        <is>
          <t>grams</t>
        </is>
      </c>
      <c r="E600" t="n">
        <v>2</v>
      </c>
      <c r="F600" t="n">
        <v>14.74</v>
      </c>
      <c r="G600" t="n">
        <v>7.37</v>
      </c>
    </row>
    <row r="601">
      <c r="A601" t="n">
        <v>3</v>
      </c>
      <c r="B601" t="inlineStr">
        <is>
          <t>Alamang</t>
        </is>
      </c>
      <c r="C601" t="inlineStr"/>
      <c r="D601" t="inlineStr">
        <is>
          <t>kilos</t>
        </is>
      </c>
      <c r="E601" t="n">
        <v>8</v>
      </c>
      <c r="F601" t="n">
        <v>510</v>
      </c>
      <c r="G601" t="n">
        <v>63.75</v>
      </c>
    </row>
    <row r="602">
      <c r="A602" t="n">
        <v>5</v>
      </c>
      <c r="B602" t="inlineStr">
        <is>
          <t>All Purpose Cream</t>
        </is>
      </c>
      <c r="C602" t="inlineStr">
        <is>
          <t>Nestle</t>
        </is>
      </c>
      <c r="D602" t="inlineStr">
        <is>
          <t>ml</t>
        </is>
      </c>
      <c r="E602" t="n">
        <v>97</v>
      </c>
      <c r="F602" t="n">
        <v>6691.76</v>
      </c>
      <c r="G602" t="n">
        <v>68.98721649484537</v>
      </c>
    </row>
    <row r="603">
      <c r="A603" t="n">
        <v>6</v>
      </c>
      <c r="B603" t="inlineStr">
        <is>
          <t>All Purpose Dressing</t>
        </is>
      </c>
      <c r="C603" t="inlineStr">
        <is>
          <t>Best Foods</t>
        </is>
      </c>
      <c r="D603" t="inlineStr">
        <is>
          <t>ml</t>
        </is>
      </c>
      <c r="E603" t="n">
        <v>4</v>
      </c>
      <c r="F603" t="n">
        <v>1682.4</v>
      </c>
      <c r="G603" t="n">
        <v>420.6</v>
      </c>
    </row>
    <row r="604">
      <c r="A604" t="n">
        <v>7</v>
      </c>
      <c r="B604" t="inlineStr">
        <is>
          <t>All Purpose Flour</t>
        </is>
      </c>
      <c r="C604" t="inlineStr">
        <is>
          <t>Wellington</t>
        </is>
      </c>
      <c r="D604" t="inlineStr">
        <is>
          <t>kilos</t>
        </is>
      </c>
      <c r="E604" t="n">
        <v>1</v>
      </c>
      <c r="F604" t="n">
        <v>48</v>
      </c>
      <c r="G604" t="n">
        <v>48</v>
      </c>
    </row>
    <row r="605">
      <c r="A605" t="n">
        <v>7</v>
      </c>
      <c r="B605" t="inlineStr">
        <is>
          <t>All Purpose Flour</t>
        </is>
      </c>
      <c r="C605" t="inlineStr">
        <is>
          <t>Magnolia</t>
        </is>
      </c>
      <c r="D605" t="inlineStr">
        <is>
          <t>grams</t>
        </is>
      </c>
      <c r="E605" t="n">
        <v>1</v>
      </c>
      <c r="F605" t="n">
        <v>455</v>
      </c>
      <c r="G605" t="n">
        <v>455</v>
      </c>
    </row>
    <row r="606">
      <c r="A606" t="n">
        <v>7</v>
      </c>
      <c r="B606" t="inlineStr">
        <is>
          <t>All Purpose Flour</t>
        </is>
      </c>
      <c r="C606" t="inlineStr">
        <is>
          <t>Amparo's</t>
        </is>
      </c>
      <c r="D606" t="inlineStr">
        <is>
          <t>grams</t>
        </is>
      </c>
      <c r="E606" t="n">
        <v>15</v>
      </c>
      <c r="F606" t="n">
        <v>975</v>
      </c>
      <c r="G606" t="n">
        <v>65</v>
      </c>
    </row>
    <row r="607">
      <c r="A607" t="n">
        <v>7</v>
      </c>
      <c r="B607" t="inlineStr">
        <is>
          <t>All Purpose Flour</t>
        </is>
      </c>
      <c r="C607" t="inlineStr">
        <is>
          <t>Penguin</t>
        </is>
      </c>
      <c r="D607" t="inlineStr">
        <is>
          <t>kilos</t>
        </is>
      </c>
      <c r="E607" t="n">
        <v>9</v>
      </c>
      <c r="F607" t="n">
        <v>468</v>
      </c>
      <c r="G607" t="n">
        <v>52</v>
      </c>
    </row>
    <row r="608">
      <c r="A608" t="n">
        <v>7</v>
      </c>
      <c r="B608" t="inlineStr">
        <is>
          <t>All Purpose Flour</t>
        </is>
      </c>
      <c r="C608" t="inlineStr">
        <is>
          <t>Wellington</t>
        </is>
      </c>
      <c r="D608" t="inlineStr">
        <is>
          <t>grams</t>
        </is>
      </c>
      <c r="E608" t="n">
        <v>27</v>
      </c>
      <c r="F608" t="n">
        <v>1296</v>
      </c>
      <c r="G608" t="n">
        <v>48</v>
      </c>
    </row>
    <row r="609">
      <c r="A609" t="n">
        <v>7</v>
      </c>
      <c r="B609" t="inlineStr">
        <is>
          <t>All Purpose Flour</t>
        </is>
      </c>
      <c r="C609" t="inlineStr"/>
      <c r="D609" t="inlineStr">
        <is>
          <t>kilos</t>
        </is>
      </c>
      <c r="E609" t="n">
        <v>3</v>
      </c>
      <c r="F609" t="n">
        <v>126</v>
      </c>
      <c r="G609" t="n">
        <v>42</v>
      </c>
    </row>
    <row r="610">
      <c r="A610" t="n">
        <v>7</v>
      </c>
      <c r="B610" t="inlineStr">
        <is>
          <t>All Purpose Flour</t>
        </is>
      </c>
      <c r="C610" t="inlineStr">
        <is>
          <t>Queen</t>
        </is>
      </c>
      <c r="D610" t="inlineStr">
        <is>
          <t>kilos</t>
        </is>
      </c>
      <c r="E610" t="n">
        <v>3</v>
      </c>
      <c r="F610" t="n">
        <v>165</v>
      </c>
      <c r="G610" t="n">
        <v>55</v>
      </c>
    </row>
    <row r="611">
      <c r="A611" t="n">
        <v>455</v>
      </c>
      <c r="B611" t="inlineStr">
        <is>
          <t>All Purpose Flour - 1st Class</t>
        </is>
      </c>
      <c r="C611" t="inlineStr"/>
      <c r="D611" t="inlineStr">
        <is>
          <t>grams</t>
        </is>
      </c>
      <c r="E611" t="n">
        <v>10</v>
      </c>
      <c r="F611" t="n">
        <v>376</v>
      </c>
      <c r="G611" t="n">
        <v>37.6</v>
      </c>
    </row>
    <row r="612">
      <c r="A612" t="n">
        <v>8</v>
      </c>
      <c r="B612" t="inlineStr">
        <is>
          <t>All Purpose Flour - 3rd class</t>
        </is>
      </c>
      <c r="C612" t="inlineStr">
        <is>
          <t>Penguin</t>
        </is>
      </c>
      <c r="D612" t="inlineStr">
        <is>
          <t>kilos</t>
        </is>
      </c>
      <c r="E612" t="n">
        <v>1</v>
      </c>
      <c r="F612" t="n">
        <v>48</v>
      </c>
      <c r="G612" t="n">
        <v>48</v>
      </c>
    </row>
    <row r="613">
      <c r="A613" t="n">
        <v>8</v>
      </c>
      <c r="B613" t="inlineStr">
        <is>
          <t>All Purpose Flour - 3rd class</t>
        </is>
      </c>
      <c r="C613" t="inlineStr"/>
      <c r="D613" t="inlineStr">
        <is>
          <t>grams</t>
        </is>
      </c>
      <c r="E613" t="n">
        <v>18</v>
      </c>
      <c r="F613" t="n">
        <v>900</v>
      </c>
      <c r="G613" t="n">
        <v>50</v>
      </c>
    </row>
    <row r="614">
      <c r="A614" t="n">
        <v>456</v>
      </c>
      <c r="B614" t="inlineStr">
        <is>
          <t>All Spice Ground</t>
        </is>
      </c>
      <c r="C614" t="inlineStr">
        <is>
          <t>McCormick</t>
        </is>
      </c>
      <c r="D614" t="inlineStr">
        <is>
          <t>grams</t>
        </is>
      </c>
      <c r="E614" t="n">
        <v>2</v>
      </c>
      <c r="F614" t="n">
        <v>176</v>
      </c>
      <c r="G614" t="n">
        <v>88</v>
      </c>
    </row>
    <row r="615">
      <c r="A615" t="n">
        <v>457</v>
      </c>
      <c r="B615" t="inlineStr">
        <is>
          <t>Alugbati</t>
        </is>
      </c>
      <c r="C615" t="inlineStr"/>
      <c r="D615" t="inlineStr">
        <is>
          <t>kilos</t>
        </is>
      </c>
      <c r="E615" t="n">
        <v>2</v>
      </c>
      <c r="F615" t="n">
        <v>140</v>
      </c>
      <c r="G615" t="n">
        <v>70</v>
      </c>
    </row>
    <row r="616">
      <c r="A616" t="n">
        <v>458</v>
      </c>
      <c r="B616" t="inlineStr">
        <is>
          <t>Alumahan</t>
        </is>
      </c>
      <c r="C616" t="inlineStr"/>
      <c r="D616" t="inlineStr">
        <is>
          <t>kilos</t>
        </is>
      </c>
      <c r="E616" t="n">
        <v>11</v>
      </c>
      <c r="F616" t="n">
        <v>3140</v>
      </c>
      <c r="G616" t="n">
        <v>285.4545454545454</v>
      </c>
    </row>
    <row r="617">
      <c r="A617" t="n">
        <v>459</v>
      </c>
      <c r="B617" t="inlineStr">
        <is>
          <t>Aluminum Foil</t>
        </is>
      </c>
      <c r="C617" t="inlineStr">
        <is>
          <t>Suy Sing - My Everyday</t>
        </is>
      </c>
      <c r="D617" t="inlineStr">
        <is>
          <t>pieces</t>
        </is>
      </c>
      <c r="E617" t="n">
        <v>6</v>
      </c>
      <c r="F617" t="n">
        <v>130.8</v>
      </c>
      <c r="G617" t="n">
        <v>21.8</v>
      </c>
    </row>
    <row r="618">
      <c r="A618" t="n">
        <v>459</v>
      </c>
      <c r="B618" t="inlineStr">
        <is>
          <t>Aluminum Foil</t>
        </is>
      </c>
      <c r="C618" t="inlineStr">
        <is>
          <t>Gold Wrap</t>
        </is>
      </c>
      <c r="D618" t="inlineStr">
        <is>
          <t>roll</t>
        </is>
      </c>
      <c r="E618" t="n">
        <v>1</v>
      </c>
      <c r="F618" t="n">
        <v>700</v>
      </c>
      <c r="G618" t="n">
        <v>700</v>
      </c>
    </row>
    <row r="619">
      <c r="A619" t="n">
        <v>460</v>
      </c>
      <c r="B619" t="inlineStr">
        <is>
          <t>Ampalaya</t>
        </is>
      </c>
      <c r="C619" t="inlineStr"/>
      <c r="D619" t="inlineStr">
        <is>
          <t>kilos</t>
        </is>
      </c>
      <c r="E619" t="n">
        <v>4</v>
      </c>
      <c r="F619" t="n">
        <v>630</v>
      </c>
      <c r="G619" t="n">
        <v>157.5</v>
      </c>
    </row>
    <row r="620">
      <c r="A620" t="n">
        <v>461</v>
      </c>
      <c r="B620" t="inlineStr">
        <is>
          <t>Apple</t>
        </is>
      </c>
      <c r="C620" t="inlineStr"/>
      <c r="D620" t="inlineStr">
        <is>
          <t>pieces</t>
        </is>
      </c>
      <c r="E620" t="n">
        <v>6</v>
      </c>
      <c r="F620" t="n">
        <v>200</v>
      </c>
      <c r="G620" t="n">
        <v>33.33333333333334</v>
      </c>
    </row>
    <row r="621">
      <c r="A621" t="n">
        <v>462</v>
      </c>
      <c r="B621" t="inlineStr">
        <is>
          <t>Apple Cider Vinegar</t>
        </is>
      </c>
      <c r="C621" t="inlineStr">
        <is>
          <t>Essential Everyday</t>
        </is>
      </c>
      <c r="D621" t="inlineStr">
        <is>
          <t>ml</t>
        </is>
      </c>
      <c r="E621" t="n">
        <v>1</v>
      </c>
      <c r="F621" t="n">
        <v>159.5</v>
      </c>
      <c r="G621" t="n">
        <v>159.5</v>
      </c>
    </row>
    <row r="622">
      <c r="A622" t="n">
        <v>463</v>
      </c>
      <c r="B622" t="inlineStr">
        <is>
          <t>Asparagus Cut</t>
        </is>
      </c>
      <c r="C622" t="inlineStr">
        <is>
          <t>Jolly</t>
        </is>
      </c>
      <c r="D622" t="inlineStr">
        <is>
          <t>grams</t>
        </is>
      </c>
      <c r="E622" t="n">
        <v>2</v>
      </c>
      <c r="F622" t="n">
        <v>184</v>
      </c>
      <c r="G622" t="n">
        <v>92</v>
      </c>
    </row>
    <row r="623">
      <c r="A623" t="n">
        <v>464</v>
      </c>
      <c r="B623" t="inlineStr">
        <is>
          <t>Atsuete</t>
        </is>
      </c>
      <c r="C623" t="inlineStr"/>
      <c r="D623" t="inlineStr">
        <is>
          <t>grams</t>
        </is>
      </c>
      <c r="E623" t="n">
        <v>2</v>
      </c>
      <c r="F623" t="n">
        <v>307.5</v>
      </c>
      <c r="G623" t="n">
        <v>153.75</v>
      </c>
    </row>
    <row r="624">
      <c r="A624" t="n">
        <v>464</v>
      </c>
      <c r="B624" t="inlineStr">
        <is>
          <t>Atsuete</t>
        </is>
      </c>
      <c r="C624" t="inlineStr">
        <is>
          <t>Edward Edit</t>
        </is>
      </c>
      <c r="D624" t="inlineStr">
        <is>
          <t>kilos</t>
        </is>
      </c>
      <c r="E624" t="n">
        <v>3</v>
      </c>
      <c r="F624" t="n">
        <v>1350</v>
      </c>
      <c r="G624" t="n">
        <v>450</v>
      </c>
    </row>
    <row r="625">
      <c r="A625" t="n">
        <v>464</v>
      </c>
      <c r="B625" t="inlineStr">
        <is>
          <t>Atsuete</t>
        </is>
      </c>
      <c r="C625" t="inlineStr"/>
      <c r="D625" t="inlineStr">
        <is>
          <t>kilos</t>
        </is>
      </c>
      <c r="E625" t="n">
        <v>4</v>
      </c>
      <c r="F625" t="n">
        <v>2600</v>
      </c>
      <c r="G625" t="n">
        <v>650</v>
      </c>
    </row>
    <row r="626">
      <c r="A626" t="n">
        <v>465</v>
      </c>
      <c r="B626" t="inlineStr">
        <is>
          <t>Bacon</t>
        </is>
      </c>
      <c r="C626" t="inlineStr">
        <is>
          <t>Vida</t>
        </is>
      </c>
      <c r="D626" t="inlineStr">
        <is>
          <t>grams</t>
        </is>
      </c>
      <c r="E626" t="n">
        <v>2</v>
      </c>
      <c r="F626" t="n">
        <v>360.5</v>
      </c>
      <c r="G626" t="n">
        <v>180.25</v>
      </c>
    </row>
    <row r="627">
      <c r="A627" t="n">
        <v>465</v>
      </c>
      <c r="B627" t="inlineStr">
        <is>
          <t>Bacon</t>
        </is>
      </c>
      <c r="C627" t="inlineStr">
        <is>
          <t>Purefoods</t>
        </is>
      </c>
      <c r="D627" t="inlineStr">
        <is>
          <t>grams</t>
        </is>
      </c>
      <c r="E627" t="n">
        <v>1</v>
      </c>
      <c r="F627" t="n">
        <v>185</v>
      </c>
      <c r="G627" t="n">
        <v>185</v>
      </c>
    </row>
    <row r="628">
      <c r="A628" t="n">
        <v>465</v>
      </c>
      <c r="B628" t="inlineStr">
        <is>
          <t>Bacon</t>
        </is>
      </c>
      <c r="C628" t="inlineStr">
        <is>
          <t>Bossing</t>
        </is>
      </c>
      <c r="D628" t="inlineStr">
        <is>
          <t>grams</t>
        </is>
      </c>
      <c r="E628" t="n">
        <v>2</v>
      </c>
      <c r="F628" t="n">
        <v>150</v>
      </c>
      <c r="G628" t="n">
        <v>75</v>
      </c>
    </row>
    <row r="629">
      <c r="A629" t="n">
        <v>466</v>
      </c>
      <c r="B629" t="inlineStr">
        <is>
          <t>Bagoong - Boneless</t>
        </is>
      </c>
      <c r="C629" t="inlineStr">
        <is>
          <t>JP</t>
        </is>
      </c>
      <c r="D629" t="inlineStr">
        <is>
          <t>grams</t>
        </is>
      </c>
      <c r="E629" t="n">
        <v>2</v>
      </c>
      <c r="F629" t="n">
        <v>64</v>
      </c>
      <c r="G629" t="n">
        <v>32</v>
      </c>
    </row>
    <row r="630">
      <c r="A630" t="n">
        <v>467</v>
      </c>
      <c r="B630" t="inlineStr">
        <is>
          <t>Bagoong Alamang</t>
        </is>
      </c>
      <c r="C630" t="inlineStr">
        <is>
          <t>Barrio Fiesta</t>
        </is>
      </c>
      <c r="D630" t="inlineStr">
        <is>
          <t>grams</t>
        </is>
      </c>
      <c r="E630" t="n">
        <v>1</v>
      </c>
      <c r="F630" t="n">
        <v>110</v>
      </c>
      <c r="G630" t="n">
        <v>110</v>
      </c>
    </row>
    <row r="631">
      <c r="A631" t="n">
        <v>468</v>
      </c>
      <c r="B631" t="inlineStr">
        <is>
          <t>Bagoong Alamang - Sweet</t>
        </is>
      </c>
      <c r="C631" t="inlineStr">
        <is>
          <t>Barrio Fiesta</t>
        </is>
      </c>
      <c r="D631" t="inlineStr">
        <is>
          <t>grams</t>
        </is>
      </c>
      <c r="E631" t="n">
        <v>1</v>
      </c>
      <c r="F631" t="n">
        <v>107.5</v>
      </c>
      <c r="G631" t="n">
        <v>107.5</v>
      </c>
    </row>
    <row r="632">
      <c r="A632" t="n">
        <v>10</v>
      </c>
      <c r="B632" t="inlineStr">
        <is>
          <t>Bagoong Isda Balayan</t>
        </is>
      </c>
      <c r="C632" t="inlineStr">
        <is>
          <t>La Marina</t>
        </is>
      </c>
      <c r="D632" t="inlineStr">
        <is>
          <t>grams</t>
        </is>
      </c>
      <c r="E632" t="n">
        <v>2</v>
      </c>
      <c r="F632" t="n">
        <v>70</v>
      </c>
      <c r="G632" t="n">
        <v>35</v>
      </c>
    </row>
    <row r="633">
      <c r="A633" t="n">
        <v>469</v>
      </c>
      <c r="B633" t="inlineStr">
        <is>
          <t>Baguio Beans</t>
        </is>
      </c>
      <c r="C633" t="inlineStr"/>
      <c r="D633" t="inlineStr">
        <is>
          <t>kilos</t>
        </is>
      </c>
      <c r="E633" t="n">
        <v>6</v>
      </c>
      <c r="F633" t="n">
        <v>500</v>
      </c>
      <c r="G633" t="n">
        <v>83.33333333333333</v>
      </c>
    </row>
    <row r="634">
      <c r="A634" t="n">
        <v>13</v>
      </c>
      <c r="B634" t="inlineStr">
        <is>
          <t>Baking Soda</t>
        </is>
      </c>
      <c r="C634" t="inlineStr">
        <is>
          <t>Arm &amp; Hammer</t>
        </is>
      </c>
      <c r="D634" t="inlineStr">
        <is>
          <t>grams</t>
        </is>
      </c>
      <c r="E634" t="n">
        <v>1</v>
      </c>
      <c r="F634" t="n">
        <v>64.5</v>
      </c>
      <c r="G634" t="n">
        <v>64.5</v>
      </c>
    </row>
    <row r="635">
      <c r="A635" t="n">
        <v>14</v>
      </c>
      <c r="B635" t="inlineStr">
        <is>
          <t>Balsamic Vinegar</t>
        </is>
      </c>
      <c r="C635" t="inlineStr">
        <is>
          <t>Filippo Berio</t>
        </is>
      </c>
      <c r="D635" t="inlineStr">
        <is>
          <t>ml</t>
        </is>
      </c>
      <c r="E635" t="n">
        <v>2</v>
      </c>
      <c r="F635" t="n">
        <v>367.8</v>
      </c>
      <c r="G635" t="n">
        <v>183.9</v>
      </c>
    </row>
    <row r="636">
      <c r="A636" t="n">
        <v>14</v>
      </c>
      <c r="B636" t="inlineStr">
        <is>
          <t>Balsamic Vinegar</t>
        </is>
      </c>
      <c r="C636" t="inlineStr">
        <is>
          <t>Capri</t>
        </is>
      </c>
      <c r="D636" t="inlineStr">
        <is>
          <t>ml</t>
        </is>
      </c>
      <c r="E636" t="n">
        <v>1</v>
      </c>
      <c r="F636" t="n">
        <v>256</v>
      </c>
      <c r="G636" t="n">
        <v>256</v>
      </c>
    </row>
    <row r="637">
      <c r="A637" t="n">
        <v>470</v>
      </c>
      <c r="B637" t="inlineStr">
        <is>
          <t>Bamboo Toothpick</t>
        </is>
      </c>
      <c r="C637" t="inlineStr">
        <is>
          <t>Pad Bear</t>
        </is>
      </c>
      <c r="D637" t="inlineStr">
        <is>
          <t>packs</t>
        </is>
      </c>
      <c r="E637" t="n">
        <v>2</v>
      </c>
      <c r="F637" t="n">
        <v>290</v>
      </c>
      <c r="G637" t="n">
        <v>145</v>
      </c>
    </row>
    <row r="638">
      <c r="A638" t="n">
        <v>471</v>
      </c>
      <c r="B638" t="inlineStr">
        <is>
          <t>Banana Blossom</t>
        </is>
      </c>
      <c r="C638" t="inlineStr"/>
      <c r="D638" t="inlineStr">
        <is>
          <t>kilos</t>
        </is>
      </c>
      <c r="E638" t="n">
        <v>1</v>
      </c>
      <c r="F638" t="n">
        <v>40</v>
      </c>
      <c r="G638" t="n">
        <v>40</v>
      </c>
    </row>
    <row r="639">
      <c r="A639" t="n">
        <v>472</v>
      </c>
      <c r="B639" t="inlineStr">
        <is>
          <t>Banana Blossom - Gayat</t>
        </is>
      </c>
      <c r="C639" t="inlineStr"/>
      <c r="D639" t="inlineStr">
        <is>
          <t>kilos</t>
        </is>
      </c>
      <c r="E639" t="n">
        <v>2</v>
      </c>
      <c r="F639" t="n">
        <v>220</v>
      </c>
      <c r="G639" t="n">
        <v>110</v>
      </c>
    </row>
    <row r="640">
      <c r="A640" t="n">
        <v>473</v>
      </c>
      <c r="B640" t="inlineStr">
        <is>
          <t>Banana Blossoms</t>
        </is>
      </c>
      <c r="C640" t="inlineStr">
        <is>
          <t>Rehnalyn Corpuz</t>
        </is>
      </c>
      <c r="D640" t="inlineStr">
        <is>
          <t>grams</t>
        </is>
      </c>
      <c r="E640" t="n">
        <v>2</v>
      </c>
      <c r="F640" t="n">
        <v>72</v>
      </c>
      <c r="G640" t="n">
        <v>36</v>
      </c>
    </row>
    <row r="641">
      <c r="A641" t="n">
        <v>474</v>
      </c>
      <c r="B641" t="inlineStr">
        <is>
          <t>Banana Essence</t>
        </is>
      </c>
      <c r="C641" t="inlineStr">
        <is>
          <t>Twin Brand</t>
        </is>
      </c>
      <c r="D641" t="inlineStr">
        <is>
          <t>ml</t>
        </is>
      </c>
      <c r="E641" t="n">
        <v>1</v>
      </c>
      <c r="F641" t="n">
        <v>55</v>
      </c>
      <c r="G641" t="n">
        <v>55</v>
      </c>
    </row>
    <row r="642">
      <c r="A642" t="n">
        <v>474</v>
      </c>
      <c r="B642" t="inlineStr">
        <is>
          <t>Banana Essence</t>
        </is>
      </c>
      <c r="C642" t="inlineStr">
        <is>
          <t>White Rose</t>
        </is>
      </c>
      <c r="D642" t="inlineStr">
        <is>
          <t>ml</t>
        </is>
      </c>
      <c r="E642" t="n">
        <v>2</v>
      </c>
      <c r="F642" t="n">
        <v>82</v>
      </c>
      <c r="G642" t="n">
        <v>41</v>
      </c>
    </row>
    <row r="643">
      <c r="A643" t="n">
        <v>15</v>
      </c>
      <c r="B643" t="inlineStr">
        <is>
          <t>Bangus</t>
        </is>
      </c>
      <c r="C643" t="inlineStr"/>
      <c r="D643" t="inlineStr">
        <is>
          <t>kilos</t>
        </is>
      </c>
      <c r="E643" t="n">
        <v>43</v>
      </c>
      <c r="F643" t="n">
        <v>10110</v>
      </c>
      <c r="G643" t="n">
        <v>235.1162790697674</v>
      </c>
    </row>
    <row r="644">
      <c r="A644" t="n">
        <v>475</v>
      </c>
      <c r="B644" t="inlineStr">
        <is>
          <t>Bangus - Boneless</t>
        </is>
      </c>
      <c r="C644" t="inlineStr">
        <is>
          <t>Sarangani Bay</t>
        </is>
      </c>
      <c r="D644" t="inlineStr">
        <is>
          <t>kilos</t>
        </is>
      </c>
      <c r="E644" t="n">
        <v>1</v>
      </c>
      <c r="F644" t="n">
        <v>265</v>
      </c>
      <c r="G644" t="n">
        <v>265</v>
      </c>
    </row>
    <row r="645">
      <c r="A645" t="n">
        <v>476</v>
      </c>
      <c r="B645" t="inlineStr">
        <is>
          <t>Barako Grind</t>
        </is>
      </c>
      <c r="C645" t="inlineStr">
        <is>
          <t>Gourmet</t>
        </is>
      </c>
      <c r="D645" t="inlineStr">
        <is>
          <t>grams</t>
        </is>
      </c>
      <c r="E645" t="n">
        <v>1</v>
      </c>
      <c r="F645" t="n">
        <v>559</v>
      </c>
      <c r="G645" t="n">
        <v>559</v>
      </c>
    </row>
    <row r="646">
      <c r="A646" t="n">
        <v>477</v>
      </c>
      <c r="B646" t="inlineStr">
        <is>
          <t>Barbecue Stick</t>
        </is>
      </c>
      <c r="C646" t="inlineStr">
        <is>
          <t>Stack and Stock</t>
        </is>
      </c>
      <c r="D646" t="inlineStr">
        <is>
          <t>packs</t>
        </is>
      </c>
      <c r="E646" t="n">
        <v>2</v>
      </c>
      <c r="F646" t="n">
        <v>69.5</v>
      </c>
      <c r="G646" t="n">
        <v>34.75</v>
      </c>
    </row>
    <row r="647">
      <c r="A647" t="n">
        <v>477</v>
      </c>
      <c r="B647" t="inlineStr">
        <is>
          <t>Barbecue Stick</t>
        </is>
      </c>
      <c r="C647" t="inlineStr">
        <is>
          <t>Mama Sita's</t>
        </is>
      </c>
      <c r="D647" t="inlineStr">
        <is>
          <t>grams</t>
        </is>
      </c>
      <c r="E647" t="n">
        <v>1</v>
      </c>
      <c r="F647" t="n">
        <v>32</v>
      </c>
      <c r="G647" t="n">
        <v>32</v>
      </c>
    </row>
    <row r="648">
      <c r="A648" t="n">
        <v>478</v>
      </c>
      <c r="B648" t="inlineStr">
        <is>
          <t>Barbeque Marinade</t>
        </is>
      </c>
      <c r="C648" t="inlineStr">
        <is>
          <t>Mama Sita's</t>
        </is>
      </c>
      <c r="D648" t="inlineStr">
        <is>
          <t>ml</t>
        </is>
      </c>
      <c r="E648" t="n">
        <v>1</v>
      </c>
      <c r="F648" t="n">
        <v>77</v>
      </c>
      <c r="G648" t="n">
        <v>77</v>
      </c>
    </row>
    <row r="649">
      <c r="A649" t="n">
        <v>479</v>
      </c>
      <c r="B649" t="inlineStr">
        <is>
          <t>Barbeque Stick</t>
        </is>
      </c>
      <c r="C649" t="inlineStr">
        <is>
          <t>Uncle John's</t>
        </is>
      </c>
      <c r="D649" t="inlineStr">
        <is>
          <t>packs</t>
        </is>
      </c>
      <c r="E649" t="n">
        <v>4</v>
      </c>
      <c r="F649" t="n">
        <v>76</v>
      </c>
      <c r="G649" t="n">
        <v>19</v>
      </c>
    </row>
    <row r="650">
      <c r="A650" t="n">
        <v>479</v>
      </c>
      <c r="B650" t="inlineStr">
        <is>
          <t>Barbeque Stick</t>
        </is>
      </c>
      <c r="C650" t="inlineStr">
        <is>
          <t>Suy Sing - My Everyday</t>
        </is>
      </c>
      <c r="D650" t="inlineStr">
        <is>
          <t>pieces</t>
        </is>
      </c>
      <c r="E650" t="n">
        <v>9</v>
      </c>
      <c r="F650" t="n">
        <v>230.04</v>
      </c>
      <c r="G650" t="n">
        <v>25.56</v>
      </c>
    </row>
    <row r="651">
      <c r="A651" t="n">
        <v>479</v>
      </c>
      <c r="B651" t="inlineStr">
        <is>
          <t>Barbeque Stick</t>
        </is>
      </c>
      <c r="C651" t="inlineStr">
        <is>
          <t>Super 8</t>
        </is>
      </c>
      <c r="D651" t="inlineStr">
        <is>
          <t>packs</t>
        </is>
      </c>
      <c r="E651" t="n">
        <v>4</v>
      </c>
      <c r="F651" t="n">
        <v>72</v>
      </c>
      <c r="G651" t="n">
        <v>18</v>
      </c>
    </row>
    <row r="652">
      <c r="A652" t="n">
        <v>479</v>
      </c>
      <c r="B652" t="inlineStr">
        <is>
          <t>Barbeque Stick</t>
        </is>
      </c>
      <c r="C652" t="inlineStr"/>
      <c r="D652" t="inlineStr">
        <is>
          <t>pieces</t>
        </is>
      </c>
      <c r="E652" t="n">
        <v>1</v>
      </c>
      <c r="F652" t="n">
        <v>22.27</v>
      </c>
      <c r="G652" t="n">
        <v>22.27</v>
      </c>
    </row>
    <row r="653">
      <c r="A653" t="n">
        <v>480</v>
      </c>
      <c r="B653" t="inlineStr">
        <is>
          <t>Basil Leaves Whole</t>
        </is>
      </c>
      <c r="C653" t="inlineStr">
        <is>
          <t>McCormick</t>
        </is>
      </c>
      <c r="D653" t="inlineStr">
        <is>
          <t>grams</t>
        </is>
      </c>
      <c r="E653" t="n">
        <v>5</v>
      </c>
      <c r="F653" t="n">
        <v>306</v>
      </c>
      <c r="G653" t="n">
        <v>61.2</v>
      </c>
    </row>
    <row r="654">
      <c r="A654" t="n">
        <v>481</v>
      </c>
      <c r="B654" t="inlineStr">
        <is>
          <t>Basmati Rice</t>
        </is>
      </c>
      <c r="C654" t="inlineStr">
        <is>
          <t>Jordan Farm</t>
        </is>
      </c>
      <c r="D654" t="inlineStr">
        <is>
          <t>kilos</t>
        </is>
      </c>
      <c r="E654" t="n">
        <v>1</v>
      </c>
      <c r="F654" t="n">
        <v>252</v>
      </c>
      <c r="G654" t="n">
        <v>252</v>
      </c>
    </row>
    <row r="655">
      <c r="A655" t="n">
        <v>482</v>
      </c>
      <c r="B655" t="inlineStr">
        <is>
          <t>Bawang</t>
        </is>
      </c>
      <c r="C655" t="inlineStr"/>
      <c r="D655" t="inlineStr">
        <is>
          <t>kilos</t>
        </is>
      </c>
      <c r="E655" t="n">
        <v>2</v>
      </c>
      <c r="F655" t="n">
        <v>260</v>
      </c>
      <c r="G655" t="n">
        <v>130</v>
      </c>
    </row>
    <row r="656">
      <c r="A656" t="n">
        <v>483</v>
      </c>
      <c r="B656" t="inlineStr">
        <is>
          <t>Beef Giniling</t>
        </is>
      </c>
      <c r="C656" t="inlineStr">
        <is>
          <t>Francis Trebajo</t>
        </is>
      </c>
      <c r="D656" t="inlineStr">
        <is>
          <t>kilos</t>
        </is>
      </c>
      <c r="E656" t="n">
        <v>10</v>
      </c>
      <c r="F656" t="n">
        <v>3815</v>
      </c>
      <c r="G656" t="n">
        <v>381.5</v>
      </c>
    </row>
    <row r="657">
      <c r="A657" t="n">
        <v>484</v>
      </c>
      <c r="B657" t="inlineStr">
        <is>
          <t>Beef Laman</t>
        </is>
      </c>
      <c r="C657" t="inlineStr"/>
      <c r="D657" t="inlineStr">
        <is>
          <t>kilos</t>
        </is>
      </c>
      <c r="E657" t="n">
        <v>33</v>
      </c>
      <c r="F657" t="n">
        <v>11245</v>
      </c>
      <c r="G657" t="n">
        <v>340.7575757575758</v>
      </c>
    </row>
    <row r="658">
      <c r="A658" t="n">
        <v>484</v>
      </c>
      <c r="B658" t="inlineStr">
        <is>
          <t>Beef Laman</t>
        </is>
      </c>
      <c r="C658" t="inlineStr">
        <is>
          <t>Francis Trebajo</t>
        </is>
      </c>
      <c r="D658" t="inlineStr">
        <is>
          <t>kilos</t>
        </is>
      </c>
      <c r="E658" t="n">
        <v>37</v>
      </c>
      <c r="F658" t="n">
        <v>14145</v>
      </c>
      <c r="G658" t="n">
        <v>382.2972972972973</v>
      </c>
    </row>
    <row r="659">
      <c r="A659" t="n">
        <v>484</v>
      </c>
      <c r="B659" t="inlineStr">
        <is>
          <t>Beef Laman</t>
        </is>
      </c>
      <c r="C659" t="inlineStr">
        <is>
          <t>K&amp;K Frozen Food Trading</t>
        </is>
      </c>
      <c r="D659" t="inlineStr">
        <is>
          <t>kilos</t>
        </is>
      </c>
      <c r="E659" t="n">
        <v>62</v>
      </c>
      <c r="F659" t="n">
        <v>19840</v>
      </c>
      <c r="G659" t="n">
        <v>320</v>
      </c>
    </row>
    <row r="660">
      <c r="A660" t="n">
        <v>22</v>
      </c>
      <c r="B660" t="inlineStr">
        <is>
          <t>Beef Loaf</t>
        </is>
      </c>
      <c r="C660" t="inlineStr">
        <is>
          <t>Century - Argentina</t>
        </is>
      </c>
      <c r="D660" t="inlineStr">
        <is>
          <t>grams</t>
        </is>
      </c>
      <c r="E660" t="n">
        <v>23</v>
      </c>
      <c r="F660" t="n">
        <v>753</v>
      </c>
      <c r="G660" t="n">
        <v>32.73913043478261</v>
      </c>
    </row>
    <row r="661">
      <c r="A661" t="n">
        <v>485</v>
      </c>
      <c r="B661" t="inlineStr">
        <is>
          <t>Bell Pepper</t>
        </is>
      </c>
      <c r="C661" t="inlineStr"/>
      <c r="D661" t="inlineStr">
        <is>
          <t>grams</t>
        </is>
      </c>
      <c r="E661" t="n">
        <v>0</v>
      </c>
      <c r="F661" t="n">
        <v>0</v>
      </c>
      <c r="G661" t="n">
        <v>0</v>
      </c>
    </row>
    <row r="662">
      <c r="A662" t="n">
        <v>485</v>
      </c>
      <c r="B662" t="inlineStr">
        <is>
          <t>Bell Pepper</t>
        </is>
      </c>
      <c r="C662" t="inlineStr">
        <is>
          <t>Hernan Logmao</t>
        </is>
      </c>
      <c r="D662" t="inlineStr">
        <is>
          <t>grams</t>
        </is>
      </c>
      <c r="E662" t="n">
        <v>0</v>
      </c>
      <c r="F662" t="n">
        <v>0</v>
      </c>
      <c r="G662" t="n">
        <v>0</v>
      </c>
    </row>
    <row r="663">
      <c r="A663" t="n">
        <v>486</v>
      </c>
      <c r="B663" t="inlineStr">
        <is>
          <t>Bento 5 diviison box</t>
        </is>
      </c>
      <c r="C663" t="inlineStr"/>
      <c r="D663" t="inlineStr">
        <is>
          <t>pieces</t>
        </is>
      </c>
      <c r="E663" t="n">
        <v>8</v>
      </c>
      <c r="F663" t="n">
        <v>56</v>
      </c>
      <c r="G663" t="n">
        <v>7</v>
      </c>
    </row>
    <row r="664">
      <c r="A664" t="n">
        <v>487</v>
      </c>
      <c r="B664" t="inlineStr">
        <is>
          <t>Bento Box - black</t>
        </is>
      </c>
      <c r="C664" t="inlineStr">
        <is>
          <t>3 division</t>
        </is>
      </c>
      <c r="D664" t="inlineStr">
        <is>
          <t>pieces</t>
        </is>
      </c>
      <c r="E664" t="n">
        <v>33</v>
      </c>
      <c r="F664" t="n">
        <v>330</v>
      </c>
      <c r="G664" t="n">
        <v>10</v>
      </c>
    </row>
    <row r="665">
      <c r="A665" t="n">
        <v>488</v>
      </c>
      <c r="B665" t="inlineStr">
        <is>
          <t>Bibingka Flour</t>
        </is>
      </c>
      <c r="C665" t="inlineStr">
        <is>
          <t>White King</t>
        </is>
      </c>
      <c r="D665" t="inlineStr">
        <is>
          <t>grams</t>
        </is>
      </c>
      <c r="E665" t="n">
        <v>3</v>
      </c>
      <c r="F665" t="n">
        <v>306</v>
      </c>
      <c r="G665" t="n">
        <v>102</v>
      </c>
    </row>
    <row r="666">
      <c r="A666" t="n">
        <v>488</v>
      </c>
      <c r="B666" t="inlineStr">
        <is>
          <t>Bibingka Flour</t>
        </is>
      </c>
      <c r="C666" t="inlineStr">
        <is>
          <t>Sarap Pinoy</t>
        </is>
      </c>
      <c r="D666" t="inlineStr">
        <is>
          <t>grams</t>
        </is>
      </c>
      <c r="E666" t="n">
        <v>2</v>
      </c>
      <c r="F666" t="n">
        <v>178</v>
      </c>
      <c r="G666" t="n">
        <v>89</v>
      </c>
    </row>
    <row r="667">
      <c r="A667" t="n">
        <v>25</v>
      </c>
      <c r="B667" t="inlineStr">
        <is>
          <t>Bihon</t>
        </is>
      </c>
      <c r="C667" t="inlineStr">
        <is>
          <t>Super Q</t>
        </is>
      </c>
      <c r="D667" t="inlineStr">
        <is>
          <t>grams</t>
        </is>
      </c>
      <c r="E667" t="n">
        <v>53</v>
      </c>
      <c r="F667" t="n">
        <v>2221</v>
      </c>
      <c r="G667" t="n">
        <v>41.90566037735848</v>
      </c>
    </row>
    <row r="668">
      <c r="A668" t="n">
        <v>25</v>
      </c>
      <c r="B668" t="inlineStr">
        <is>
          <t>Bihon</t>
        </is>
      </c>
      <c r="C668" t="inlineStr">
        <is>
          <t>Hobe</t>
        </is>
      </c>
      <c r="D668" t="inlineStr">
        <is>
          <t>grams</t>
        </is>
      </c>
      <c r="E668" t="n">
        <v>1</v>
      </c>
      <c r="F668" t="n">
        <v>78.5</v>
      </c>
      <c r="G668" t="n">
        <v>78.5</v>
      </c>
    </row>
    <row r="669">
      <c r="A669" t="n">
        <v>25</v>
      </c>
      <c r="B669" t="inlineStr">
        <is>
          <t>Bihon</t>
        </is>
      </c>
      <c r="C669" t="inlineStr">
        <is>
          <t>Hernan Logmao</t>
        </is>
      </c>
      <c r="D669" t="inlineStr">
        <is>
          <t>grams</t>
        </is>
      </c>
      <c r="E669" t="n">
        <v>7</v>
      </c>
      <c r="F669" t="n">
        <v>315</v>
      </c>
      <c r="G669" t="n">
        <v>45</v>
      </c>
    </row>
    <row r="670">
      <c r="A670" t="n">
        <v>489</v>
      </c>
      <c r="B670" t="inlineStr">
        <is>
          <t>Biscuit Sticks - Choco</t>
        </is>
      </c>
      <c r="C670" t="inlineStr">
        <is>
          <t>Jack n Jill - Pretzels</t>
        </is>
      </c>
      <c r="D670" t="inlineStr">
        <is>
          <t>pieces</t>
        </is>
      </c>
      <c r="E670" t="n">
        <v>1</v>
      </c>
      <c r="F670" t="n">
        <v>12.1</v>
      </c>
      <c r="G670" t="n">
        <v>12.1</v>
      </c>
    </row>
    <row r="671">
      <c r="A671" t="n">
        <v>489</v>
      </c>
      <c r="B671" t="inlineStr">
        <is>
          <t>Biscuit Sticks - Choco</t>
        </is>
      </c>
      <c r="C671" t="inlineStr">
        <is>
          <t>Pocky</t>
        </is>
      </c>
      <c r="D671" t="inlineStr">
        <is>
          <t>grams</t>
        </is>
      </c>
      <c r="E671" t="n">
        <v>2</v>
      </c>
      <c r="F671" t="n">
        <v>51.04</v>
      </c>
      <c r="G671" t="n">
        <v>25.52</v>
      </c>
    </row>
    <row r="672">
      <c r="A672" t="n">
        <v>490</v>
      </c>
      <c r="B672" t="inlineStr">
        <is>
          <t>Biscuit Sticks - Strawberry</t>
        </is>
      </c>
      <c r="C672" t="inlineStr">
        <is>
          <t>Pocky</t>
        </is>
      </c>
      <c r="D672" t="inlineStr">
        <is>
          <t>grams</t>
        </is>
      </c>
      <c r="E672" t="n">
        <v>3</v>
      </c>
      <c r="F672" t="n">
        <v>76.56</v>
      </c>
      <c r="G672" t="n">
        <v>25.52</v>
      </c>
    </row>
    <row r="673">
      <c r="A673" t="n">
        <v>491</v>
      </c>
      <c r="B673" t="inlineStr">
        <is>
          <t>Biscuits</t>
        </is>
      </c>
      <c r="C673" t="inlineStr">
        <is>
          <t>Monde - Bingo Choco Orange</t>
        </is>
      </c>
      <c r="D673" t="inlineStr">
        <is>
          <t>pieces</t>
        </is>
      </c>
      <c r="E673" t="n">
        <v>154</v>
      </c>
      <c r="F673" t="n">
        <v>924</v>
      </c>
      <c r="G673" t="n">
        <v>6</v>
      </c>
    </row>
    <row r="674">
      <c r="A674" t="n">
        <v>491</v>
      </c>
      <c r="B674" t="inlineStr">
        <is>
          <t>Biscuits</t>
        </is>
      </c>
      <c r="C674" t="inlineStr">
        <is>
          <t>Monde - Bingo Vanilla</t>
        </is>
      </c>
      <c r="D674" t="inlineStr">
        <is>
          <t>pieces</t>
        </is>
      </c>
      <c r="E674" t="n">
        <v>100</v>
      </c>
      <c r="F674" t="n">
        <v>600</v>
      </c>
      <c r="G674" t="n">
        <v>6</v>
      </c>
    </row>
    <row r="675">
      <c r="A675" t="n">
        <v>491</v>
      </c>
      <c r="B675" t="inlineStr">
        <is>
          <t>Biscuits</t>
        </is>
      </c>
      <c r="C675" t="inlineStr">
        <is>
          <t>Monde - Bingo</t>
        </is>
      </c>
      <c r="D675" t="inlineStr">
        <is>
          <t>grams</t>
        </is>
      </c>
      <c r="E675" t="n">
        <v>3</v>
      </c>
      <c r="F675" t="n">
        <v>20.4</v>
      </c>
      <c r="G675" t="n">
        <v>6.8</v>
      </c>
    </row>
    <row r="676">
      <c r="A676" t="n">
        <v>491</v>
      </c>
      <c r="B676" t="inlineStr">
        <is>
          <t>Biscuits</t>
        </is>
      </c>
      <c r="C676" t="inlineStr">
        <is>
          <t>Monde - Bingo Double Choco</t>
        </is>
      </c>
      <c r="D676" t="inlineStr">
        <is>
          <t>grams</t>
        </is>
      </c>
      <c r="E676" t="n">
        <v>30</v>
      </c>
      <c r="F676" t="n">
        <v>181.5</v>
      </c>
      <c r="G676" t="n">
        <v>6.05</v>
      </c>
    </row>
    <row r="677">
      <c r="A677" t="n">
        <v>491</v>
      </c>
      <c r="B677" t="inlineStr">
        <is>
          <t>Biscuits</t>
        </is>
      </c>
      <c r="C677" t="inlineStr">
        <is>
          <t>Monde - Bingo Choco Orange</t>
        </is>
      </c>
      <c r="D677" t="inlineStr">
        <is>
          <t>grams</t>
        </is>
      </c>
      <c r="E677" t="n">
        <v>60</v>
      </c>
      <c r="F677" t="n">
        <v>363</v>
      </c>
      <c r="G677" t="n">
        <v>6.05</v>
      </c>
    </row>
    <row r="678">
      <c r="A678" t="n">
        <v>491</v>
      </c>
      <c r="B678" t="inlineStr">
        <is>
          <t>Biscuits</t>
        </is>
      </c>
      <c r="C678" t="inlineStr">
        <is>
          <t>Fibisco - Choco Crunchies</t>
        </is>
      </c>
      <c r="D678" t="inlineStr">
        <is>
          <t>grams</t>
        </is>
      </c>
      <c r="E678" t="n">
        <v>27</v>
      </c>
      <c r="F678" t="n">
        <v>663.9000000000001</v>
      </c>
      <c r="G678" t="n">
        <v>24.58888888888889</v>
      </c>
    </row>
    <row r="679">
      <c r="A679" t="n">
        <v>491</v>
      </c>
      <c r="B679" t="inlineStr">
        <is>
          <t>Biscuits</t>
        </is>
      </c>
      <c r="C679" t="inlineStr">
        <is>
          <t>Fibisco - Choco Mallows</t>
        </is>
      </c>
      <c r="D679" t="inlineStr">
        <is>
          <t>grams</t>
        </is>
      </c>
      <c r="E679" t="n">
        <v>3</v>
      </c>
      <c r="F679" t="n">
        <v>110.7</v>
      </c>
      <c r="G679" t="n">
        <v>36.9</v>
      </c>
    </row>
    <row r="680">
      <c r="A680" t="n">
        <v>491</v>
      </c>
      <c r="B680" t="inlineStr">
        <is>
          <t>Biscuits</t>
        </is>
      </c>
      <c r="C680" t="inlineStr">
        <is>
          <t>Jack n Jill - Cream-O Choco</t>
        </is>
      </c>
      <c r="D680" t="inlineStr">
        <is>
          <t>grams</t>
        </is>
      </c>
      <c r="E680" t="n">
        <v>80</v>
      </c>
      <c r="F680" t="n">
        <v>565.6</v>
      </c>
      <c r="G680" t="n">
        <v>7.07</v>
      </c>
    </row>
    <row r="681">
      <c r="A681" t="n">
        <v>491</v>
      </c>
      <c r="B681" t="inlineStr">
        <is>
          <t>Biscuits</t>
        </is>
      </c>
      <c r="C681" t="inlineStr">
        <is>
          <t>M.Y. San - Fita Spreadz</t>
        </is>
      </c>
      <c r="D681" t="inlineStr">
        <is>
          <t>pieces</t>
        </is>
      </c>
      <c r="E681" t="n">
        <v>80</v>
      </c>
      <c r="F681" t="n">
        <v>536.8</v>
      </c>
      <c r="G681" t="n">
        <v>6.709999999999999</v>
      </c>
    </row>
    <row r="682">
      <c r="A682" t="n">
        <v>491</v>
      </c>
      <c r="B682" t="inlineStr">
        <is>
          <t>Biscuits</t>
        </is>
      </c>
      <c r="C682" t="inlineStr">
        <is>
          <t>M.Y. San - Fita</t>
        </is>
      </c>
      <c r="D682" t="inlineStr">
        <is>
          <t>pieces</t>
        </is>
      </c>
      <c r="E682" t="n">
        <v>100</v>
      </c>
      <c r="F682" t="n">
        <v>1263.6</v>
      </c>
      <c r="G682" t="n">
        <v>12.636</v>
      </c>
    </row>
    <row r="683">
      <c r="A683" t="n">
        <v>491</v>
      </c>
      <c r="B683" t="inlineStr">
        <is>
          <t>Biscuits</t>
        </is>
      </c>
      <c r="C683" t="inlineStr">
        <is>
          <t>Fibisco - Hi-ro Chocolate Cookie Sandwich</t>
        </is>
      </c>
      <c r="D683" t="inlineStr">
        <is>
          <t>grams</t>
        </is>
      </c>
      <c r="E683" t="n">
        <v>30</v>
      </c>
      <c r="F683" t="n">
        <v>183.9</v>
      </c>
      <c r="G683" t="n">
        <v>6.13</v>
      </c>
    </row>
    <row r="684">
      <c r="A684" t="n">
        <v>491</v>
      </c>
      <c r="B684" t="inlineStr">
        <is>
          <t>Biscuits</t>
        </is>
      </c>
      <c r="C684" t="inlineStr">
        <is>
          <t>Jack n Jill - Presto Creams - Choco Vanilla</t>
        </is>
      </c>
      <c r="D684" t="inlineStr">
        <is>
          <t>grams</t>
        </is>
      </c>
      <c r="E684" t="n">
        <v>108</v>
      </c>
      <c r="F684" t="n">
        <v>708.6</v>
      </c>
      <c r="G684" t="n">
        <v>6.561111111111111</v>
      </c>
    </row>
    <row r="685">
      <c r="A685" t="n">
        <v>491</v>
      </c>
      <c r="B685" t="inlineStr">
        <is>
          <t>Biscuits</t>
        </is>
      </c>
      <c r="C685" t="inlineStr">
        <is>
          <t>Jack n Jill - Presto Creams - Chocolate</t>
        </is>
      </c>
      <c r="D685" t="inlineStr">
        <is>
          <t>grams</t>
        </is>
      </c>
      <c r="E685" t="n">
        <v>30</v>
      </c>
      <c r="F685" t="n">
        <v>185.1</v>
      </c>
      <c r="G685" t="n">
        <v>6.17</v>
      </c>
    </row>
    <row r="686">
      <c r="A686" t="n">
        <v>491</v>
      </c>
      <c r="B686" t="inlineStr">
        <is>
          <t>Biscuits</t>
        </is>
      </c>
      <c r="C686" t="inlineStr">
        <is>
          <t>Jack n Jill - Presto Creams - Chocolate - Slug</t>
        </is>
      </c>
      <c r="D686" t="inlineStr">
        <is>
          <t>grams</t>
        </is>
      </c>
      <c r="E686" t="n">
        <v>3</v>
      </c>
      <c r="F686" t="n">
        <v>53.7</v>
      </c>
      <c r="G686" t="n">
        <v>17.9</v>
      </c>
    </row>
    <row r="687">
      <c r="A687" t="n">
        <v>491</v>
      </c>
      <c r="B687" t="inlineStr">
        <is>
          <t>Biscuits</t>
        </is>
      </c>
      <c r="C687" t="inlineStr">
        <is>
          <t>M.Y. San - Fita</t>
        </is>
      </c>
      <c r="D687" t="inlineStr">
        <is>
          <t>grams</t>
        </is>
      </c>
      <c r="E687" t="n">
        <v>143</v>
      </c>
      <c r="F687" t="n">
        <v>827.3</v>
      </c>
      <c r="G687" t="n">
        <v>5.785314685314685</v>
      </c>
    </row>
    <row r="688">
      <c r="A688" t="n">
        <v>491</v>
      </c>
      <c r="B688" t="inlineStr">
        <is>
          <t>Biscuits</t>
        </is>
      </c>
      <c r="C688" t="inlineStr">
        <is>
          <t>Rebisco - Bravo</t>
        </is>
      </c>
      <c r="D688" t="inlineStr">
        <is>
          <t>pieces</t>
        </is>
      </c>
      <c r="E688" t="n">
        <v>114</v>
      </c>
      <c r="F688" t="n">
        <v>681.6</v>
      </c>
      <c r="G688" t="n">
        <v>5.978947368421053</v>
      </c>
    </row>
    <row r="689">
      <c r="A689" t="n">
        <v>491</v>
      </c>
      <c r="B689" t="inlineStr">
        <is>
          <t>Biscuits</t>
        </is>
      </c>
      <c r="C689" t="inlineStr">
        <is>
          <t>Nissin - Butter Coconut</t>
        </is>
      </c>
      <c r="D689" t="inlineStr">
        <is>
          <t>grams</t>
        </is>
      </c>
      <c r="E689" t="n">
        <v>55</v>
      </c>
      <c r="F689" t="n">
        <v>444.84</v>
      </c>
      <c r="G689" t="n">
        <v>8.087999999999999</v>
      </c>
    </row>
    <row r="690">
      <c r="A690" t="n">
        <v>491</v>
      </c>
      <c r="B690" t="inlineStr">
        <is>
          <t>Biscuits</t>
        </is>
      </c>
      <c r="C690" t="inlineStr">
        <is>
          <t>Jack n Jill - Dewberry Strawberry</t>
        </is>
      </c>
      <c r="D690" t="inlineStr">
        <is>
          <t>grams</t>
        </is>
      </c>
      <c r="E690" t="n">
        <v>53</v>
      </c>
      <c r="F690" t="n">
        <v>1056.77</v>
      </c>
      <c r="G690" t="n">
        <v>19.93905660377358</v>
      </c>
    </row>
    <row r="691">
      <c r="A691" t="n">
        <v>491</v>
      </c>
      <c r="B691" t="inlineStr">
        <is>
          <t>Biscuits</t>
        </is>
      </c>
      <c r="C691" t="inlineStr">
        <is>
          <t>Jack n Jill - Choco Knots</t>
        </is>
      </c>
      <c r="D691" t="inlineStr">
        <is>
          <t>pieces</t>
        </is>
      </c>
      <c r="E691" t="n">
        <v>8</v>
      </c>
      <c r="F691" t="n">
        <v>58.4</v>
      </c>
      <c r="G691" t="n">
        <v>7.3</v>
      </c>
    </row>
    <row r="692">
      <c r="A692" t="n">
        <v>491</v>
      </c>
      <c r="B692" t="inlineStr">
        <is>
          <t>Biscuits</t>
        </is>
      </c>
      <c r="C692" t="inlineStr">
        <is>
          <t>Multirich - Choco Mucho Sandwich Chocolate</t>
        </is>
      </c>
      <c r="D692" t="inlineStr">
        <is>
          <t>pieces</t>
        </is>
      </c>
      <c r="E692" t="n">
        <v>5</v>
      </c>
      <c r="F692" t="n">
        <v>38.84999999999999</v>
      </c>
      <c r="G692" t="n">
        <v>7.769999999999999</v>
      </c>
    </row>
    <row r="693">
      <c r="A693" t="n">
        <v>491</v>
      </c>
      <c r="B693" t="inlineStr">
        <is>
          <t>Biscuits</t>
        </is>
      </c>
      <c r="C693" t="inlineStr">
        <is>
          <t>Multirich - Choco Mucho Sandwich White</t>
        </is>
      </c>
      <c r="D693" t="inlineStr">
        <is>
          <t>pieces</t>
        </is>
      </c>
      <c r="E693" t="n">
        <v>1</v>
      </c>
      <c r="F693" t="n">
        <v>7.77</v>
      </c>
      <c r="G693" t="n">
        <v>7.77</v>
      </c>
    </row>
    <row r="694">
      <c r="A694" t="n">
        <v>491</v>
      </c>
      <c r="B694" t="inlineStr">
        <is>
          <t>Biscuits</t>
        </is>
      </c>
      <c r="C694" t="inlineStr">
        <is>
          <t>Jack n Jill - Cream-O</t>
        </is>
      </c>
      <c r="D694" t="inlineStr">
        <is>
          <t>grams</t>
        </is>
      </c>
      <c r="E694" t="n">
        <v>7</v>
      </c>
      <c r="F694" t="n">
        <v>58.94</v>
      </c>
      <c r="G694" t="n">
        <v>8.42</v>
      </c>
    </row>
    <row r="695">
      <c r="A695" t="n">
        <v>491</v>
      </c>
      <c r="B695" t="inlineStr">
        <is>
          <t>Biscuits</t>
        </is>
      </c>
      <c r="C695" t="inlineStr">
        <is>
          <t>Jack n Jill - Cream-O Crinkles</t>
        </is>
      </c>
      <c r="D695" t="inlineStr">
        <is>
          <t>grams</t>
        </is>
      </c>
      <c r="E695" t="n">
        <v>30</v>
      </c>
      <c r="F695" t="n">
        <v>215.7</v>
      </c>
      <c r="G695" t="n">
        <v>7.19</v>
      </c>
    </row>
    <row r="696">
      <c r="A696" t="n">
        <v>491</v>
      </c>
      <c r="B696" t="inlineStr">
        <is>
          <t>Biscuits</t>
        </is>
      </c>
      <c r="C696" t="inlineStr">
        <is>
          <t>Jack n Jill - Cream-O Premium</t>
        </is>
      </c>
      <c r="D696" t="inlineStr">
        <is>
          <t>grams</t>
        </is>
      </c>
      <c r="E696" t="n">
        <v>36</v>
      </c>
      <c r="F696" t="n">
        <v>580.3200000000001</v>
      </c>
      <c r="G696" t="n">
        <v>16.12</v>
      </c>
    </row>
    <row r="697">
      <c r="A697" t="n">
        <v>491</v>
      </c>
      <c r="B697" t="inlineStr">
        <is>
          <t>Biscuits</t>
        </is>
      </c>
      <c r="C697" t="inlineStr">
        <is>
          <t>Jack n Jill - Cream-O Vanilla</t>
        </is>
      </c>
      <c r="D697" t="inlineStr">
        <is>
          <t>grams</t>
        </is>
      </c>
      <c r="E697" t="n">
        <v>30</v>
      </c>
      <c r="F697" t="n">
        <v>212.1</v>
      </c>
      <c r="G697" t="n">
        <v>7.070000000000001</v>
      </c>
    </row>
    <row r="698">
      <c r="A698" t="n">
        <v>491</v>
      </c>
      <c r="B698" t="inlineStr">
        <is>
          <t>Biscuits</t>
        </is>
      </c>
      <c r="C698" t="inlineStr">
        <is>
          <t>Jack n Jill - Dewberry Yogurt - Blueberry Cake</t>
        </is>
      </c>
      <c r="D698" t="inlineStr">
        <is>
          <t>grams</t>
        </is>
      </c>
      <c r="E698" t="n">
        <v>30</v>
      </c>
      <c r="F698" t="n">
        <v>245.1</v>
      </c>
      <c r="G698" t="n">
        <v>8.17</v>
      </c>
    </row>
    <row r="699">
      <c r="A699" t="n">
        <v>491</v>
      </c>
      <c r="B699" t="inlineStr">
        <is>
          <t>Biscuits</t>
        </is>
      </c>
      <c r="C699" t="inlineStr">
        <is>
          <t>Jack n Jill - Dewberry Yogurt - Mango Cake</t>
        </is>
      </c>
      <c r="D699" t="inlineStr">
        <is>
          <t>grams</t>
        </is>
      </c>
      <c r="E699" t="n">
        <v>30</v>
      </c>
      <c r="F699" t="n">
        <v>241.5</v>
      </c>
      <c r="G699" t="n">
        <v>8.050000000000001</v>
      </c>
    </row>
    <row r="700">
      <c r="A700" t="n">
        <v>491</v>
      </c>
      <c r="B700" t="inlineStr">
        <is>
          <t>Biscuits</t>
        </is>
      </c>
      <c r="C700" t="inlineStr">
        <is>
          <t>Rebisco - Hansel Biscuits - Butter</t>
        </is>
      </c>
      <c r="D700" t="inlineStr">
        <is>
          <t>grams</t>
        </is>
      </c>
      <c r="E700" t="n">
        <v>50</v>
      </c>
      <c r="F700" t="n">
        <v>301.5</v>
      </c>
      <c r="G700" t="n">
        <v>6.03</v>
      </c>
    </row>
    <row r="701">
      <c r="A701" t="n">
        <v>491</v>
      </c>
      <c r="B701" t="inlineStr">
        <is>
          <t>Biscuits</t>
        </is>
      </c>
      <c r="C701" t="inlineStr">
        <is>
          <t>Rebisco - Hansel Cracker - Plain</t>
        </is>
      </c>
      <c r="D701" t="inlineStr">
        <is>
          <t>grams</t>
        </is>
      </c>
      <c r="E701" t="n">
        <v>210</v>
      </c>
      <c r="F701" t="n">
        <v>1347.6</v>
      </c>
      <c r="G701" t="n">
        <v>6.417142857142856</v>
      </c>
    </row>
    <row r="702">
      <c r="A702" t="n">
        <v>491</v>
      </c>
      <c r="B702" t="inlineStr">
        <is>
          <t>Biscuits</t>
        </is>
      </c>
      <c r="C702" t="inlineStr">
        <is>
          <t>Fibisco - Hi-ro</t>
        </is>
      </c>
      <c r="D702" t="inlineStr">
        <is>
          <t>grams</t>
        </is>
      </c>
      <c r="E702" t="n">
        <v>10</v>
      </c>
      <c r="F702" t="n">
        <v>61.3</v>
      </c>
      <c r="G702" t="n">
        <v>6.13</v>
      </c>
    </row>
    <row r="703">
      <c r="A703" t="n">
        <v>491</v>
      </c>
      <c r="B703" t="inlineStr">
        <is>
          <t>Biscuits</t>
        </is>
      </c>
      <c r="C703" t="inlineStr">
        <is>
          <t>Valmer Choco Sandwich Biscuit</t>
        </is>
      </c>
      <c r="D703" t="inlineStr">
        <is>
          <t>grams</t>
        </is>
      </c>
      <c r="E703" t="n">
        <v>60</v>
      </c>
      <c r="F703" t="n">
        <v>360</v>
      </c>
      <c r="G703" t="n">
        <v>6</v>
      </c>
    </row>
    <row r="704">
      <c r="A704" t="n">
        <v>491</v>
      </c>
      <c r="B704" t="inlineStr">
        <is>
          <t>Biscuits</t>
        </is>
      </c>
      <c r="C704" t="inlineStr">
        <is>
          <t>Jack n Jill - Presto</t>
        </is>
      </c>
      <c r="D704" t="inlineStr">
        <is>
          <t>packs</t>
        </is>
      </c>
      <c r="E704" t="n">
        <v>2</v>
      </c>
      <c r="F704" t="n">
        <v>127.5</v>
      </c>
      <c r="G704" t="n">
        <v>63.75</v>
      </c>
    </row>
    <row r="705">
      <c r="A705" t="n">
        <v>491</v>
      </c>
      <c r="B705" t="inlineStr">
        <is>
          <t>Biscuits</t>
        </is>
      </c>
      <c r="C705" t="inlineStr">
        <is>
          <t>Jack n Jill - Presto Creams - Choco Peanut Butter</t>
        </is>
      </c>
      <c r="D705" t="inlineStr">
        <is>
          <t>grams</t>
        </is>
      </c>
      <c r="E705" t="n">
        <v>100</v>
      </c>
      <c r="F705" t="n">
        <v>688</v>
      </c>
      <c r="G705" t="n">
        <v>6.88</v>
      </c>
    </row>
    <row r="706">
      <c r="A706" t="n">
        <v>491</v>
      </c>
      <c r="B706" t="inlineStr">
        <is>
          <t>Biscuits</t>
        </is>
      </c>
      <c r="C706" t="inlineStr">
        <is>
          <t>Jack n Jill - Presto Creams - Peanut Butter</t>
        </is>
      </c>
      <c r="D706" t="inlineStr">
        <is>
          <t>grams</t>
        </is>
      </c>
      <c r="E706" t="n">
        <v>30</v>
      </c>
      <c r="F706" t="n">
        <v>184.2</v>
      </c>
      <c r="G706" t="n">
        <v>6.14</v>
      </c>
    </row>
    <row r="707">
      <c r="A707" t="n">
        <v>491</v>
      </c>
      <c r="B707" t="inlineStr">
        <is>
          <t>Biscuits</t>
        </is>
      </c>
      <c r="C707" t="inlineStr">
        <is>
          <t>Jack n Jill/pack (10pcsx30grams)</t>
        </is>
      </c>
      <c r="D707" t="inlineStr">
        <is>
          <t>grams</t>
        </is>
      </c>
      <c r="E707" t="n">
        <v>5</v>
      </c>
      <c r="F707" t="n">
        <v>39.35</v>
      </c>
      <c r="G707" t="n">
        <v>7.87</v>
      </c>
    </row>
    <row r="708">
      <c r="A708" t="n">
        <v>31</v>
      </c>
      <c r="B708" t="inlineStr">
        <is>
          <t>Black Beans</t>
        </is>
      </c>
      <c r="C708" t="inlineStr">
        <is>
          <t>Jolly</t>
        </is>
      </c>
      <c r="D708" t="inlineStr">
        <is>
          <t>grams</t>
        </is>
      </c>
      <c r="E708" t="n">
        <v>8</v>
      </c>
      <c r="F708" t="n">
        <v>169</v>
      </c>
      <c r="G708" t="n">
        <v>21.125</v>
      </c>
    </row>
    <row r="709">
      <c r="A709" t="n">
        <v>31</v>
      </c>
      <c r="B709" t="inlineStr">
        <is>
          <t>Black Beans</t>
        </is>
      </c>
      <c r="C709" t="inlineStr">
        <is>
          <t>Orchid</t>
        </is>
      </c>
      <c r="D709" t="inlineStr">
        <is>
          <t>grams</t>
        </is>
      </c>
      <c r="E709" t="n">
        <v>1</v>
      </c>
      <c r="F709" t="n">
        <v>28</v>
      </c>
      <c r="G709" t="n">
        <v>28</v>
      </c>
    </row>
    <row r="710">
      <c r="A710" t="n">
        <v>31</v>
      </c>
      <c r="B710" t="inlineStr">
        <is>
          <t>Black Beans</t>
        </is>
      </c>
      <c r="C710" t="inlineStr">
        <is>
          <t>Temple</t>
        </is>
      </c>
      <c r="D710" t="inlineStr">
        <is>
          <t>grams</t>
        </is>
      </c>
      <c r="E710" t="n">
        <v>18</v>
      </c>
      <c r="F710" t="n">
        <v>519.2</v>
      </c>
      <c r="G710" t="n">
        <v>28.84444444444445</v>
      </c>
    </row>
    <row r="711">
      <c r="A711" t="n">
        <v>31</v>
      </c>
      <c r="B711" t="inlineStr">
        <is>
          <t>Black Beans</t>
        </is>
      </c>
      <c r="C711" t="inlineStr">
        <is>
          <t>Ram</t>
        </is>
      </c>
      <c r="D711" t="inlineStr">
        <is>
          <t>grams</t>
        </is>
      </c>
      <c r="E711" t="n">
        <v>2</v>
      </c>
      <c r="F711" t="n">
        <v>31.6</v>
      </c>
      <c r="G711" t="n">
        <v>15.8</v>
      </c>
    </row>
    <row r="712">
      <c r="A712" t="n">
        <v>31</v>
      </c>
      <c r="B712" t="inlineStr">
        <is>
          <t>Black Beans</t>
        </is>
      </c>
      <c r="C712" t="inlineStr">
        <is>
          <t>Philips</t>
        </is>
      </c>
      <c r="D712" t="inlineStr">
        <is>
          <t>grams</t>
        </is>
      </c>
      <c r="E712" t="n">
        <v>10</v>
      </c>
      <c r="F712" t="n">
        <v>311</v>
      </c>
      <c r="G712" t="n">
        <v>31.1</v>
      </c>
    </row>
    <row r="713">
      <c r="A713" t="n">
        <v>492</v>
      </c>
      <c r="B713" t="inlineStr">
        <is>
          <t>Black Fungus</t>
        </is>
      </c>
      <c r="C713" t="inlineStr">
        <is>
          <t>Lipa Spices</t>
        </is>
      </c>
      <c r="D713" t="inlineStr">
        <is>
          <t>grams</t>
        </is>
      </c>
      <c r="E713" t="n">
        <v>1</v>
      </c>
      <c r="F713" t="n">
        <v>118</v>
      </c>
      <c r="G713" t="n">
        <v>118</v>
      </c>
    </row>
    <row r="714">
      <c r="A714" t="n">
        <v>33</v>
      </c>
      <c r="B714" t="inlineStr">
        <is>
          <t>Black Olives</t>
        </is>
      </c>
      <c r="C714" t="inlineStr">
        <is>
          <t>Dona Elena</t>
        </is>
      </c>
      <c r="D714" t="inlineStr">
        <is>
          <t>drained weight grams</t>
        </is>
      </c>
      <c r="E714" t="n">
        <v>2</v>
      </c>
      <c r="F714" t="n">
        <v>322</v>
      </c>
      <c r="G714" t="n">
        <v>161</v>
      </c>
    </row>
    <row r="715">
      <c r="A715" t="n">
        <v>33</v>
      </c>
      <c r="B715" t="inlineStr">
        <is>
          <t>Black Olives</t>
        </is>
      </c>
      <c r="C715" t="inlineStr">
        <is>
          <t>Dona Elena</t>
        </is>
      </c>
      <c r="D715" t="inlineStr">
        <is>
          <t>grams</t>
        </is>
      </c>
      <c r="E715" t="n">
        <v>1</v>
      </c>
      <c r="F715" t="n">
        <v>78</v>
      </c>
      <c r="G715" t="n">
        <v>78</v>
      </c>
    </row>
    <row r="716">
      <c r="A716" t="n">
        <v>493</v>
      </c>
      <c r="B716" t="inlineStr">
        <is>
          <t>Black Pepper - Ground</t>
        </is>
      </c>
      <c r="C716" t="inlineStr">
        <is>
          <t>Simply Chef</t>
        </is>
      </c>
      <c r="D716" t="inlineStr">
        <is>
          <t>grams</t>
        </is>
      </c>
      <c r="E716" t="n">
        <v>3</v>
      </c>
      <c r="F716" t="n">
        <v>121.2</v>
      </c>
      <c r="G716" t="n">
        <v>40.4</v>
      </c>
    </row>
    <row r="717">
      <c r="A717" t="n">
        <v>493</v>
      </c>
      <c r="B717" t="inlineStr">
        <is>
          <t>Black Pepper - Ground</t>
        </is>
      </c>
      <c r="C717" t="inlineStr"/>
      <c r="D717" t="inlineStr">
        <is>
          <t>grams</t>
        </is>
      </c>
      <c r="E717" t="n">
        <v>3</v>
      </c>
      <c r="F717" t="n">
        <v>1950</v>
      </c>
      <c r="G717" t="n">
        <v>650</v>
      </c>
    </row>
    <row r="718">
      <c r="A718" t="n">
        <v>494</v>
      </c>
      <c r="B718" t="inlineStr">
        <is>
          <t>Black Pepper - Whole</t>
        </is>
      </c>
      <c r="C718" t="inlineStr">
        <is>
          <t>I-Spice</t>
        </is>
      </c>
      <c r="D718" t="inlineStr">
        <is>
          <t>grams</t>
        </is>
      </c>
      <c r="E718" t="n">
        <v>3</v>
      </c>
      <c r="F718" t="n">
        <v>1770</v>
      </c>
      <c r="G718" t="n">
        <v>590</v>
      </c>
    </row>
    <row r="719">
      <c r="A719" t="n">
        <v>494</v>
      </c>
      <c r="B719" t="inlineStr">
        <is>
          <t>Black Pepper - Whole</t>
        </is>
      </c>
      <c r="C719" t="inlineStr">
        <is>
          <t>Lipa Spices</t>
        </is>
      </c>
      <c r="D719" t="inlineStr">
        <is>
          <t>grams</t>
        </is>
      </c>
      <c r="E719" t="n">
        <v>6</v>
      </c>
      <c r="F719" t="n">
        <v>1500</v>
      </c>
      <c r="G719" t="n">
        <v>250</v>
      </c>
    </row>
    <row r="720">
      <c r="A720" t="n">
        <v>495</v>
      </c>
      <c r="B720" t="inlineStr">
        <is>
          <t>Black Sesame Seeds</t>
        </is>
      </c>
      <c r="C720" t="inlineStr">
        <is>
          <t>Manny's premium</t>
        </is>
      </c>
      <c r="D720" t="inlineStr">
        <is>
          <t>grams</t>
        </is>
      </c>
      <c r="E720" t="n">
        <v>1</v>
      </c>
      <c r="F720" t="n">
        <v>350</v>
      </c>
      <c r="G720" t="n">
        <v>350</v>
      </c>
    </row>
    <row r="721">
      <c r="A721" t="n">
        <v>496</v>
      </c>
      <c r="B721" t="inlineStr">
        <is>
          <t>Bologna - Chicken</t>
        </is>
      </c>
      <c r="C721" t="inlineStr">
        <is>
          <t>Maco's</t>
        </is>
      </c>
      <c r="D721" t="inlineStr">
        <is>
          <t>grams</t>
        </is>
      </c>
      <c r="E721" t="n">
        <v>8</v>
      </c>
      <c r="F721" t="n">
        <v>362.05</v>
      </c>
      <c r="G721" t="n">
        <v>45.25625</v>
      </c>
    </row>
    <row r="722">
      <c r="A722" t="n">
        <v>497</v>
      </c>
      <c r="B722" t="inlineStr">
        <is>
          <t>Bologna - Pork</t>
        </is>
      </c>
      <c r="C722" t="inlineStr">
        <is>
          <t>Maco's</t>
        </is>
      </c>
      <c r="D722" t="inlineStr">
        <is>
          <t>grams</t>
        </is>
      </c>
      <c r="E722" t="n">
        <v>2</v>
      </c>
      <c r="F722" t="n">
        <v>94</v>
      </c>
      <c r="G722" t="n">
        <v>47</v>
      </c>
    </row>
    <row r="723">
      <c r="A723" t="n">
        <v>498</v>
      </c>
      <c r="B723" t="inlineStr">
        <is>
          <t>Bottled Juice - Calamansi</t>
        </is>
      </c>
      <c r="C723" t="inlineStr">
        <is>
          <t>Zambo Tropical</t>
        </is>
      </c>
      <c r="D723" t="inlineStr">
        <is>
          <t>ml</t>
        </is>
      </c>
      <c r="E723" t="n">
        <v>281</v>
      </c>
      <c r="F723" t="n">
        <v>6107.53</v>
      </c>
      <c r="G723" t="n">
        <v>21.73498220640569</v>
      </c>
    </row>
    <row r="724">
      <c r="A724" t="n">
        <v>499</v>
      </c>
      <c r="B724" t="inlineStr">
        <is>
          <t>Box Paper</t>
        </is>
      </c>
      <c r="C724" t="inlineStr">
        <is>
          <t>(Single division )</t>
        </is>
      </c>
      <c r="D724" t="inlineStr">
        <is>
          <t>pieces</t>
        </is>
      </c>
      <c r="E724" t="n">
        <v>183</v>
      </c>
      <c r="F724" t="n">
        <v>732</v>
      </c>
      <c r="G724" t="n">
        <v>4</v>
      </c>
    </row>
    <row r="725">
      <c r="A725" t="n">
        <v>499</v>
      </c>
      <c r="B725" t="inlineStr">
        <is>
          <t>Box Paper</t>
        </is>
      </c>
      <c r="C725" t="inlineStr">
        <is>
          <t>(Three division)</t>
        </is>
      </c>
      <c r="D725" t="inlineStr">
        <is>
          <t>pieces</t>
        </is>
      </c>
      <c r="E725" t="n">
        <v>20</v>
      </c>
      <c r="F725" t="n">
        <v>120</v>
      </c>
      <c r="G725" t="n">
        <v>6</v>
      </c>
    </row>
    <row r="726">
      <c r="A726" t="n">
        <v>499</v>
      </c>
      <c r="B726" t="inlineStr">
        <is>
          <t>Box Paper</t>
        </is>
      </c>
      <c r="C726" t="inlineStr">
        <is>
          <t>(Two division)</t>
        </is>
      </c>
      <c r="D726" t="inlineStr">
        <is>
          <t>pieces</t>
        </is>
      </c>
      <c r="E726" t="n">
        <v>183</v>
      </c>
      <c r="F726" t="n">
        <v>915</v>
      </c>
      <c r="G726" t="n">
        <v>5</v>
      </c>
    </row>
    <row r="727">
      <c r="A727" t="n">
        <v>38</v>
      </c>
      <c r="B727" t="inlineStr">
        <is>
          <t>Bread Crumbs</t>
        </is>
      </c>
      <c r="C727" t="inlineStr">
        <is>
          <t>Ram</t>
        </is>
      </c>
      <c r="D727" t="inlineStr">
        <is>
          <t>kilos</t>
        </is>
      </c>
      <c r="E727" t="n">
        <v>2</v>
      </c>
      <c r="F727" t="n">
        <v>290</v>
      </c>
      <c r="G727" t="n">
        <v>145</v>
      </c>
    </row>
    <row r="728">
      <c r="A728" t="n">
        <v>38</v>
      </c>
      <c r="B728" t="inlineStr">
        <is>
          <t>Bread Crumbs</t>
        </is>
      </c>
      <c r="C728" t="inlineStr">
        <is>
          <t>Krispers</t>
        </is>
      </c>
      <c r="D728" t="inlineStr">
        <is>
          <t>grams</t>
        </is>
      </c>
      <c r="E728" t="n">
        <v>5</v>
      </c>
      <c r="F728" t="n">
        <v>396.4999999999999</v>
      </c>
      <c r="G728" t="n">
        <v>79.29999999999998</v>
      </c>
    </row>
    <row r="729">
      <c r="A729" t="n">
        <v>38</v>
      </c>
      <c r="B729" t="inlineStr">
        <is>
          <t>Bread Crumbs</t>
        </is>
      </c>
      <c r="C729" t="inlineStr">
        <is>
          <t>Good Life</t>
        </is>
      </c>
      <c r="D729" t="inlineStr">
        <is>
          <t>grams</t>
        </is>
      </c>
      <c r="E729" t="n">
        <v>10</v>
      </c>
      <c r="F729" t="n">
        <v>388.5</v>
      </c>
      <c r="G729" t="n">
        <v>38.85</v>
      </c>
    </row>
    <row r="730">
      <c r="A730" t="n">
        <v>38</v>
      </c>
      <c r="B730" t="inlineStr">
        <is>
          <t>Bread Crumbs</t>
        </is>
      </c>
      <c r="C730" t="inlineStr">
        <is>
          <t>Yan Yan</t>
        </is>
      </c>
      <c r="D730" t="inlineStr">
        <is>
          <t>grams</t>
        </is>
      </c>
      <c r="E730" t="n">
        <v>17</v>
      </c>
      <c r="F730" t="n">
        <v>728</v>
      </c>
      <c r="G730" t="n">
        <v>42.8235294117647</v>
      </c>
    </row>
    <row r="731">
      <c r="A731" t="n">
        <v>38</v>
      </c>
      <c r="B731" t="inlineStr">
        <is>
          <t>Bread Crumbs</t>
        </is>
      </c>
      <c r="C731" t="inlineStr">
        <is>
          <t>Yan Yan</t>
        </is>
      </c>
      <c r="D731" t="inlineStr">
        <is>
          <t>kilos</t>
        </is>
      </c>
      <c r="E731" t="n">
        <v>1</v>
      </c>
      <c r="F731" t="n">
        <v>152</v>
      </c>
      <c r="G731" t="n">
        <v>152</v>
      </c>
    </row>
    <row r="732">
      <c r="A732" t="n">
        <v>38</v>
      </c>
      <c r="B732" t="inlineStr">
        <is>
          <t>Bread Crumbs</t>
        </is>
      </c>
      <c r="C732" t="inlineStr">
        <is>
          <t>Happy Fiesta</t>
        </is>
      </c>
      <c r="D732" t="inlineStr">
        <is>
          <t>grams</t>
        </is>
      </c>
      <c r="E732" t="n">
        <v>7</v>
      </c>
      <c r="F732" t="n">
        <v>221.62</v>
      </c>
      <c r="G732" t="n">
        <v>31.66</v>
      </c>
    </row>
    <row r="733">
      <c r="A733" t="n">
        <v>38</v>
      </c>
      <c r="B733" t="inlineStr">
        <is>
          <t>Bread Crumbs</t>
        </is>
      </c>
      <c r="C733" t="inlineStr">
        <is>
          <t>Ajinomoto - Crispy Fry Seasoned Crumbs</t>
        </is>
      </c>
      <c r="D733" t="inlineStr">
        <is>
          <t>grams</t>
        </is>
      </c>
      <c r="E733" t="n">
        <v>1</v>
      </c>
      <c r="F733" t="n">
        <v>21</v>
      </c>
      <c r="G733" t="n">
        <v>21</v>
      </c>
    </row>
    <row r="734">
      <c r="A734" t="n">
        <v>500</v>
      </c>
      <c r="B734" t="inlineStr">
        <is>
          <t>Breading Mix</t>
        </is>
      </c>
      <c r="C734" t="inlineStr">
        <is>
          <t>Crispy Fry</t>
        </is>
      </c>
      <c r="D734" t="inlineStr">
        <is>
          <t>grams</t>
        </is>
      </c>
      <c r="E734" t="n">
        <v>0</v>
      </c>
      <c r="F734" t="n">
        <v>0</v>
      </c>
      <c r="G734" t="n">
        <v>0</v>
      </c>
    </row>
    <row r="735">
      <c r="A735" t="n">
        <v>501</v>
      </c>
      <c r="B735" t="inlineStr">
        <is>
          <t>Brocolli</t>
        </is>
      </c>
      <c r="C735" t="inlineStr"/>
      <c r="D735" t="inlineStr">
        <is>
          <t>kilos</t>
        </is>
      </c>
      <c r="E735" t="n">
        <v>6</v>
      </c>
      <c r="F735" t="n">
        <v>1300</v>
      </c>
      <c r="G735" t="n">
        <v>216.6666666666667</v>
      </c>
    </row>
    <row r="736">
      <c r="A736" t="n">
        <v>41</v>
      </c>
      <c r="B736" t="inlineStr">
        <is>
          <t>Broth Cubes - Beef</t>
        </is>
      </c>
      <c r="C736" t="inlineStr">
        <is>
          <t>Unilever - Knorr</t>
        </is>
      </c>
      <c r="D736" t="inlineStr">
        <is>
          <t>grams</t>
        </is>
      </c>
      <c r="E736" t="n">
        <v>63</v>
      </c>
      <c r="F736" t="n">
        <v>1071.84</v>
      </c>
      <c r="G736" t="n">
        <v>17.01333333333334</v>
      </c>
    </row>
    <row r="737">
      <c r="A737" t="n">
        <v>42</v>
      </c>
      <c r="B737" t="inlineStr">
        <is>
          <t>Broth Cubes - Chicken</t>
        </is>
      </c>
      <c r="C737" t="inlineStr">
        <is>
          <t>Unilever - Knorr</t>
        </is>
      </c>
      <c r="D737" t="inlineStr">
        <is>
          <t>grams</t>
        </is>
      </c>
      <c r="E737" t="n">
        <v>37</v>
      </c>
      <c r="F737" t="n">
        <v>1137.58</v>
      </c>
      <c r="G737" t="n">
        <v>30.7454054054054</v>
      </c>
    </row>
    <row r="738">
      <c r="A738" t="n">
        <v>43</v>
      </c>
      <c r="B738" t="inlineStr">
        <is>
          <t>Broth Cubes - Pork</t>
        </is>
      </c>
      <c r="C738" t="inlineStr">
        <is>
          <t>Unilever - Knorr</t>
        </is>
      </c>
      <c r="D738" t="inlineStr">
        <is>
          <t>grams</t>
        </is>
      </c>
      <c r="E738" t="n">
        <v>67</v>
      </c>
      <c r="F738" t="n">
        <v>654.3000000000001</v>
      </c>
      <c r="G738" t="n">
        <v>9.765671641791046</v>
      </c>
    </row>
    <row r="739">
      <c r="A739" t="n">
        <v>502</v>
      </c>
      <c r="B739" t="inlineStr">
        <is>
          <t>Brown Paper #1</t>
        </is>
      </c>
      <c r="C739" t="inlineStr">
        <is>
          <t>100pcs/ream</t>
        </is>
      </c>
      <c r="D739" t="inlineStr">
        <is>
          <t>ream</t>
        </is>
      </c>
      <c r="E739" t="n">
        <v>150</v>
      </c>
      <c r="F739" t="n">
        <v>52.5</v>
      </c>
      <c r="G739" t="n">
        <v>0.35</v>
      </c>
    </row>
    <row r="740">
      <c r="A740" t="n">
        <v>502</v>
      </c>
      <c r="B740" t="inlineStr">
        <is>
          <t>Brown Paper #1</t>
        </is>
      </c>
      <c r="C740" t="inlineStr">
        <is>
          <t>Carandang Merchandise</t>
        </is>
      </c>
      <c r="D740" t="inlineStr">
        <is>
          <t>ream</t>
        </is>
      </c>
      <c r="E740" t="n">
        <v>3</v>
      </c>
      <c r="F740" t="n">
        <v>75</v>
      </c>
      <c r="G740" t="n">
        <v>25</v>
      </c>
    </row>
    <row r="741">
      <c r="A741" t="n">
        <v>503</v>
      </c>
      <c r="B741" t="inlineStr">
        <is>
          <t>Brown Paper #10</t>
        </is>
      </c>
      <c r="C741" t="inlineStr"/>
      <c r="D741" t="inlineStr">
        <is>
          <t>ream</t>
        </is>
      </c>
      <c r="E741" t="n">
        <v>65</v>
      </c>
      <c r="F741" t="n">
        <v>735</v>
      </c>
      <c r="G741" t="n">
        <v>11.30769230769231</v>
      </c>
    </row>
    <row r="742">
      <c r="A742" t="n">
        <v>504</v>
      </c>
      <c r="B742" t="inlineStr">
        <is>
          <t>Brown Paper #12</t>
        </is>
      </c>
      <c r="C742" t="inlineStr">
        <is>
          <t>100pcs/ream</t>
        </is>
      </c>
      <c r="D742" t="inlineStr">
        <is>
          <t>ream</t>
        </is>
      </c>
      <c r="E742" t="n">
        <v>66</v>
      </c>
      <c r="F742" t="n">
        <v>79.2</v>
      </c>
      <c r="G742" t="n">
        <v>1.2</v>
      </c>
    </row>
    <row r="743">
      <c r="A743" t="n">
        <v>505</v>
      </c>
      <c r="B743" t="inlineStr">
        <is>
          <t>Brown Paper #2</t>
        </is>
      </c>
      <c r="C743" t="inlineStr">
        <is>
          <t>100pcs/ream</t>
        </is>
      </c>
      <c r="D743" t="inlineStr">
        <is>
          <t>ream</t>
        </is>
      </c>
      <c r="E743" t="n">
        <v>165</v>
      </c>
      <c r="F743" t="n">
        <v>66</v>
      </c>
      <c r="G743" t="n">
        <v>0.4</v>
      </c>
    </row>
    <row r="744">
      <c r="A744" t="n">
        <v>506</v>
      </c>
      <c r="B744" t="inlineStr">
        <is>
          <t>Brown Paper #3</t>
        </is>
      </c>
      <c r="C744" t="inlineStr">
        <is>
          <t>100pcs/ream</t>
        </is>
      </c>
      <c r="D744" t="inlineStr">
        <is>
          <t>ream</t>
        </is>
      </c>
      <c r="E744" t="n">
        <v>5</v>
      </c>
      <c r="F744" t="n">
        <v>275</v>
      </c>
      <c r="G744" t="n">
        <v>55</v>
      </c>
    </row>
    <row r="745">
      <c r="A745" t="n">
        <v>507</v>
      </c>
      <c r="B745" t="inlineStr">
        <is>
          <t>Brown Paper #4</t>
        </is>
      </c>
      <c r="C745" t="inlineStr">
        <is>
          <t>100pcs/ream</t>
        </is>
      </c>
      <c r="D745" t="inlineStr">
        <is>
          <t>ream</t>
        </is>
      </c>
      <c r="E745" t="n">
        <v>100</v>
      </c>
      <c r="F745" t="n">
        <v>50</v>
      </c>
      <c r="G745" t="n">
        <v>0.5</v>
      </c>
    </row>
    <row r="746">
      <c r="A746" t="n">
        <v>507</v>
      </c>
      <c r="B746" t="inlineStr">
        <is>
          <t>Brown Paper #4</t>
        </is>
      </c>
      <c r="C746" t="inlineStr">
        <is>
          <t>Carandang Merchandise</t>
        </is>
      </c>
      <c r="D746" t="inlineStr">
        <is>
          <t>ream</t>
        </is>
      </c>
      <c r="E746" t="n">
        <v>6</v>
      </c>
      <c r="F746" t="n">
        <v>267.6</v>
      </c>
      <c r="G746" t="n">
        <v>44.6</v>
      </c>
    </row>
    <row r="747">
      <c r="A747" t="n">
        <v>508</v>
      </c>
      <c r="B747" t="inlineStr">
        <is>
          <t>Brown Paper #8</t>
        </is>
      </c>
      <c r="C747" t="inlineStr">
        <is>
          <t>100pcs/ream</t>
        </is>
      </c>
      <c r="D747" t="inlineStr">
        <is>
          <t>ream</t>
        </is>
      </c>
      <c r="E747" t="n">
        <v>3</v>
      </c>
      <c r="F747" t="n">
        <v>225</v>
      </c>
      <c r="G747" t="n">
        <v>75</v>
      </c>
    </row>
    <row r="748">
      <c r="A748" t="n">
        <v>509</v>
      </c>
      <c r="B748" t="inlineStr">
        <is>
          <t>Brown Rice</t>
        </is>
      </c>
      <c r="C748" t="inlineStr">
        <is>
          <t>Japonica</t>
        </is>
      </c>
      <c r="D748" t="inlineStr">
        <is>
          <t>kilos</t>
        </is>
      </c>
      <c r="E748" t="n">
        <v>1</v>
      </c>
      <c r="F748" t="n">
        <v>115</v>
      </c>
      <c r="G748" t="n">
        <v>115</v>
      </c>
    </row>
    <row r="749">
      <c r="A749" t="n">
        <v>509</v>
      </c>
      <c r="B749" t="inlineStr">
        <is>
          <t>Brown Rice</t>
        </is>
      </c>
      <c r="C749" t="inlineStr">
        <is>
          <t>Dona Maria</t>
        </is>
      </c>
      <c r="D749" t="inlineStr">
        <is>
          <t>kilos</t>
        </is>
      </c>
      <c r="E749" t="n">
        <v>2</v>
      </c>
      <c r="F749" t="n">
        <v>320</v>
      </c>
      <c r="G749" t="n">
        <v>160</v>
      </c>
    </row>
    <row r="750">
      <c r="A750" t="n">
        <v>509</v>
      </c>
      <c r="B750" t="inlineStr">
        <is>
          <t>Brown Rice</t>
        </is>
      </c>
      <c r="C750" t="inlineStr">
        <is>
          <t>Jordan Farm</t>
        </is>
      </c>
      <c r="D750" t="inlineStr">
        <is>
          <t>grams</t>
        </is>
      </c>
      <c r="E750" t="n">
        <v>1</v>
      </c>
      <c r="F750" t="n">
        <v>126</v>
      </c>
      <c r="G750" t="n">
        <v>126</v>
      </c>
    </row>
    <row r="751">
      <c r="A751" t="n">
        <v>510</v>
      </c>
      <c r="B751" t="inlineStr">
        <is>
          <t>Buko</t>
        </is>
      </c>
      <c r="C751" t="inlineStr"/>
      <c r="D751" t="inlineStr">
        <is>
          <t>pieces</t>
        </is>
      </c>
      <c r="E751" t="n">
        <v>1</v>
      </c>
      <c r="F751" t="n">
        <v>46</v>
      </c>
      <c r="G751" t="n">
        <v>46</v>
      </c>
    </row>
    <row r="752">
      <c r="A752" t="n">
        <v>511</v>
      </c>
      <c r="B752" t="inlineStr">
        <is>
          <t>Buko Kayod</t>
        </is>
      </c>
      <c r="C752" t="inlineStr"/>
      <c r="D752" t="inlineStr">
        <is>
          <t>kilos</t>
        </is>
      </c>
      <c r="E752" t="n">
        <v>1</v>
      </c>
      <c r="F752" t="n">
        <v>260</v>
      </c>
      <c r="G752" t="n">
        <v>260</v>
      </c>
    </row>
    <row r="753">
      <c r="A753" t="n">
        <v>512</v>
      </c>
      <c r="B753" t="inlineStr">
        <is>
          <t>Buko Pastillas</t>
        </is>
      </c>
      <c r="C753" t="inlineStr">
        <is>
          <t>Ysanne Ktara Native Kakanin</t>
        </is>
      </c>
      <c r="D753" t="inlineStr">
        <is>
          <t>pieces</t>
        </is>
      </c>
      <c r="E753" t="n">
        <v>120</v>
      </c>
      <c r="F753" t="n">
        <v>600</v>
      </c>
      <c r="G753" t="n">
        <v>5</v>
      </c>
    </row>
    <row r="754">
      <c r="A754" t="n">
        <v>513</v>
      </c>
      <c r="B754" t="inlineStr">
        <is>
          <t>Burger Patties</t>
        </is>
      </c>
      <c r="C754" t="inlineStr">
        <is>
          <t>CDO - Ulam Burger</t>
        </is>
      </c>
      <c r="D754" t="inlineStr">
        <is>
          <t>grams</t>
        </is>
      </c>
      <c r="E754" t="n">
        <v>9</v>
      </c>
      <c r="F754" t="n">
        <v>1217</v>
      </c>
      <c r="G754" t="n">
        <v>135.2222222222222</v>
      </c>
    </row>
    <row r="755">
      <c r="A755" t="n">
        <v>514</v>
      </c>
      <c r="B755" t="inlineStr">
        <is>
          <t>Butter</t>
        </is>
      </c>
      <c r="C755" t="inlineStr">
        <is>
          <t>Magnolia - Salted</t>
        </is>
      </c>
      <c r="D755" t="inlineStr">
        <is>
          <t>grams</t>
        </is>
      </c>
      <c r="E755" t="n">
        <v>4</v>
      </c>
      <c r="F755" t="n">
        <v>216</v>
      </c>
      <c r="G755" t="n">
        <v>54</v>
      </c>
    </row>
    <row r="756">
      <c r="A756" t="n">
        <v>514</v>
      </c>
      <c r="B756" t="inlineStr">
        <is>
          <t>Butter</t>
        </is>
      </c>
      <c r="C756" t="inlineStr">
        <is>
          <t>Magnolia - Buttercup</t>
        </is>
      </c>
      <c r="D756" t="inlineStr">
        <is>
          <t>grams</t>
        </is>
      </c>
      <c r="E756" t="n">
        <v>4</v>
      </c>
      <c r="F756" t="n">
        <v>208</v>
      </c>
      <c r="G756" t="n">
        <v>52</v>
      </c>
    </row>
    <row r="757">
      <c r="A757" t="n">
        <v>515</v>
      </c>
      <c r="B757" t="inlineStr">
        <is>
          <t>Button Mushroom</t>
        </is>
      </c>
      <c r="C757" t="inlineStr">
        <is>
          <t>Jolly - Pieces &amp; Stems</t>
        </is>
      </c>
      <c r="D757" t="inlineStr">
        <is>
          <t>grams</t>
        </is>
      </c>
      <c r="E757" t="n">
        <v>1</v>
      </c>
      <c r="F757" t="n">
        <v>62.5</v>
      </c>
      <c r="G757" t="n">
        <v>62.5</v>
      </c>
    </row>
    <row r="758">
      <c r="A758" t="n">
        <v>47</v>
      </c>
      <c r="B758" t="inlineStr">
        <is>
          <t>Button Mushroom Whole</t>
        </is>
      </c>
      <c r="C758" t="inlineStr">
        <is>
          <t>Jolly</t>
        </is>
      </c>
      <c r="D758" t="inlineStr">
        <is>
          <t>drained weight grams</t>
        </is>
      </c>
      <c r="E758" t="n">
        <v>6</v>
      </c>
      <c r="F758" t="n">
        <v>341.4</v>
      </c>
      <c r="G758" t="n">
        <v>56.9</v>
      </c>
    </row>
    <row r="759">
      <c r="A759" t="n">
        <v>47</v>
      </c>
      <c r="B759" t="inlineStr">
        <is>
          <t>Button Mushroom Whole</t>
        </is>
      </c>
      <c r="C759" t="inlineStr">
        <is>
          <t>Happy Fiesta</t>
        </is>
      </c>
      <c r="D759" t="inlineStr">
        <is>
          <t>drained weight grams</t>
        </is>
      </c>
      <c r="E759" t="n">
        <v>8</v>
      </c>
      <c r="F759" t="n">
        <v>400</v>
      </c>
      <c r="G759" t="n">
        <v>50</v>
      </c>
    </row>
    <row r="760">
      <c r="A760" t="n">
        <v>47</v>
      </c>
      <c r="B760" t="inlineStr">
        <is>
          <t>Button Mushroom Whole</t>
        </is>
      </c>
      <c r="C760" t="inlineStr">
        <is>
          <t>Happy Fiesta</t>
        </is>
      </c>
      <c r="D760" t="inlineStr">
        <is>
          <t>grams</t>
        </is>
      </c>
      <c r="E760" t="n">
        <v>29</v>
      </c>
      <c r="F760" t="n">
        <v>1450</v>
      </c>
      <c r="G760" t="n">
        <v>50</v>
      </c>
    </row>
    <row r="761">
      <c r="A761" t="n">
        <v>49</v>
      </c>
      <c r="B761" t="inlineStr">
        <is>
          <t>Cabbage</t>
        </is>
      </c>
      <c r="C761" t="inlineStr"/>
      <c r="D761" t="inlineStr">
        <is>
          <t>kilos</t>
        </is>
      </c>
      <c r="E761" t="n">
        <v>12</v>
      </c>
      <c r="F761" t="n">
        <v>899</v>
      </c>
      <c r="G761" t="n">
        <v>74.91666666666667</v>
      </c>
    </row>
    <row r="762">
      <c r="A762" t="n">
        <v>516</v>
      </c>
      <c r="B762" t="inlineStr">
        <is>
          <t>Caesar Dressing</t>
        </is>
      </c>
      <c r="C762" t="inlineStr">
        <is>
          <t>Lady's Choice</t>
        </is>
      </c>
      <c r="D762" t="inlineStr">
        <is>
          <t>ml</t>
        </is>
      </c>
      <c r="E762" t="n">
        <v>1</v>
      </c>
      <c r="F762" t="n">
        <v>152.25</v>
      </c>
      <c r="G762" t="n">
        <v>152.25</v>
      </c>
    </row>
    <row r="763">
      <c r="A763" t="n">
        <v>517</v>
      </c>
      <c r="B763" t="inlineStr">
        <is>
          <t>Cajun Seasoning</t>
        </is>
      </c>
      <c r="C763" t="inlineStr">
        <is>
          <t>McCormick</t>
        </is>
      </c>
      <c r="D763" t="inlineStr">
        <is>
          <t>grams</t>
        </is>
      </c>
      <c r="E763" t="n">
        <v>2</v>
      </c>
      <c r="F763" t="n">
        <v>102.25</v>
      </c>
      <c r="G763" t="n">
        <v>51.125</v>
      </c>
    </row>
    <row r="764">
      <c r="A764" t="n">
        <v>518</v>
      </c>
      <c r="B764" t="inlineStr">
        <is>
          <t>Cake Bar</t>
        </is>
      </c>
      <c r="C764" t="inlineStr">
        <is>
          <t>Jack n Jill - Quake Choco Burst</t>
        </is>
      </c>
      <c r="D764" t="inlineStr">
        <is>
          <t>grams</t>
        </is>
      </c>
      <c r="E764" t="n">
        <v>30</v>
      </c>
      <c r="F764" t="n">
        <v>222.9</v>
      </c>
      <c r="G764" t="n">
        <v>7.429999999999999</v>
      </c>
    </row>
    <row r="765">
      <c r="A765" t="n">
        <v>518</v>
      </c>
      <c r="B765" t="inlineStr">
        <is>
          <t>Cake Bar</t>
        </is>
      </c>
      <c r="C765" t="inlineStr">
        <is>
          <t>Jack n Jill - Quake Chocolate Bar</t>
        </is>
      </c>
      <c r="D765" t="inlineStr">
        <is>
          <t>grams</t>
        </is>
      </c>
      <c r="E765" t="n">
        <v>50</v>
      </c>
      <c r="F765" t="n">
        <v>350</v>
      </c>
      <c r="G765" t="n">
        <v>7</v>
      </c>
    </row>
    <row r="766">
      <c r="A766" t="n">
        <v>518</v>
      </c>
      <c r="B766" t="inlineStr">
        <is>
          <t>Cake Bar</t>
        </is>
      </c>
      <c r="C766" t="inlineStr">
        <is>
          <t>Jack n Jill - Cream-O Cake Bar</t>
        </is>
      </c>
      <c r="D766" t="inlineStr">
        <is>
          <t>grams</t>
        </is>
      </c>
      <c r="E766" t="n">
        <v>30</v>
      </c>
      <c r="F766" t="n">
        <v>252.6</v>
      </c>
      <c r="G766" t="n">
        <v>8.42</v>
      </c>
    </row>
    <row r="767">
      <c r="A767" t="n">
        <v>518</v>
      </c>
      <c r="B767" t="inlineStr">
        <is>
          <t>Cake Bar</t>
        </is>
      </c>
      <c r="C767" t="inlineStr">
        <is>
          <t>Suncrest Food - Fudgee Bar - Dark Choco</t>
        </is>
      </c>
      <c r="D767" t="inlineStr">
        <is>
          <t>grams</t>
        </is>
      </c>
      <c r="E767" t="n">
        <v>83</v>
      </c>
      <c r="F767" t="n">
        <v>581</v>
      </c>
      <c r="G767" t="n">
        <v>7</v>
      </c>
    </row>
    <row r="768">
      <c r="A768" t="n">
        <v>518</v>
      </c>
      <c r="B768" t="inlineStr">
        <is>
          <t>Cake Bar</t>
        </is>
      </c>
      <c r="C768" t="inlineStr">
        <is>
          <t>Jack &amp; Jill - Quake Vanilla Trilla Bar</t>
        </is>
      </c>
      <c r="D768" t="inlineStr">
        <is>
          <t>grams</t>
        </is>
      </c>
      <c r="E768" t="n">
        <v>20</v>
      </c>
      <c r="F768" t="n">
        <v>148.6</v>
      </c>
      <c r="G768" t="n">
        <v>7.43</v>
      </c>
    </row>
    <row r="769">
      <c r="A769" t="n">
        <v>51</v>
      </c>
      <c r="B769" t="inlineStr">
        <is>
          <t>Cake Flour</t>
        </is>
      </c>
      <c r="C769" t="inlineStr">
        <is>
          <t>Carandang Merchandise</t>
        </is>
      </c>
      <c r="D769" t="inlineStr">
        <is>
          <t>kilos</t>
        </is>
      </c>
      <c r="E769" t="n">
        <v>5</v>
      </c>
      <c r="F769" t="n">
        <v>250</v>
      </c>
      <c r="G769" t="n">
        <v>50</v>
      </c>
    </row>
    <row r="770">
      <c r="A770" t="n">
        <v>519</v>
      </c>
      <c r="B770" t="inlineStr">
        <is>
          <t>Calamansi</t>
        </is>
      </c>
      <c r="C770" t="inlineStr"/>
      <c r="D770" t="inlineStr">
        <is>
          <t>kilos</t>
        </is>
      </c>
      <c r="E770" t="n">
        <v>1</v>
      </c>
      <c r="F770" t="n">
        <v>90</v>
      </c>
      <c r="G770" t="n">
        <v>90</v>
      </c>
    </row>
    <row r="771">
      <c r="A771" t="n">
        <v>519</v>
      </c>
      <c r="B771" t="inlineStr">
        <is>
          <t>Calamansi</t>
        </is>
      </c>
      <c r="C771" t="inlineStr">
        <is>
          <t>Fresh</t>
        </is>
      </c>
      <c r="D771" t="inlineStr">
        <is>
          <t>grams</t>
        </is>
      </c>
      <c r="E771" t="n">
        <v>3</v>
      </c>
      <c r="F771" t="n">
        <v>540</v>
      </c>
      <c r="G771" t="n">
        <v>180</v>
      </c>
    </row>
    <row r="772">
      <c r="A772" t="n">
        <v>519</v>
      </c>
      <c r="B772" t="inlineStr">
        <is>
          <t>Calamansi</t>
        </is>
      </c>
      <c r="C772" t="inlineStr"/>
      <c r="D772" t="inlineStr">
        <is>
          <t>grams</t>
        </is>
      </c>
      <c r="E772" t="n">
        <v>4</v>
      </c>
      <c r="F772" t="n">
        <v>180</v>
      </c>
      <c r="G772" t="n">
        <v>45</v>
      </c>
    </row>
    <row r="773">
      <c r="A773" t="n">
        <v>520</v>
      </c>
      <c r="B773" t="inlineStr">
        <is>
          <t>Candy</t>
        </is>
      </c>
      <c r="C773" t="inlineStr">
        <is>
          <t>Maxx - Cherry</t>
        </is>
      </c>
      <c r="D773" t="inlineStr">
        <is>
          <t>pieces</t>
        </is>
      </c>
      <c r="E773" t="n">
        <v>343</v>
      </c>
      <c r="F773" t="n">
        <v>243.53</v>
      </c>
      <c r="G773" t="n">
        <v>0.71</v>
      </c>
    </row>
    <row r="774">
      <c r="A774" t="n">
        <v>521</v>
      </c>
      <c r="B774" t="inlineStr">
        <is>
          <t>Candy - Lemon</t>
        </is>
      </c>
      <c r="C774" t="inlineStr">
        <is>
          <t>maxx</t>
        </is>
      </c>
      <c r="D774" t="inlineStr">
        <is>
          <t>pieces</t>
        </is>
      </c>
      <c r="E774" t="n">
        <v>50</v>
      </c>
      <c r="F774" t="n">
        <v>39</v>
      </c>
      <c r="G774" t="n">
        <v>0.78</v>
      </c>
    </row>
    <row r="775">
      <c r="A775" t="n">
        <v>522</v>
      </c>
      <c r="B775" t="inlineStr">
        <is>
          <t>Candy (Choco Mint)</t>
        </is>
      </c>
      <c r="C775" t="inlineStr">
        <is>
          <t>Dynamite</t>
        </is>
      </c>
      <c r="D775" t="inlineStr">
        <is>
          <t>pieces</t>
        </is>
      </c>
      <c r="E775" t="n">
        <v>45</v>
      </c>
      <c r="F775" t="n">
        <v>35.55</v>
      </c>
      <c r="G775" t="n">
        <v>0.7900000000000001</v>
      </c>
    </row>
    <row r="776">
      <c r="A776" t="n">
        <v>523</v>
      </c>
      <c r="B776" t="inlineStr">
        <is>
          <t>Candy (Choco Peanut)</t>
        </is>
      </c>
      <c r="C776" t="inlineStr">
        <is>
          <t>Choco Mani</t>
        </is>
      </c>
      <c r="D776" t="inlineStr">
        <is>
          <t>pieces</t>
        </is>
      </c>
      <c r="E776" t="n">
        <v>28</v>
      </c>
      <c r="F776" t="n">
        <v>1008</v>
      </c>
      <c r="G776" t="n">
        <v>36</v>
      </c>
    </row>
    <row r="777">
      <c r="A777" t="n">
        <v>524</v>
      </c>
      <c r="B777" t="inlineStr">
        <is>
          <t>Candy (Coffee)</t>
        </is>
      </c>
      <c r="C777" t="inlineStr">
        <is>
          <t>Kopiko Cappuccino Candy</t>
        </is>
      </c>
      <c r="D777" t="inlineStr">
        <is>
          <t>pieces</t>
        </is>
      </c>
      <c r="E777" t="n">
        <v>74</v>
      </c>
      <c r="F777" t="n">
        <v>61.41999999999999</v>
      </c>
      <c r="G777" t="n">
        <v>0.83</v>
      </c>
    </row>
    <row r="778">
      <c r="A778" t="n">
        <v>525</v>
      </c>
      <c r="B778" t="inlineStr">
        <is>
          <t>Candy (Melon Mint)</t>
        </is>
      </c>
      <c r="C778" t="inlineStr">
        <is>
          <t>Jack n Jill - Dynamite</t>
        </is>
      </c>
      <c r="D778" t="inlineStr">
        <is>
          <t>pieces</t>
        </is>
      </c>
      <c r="E778" t="n">
        <v>62</v>
      </c>
      <c r="F778" t="n">
        <v>49.6</v>
      </c>
      <c r="G778" t="n">
        <v>0.8</v>
      </c>
    </row>
    <row r="779">
      <c r="A779" t="n">
        <v>526</v>
      </c>
      <c r="B779" t="inlineStr">
        <is>
          <t>Candy (White Chocolate)</t>
        </is>
      </c>
      <c r="C779" t="inlineStr">
        <is>
          <t>Jack n Jill - Nips</t>
        </is>
      </c>
      <c r="D779" t="inlineStr">
        <is>
          <t>pieces</t>
        </is>
      </c>
      <c r="E779" t="n">
        <v>28</v>
      </c>
      <c r="F779" t="n">
        <v>33.32</v>
      </c>
      <c r="G779" t="n">
        <v>1.19</v>
      </c>
    </row>
    <row r="780">
      <c r="A780" t="n">
        <v>527</v>
      </c>
      <c r="B780" t="inlineStr">
        <is>
          <t>Canned Sardines</t>
        </is>
      </c>
      <c r="C780" t="inlineStr">
        <is>
          <t>Master</t>
        </is>
      </c>
      <c r="D780" t="inlineStr">
        <is>
          <t>grams</t>
        </is>
      </c>
      <c r="E780" t="n">
        <v>8</v>
      </c>
      <c r="F780" t="n">
        <v>482.4</v>
      </c>
      <c r="G780" t="n">
        <v>60.3</v>
      </c>
    </row>
    <row r="781">
      <c r="A781" t="n">
        <v>527</v>
      </c>
      <c r="B781" t="inlineStr">
        <is>
          <t>Canned Sardines</t>
        </is>
      </c>
      <c r="C781" t="n">
        <v>555</v>
      </c>
      <c r="D781" t="inlineStr">
        <is>
          <t>grams</t>
        </is>
      </c>
      <c r="E781" t="n">
        <v>12</v>
      </c>
      <c r="F781" t="n">
        <v>640.8</v>
      </c>
      <c r="G781" t="n">
        <v>53.4</v>
      </c>
    </row>
    <row r="782">
      <c r="A782" t="n">
        <v>527</v>
      </c>
      <c r="B782" t="inlineStr">
        <is>
          <t>Canned Sardines</t>
        </is>
      </c>
      <c r="C782" t="inlineStr">
        <is>
          <t>Ligo Sardines</t>
        </is>
      </c>
      <c r="D782" t="inlineStr">
        <is>
          <t>grams</t>
        </is>
      </c>
      <c r="E782" t="n">
        <v>5</v>
      </c>
      <c r="F782" t="n">
        <v>322</v>
      </c>
      <c r="G782" t="n">
        <v>64.40000000000001</v>
      </c>
    </row>
    <row r="783">
      <c r="A783" t="n">
        <v>528</v>
      </c>
      <c r="B783" t="inlineStr">
        <is>
          <t>Canned Sardines - in Tomato Sauce</t>
        </is>
      </c>
      <c r="C783" t="n">
        <v>555</v>
      </c>
      <c r="D783" t="inlineStr">
        <is>
          <t>grams</t>
        </is>
      </c>
      <c r="E783" t="n">
        <v>52</v>
      </c>
      <c r="F783" t="n">
        <v>3129.9</v>
      </c>
      <c r="G783" t="n">
        <v>60.19038461538461</v>
      </c>
    </row>
    <row r="784">
      <c r="A784" t="n">
        <v>528</v>
      </c>
      <c r="B784" t="inlineStr">
        <is>
          <t>Canned Sardines - in Tomato Sauce</t>
        </is>
      </c>
      <c r="C784" t="inlineStr">
        <is>
          <t>Masters</t>
        </is>
      </c>
      <c r="D784" t="inlineStr">
        <is>
          <t>grams</t>
        </is>
      </c>
      <c r="E784" t="n">
        <v>10</v>
      </c>
      <c r="F784" t="n">
        <v>599</v>
      </c>
      <c r="G784" t="n">
        <v>59.9</v>
      </c>
    </row>
    <row r="785">
      <c r="A785" t="n">
        <v>529</v>
      </c>
      <c r="B785" t="inlineStr">
        <is>
          <t>Canned Strawberry</t>
        </is>
      </c>
      <c r="C785" t="inlineStr">
        <is>
          <t>Sunbest</t>
        </is>
      </c>
      <c r="D785" t="inlineStr">
        <is>
          <t>grams</t>
        </is>
      </c>
      <c r="E785" t="n">
        <v>1</v>
      </c>
      <c r="F785" t="n">
        <v>258</v>
      </c>
      <c r="G785" t="n">
        <v>258</v>
      </c>
    </row>
    <row r="786">
      <c r="A786" t="n">
        <v>530</v>
      </c>
      <c r="B786" t="inlineStr">
        <is>
          <t>Canned Tuna</t>
        </is>
      </c>
      <c r="C786" t="inlineStr">
        <is>
          <t>Century</t>
        </is>
      </c>
      <c r="D786" t="inlineStr">
        <is>
          <t>grams</t>
        </is>
      </c>
      <c r="E786" t="n">
        <v>1</v>
      </c>
      <c r="F786" t="n">
        <v>102.5</v>
      </c>
      <c r="G786" t="n">
        <v>102.5</v>
      </c>
    </row>
    <row r="787">
      <c r="A787" t="n">
        <v>531</v>
      </c>
      <c r="B787" t="inlineStr">
        <is>
          <t>Canned Tuna - Adobo</t>
        </is>
      </c>
      <c r="C787" t="n">
        <v>555</v>
      </c>
      <c r="D787" t="inlineStr">
        <is>
          <t>grams</t>
        </is>
      </c>
      <c r="E787" t="n">
        <v>4</v>
      </c>
      <c r="F787" t="n">
        <v>115.8</v>
      </c>
      <c r="G787" t="n">
        <v>28.95</v>
      </c>
    </row>
    <row r="788">
      <c r="A788" t="n">
        <v>532</v>
      </c>
      <c r="B788" t="inlineStr">
        <is>
          <t>Canned Tuna - Afritada</t>
        </is>
      </c>
      <c r="C788" t="n">
        <v>555</v>
      </c>
      <c r="D788" t="inlineStr">
        <is>
          <t>grams</t>
        </is>
      </c>
      <c r="E788" t="n">
        <v>27</v>
      </c>
      <c r="F788" t="n">
        <v>733</v>
      </c>
      <c r="G788" t="n">
        <v>27.14814814814815</v>
      </c>
    </row>
    <row r="789">
      <c r="A789" t="n">
        <v>533</v>
      </c>
      <c r="B789" t="inlineStr">
        <is>
          <t>Canned Tuna - Caldereta</t>
        </is>
      </c>
      <c r="C789" t="n">
        <v>555</v>
      </c>
      <c r="D789" t="inlineStr">
        <is>
          <t>grams</t>
        </is>
      </c>
      <c r="E789" t="n">
        <v>5</v>
      </c>
      <c r="F789" t="n">
        <v>144.75</v>
      </c>
      <c r="G789" t="n">
        <v>28.95</v>
      </c>
    </row>
    <row r="790">
      <c r="A790" t="n">
        <v>534</v>
      </c>
      <c r="B790" t="inlineStr">
        <is>
          <t>Canned Tuna - Chili Corned Tuna</t>
        </is>
      </c>
      <c r="C790" t="inlineStr">
        <is>
          <t>San Marino</t>
        </is>
      </c>
      <c r="D790" t="inlineStr">
        <is>
          <t>grams</t>
        </is>
      </c>
      <c r="E790" t="n">
        <v>7</v>
      </c>
      <c r="F790" t="n">
        <v>262.5</v>
      </c>
      <c r="G790" t="n">
        <v>37.5</v>
      </c>
    </row>
    <row r="791">
      <c r="A791" t="n">
        <v>535</v>
      </c>
      <c r="B791" t="inlineStr">
        <is>
          <t>Canned Tuna - Corned Tuna</t>
        </is>
      </c>
      <c r="C791" t="inlineStr">
        <is>
          <t>San Marino</t>
        </is>
      </c>
      <c r="D791" t="inlineStr">
        <is>
          <t>grams</t>
        </is>
      </c>
      <c r="E791" t="n">
        <v>8</v>
      </c>
      <c r="F791" t="n">
        <v>361.6</v>
      </c>
      <c r="G791" t="n">
        <v>45.2</v>
      </c>
    </row>
    <row r="792">
      <c r="A792" t="n">
        <v>535</v>
      </c>
      <c r="B792" t="inlineStr">
        <is>
          <t>Canned Tuna - Corned Tuna</t>
        </is>
      </c>
      <c r="C792" t="inlineStr">
        <is>
          <t>San Marino - Red</t>
        </is>
      </c>
      <c r="D792" t="inlineStr">
        <is>
          <t>grams</t>
        </is>
      </c>
      <c r="E792" t="n">
        <v>33</v>
      </c>
      <c r="F792" t="n">
        <v>940.5</v>
      </c>
      <c r="G792" t="n">
        <v>28.5</v>
      </c>
    </row>
    <row r="793">
      <c r="A793" t="n">
        <v>535</v>
      </c>
      <c r="B793" t="inlineStr">
        <is>
          <t>Canned Tuna - Corned Tuna</t>
        </is>
      </c>
      <c r="C793" t="inlineStr">
        <is>
          <t>San Marino - Yellow</t>
        </is>
      </c>
      <c r="D793" t="inlineStr">
        <is>
          <t>grams</t>
        </is>
      </c>
      <c r="E793" t="n">
        <v>18</v>
      </c>
      <c r="F793" t="n">
        <v>513</v>
      </c>
      <c r="G793" t="n">
        <v>28.5</v>
      </c>
    </row>
    <row r="794">
      <c r="A794" t="n">
        <v>536</v>
      </c>
      <c r="B794" t="inlineStr">
        <is>
          <t>Canned Tuna - Flakes in Oil</t>
        </is>
      </c>
      <c r="C794" t="inlineStr">
        <is>
          <t>Century</t>
        </is>
      </c>
      <c r="D794" t="inlineStr">
        <is>
          <t>grams</t>
        </is>
      </c>
      <c r="E794" t="n">
        <v>44</v>
      </c>
      <c r="F794" t="n">
        <v>4019.400000000001</v>
      </c>
      <c r="G794" t="n">
        <v>91.35000000000001</v>
      </c>
    </row>
    <row r="795">
      <c r="A795" t="n">
        <v>537</v>
      </c>
      <c r="B795" t="inlineStr">
        <is>
          <t>Canned Tuna - Hot &amp; Spicy</t>
        </is>
      </c>
      <c r="C795" t="inlineStr">
        <is>
          <t>Century</t>
        </is>
      </c>
      <c r="D795" t="inlineStr">
        <is>
          <t>grams</t>
        </is>
      </c>
      <c r="E795" t="n">
        <v>4</v>
      </c>
      <c r="F795" t="n">
        <v>144.8</v>
      </c>
      <c r="G795" t="n">
        <v>36.2</v>
      </c>
    </row>
    <row r="796">
      <c r="A796" t="n">
        <v>538</v>
      </c>
      <c r="B796" t="inlineStr">
        <is>
          <t>Canned Tuna - Mechado</t>
        </is>
      </c>
      <c r="C796" t="n">
        <v>555</v>
      </c>
      <c r="D796" t="inlineStr">
        <is>
          <t>grams</t>
        </is>
      </c>
      <c r="E796" t="n">
        <v>2</v>
      </c>
      <c r="F796" t="n">
        <v>54.8</v>
      </c>
      <c r="G796" t="n">
        <v>27.4</v>
      </c>
    </row>
    <row r="797">
      <c r="A797" t="n">
        <v>55</v>
      </c>
      <c r="B797" t="inlineStr">
        <is>
          <t>Canton</t>
        </is>
      </c>
      <c r="C797" t="inlineStr">
        <is>
          <t>Excellent</t>
        </is>
      </c>
      <c r="D797" t="inlineStr">
        <is>
          <t>grams</t>
        </is>
      </c>
      <c r="E797" t="n">
        <v>7</v>
      </c>
      <c r="F797" t="n">
        <v>938</v>
      </c>
      <c r="G797" t="n">
        <v>134</v>
      </c>
    </row>
    <row r="798">
      <c r="A798" t="n">
        <v>55</v>
      </c>
      <c r="B798" t="inlineStr">
        <is>
          <t>Canton</t>
        </is>
      </c>
      <c r="C798" t="inlineStr">
        <is>
          <t>KENDYS</t>
        </is>
      </c>
      <c r="D798" t="inlineStr">
        <is>
          <t>grams</t>
        </is>
      </c>
      <c r="E798" t="n">
        <v>2</v>
      </c>
      <c r="F798" t="n">
        <v>237.5</v>
      </c>
      <c r="G798" t="n">
        <v>118.75</v>
      </c>
    </row>
    <row r="799">
      <c r="A799" t="n">
        <v>55</v>
      </c>
      <c r="B799" t="inlineStr">
        <is>
          <t>Canton</t>
        </is>
      </c>
      <c r="C799" t="inlineStr">
        <is>
          <t>Hernan Logmao</t>
        </is>
      </c>
      <c r="D799" t="inlineStr">
        <is>
          <t>kilos</t>
        </is>
      </c>
      <c r="E799" t="n">
        <v>1</v>
      </c>
      <c r="F799" t="n">
        <v>150</v>
      </c>
      <c r="G799" t="n">
        <v>150</v>
      </c>
    </row>
    <row r="800">
      <c r="A800" t="n">
        <v>55</v>
      </c>
      <c r="B800" t="inlineStr">
        <is>
          <t>Canton</t>
        </is>
      </c>
      <c r="C800" t="inlineStr">
        <is>
          <t>Epti - Kitchen Blends</t>
        </is>
      </c>
      <c r="D800" t="inlineStr">
        <is>
          <t>grams</t>
        </is>
      </c>
      <c r="E800" t="n">
        <v>1</v>
      </c>
      <c r="F800" t="n">
        <v>125</v>
      </c>
      <c r="G800" t="n">
        <v>125</v>
      </c>
    </row>
    <row r="801">
      <c r="A801" t="n">
        <v>55</v>
      </c>
      <c r="B801" t="inlineStr">
        <is>
          <t>Canton</t>
        </is>
      </c>
      <c r="C801" t="inlineStr">
        <is>
          <t>Super Dragon</t>
        </is>
      </c>
      <c r="D801" t="inlineStr">
        <is>
          <t>grams</t>
        </is>
      </c>
      <c r="E801" t="n">
        <v>33</v>
      </c>
      <c r="F801" t="n">
        <v>2994.09</v>
      </c>
      <c r="G801" t="n">
        <v>90.73</v>
      </c>
    </row>
    <row r="802">
      <c r="A802" t="n">
        <v>58</v>
      </c>
      <c r="B802" t="inlineStr">
        <is>
          <t>Carrots</t>
        </is>
      </c>
      <c r="C802" t="inlineStr"/>
      <c r="D802" t="inlineStr">
        <is>
          <t>kilos</t>
        </is>
      </c>
      <c r="E802" t="n">
        <v>3</v>
      </c>
      <c r="F802" t="n">
        <v>210</v>
      </c>
      <c r="G802" t="n">
        <v>70</v>
      </c>
    </row>
    <row r="803">
      <c r="A803" t="n">
        <v>58</v>
      </c>
      <c r="B803" t="inlineStr">
        <is>
          <t>Carrots</t>
        </is>
      </c>
      <c r="C803" t="inlineStr"/>
      <c r="D803" t="inlineStr">
        <is>
          <t>grams</t>
        </is>
      </c>
      <c r="E803" t="n">
        <v>7</v>
      </c>
      <c r="F803" t="n">
        <v>665</v>
      </c>
      <c r="G803" t="n">
        <v>95</v>
      </c>
    </row>
    <row r="804">
      <c r="A804" t="n">
        <v>58</v>
      </c>
      <c r="B804" t="inlineStr">
        <is>
          <t>Carrots</t>
        </is>
      </c>
      <c r="C804" t="inlineStr">
        <is>
          <t>Louise Food and Beverage Trading</t>
        </is>
      </c>
      <c r="D804" t="inlineStr">
        <is>
          <t>kilos</t>
        </is>
      </c>
      <c r="E804" t="n">
        <v>4</v>
      </c>
      <c r="F804" t="n">
        <v>760</v>
      </c>
      <c r="G804" t="n">
        <v>190</v>
      </c>
    </row>
    <row r="805">
      <c r="A805" t="n">
        <v>539</v>
      </c>
      <c r="B805" t="inlineStr">
        <is>
          <t>Cashew</t>
        </is>
      </c>
      <c r="C805" t="inlineStr">
        <is>
          <t>Mialendra Online Shop</t>
        </is>
      </c>
      <c r="D805" t="inlineStr">
        <is>
          <t>pouch</t>
        </is>
      </c>
      <c r="E805" t="n">
        <v>4</v>
      </c>
      <c r="F805" t="n">
        <v>360</v>
      </c>
      <c r="G805" t="n">
        <v>90</v>
      </c>
    </row>
    <row r="806">
      <c r="A806" t="n">
        <v>539</v>
      </c>
      <c r="B806" t="inlineStr">
        <is>
          <t>Cashew</t>
        </is>
      </c>
      <c r="C806" t="inlineStr">
        <is>
          <t>Mialendra Online Shop</t>
        </is>
      </c>
      <c r="D806" t="inlineStr">
        <is>
          <t>jar</t>
        </is>
      </c>
      <c r="E806" t="n">
        <v>4</v>
      </c>
      <c r="F806" t="n">
        <v>980</v>
      </c>
      <c r="G806" t="n">
        <v>245</v>
      </c>
    </row>
    <row r="807">
      <c r="A807" t="n">
        <v>540</v>
      </c>
      <c r="B807" t="inlineStr">
        <is>
          <t>Cashew Nuts</t>
        </is>
      </c>
      <c r="C807" t="inlineStr">
        <is>
          <t>Growers</t>
        </is>
      </c>
      <c r="D807" t="inlineStr">
        <is>
          <t>grams</t>
        </is>
      </c>
      <c r="E807" t="n">
        <v>5</v>
      </c>
      <c r="F807" t="n">
        <v>490</v>
      </c>
      <c r="G807" t="n">
        <v>98</v>
      </c>
    </row>
    <row r="808">
      <c r="A808" t="n">
        <v>541</v>
      </c>
      <c r="B808" t="inlineStr">
        <is>
          <t>Cassava Flour</t>
        </is>
      </c>
      <c r="C808" t="inlineStr">
        <is>
          <t>Queen</t>
        </is>
      </c>
      <c r="D808" t="inlineStr">
        <is>
          <t>kilos</t>
        </is>
      </c>
      <c r="E808" t="n">
        <v>2</v>
      </c>
      <c r="F808" t="n">
        <v>130</v>
      </c>
      <c r="G808" t="n">
        <v>65</v>
      </c>
    </row>
    <row r="809">
      <c r="A809" t="n">
        <v>541</v>
      </c>
      <c r="B809" t="inlineStr">
        <is>
          <t>Cassava Flour</t>
        </is>
      </c>
      <c r="C809" t="inlineStr">
        <is>
          <t>JRS Vegetables and Seafoods</t>
        </is>
      </c>
      <c r="D809" t="inlineStr">
        <is>
          <t>kilos</t>
        </is>
      </c>
      <c r="E809" t="n">
        <v>5</v>
      </c>
      <c r="F809" t="n">
        <v>325</v>
      </c>
      <c r="G809" t="n">
        <v>65</v>
      </c>
    </row>
    <row r="810">
      <c r="A810" t="n">
        <v>59</v>
      </c>
      <c r="B810" t="inlineStr">
        <is>
          <t>Cassava Starch</t>
        </is>
      </c>
      <c r="C810" t="inlineStr"/>
      <c r="D810" t="inlineStr">
        <is>
          <t>kilos</t>
        </is>
      </c>
      <c r="E810" t="n">
        <v>4</v>
      </c>
      <c r="F810" t="n">
        <v>176</v>
      </c>
      <c r="G810" t="n">
        <v>44</v>
      </c>
    </row>
    <row r="811">
      <c r="A811" t="n">
        <v>59</v>
      </c>
      <c r="B811" t="inlineStr">
        <is>
          <t>Cassava Starch</t>
        </is>
      </c>
      <c r="C811" t="inlineStr"/>
      <c r="D811" t="inlineStr">
        <is>
          <t>grams</t>
        </is>
      </c>
      <c r="E811" t="n">
        <v>5</v>
      </c>
      <c r="F811" t="n">
        <v>325</v>
      </c>
      <c r="G811" t="n">
        <v>65</v>
      </c>
    </row>
    <row r="812">
      <c r="A812" t="n">
        <v>60</v>
      </c>
      <c r="B812" t="inlineStr">
        <is>
          <t>Catsup</t>
        </is>
      </c>
      <c r="C812" t="inlineStr">
        <is>
          <t>Ticman</t>
        </is>
      </c>
      <c r="D812" t="inlineStr">
        <is>
          <t>ml</t>
        </is>
      </c>
      <c r="E812" t="n">
        <v>13</v>
      </c>
      <c r="F812" t="n">
        <v>1144</v>
      </c>
      <c r="G812" t="n">
        <v>88</v>
      </c>
    </row>
    <row r="813">
      <c r="A813" t="n">
        <v>60</v>
      </c>
      <c r="B813" t="inlineStr">
        <is>
          <t>Catsup</t>
        </is>
      </c>
      <c r="C813" t="inlineStr">
        <is>
          <t>NutriAsia - UFC</t>
        </is>
      </c>
      <c r="D813" t="inlineStr">
        <is>
          <t>liters</t>
        </is>
      </c>
      <c r="E813" t="n">
        <v>3</v>
      </c>
      <c r="F813" t="n">
        <v>686.0999999999999</v>
      </c>
      <c r="G813" t="n">
        <v>228.7</v>
      </c>
    </row>
    <row r="814">
      <c r="A814" t="n">
        <v>60</v>
      </c>
      <c r="B814" t="inlineStr">
        <is>
          <t>Catsup</t>
        </is>
      </c>
      <c r="C814" t="inlineStr">
        <is>
          <t>Ticman</t>
        </is>
      </c>
      <c r="D814" t="inlineStr">
        <is>
          <t>gal</t>
        </is>
      </c>
      <c r="E814" t="n">
        <v>21</v>
      </c>
      <c r="F814" t="n">
        <v>1660</v>
      </c>
      <c r="G814" t="n">
        <v>79.04761904761905</v>
      </c>
    </row>
    <row r="815">
      <c r="A815" t="n">
        <v>60</v>
      </c>
      <c r="B815" t="inlineStr">
        <is>
          <t>Catsup</t>
        </is>
      </c>
      <c r="C815" t="inlineStr">
        <is>
          <t>Jugirox</t>
        </is>
      </c>
      <c r="D815" t="inlineStr">
        <is>
          <t>gal</t>
        </is>
      </c>
      <c r="E815" t="n">
        <v>8</v>
      </c>
      <c r="F815" t="n">
        <v>680</v>
      </c>
      <c r="G815" t="n">
        <v>85</v>
      </c>
    </row>
    <row r="816">
      <c r="A816" t="n">
        <v>542</v>
      </c>
      <c r="B816" t="inlineStr">
        <is>
          <t>Cauliflower</t>
        </is>
      </c>
      <c r="C816" t="inlineStr"/>
      <c r="D816" t="inlineStr">
        <is>
          <t>grams</t>
        </is>
      </c>
      <c r="E816" t="n">
        <v>3</v>
      </c>
      <c r="F816" t="n">
        <v>495</v>
      </c>
      <c r="G816" t="n">
        <v>165</v>
      </c>
    </row>
    <row r="817">
      <c r="A817" t="n">
        <v>543</v>
      </c>
      <c r="B817" t="inlineStr">
        <is>
          <t>Cayenne Pepper Powder</t>
        </is>
      </c>
      <c r="C817" t="inlineStr">
        <is>
          <t>J&amp;Y</t>
        </is>
      </c>
      <c r="D817" t="inlineStr">
        <is>
          <t>grams</t>
        </is>
      </c>
      <c r="E817" t="n">
        <v>4</v>
      </c>
      <c r="F817" t="n">
        <v>74</v>
      </c>
      <c r="G817" t="n">
        <v>18.5</v>
      </c>
    </row>
    <row r="818">
      <c r="A818" t="n">
        <v>61</v>
      </c>
      <c r="B818" t="inlineStr">
        <is>
          <t>Cayenne Powder</t>
        </is>
      </c>
      <c r="C818" t="inlineStr">
        <is>
          <t>McCormick</t>
        </is>
      </c>
      <c r="D818" t="inlineStr">
        <is>
          <t>grams</t>
        </is>
      </c>
      <c r="E818" t="n">
        <v>3</v>
      </c>
      <c r="F818" t="n">
        <v>200</v>
      </c>
      <c r="G818" t="n">
        <v>66.66666666666667</v>
      </c>
    </row>
    <row r="819">
      <c r="A819" t="n">
        <v>544</v>
      </c>
      <c r="B819" t="inlineStr">
        <is>
          <t>Cereal Drink - Choco</t>
        </is>
      </c>
      <c r="C819" t="inlineStr">
        <is>
          <t>Energen</t>
        </is>
      </c>
      <c r="D819" t="inlineStr">
        <is>
          <t>grams</t>
        </is>
      </c>
      <c r="E819" t="n">
        <v>31</v>
      </c>
      <c r="F819" t="n">
        <v>269.7</v>
      </c>
      <c r="G819" t="n">
        <v>8.699999999999999</v>
      </c>
    </row>
    <row r="820">
      <c r="A820" t="n">
        <v>545</v>
      </c>
      <c r="B820" t="inlineStr">
        <is>
          <t>Cereal Drink - Chocolate</t>
        </is>
      </c>
      <c r="C820" t="inlineStr">
        <is>
          <t>Energen - Chocolate</t>
        </is>
      </c>
      <c r="D820" t="inlineStr">
        <is>
          <t>grams</t>
        </is>
      </c>
      <c r="E820" t="n">
        <v>2</v>
      </c>
      <c r="F820" t="n">
        <v>17.4</v>
      </c>
      <c r="G820" t="n">
        <v>8.699999999999999</v>
      </c>
    </row>
    <row r="821">
      <c r="A821" t="n">
        <v>546</v>
      </c>
      <c r="B821" t="inlineStr">
        <is>
          <t>Cereal Drink - Vanilla</t>
        </is>
      </c>
      <c r="C821" t="inlineStr">
        <is>
          <t>Energen - Vanilla</t>
        </is>
      </c>
      <c r="D821" t="inlineStr">
        <is>
          <t>grams</t>
        </is>
      </c>
      <c r="E821" t="n">
        <v>103</v>
      </c>
      <c r="F821" t="n">
        <v>896.0999999999999</v>
      </c>
      <c r="G821" t="n">
        <v>8.699999999999999</v>
      </c>
    </row>
    <row r="822">
      <c r="A822" t="n">
        <v>547</v>
      </c>
      <c r="B822" t="inlineStr">
        <is>
          <t>Chafing Fuel</t>
        </is>
      </c>
      <c r="C822" t="inlineStr">
        <is>
          <t>Ko-nice Alcogel</t>
        </is>
      </c>
      <c r="D822" t="inlineStr">
        <is>
          <t>grams</t>
        </is>
      </c>
      <c r="E822" t="n">
        <v>2</v>
      </c>
      <c r="F822" t="n">
        <v>190</v>
      </c>
      <c r="G822" t="n">
        <v>95</v>
      </c>
    </row>
    <row r="823">
      <c r="A823" t="n">
        <v>65</v>
      </c>
      <c r="B823" t="inlineStr">
        <is>
          <t>Cheese</t>
        </is>
      </c>
      <c r="C823" t="inlineStr">
        <is>
          <t>Magnolia - Daily Quezo</t>
        </is>
      </c>
      <c r="D823" t="inlineStr">
        <is>
          <t>grams</t>
        </is>
      </c>
      <c r="E823" t="n">
        <v>28</v>
      </c>
      <c r="F823" t="n">
        <v>1142</v>
      </c>
      <c r="G823" t="n">
        <v>40.78571428571428</v>
      </c>
    </row>
    <row r="824">
      <c r="A824" t="n">
        <v>65</v>
      </c>
      <c r="B824" t="inlineStr">
        <is>
          <t>Cheese</t>
        </is>
      </c>
      <c r="C824" t="inlineStr">
        <is>
          <t>Mondelez - Eden</t>
        </is>
      </c>
      <c r="D824" t="inlineStr">
        <is>
          <t>grams</t>
        </is>
      </c>
      <c r="E824" t="n">
        <v>7</v>
      </c>
      <c r="F824" t="n">
        <v>709.5</v>
      </c>
      <c r="G824" t="n">
        <v>101.3571428571429</v>
      </c>
    </row>
    <row r="825">
      <c r="A825" t="n">
        <v>65</v>
      </c>
      <c r="B825" t="inlineStr">
        <is>
          <t>Cheese</t>
        </is>
      </c>
      <c r="C825" t="inlineStr">
        <is>
          <t>CDO - Big Time</t>
        </is>
      </c>
      <c r="D825" t="inlineStr">
        <is>
          <t>grams</t>
        </is>
      </c>
      <c r="E825" t="n">
        <v>1</v>
      </c>
      <c r="F825" t="n">
        <v>36.7</v>
      </c>
      <c r="G825" t="n">
        <v>36.7</v>
      </c>
    </row>
    <row r="826">
      <c r="A826" t="n">
        <v>548</v>
      </c>
      <c r="B826" t="inlineStr">
        <is>
          <t>Cheese - Sliced</t>
        </is>
      </c>
      <c r="C826" t="inlineStr">
        <is>
          <t>Mondelez - Eden</t>
        </is>
      </c>
      <c r="D826" t="inlineStr">
        <is>
          <t>grams</t>
        </is>
      </c>
      <c r="E826" t="n">
        <v>6</v>
      </c>
      <c r="F826" t="n">
        <v>720</v>
      </c>
      <c r="G826" t="n">
        <v>120</v>
      </c>
    </row>
    <row r="827">
      <c r="A827" t="n">
        <v>548</v>
      </c>
      <c r="B827" t="inlineStr">
        <is>
          <t>Cheese - Sliced</t>
        </is>
      </c>
      <c r="C827" t="inlineStr">
        <is>
          <t>Danes</t>
        </is>
      </c>
      <c r="D827" t="inlineStr">
        <is>
          <t>grams</t>
        </is>
      </c>
      <c r="E827" t="n">
        <v>5</v>
      </c>
      <c r="F827" t="n">
        <v>395</v>
      </c>
      <c r="G827" t="n">
        <v>79</v>
      </c>
    </row>
    <row r="828">
      <c r="A828" t="n">
        <v>68</v>
      </c>
      <c r="B828" t="inlineStr">
        <is>
          <t>Cheese Powder</t>
        </is>
      </c>
      <c r="C828" t="inlineStr">
        <is>
          <t>A-mark</t>
        </is>
      </c>
      <c r="D828" t="inlineStr">
        <is>
          <t>grams</t>
        </is>
      </c>
      <c r="E828" t="n">
        <v>2</v>
      </c>
      <c r="F828" t="n">
        <v>176</v>
      </c>
      <c r="G828" t="n">
        <v>88</v>
      </c>
    </row>
    <row r="829">
      <c r="A829" t="n">
        <v>68</v>
      </c>
      <c r="B829" t="inlineStr">
        <is>
          <t>Cheese Powder</t>
        </is>
      </c>
      <c r="C829" t="inlineStr">
        <is>
          <t>Cheesemiss</t>
        </is>
      </c>
      <c r="D829" t="inlineStr">
        <is>
          <t>grams</t>
        </is>
      </c>
      <c r="E829" t="n">
        <v>1</v>
      </c>
      <c r="F829" t="n">
        <v>40</v>
      </c>
      <c r="G829" t="n">
        <v>40</v>
      </c>
    </row>
    <row r="830">
      <c r="A830" t="n">
        <v>549</v>
      </c>
      <c r="B830" t="inlineStr">
        <is>
          <t>Chicharon</t>
        </is>
      </c>
      <c r="C830" t="inlineStr">
        <is>
          <t>JRS Vegetables and Seafoods</t>
        </is>
      </c>
      <c r="D830" t="inlineStr">
        <is>
          <t>grams</t>
        </is>
      </c>
      <c r="E830" t="n">
        <v>3</v>
      </c>
      <c r="F830" t="n">
        <v>45</v>
      </c>
      <c r="G830" t="n">
        <v>15</v>
      </c>
    </row>
    <row r="831">
      <c r="A831" t="n">
        <v>549</v>
      </c>
      <c r="B831" t="inlineStr">
        <is>
          <t>Chicharon</t>
        </is>
      </c>
      <c r="C831" t="inlineStr">
        <is>
          <t>Ysanne Ktara Native Kakanin</t>
        </is>
      </c>
      <c r="D831" t="inlineStr">
        <is>
          <t>packs</t>
        </is>
      </c>
      <c r="E831" t="n">
        <v>22</v>
      </c>
      <c r="F831" t="n">
        <v>1210</v>
      </c>
      <c r="G831" t="n">
        <v>55</v>
      </c>
    </row>
    <row r="832">
      <c r="A832" t="n">
        <v>550</v>
      </c>
      <c r="B832" t="inlineStr">
        <is>
          <t>Chicharon Durog</t>
        </is>
      </c>
      <c r="C832" t="inlineStr">
        <is>
          <t>JRS Vegetables and Seafoods</t>
        </is>
      </c>
      <c r="D832" t="inlineStr">
        <is>
          <t>kilos</t>
        </is>
      </c>
      <c r="E832" t="n">
        <v>1</v>
      </c>
      <c r="F832" t="n">
        <v>60</v>
      </c>
      <c r="G832" t="n">
        <v>60</v>
      </c>
    </row>
    <row r="833">
      <c r="A833" t="n">
        <v>551</v>
      </c>
      <c r="B833" t="inlineStr">
        <is>
          <t>Chicharon Powder</t>
        </is>
      </c>
      <c r="C833" t="inlineStr"/>
      <c r="D833" t="inlineStr">
        <is>
          <t>grams</t>
        </is>
      </c>
      <c r="E833" t="n">
        <v>2</v>
      </c>
      <c r="F833" t="n">
        <v>440</v>
      </c>
      <c r="G833" t="n">
        <v>220</v>
      </c>
    </row>
    <row r="834">
      <c r="A834" t="n">
        <v>552</v>
      </c>
      <c r="B834" t="inlineStr">
        <is>
          <t>Chicken - Breast</t>
        </is>
      </c>
      <c r="C834" t="inlineStr"/>
      <c r="D834" t="inlineStr">
        <is>
          <t>kilos</t>
        </is>
      </c>
      <c r="E834" t="n">
        <v>5</v>
      </c>
      <c r="F834" t="n">
        <v>1400</v>
      </c>
      <c r="G834" t="n">
        <v>280</v>
      </c>
    </row>
    <row r="835">
      <c r="A835" t="n">
        <v>553</v>
      </c>
      <c r="B835" t="inlineStr">
        <is>
          <t>Chicken - Whole</t>
        </is>
      </c>
      <c r="C835" t="inlineStr"/>
      <c r="D835" t="inlineStr">
        <is>
          <t>kilos</t>
        </is>
      </c>
      <c r="E835" t="n">
        <v>74</v>
      </c>
      <c r="F835" t="n">
        <v>13670</v>
      </c>
      <c r="G835" t="n">
        <v>184.7297297297297</v>
      </c>
    </row>
    <row r="836">
      <c r="A836" t="n">
        <v>554</v>
      </c>
      <c r="B836" t="inlineStr">
        <is>
          <t>Chicken - Fillet</t>
        </is>
      </c>
      <c r="C836" t="inlineStr">
        <is>
          <t>Magnolia</t>
        </is>
      </c>
      <c r="D836" t="inlineStr">
        <is>
          <t>grams</t>
        </is>
      </c>
      <c r="E836" t="n">
        <v>7</v>
      </c>
      <c r="F836" t="n">
        <v>1855</v>
      </c>
      <c r="G836" t="n">
        <v>265</v>
      </c>
    </row>
    <row r="837">
      <c r="A837" t="n">
        <v>555</v>
      </c>
      <c r="B837" t="inlineStr">
        <is>
          <t>Chicken - Frozen Leg Quarter</t>
        </is>
      </c>
      <c r="C837" t="inlineStr"/>
      <c r="D837" t="inlineStr">
        <is>
          <t>kilos</t>
        </is>
      </c>
      <c r="E837" t="n">
        <v>56</v>
      </c>
      <c r="F837" t="n">
        <v>8400</v>
      </c>
      <c r="G837" t="n">
        <v>150</v>
      </c>
    </row>
    <row r="838">
      <c r="A838" t="n">
        <v>556</v>
      </c>
      <c r="B838" t="inlineStr">
        <is>
          <t>Chicken - Leg Quarter</t>
        </is>
      </c>
      <c r="C838" t="inlineStr"/>
      <c r="D838" t="inlineStr">
        <is>
          <t>kilos</t>
        </is>
      </c>
      <c r="E838" t="n">
        <v>221</v>
      </c>
      <c r="F838" t="n">
        <v>29614</v>
      </c>
      <c r="G838" t="n">
        <v>134</v>
      </c>
    </row>
    <row r="839">
      <c r="A839" t="n">
        <v>556</v>
      </c>
      <c r="B839" t="inlineStr">
        <is>
          <t>Chicken - Leg Quarter</t>
        </is>
      </c>
      <c r="C839" t="inlineStr">
        <is>
          <t>Daisuke</t>
        </is>
      </c>
      <c r="D839" t="inlineStr">
        <is>
          <t>kilos</t>
        </is>
      </c>
      <c r="E839" t="n">
        <v>11</v>
      </c>
      <c r="F839" t="n">
        <v>1595</v>
      </c>
      <c r="G839" t="n">
        <v>145</v>
      </c>
    </row>
    <row r="840">
      <c r="A840" t="n">
        <v>557</v>
      </c>
      <c r="B840" t="inlineStr">
        <is>
          <t>Chicken - Neck</t>
        </is>
      </c>
      <c r="C840" t="inlineStr">
        <is>
          <t>Magnolia</t>
        </is>
      </c>
      <c r="D840" t="inlineStr">
        <is>
          <t>grams</t>
        </is>
      </c>
      <c r="E840" t="n">
        <v>12</v>
      </c>
      <c r="F840" t="n">
        <v>2280</v>
      </c>
      <c r="G840" t="n">
        <v>190</v>
      </c>
    </row>
    <row r="841">
      <c r="A841" t="n">
        <v>553</v>
      </c>
      <c r="B841" t="inlineStr">
        <is>
          <t>Chicken - Whole</t>
        </is>
      </c>
      <c r="C841" t="inlineStr"/>
      <c r="D841" t="inlineStr">
        <is>
          <t>grams</t>
        </is>
      </c>
      <c r="E841" t="n">
        <v>78</v>
      </c>
      <c r="F841" t="n">
        <v>15210</v>
      </c>
      <c r="G841" t="n">
        <v>195</v>
      </c>
    </row>
    <row r="842">
      <c r="A842" t="n">
        <v>73</v>
      </c>
      <c r="B842" t="inlineStr">
        <is>
          <t>Chicken and Corn</t>
        </is>
      </c>
      <c r="C842" t="inlineStr">
        <is>
          <t>Unilever - Knorr</t>
        </is>
      </c>
      <c r="D842" t="inlineStr">
        <is>
          <t>grams</t>
        </is>
      </c>
      <c r="E842" t="n">
        <v>4</v>
      </c>
      <c r="F842" t="n">
        <v>220</v>
      </c>
      <c r="G842" t="n">
        <v>55</v>
      </c>
    </row>
    <row r="843">
      <c r="A843" t="n">
        <v>558</v>
      </c>
      <c r="B843" t="inlineStr">
        <is>
          <t>Chicken Nuggets</t>
        </is>
      </c>
      <c r="C843" t="inlineStr">
        <is>
          <t>Gerabelle</t>
        </is>
      </c>
      <c r="D843" t="inlineStr">
        <is>
          <t>grams</t>
        </is>
      </c>
      <c r="E843" t="n">
        <v>0</v>
      </c>
      <c r="F843" t="n">
        <v>0</v>
      </c>
      <c r="G843" t="n">
        <v>0</v>
      </c>
    </row>
    <row r="844">
      <c r="A844" t="n">
        <v>78</v>
      </c>
      <c r="B844" t="inlineStr">
        <is>
          <t>Chili Garlic Sauce</t>
        </is>
      </c>
      <c r="C844" t="inlineStr">
        <is>
          <t>Lee Kum Kee</t>
        </is>
      </c>
      <c r="D844" t="inlineStr">
        <is>
          <t>grams</t>
        </is>
      </c>
      <c r="E844" t="n">
        <v>2</v>
      </c>
      <c r="F844" t="n">
        <v>315</v>
      </c>
      <c r="G844" t="n">
        <v>157.5</v>
      </c>
    </row>
    <row r="845">
      <c r="A845" t="n">
        <v>559</v>
      </c>
      <c r="B845" t="inlineStr">
        <is>
          <t>Chili Powder</t>
        </is>
      </c>
      <c r="C845" t="inlineStr"/>
      <c r="D845" t="inlineStr">
        <is>
          <t>grams</t>
        </is>
      </c>
      <c r="E845" t="n">
        <v>1</v>
      </c>
      <c r="F845" t="n">
        <v>22</v>
      </c>
      <c r="G845" t="n">
        <v>22</v>
      </c>
    </row>
    <row r="846">
      <c r="A846" t="n">
        <v>559</v>
      </c>
      <c r="B846" t="inlineStr">
        <is>
          <t>Chili Powder</t>
        </is>
      </c>
      <c r="C846" t="inlineStr">
        <is>
          <t>McCormick</t>
        </is>
      </c>
      <c r="D846" t="inlineStr">
        <is>
          <t>grams</t>
        </is>
      </c>
      <c r="E846" t="n">
        <v>4</v>
      </c>
      <c r="F846" t="n">
        <v>350</v>
      </c>
      <c r="G846" t="n">
        <v>87.5</v>
      </c>
    </row>
    <row r="847">
      <c r="A847" t="n">
        <v>560</v>
      </c>
      <c r="B847" t="inlineStr">
        <is>
          <t>Chili Seasoning</t>
        </is>
      </c>
      <c r="C847" t="inlineStr">
        <is>
          <t>McCormick</t>
        </is>
      </c>
      <c r="D847" t="inlineStr">
        <is>
          <t>grams</t>
        </is>
      </c>
      <c r="E847" t="n">
        <v>0</v>
      </c>
      <c r="F847" t="n">
        <v>0</v>
      </c>
      <c r="G847" t="n">
        <v>0</v>
      </c>
    </row>
    <row r="848">
      <c r="A848" t="n">
        <v>561</v>
      </c>
      <c r="B848" t="inlineStr">
        <is>
          <t>Chocolate Chips - White</t>
        </is>
      </c>
      <c r="C848" t="inlineStr">
        <is>
          <t>Dutche</t>
        </is>
      </c>
      <c r="D848" t="inlineStr">
        <is>
          <t>grams</t>
        </is>
      </c>
      <c r="E848" t="n">
        <v>1</v>
      </c>
      <c r="F848" t="n">
        <v>125</v>
      </c>
      <c r="G848" t="n">
        <v>125</v>
      </c>
    </row>
    <row r="849">
      <c r="A849" t="n">
        <v>562</v>
      </c>
      <c r="B849" t="inlineStr">
        <is>
          <t>Chocolate Drink</t>
        </is>
      </c>
      <c r="C849" t="inlineStr">
        <is>
          <t>Nestle - Milo</t>
        </is>
      </c>
      <c r="D849" t="inlineStr">
        <is>
          <t>grams</t>
        </is>
      </c>
      <c r="E849" t="n">
        <v>908</v>
      </c>
      <c r="F849" t="n">
        <v>8055.300000000001</v>
      </c>
      <c r="G849" t="n">
        <v>8.871475770925111</v>
      </c>
    </row>
    <row r="850">
      <c r="A850" t="n">
        <v>84</v>
      </c>
      <c r="B850" t="inlineStr">
        <is>
          <t>Chocolate Syrup</t>
        </is>
      </c>
      <c r="C850" t="inlineStr">
        <is>
          <t>Hersheys</t>
        </is>
      </c>
      <c r="D850" t="inlineStr">
        <is>
          <t>grams</t>
        </is>
      </c>
      <c r="E850" t="n">
        <v>1</v>
      </c>
      <c r="F850" t="n">
        <v>274.5</v>
      </c>
      <c r="G850" t="n">
        <v>274.5</v>
      </c>
    </row>
    <row r="851">
      <c r="A851" t="n">
        <v>563</v>
      </c>
      <c r="B851" t="inlineStr">
        <is>
          <t>Chorizo Bilbao</t>
        </is>
      </c>
      <c r="C851" t="inlineStr">
        <is>
          <t>Purefoods</t>
        </is>
      </c>
      <c r="D851" t="inlineStr">
        <is>
          <t>grams</t>
        </is>
      </c>
      <c r="E851" t="n">
        <v>1</v>
      </c>
      <c r="F851" t="n">
        <v>163.5</v>
      </c>
      <c r="G851" t="n">
        <v>163.5</v>
      </c>
    </row>
    <row r="852">
      <c r="A852" t="n">
        <v>564</v>
      </c>
      <c r="B852" t="inlineStr">
        <is>
          <t>Chorizo Macao</t>
        </is>
      </c>
      <c r="C852" t="inlineStr">
        <is>
          <t>Hernan Logmao</t>
        </is>
      </c>
      <c r="D852" t="inlineStr">
        <is>
          <t>grams</t>
        </is>
      </c>
      <c r="E852" t="n">
        <v>2</v>
      </c>
      <c r="F852" t="n">
        <v>370</v>
      </c>
      <c r="G852" t="n">
        <v>185</v>
      </c>
    </row>
    <row r="853">
      <c r="A853" t="n">
        <v>565</v>
      </c>
      <c r="B853" t="inlineStr">
        <is>
          <t>Cinnamon Powder</t>
        </is>
      </c>
      <c r="C853" t="inlineStr">
        <is>
          <t>McCormick</t>
        </is>
      </c>
      <c r="D853" t="inlineStr">
        <is>
          <t>grams</t>
        </is>
      </c>
      <c r="E853" t="n">
        <v>3</v>
      </c>
      <c r="F853" t="n">
        <v>177</v>
      </c>
      <c r="G853" t="n">
        <v>59</v>
      </c>
    </row>
    <row r="854">
      <c r="A854" t="n">
        <v>566</v>
      </c>
      <c r="B854" t="inlineStr">
        <is>
          <t>Cling Wrap</t>
        </is>
      </c>
      <c r="C854" t="inlineStr">
        <is>
          <t>Formosa</t>
        </is>
      </c>
      <c r="D854" t="inlineStr">
        <is>
          <t>roll</t>
        </is>
      </c>
      <c r="E854" t="n">
        <v>4</v>
      </c>
      <c r="F854" t="n">
        <v>1172.5</v>
      </c>
      <c r="G854" t="n">
        <v>293.125</v>
      </c>
    </row>
    <row r="855">
      <c r="A855" t="n">
        <v>566</v>
      </c>
      <c r="B855" t="inlineStr">
        <is>
          <t>Cling Wrap</t>
        </is>
      </c>
      <c r="C855" t="inlineStr">
        <is>
          <t>Formosa</t>
        </is>
      </c>
      <c r="D855" t="inlineStr">
        <is>
          <t>pieces</t>
        </is>
      </c>
      <c r="E855" t="n">
        <v>3</v>
      </c>
      <c r="F855" t="n">
        <v>788</v>
      </c>
      <c r="G855" t="n">
        <v>262.6666666666667</v>
      </c>
    </row>
    <row r="856">
      <c r="A856" t="n">
        <v>566</v>
      </c>
      <c r="B856" t="inlineStr">
        <is>
          <t>Cling Wrap</t>
        </is>
      </c>
      <c r="C856" t="inlineStr">
        <is>
          <t>Croco</t>
        </is>
      </c>
      <c r="D856" t="inlineStr">
        <is>
          <t>roll</t>
        </is>
      </c>
      <c r="E856" t="n">
        <v>7</v>
      </c>
      <c r="F856" t="n">
        <v>2690</v>
      </c>
      <c r="G856" t="n">
        <v>384.2857142857143</v>
      </c>
    </row>
    <row r="857">
      <c r="A857" t="n">
        <v>567</v>
      </c>
      <c r="B857" t="inlineStr">
        <is>
          <t>Cloves Powder</t>
        </is>
      </c>
      <c r="C857" t="inlineStr">
        <is>
          <t>J&amp;Y</t>
        </is>
      </c>
      <c r="D857" t="inlineStr">
        <is>
          <t>grams</t>
        </is>
      </c>
      <c r="E857" t="n">
        <v>4</v>
      </c>
      <c r="F857" t="n">
        <v>174.4</v>
      </c>
      <c r="G857" t="n">
        <v>43.6</v>
      </c>
    </row>
    <row r="858">
      <c r="A858" t="n">
        <v>568</v>
      </c>
      <c r="B858" t="inlineStr">
        <is>
          <t>Cocktail Toothpick</t>
        </is>
      </c>
      <c r="C858" t="inlineStr"/>
      <c r="D858" t="inlineStr">
        <is>
          <t>pieces</t>
        </is>
      </c>
      <c r="E858" t="n">
        <v>9</v>
      </c>
      <c r="F858" t="n">
        <v>450</v>
      </c>
      <c r="G858" t="n">
        <v>50</v>
      </c>
    </row>
    <row r="859">
      <c r="A859" t="n">
        <v>568</v>
      </c>
      <c r="B859" t="inlineStr">
        <is>
          <t>Cocktail Toothpick</t>
        </is>
      </c>
      <c r="C859" t="inlineStr">
        <is>
          <t>pack by 200's</t>
        </is>
      </c>
      <c r="D859" t="inlineStr">
        <is>
          <t>packs</t>
        </is>
      </c>
      <c r="E859" t="n">
        <v>13</v>
      </c>
      <c r="F859" t="n">
        <v>325</v>
      </c>
      <c r="G859" t="n">
        <v>25</v>
      </c>
    </row>
    <row r="860">
      <c r="A860" t="n">
        <v>569</v>
      </c>
      <c r="B860" t="inlineStr">
        <is>
          <t>Cocoa Powder</t>
        </is>
      </c>
      <c r="C860" t="inlineStr">
        <is>
          <t>Ricoa</t>
        </is>
      </c>
      <c r="D860" t="inlineStr">
        <is>
          <t>grams</t>
        </is>
      </c>
      <c r="E860" t="n">
        <v>5</v>
      </c>
      <c r="F860" t="n">
        <v>301</v>
      </c>
      <c r="G860" t="n">
        <v>60.2</v>
      </c>
    </row>
    <row r="861">
      <c r="A861" t="n">
        <v>569</v>
      </c>
      <c r="B861" t="inlineStr">
        <is>
          <t>Cocoa Powder</t>
        </is>
      </c>
      <c r="C861" t="inlineStr">
        <is>
          <t>JB</t>
        </is>
      </c>
      <c r="D861" t="inlineStr">
        <is>
          <t>grams</t>
        </is>
      </c>
      <c r="E861" t="n">
        <v>1</v>
      </c>
      <c r="F861" t="n">
        <v>340</v>
      </c>
      <c r="G861" t="n">
        <v>340</v>
      </c>
    </row>
    <row r="862">
      <c r="A862" t="n">
        <v>569</v>
      </c>
      <c r="B862" t="inlineStr">
        <is>
          <t>Cocoa Powder</t>
        </is>
      </c>
      <c r="C862" t="inlineStr">
        <is>
          <t>Dutche</t>
        </is>
      </c>
      <c r="D862" t="inlineStr">
        <is>
          <t>grams</t>
        </is>
      </c>
      <c r="E862" t="n">
        <v>1</v>
      </c>
      <c r="F862" t="n">
        <v>262</v>
      </c>
      <c r="G862" t="n">
        <v>262</v>
      </c>
    </row>
    <row r="863">
      <c r="A863" t="n">
        <v>570</v>
      </c>
      <c r="B863" t="inlineStr">
        <is>
          <t>Coconut Milk</t>
        </is>
      </c>
      <c r="C863" t="inlineStr">
        <is>
          <t>Coco Mama</t>
        </is>
      </c>
      <c r="D863" t="inlineStr">
        <is>
          <t>grams</t>
        </is>
      </c>
      <c r="E863" t="n">
        <v>1</v>
      </c>
      <c r="F863" t="n">
        <v>46</v>
      </c>
      <c r="G863" t="n">
        <v>46</v>
      </c>
    </row>
    <row r="864">
      <c r="A864" t="n">
        <v>91</v>
      </c>
      <c r="B864" t="inlineStr">
        <is>
          <t>Coconut Milk Powder</t>
        </is>
      </c>
      <c r="C864" t="inlineStr">
        <is>
          <t>Vista</t>
        </is>
      </c>
      <c r="D864" t="inlineStr">
        <is>
          <t>grams</t>
        </is>
      </c>
      <c r="E864" t="n">
        <v>96</v>
      </c>
      <c r="F864" t="n">
        <v>51364.3</v>
      </c>
      <c r="G864" t="n">
        <v>535.0447916666667</v>
      </c>
    </row>
    <row r="865">
      <c r="A865" t="n">
        <v>92</v>
      </c>
      <c r="B865" t="inlineStr">
        <is>
          <t>Coconut Powder</t>
        </is>
      </c>
      <c r="C865" t="inlineStr">
        <is>
          <t>Vista</t>
        </is>
      </c>
      <c r="D865" t="inlineStr">
        <is>
          <t>grams</t>
        </is>
      </c>
      <c r="E865" t="n">
        <v>47</v>
      </c>
      <c r="F865" t="n">
        <v>1229.05</v>
      </c>
      <c r="G865" t="n">
        <v>26.15</v>
      </c>
    </row>
    <row r="866">
      <c r="A866" t="n">
        <v>571</v>
      </c>
      <c r="B866" t="inlineStr">
        <is>
          <t>Coffee - Brewed</t>
        </is>
      </c>
      <c r="C866" t="inlineStr">
        <is>
          <t>Tropical Brew</t>
        </is>
      </c>
      <c r="D866" t="inlineStr">
        <is>
          <t>kilos</t>
        </is>
      </c>
      <c r="E866" t="n">
        <v>4</v>
      </c>
      <c r="F866" t="n">
        <v>3360</v>
      </c>
      <c r="G866" t="n">
        <v>840</v>
      </c>
    </row>
    <row r="867">
      <c r="A867" t="n">
        <v>572</v>
      </c>
      <c r="B867" t="inlineStr">
        <is>
          <t>Coffee Creamer</t>
        </is>
      </c>
      <c r="C867" t="inlineStr">
        <is>
          <t>Nestle - Coffee Mate</t>
        </is>
      </c>
      <c r="D867" t="inlineStr">
        <is>
          <t>grams</t>
        </is>
      </c>
      <c r="E867" t="n">
        <v>715</v>
      </c>
      <c r="F867" t="n">
        <v>1399.53</v>
      </c>
      <c r="G867" t="n">
        <v>1.957384615384615</v>
      </c>
    </row>
    <row r="868">
      <c r="A868" t="n">
        <v>572</v>
      </c>
      <c r="B868" t="inlineStr">
        <is>
          <t>Coffee Creamer</t>
        </is>
      </c>
      <c r="C868" t="inlineStr">
        <is>
          <t>Great Taste</t>
        </is>
      </c>
      <c r="D868" t="inlineStr">
        <is>
          <t>grams</t>
        </is>
      </c>
      <c r="E868" t="n">
        <v>2</v>
      </c>
      <c r="F868" t="n">
        <v>117.5</v>
      </c>
      <c r="G868" t="n">
        <v>58.75</v>
      </c>
    </row>
    <row r="869">
      <c r="A869" t="n">
        <v>573</v>
      </c>
      <c r="B869" t="inlineStr">
        <is>
          <t>Coffee Cups</t>
        </is>
      </c>
      <c r="C869" t="inlineStr">
        <is>
          <t>Carandang Merch. - 8oz Double Set</t>
        </is>
      </c>
      <c r="D869" t="inlineStr">
        <is>
          <t>pieces</t>
        </is>
      </c>
      <c r="E869" t="n">
        <v>1</v>
      </c>
      <c r="F869" t="n">
        <v>486</v>
      </c>
      <c r="G869" t="n">
        <v>486</v>
      </c>
    </row>
    <row r="870">
      <c r="A870" t="n">
        <v>573</v>
      </c>
      <c r="B870" t="inlineStr">
        <is>
          <t>Coffee Cups</t>
        </is>
      </c>
      <c r="C870" t="inlineStr">
        <is>
          <t>(Riffle-brown)</t>
        </is>
      </c>
      <c r="D870" t="inlineStr">
        <is>
          <t>pieces</t>
        </is>
      </c>
      <c r="E870" t="n">
        <v>300</v>
      </c>
      <c r="F870" t="n">
        <v>1680</v>
      </c>
      <c r="G870" t="n">
        <v>5.6</v>
      </c>
    </row>
    <row r="871">
      <c r="A871" t="n">
        <v>97</v>
      </c>
      <c r="B871" t="inlineStr">
        <is>
          <t>Coffee Stick</t>
        </is>
      </c>
      <c r="C871" t="inlineStr">
        <is>
          <t>Nestle - Nescafe Classic Stick</t>
        </is>
      </c>
      <c r="D871" t="inlineStr">
        <is>
          <t>pieces</t>
        </is>
      </c>
      <c r="E871" t="n">
        <v>32</v>
      </c>
      <c r="F871" t="n">
        <v>88</v>
      </c>
      <c r="G871" t="n">
        <v>2.75</v>
      </c>
    </row>
    <row r="872">
      <c r="A872" t="n">
        <v>97</v>
      </c>
      <c r="B872" t="inlineStr">
        <is>
          <t>Coffee Stick</t>
        </is>
      </c>
      <c r="C872" t="inlineStr">
        <is>
          <t>Nestle - Nescafe Classic Stick (Pack)</t>
        </is>
      </c>
      <c r="D872" t="inlineStr">
        <is>
          <t>pieces</t>
        </is>
      </c>
      <c r="E872" t="n">
        <v>1</v>
      </c>
      <c r="F872" t="n">
        <v>132</v>
      </c>
      <c r="G872" t="n">
        <v>132</v>
      </c>
    </row>
    <row r="873">
      <c r="A873" t="n">
        <v>97</v>
      </c>
      <c r="B873" t="inlineStr">
        <is>
          <t>Coffee Stick</t>
        </is>
      </c>
      <c r="C873" t="inlineStr">
        <is>
          <t>Nestle - Nescafe Classic Stick</t>
        </is>
      </c>
      <c r="D873" t="inlineStr">
        <is>
          <t>grams</t>
        </is>
      </c>
      <c r="E873" t="n">
        <v>1810</v>
      </c>
      <c r="F873" t="n">
        <v>5597</v>
      </c>
      <c r="G873" t="n">
        <v>3.092265193370166</v>
      </c>
    </row>
    <row r="874">
      <c r="A874" t="n">
        <v>97</v>
      </c>
      <c r="B874" t="inlineStr">
        <is>
          <t>Coffee Stick</t>
        </is>
      </c>
      <c r="C874" t="inlineStr">
        <is>
          <t>Nescafe/pack (48pcsx1.9grams)</t>
        </is>
      </c>
      <c r="D874" t="inlineStr">
        <is>
          <t>grams</t>
        </is>
      </c>
      <c r="E874" t="n">
        <v>31</v>
      </c>
      <c r="F874" t="n">
        <v>99.2</v>
      </c>
      <c r="G874" t="n">
        <v>3.2</v>
      </c>
    </row>
    <row r="875">
      <c r="A875" t="n">
        <v>102</v>
      </c>
      <c r="B875" t="inlineStr">
        <is>
          <t>Condensed Milk</t>
        </is>
      </c>
      <c r="C875" t="inlineStr">
        <is>
          <t>Alaska</t>
        </is>
      </c>
      <c r="D875" t="inlineStr">
        <is>
          <t>ml</t>
        </is>
      </c>
      <c r="E875" t="n">
        <v>21</v>
      </c>
      <c r="F875" t="n">
        <v>1278.9</v>
      </c>
      <c r="G875" t="n">
        <v>60.90000000000001</v>
      </c>
    </row>
    <row r="876">
      <c r="A876" t="n">
        <v>102</v>
      </c>
      <c r="B876" t="inlineStr">
        <is>
          <t>Condensed Milk</t>
        </is>
      </c>
      <c r="C876" t="inlineStr">
        <is>
          <t>Alaska 370</t>
        </is>
      </c>
      <c r="D876" t="inlineStr">
        <is>
          <t>ml</t>
        </is>
      </c>
      <c r="E876" t="n">
        <v>4</v>
      </c>
      <c r="F876" t="n">
        <v>210</v>
      </c>
      <c r="G876" t="n">
        <v>52.5</v>
      </c>
    </row>
    <row r="877">
      <c r="A877" t="n">
        <v>102</v>
      </c>
      <c r="B877" t="inlineStr">
        <is>
          <t>Condensed Milk</t>
        </is>
      </c>
      <c r="C877" t="inlineStr">
        <is>
          <t>Cowbell</t>
        </is>
      </c>
      <c r="D877" t="inlineStr">
        <is>
          <t>ml</t>
        </is>
      </c>
      <c r="E877" t="n">
        <v>32</v>
      </c>
      <c r="F877" t="n">
        <v>1337.5</v>
      </c>
      <c r="G877" t="n">
        <v>41.796875</v>
      </c>
    </row>
    <row r="878">
      <c r="A878" t="n">
        <v>102</v>
      </c>
      <c r="B878" t="inlineStr">
        <is>
          <t>Condensed Milk</t>
        </is>
      </c>
      <c r="C878" t="inlineStr">
        <is>
          <t>Angel</t>
        </is>
      </c>
      <c r="D878" t="inlineStr">
        <is>
          <t>ml</t>
        </is>
      </c>
      <c r="E878" t="n">
        <v>26</v>
      </c>
      <c r="F878" t="n">
        <v>1370.2</v>
      </c>
      <c r="G878" t="n">
        <v>52.7</v>
      </c>
    </row>
    <row r="879">
      <c r="A879" t="n">
        <v>102</v>
      </c>
      <c r="B879" t="inlineStr">
        <is>
          <t>Condensed Milk</t>
        </is>
      </c>
      <c r="C879" t="inlineStr">
        <is>
          <t>Vina</t>
        </is>
      </c>
      <c r="D879" t="inlineStr">
        <is>
          <t>ml</t>
        </is>
      </c>
      <c r="E879" t="n">
        <v>28</v>
      </c>
      <c r="F879" t="n">
        <v>1166.48</v>
      </c>
      <c r="G879" t="n">
        <v>41.66</v>
      </c>
    </row>
    <row r="880">
      <c r="A880" t="n">
        <v>102</v>
      </c>
      <c r="B880" t="inlineStr">
        <is>
          <t>Condensed Milk</t>
        </is>
      </c>
      <c r="C880" t="inlineStr">
        <is>
          <t>Jersey - Pandan</t>
        </is>
      </c>
      <c r="D880" t="inlineStr">
        <is>
          <t>ml</t>
        </is>
      </c>
      <c r="E880" t="n">
        <v>1</v>
      </c>
      <c r="F880" t="n">
        <v>54</v>
      </c>
      <c r="G880" t="n">
        <v>54</v>
      </c>
    </row>
    <row r="881">
      <c r="A881" t="n">
        <v>102</v>
      </c>
      <c r="B881" t="inlineStr">
        <is>
          <t>Condensed Milk</t>
        </is>
      </c>
      <c r="C881" t="inlineStr">
        <is>
          <t>Jersey - Ube</t>
        </is>
      </c>
      <c r="D881" t="inlineStr">
        <is>
          <t>ml</t>
        </is>
      </c>
      <c r="E881" t="n">
        <v>1</v>
      </c>
      <c r="F881" t="n">
        <v>57.75</v>
      </c>
      <c r="G881" t="n">
        <v>57.75</v>
      </c>
    </row>
    <row r="882">
      <c r="A882" t="n">
        <v>574</v>
      </c>
      <c r="B882" t="inlineStr">
        <is>
          <t>Conditioner - Creamsilk</t>
        </is>
      </c>
      <c r="C882" t="inlineStr">
        <is>
          <t>Creamsilk</t>
        </is>
      </c>
      <c r="D882" t="inlineStr">
        <is>
          <t>ml</t>
        </is>
      </c>
      <c r="E882" t="n">
        <v>11</v>
      </c>
      <c r="F882" t="n">
        <v>67.09999999999999</v>
      </c>
      <c r="G882" t="n">
        <v>6.1</v>
      </c>
    </row>
    <row r="883">
      <c r="A883" t="n">
        <v>575</v>
      </c>
      <c r="B883" t="inlineStr">
        <is>
          <t>Confectioner's Sugar</t>
        </is>
      </c>
      <c r="C883" t="inlineStr">
        <is>
          <t>Peotraco</t>
        </is>
      </c>
      <c r="D883" t="inlineStr">
        <is>
          <t>grams</t>
        </is>
      </c>
      <c r="E883" t="n">
        <v>3</v>
      </c>
      <c r="F883" t="n">
        <v>350</v>
      </c>
      <c r="G883" t="n">
        <v>116.6666666666667</v>
      </c>
    </row>
    <row r="884">
      <c r="A884" t="n">
        <v>107</v>
      </c>
      <c r="B884" t="inlineStr">
        <is>
          <t>Cooked Ham</t>
        </is>
      </c>
      <c r="C884" t="inlineStr">
        <is>
          <t>Winner</t>
        </is>
      </c>
      <c r="D884" t="inlineStr">
        <is>
          <t>grams</t>
        </is>
      </c>
      <c r="E884" t="n">
        <v>7</v>
      </c>
      <c r="F884" t="n">
        <v>483</v>
      </c>
      <c r="G884" t="n">
        <v>69</v>
      </c>
    </row>
    <row r="885">
      <c r="A885" t="n">
        <v>576</v>
      </c>
      <c r="B885" t="inlineStr">
        <is>
          <t>Cookies</t>
        </is>
      </c>
      <c r="C885" t="inlineStr">
        <is>
          <t>Jack n Jill - Chips Ahoy</t>
        </is>
      </c>
      <c r="D885" t="inlineStr">
        <is>
          <t>grams</t>
        </is>
      </c>
      <c r="E885" t="n">
        <v>4</v>
      </c>
      <c r="F885" t="n">
        <v>333.2</v>
      </c>
      <c r="G885" t="n">
        <v>83.3</v>
      </c>
    </row>
    <row r="886">
      <c r="A886" t="n">
        <v>576</v>
      </c>
      <c r="B886" t="inlineStr">
        <is>
          <t>Cookies</t>
        </is>
      </c>
      <c r="C886" t="inlineStr">
        <is>
          <t>Chips Delight</t>
        </is>
      </c>
      <c r="D886" t="inlineStr">
        <is>
          <t>grams</t>
        </is>
      </c>
      <c r="E886" t="n">
        <v>2</v>
      </c>
      <c r="F886" t="n">
        <v>112.4</v>
      </c>
      <c r="G886" t="n">
        <v>56.2</v>
      </c>
    </row>
    <row r="887">
      <c r="A887" t="n">
        <v>576</v>
      </c>
      <c r="B887" t="inlineStr">
        <is>
          <t>Cookies</t>
        </is>
      </c>
      <c r="C887" t="inlineStr">
        <is>
          <t>Nissin - Eggnog Cookies</t>
        </is>
      </c>
      <c r="D887" t="inlineStr">
        <is>
          <t>grams</t>
        </is>
      </c>
      <c r="E887" t="n">
        <v>80</v>
      </c>
      <c r="F887" t="n">
        <v>1330.8</v>
      </c>
      <c r="G887" t="n">
        <v>16.635</v>
      </c>
    </row>
    <row r="888">
      <c r="A888" t="n">
        <v>108</v>
      </c>
      <c r="B888" t="inlineStr">
        <is>
          <t>Cooking Oil</t>
        </is>
      </c>
      <c r="C888" t="inlineStr">
        <is>
          <t>Freeto</t>
        </is>
      </c>
      <c r="D888" t="inlineStr">
        <is>
          <t>liters</t>
        </is>
      </c>
      <c r="E888" t="n">
        <v>8</v>
      </c>
      <c r="F888" t="n">
        <v>13666.1</v>
      </c>
      <c r="G888" t="n">
        <v>1708.2625</v>
      </c>
    </row>
    <row r="889">
      <c r="A889" t="n">
        <v>108</v>
      </c>
      <c r="B889" t="inlineStr">
        <is>
          <t>Cooking Oil</t>
        </is>
      </c>
      <c r="C889" t="inlineStr">
        <is>
          <t>Marca Leon</t>
        </is>
      </c>
      <c r="D889" t="inlineStr">
        <is>
          <t>kilos</t>
        </is>
      </c>
      <c r="E889" t="n">
        <v>7</v>
      </c>
      <c r="F889" t="n">
        <v>2226</v>
      </c>
      <c r="G889" t="n">
        <v>318</v>
      </c>
    </row>
    <row r="890">
      <c r="A890" t="n">
        <v>108</v>
      </c>
      <c r="B890" t="inlineStr">
        <is>
          <t>Cooking Oil</t>
        </is>
      </c>
      <c r="C890" t="inlineStr"/>
      <c r="D890" t="inlineStr">
        <is>
          <t>gal</t>
        </is>
      </c>
      <c r="E890" t="n">
        <v>6</v>
      </c>
      <c r="F890" t="n">
        <v>2040</v>
      </c>
      <c r="G890" t="n">
        <v>340</v>
      </c>
    </row>
    <row r="891">
      <c r="A891" t="n">
        <v>108</v>
      </c>
      <c r="B891" t="inlineStr">
        <is>
          <t>Cooking Oil</t>
        </is>
      </c>
      <c r="C891" t="inlineStr">
        <is>
          <t>Jugirox</t>
        </is>
      </c>
      <c r="D891" t="inlineStr">
        <is>
          <t>liters</t>
        </is>
      </c>
      <c r="E891" t="n">
        <v>4</v>
      </c>
      <c r="F891" t="n">
        <v>6240</v>
      </c>
      <c r="G891" t="n">
        <v>1560</v>
      </c>
    </row>
    <row r="892">
      <c r="A892" t="n">
        <v>577</v>
      </c>
      <c r="B892" t="inlineStr">
        <is>
          <t>Cooking Wine</t>
        </is>
      </c>
      <c r="C892" t="inlineStr">
        <is>
          <t>Marca Pina</t>
        </is>
      </c>
      <c r="D892" t="inlineStr">
        <is>
          <t>ml</t>
        </is>
      </c>
      <c r="E892" t="n">
        <v>1</v>
      </c>
      <c r="F892" t="n">
        <v>78</v>
      </c>
      <c r="G892" t="n">
        <v>78</v>
      </c>
    </row>
    <row r="893">
      <c r="A893" t="n">
        <v>578</v>
      </c>
      <c r="B893" t="inlineStr">
        <is>
          <t>Coriander Powder</t>
        </is>
      </c>
      <c r="C893" t="inlineStr">
        <is>
          <t>J&amp;Y</t>
        </is>
      </c>
      <c r="D893" t="inlineStr">
        <is>
          <t>grams</t>
        </is>
      </c>
      <c r="E893" t="n">
        <v>3</v>
      </c>
      <c r="F893" t="n">
        <v>33.90000000000001</v>
      </c>
      <c r="G893" t="n">
        <v>11.3</v>
      </c>
    </row>
    <row r="894">
      <c r="A894" t="n">
        <v>579</v>
      </c>
      <c r="B894" t="inlineStr">
        <is>
          <t>Corn Syrup</t>
        </is>
      </c>
      <c r="C894" t="inlineStr">
        <is>
          <t>Peotraco/500ml</t>
        </is>
      </c>
      <c r="D894" t="inlineStr">
        <is>
          <t>ml</t>
        </is>
      </c>
      <c r="E894" t="n">
        <v>1</v>
      </c>
      <c r="F894" t="n">
        <v>102</v>
      </c>
      <c r="G894" t="n">
        <v>102</v>
      </c>
    </row>
    <row r="895">
      <c r="A895" t="n">
        <v>111</v>
      </c>
      <c r="B895" t="inlineStr">
        <is>
          <t>Corned Beef</t>
        </is>
      </c>
      <c r="C895" t="inlineStr">
        <is>
          <t>Star</t>
        </is>
      </c>
      <c r="D895" t="inlineStr">
        <is>
          <t>grams</t>
        </is>
      </c>
      <c r="E895" t="n">
        <v>6</v>
      </c>
      <c r="F895" t="n">
        <v>336.6</v>
      </c>
      <c r="G895" t="n">
        <v>56.1</v>
      </c>
    </row>
    <row r="896">
      <c r="A896" t="n">
        <v>114</v>
      </c>
      <c r="B896" t="inlineStr">
        <is>
          <t>Cornstarch</t>
        </is>
      </c>
      <c r="C896" t="inlineStr">
        <is>
          <t>JRS Vegetables and Seafoods</t>
        </is>
      </c>
      <c r="D896" t="inlineStr">
        <is>
          <t>kilos</t>
        </is>
      </c>
      <c r="E896" t="n">
        <v>5</v>
      </c>
      <c r="F896" t="n">
        <v>325</v>
      </c>
      <c r="G896" t="n">
        <v>65</v>
      </c>
    </row>
    <row r="897">
      <c r="A897" t="n">
        <v>114</v>
      </c>
      <c r="B897" t="inlineStr">
        <is>
          <t>Cornstarch</t>
        </is>
      </c>
      <c r="C897" t="inlineStr">
        <is>
          <t>Maya</t>
        </is>
      </c>
      <c r="D897" t="inlineStr">
        <is>
          <t>grams</t>
        </is>
      </c>
      <c r="E897" t="n">
        <v>1</v>
      </c>
      <c r="F897" t="n">
        <v>947.15</v>
      </c>
      <c r="G897" t="n">
        <v>947.15</v>
      </c>
    </row>
    <row r="898">
      <c r="A898" t="n">
        <v>114</v>
      </c>
      <c r="B898" t="inlineStr">
        <is>
          <t>Cornstarch</t>
        </is>
      </c>
      <c r="C898" t="inlineStr"/>
      <c r="D898" t="inlineStr">
        <is>
          <t>kilos</t>
        </is>
      </c>
      <c r="E898" t="n">
        <v>3</v>
      </c>
      <c r="F898" t="n">
        <v>162</v>
      </c>
      <c r="G898" t="n">
        <v>54</v>
      </c>
    </row>
    <row r="899">
      <c r="A899" t="n">
        <v>114</v>
      </c>
      <c r="B899" t="inlineStr">
        <is>
          <t>Cornstarch</t>
        </is>
      </c>
      <c r="C899" t="inlineStr">
        <is>
          <t>Amparo's</t>
        </is>
      </c>
      <c r="D899" t="inlineStr">
        <is>
          <t>grams</t>
        </is>
      </c>
      <c r="E899" t="n">
        <v>1</v>
      </c>
      <c r="F899" t="n">
        <v>60</v>
      </c>
      <c r="G899" t="n">
        <v>60</v>
      </c>
    </row>
    <row r="900">
      <c r="A900" t="n">
        <v>114</v>
      </c>
      <c r="B900" t="inlineStr">
        <is>
          <t>Cornstarch</t>
        </is>
      </c>
      <c r="C900" t="inlineStr">
        <is>
          <t>Queen</t>
        </is>
      </c>
      <c r="D900" t="inlineStr">
        <is>
          <t>grams</t>
        </is>
      </c>
      <c r="E900" t="n">
        <v>4</v>
      </c>
      <c r="F900" t="n">
        <v>194.8</v>
      </c>
      <c r="G900" t="n">
        <v>48.7</v>
      </c>
    </row>
    <row r="901">
      <c r="A901" t="n">
        <v>114</v>
      </c>
      <c r="B901" t="inlineStr">
        <is>
          <t>Cornstarch</t>
        </is>
      </c>
      <c r="C901" t="inlineStr"/>
      <c r="D901" t="inlineStr">
        <is>
          <t>grams</t>
        </is>
      </c>
      <c r="E901" t="n">
        <v>15</v>
      </c>
      <c r="F901" t="n">
        <v>840</v>
      </c>
      <c r="G901" t="n">
        <v>56</v>
      </c>
    </row>
    <row r="902">
      <c r="A902" t="n">
        <v>114</v>
      </c>
      <c r="B902" t="inlineStr">
        <is>
          <t>Cornstarch</t>
        </is>
      </c>
      <c r="C902" t="inlineStr">
        <is>
          <t>Queen</t>
        </is>
      </c>
      <c r="D902" t="inlineStr">
        <is>
          <t>kilos</t>
        </is>
      </c>
      <c r="E902" t="n">
        <v>5</v>
      </c>
      <c r="F902" t="n">
        <v>275</v>
      </c>
      <c r="G902" t="n">
        <v>55</v>
      </c>
    </row>
    <row r="903">
      <c r="A903" t="n">
        <v>580</v>
      </c>
      <c r="B903" t="inlineStr">
        <is>
          <t>Couscous</t>
        </is>
      </c>
      <c r="C903" t="inlineStr"/>
      <c r="D903" t="inlineStr">
        <is>
          <t>grams</t>
        </is>
      </c>
      <c r="E903" t="n">
        <v>0</v>
      </c>
      <c r="F903" t="n">
        <v>0</v>
      </c>
      <c r="G903" t="n">
        <v>0</v>
      </c>
    </row>
    <row r="904">
      <c r="A904" t="n">
        <v>115</v>
      </c>
      <c r="B904" t="inlineStr">
        <is>
          <t>Crab and Corn</t>
        </is>
      </c>
      <c r="C904" t="inlineStr">
        <is>
          <t>Unilever - Knorr</t>
        </is>
      </c>
      <c r="D904" t="inlineStr">
        <is>
          <t>grams</t>
        </is>
      </c>
      <c r="E904" t="n">
        <v>3</v>
      </c>
      <c r="F904" t="n">
        <v>159.9</v>
      </c>
      <c r="G904" t="n">
        <v>53.3</v>
      </c>
    </row>
    <row r="905">
      <c r="A905" t="n">
        <v>581</v>
      </c>
      <c r="B905" t="inlineStr">
        <is>
          <t>Crab Sticks</t>
        </is>
      </c>
      <c r="C905" t="inlineStr">
        <is>
          <t>Robo</t>
        </is>
      </c>
      <c r="D905" t="inlineStr">
        <is>
          <t>grams</t>
        </is>
      </c>
      <c r="E905" t="n">
        <v>0</v>
      </c>
      <c r="F905" t="n">
        <v>0</v>
      </c>
      <c r="G905" t="n">
        <v>0</v>
      </c>
    </row>
    <row r="906">
      <c r="A906" t="n">
        <v>582</v>
      </c>
      <c r="B906" t="inlineStr">
        <is>
          <t>Crackers</t>
        </is>
      </c>
      <c r="C906" t="inlineStr">
        <is>
          <t>Rebisco - Combi Triple Choco</t>
        </is>
      </c>
      <c r="D906" t="inlineStr">
        <is>
          <t>grams</t>
        </is>
      </c>
      <c r="E906" t="n">
        <v>50</v>
      </c>
      <c r="F906" t="n">
        <v>306.5</v>
      </c>
      <c r="G906" t="n">
        <v>6.13</v>
      </c>
    </row>
    <row r="907">
      <c r="A907" t="n">
        <v>582</v>
      </c>
      <c r="B907" t="inlineStr">
        <is>
          <t>Crackers</t>
        </is>
      </c>
      <c r="C907" t="inlineStr">
        <is>
          <t>Jack n Jill - Magic Creams Cracker Sandwich - Choco</t>
        </is>
      </c>
      <c r="D907" t="inlineStr">
        <is>
          <t>grams</t>
        </is>
      </c>
      <c r="E907" t="n">
        <v>30</v>
      </c>
      <c r="F907" t="n">
        <v>171.3</v>
      </c>
      <c r="G907" t="n">
        <v>5.71</v>
      </c>
    </row>
    <row r="908">
      <c r="A908" t="n">
        <v>582</v>
      </c>
      <c r="B908" t="inlineStr">
        <is>
          <t>Crackers</t>
        </is>
      </c>
      <c r="C908" t="inlineStr">
        <is>
          <t>M.Y. San - Sky Flakes</t>
        </is>
      </c>
      <c r="D908" t="inlineStr">
        <is>
          <t>grams</t>
        </is>
      </c>
      <c r="E908" t="n">
        <v>98</v>
      </c>
      <c r="F908" t="n">
        <v>1599.78</v>
      </c>
      <c r="G908" t="n">
        <v>16.32428571428571</v>
      </c>
    </row>
    <row r="909">
      <c r="A909" t="n">
        <v>582</v>
      </c>
      <c r="B909" t="inlineStr">
        <is>
          <t>Crackers</t>
        </is>
      </c>
      <c r="C909" t="inlineStr">
        <is>
          <t>M.Y. San - Sky Flakes</t>
        </is>
      </c>
      <c r="D909" t="inlineStr">
        <is>
          <t>tub</t>
        </is>
      </c>
      <c r="E909" t="n">
        <v>2</v>
      </c>
      <c r="F909" t="n">
        <v>402</v>
      </c>
      <c r="G909" t="n">
        <v>201</v>
      </c>
    </row>
    <row r="910">
      <c r="A910" t="n">
        <v>582</v>
      </c>
      <c r="B910" t="inlineStr">
        <is>
          <t>Crackers</t>
        </is>
      </c>
      <c r="C910" t="inlineStr">
        <is>
          <t>M.Y. San - Sky Flakes</t>
        </is>
      </c>
      <c r="D910" t="inlineStr">
        <is>
          <t>pieces</t>
        </is>
      </c>
      <c r="E910" t="n">
        <v>20</v>
      </c>
      <c r="F910" t="n">
        <v>117</v>
      </c>
      <c r="G910" t="n">
        <v>5.85</v>
      </c>
    </row>
    <row r="911">
      <c r="A911" t="n">
        <v>582</v>
      </c>
      <c r="B911" t="inlineStr">
        <is>
          <t>Crackers</t>
        </is>
      </c>
      <c r="C911" t="inlineStr">
        <is>
          <t>M.Y. San - Sky Flakes Sweet Butter</t>
        </is>
      </c>
      <c r="D911" t="inlineStr">
        <is>
          <t>pieces</t>
        </is>
      </c>
      <c r="E911" t="n">
        <v>30</v>
      </c>
      <c r="F911" t="n">
        <v>199.8</v>
      </c>
      <c r="G911" t="n">
        <v>6.66</v>
      </c>
    </row>
    <row r="912">
      <c r="A912" t="n">
        <v>582</v>
      </c>
      <c r="B912" t="inlineStr">
        <is>
          <t>Crackers</t>
        </is>
      </c>
      <c r="C912" t="inlineStr">
        <is>
          <t>M.Y. San - Sky Flakes - Condensada</t>
        </is>
      </c>
      <c r="D912" t="inlineStr">
        <is>
          <t>pieces</t>
        </is>
      </c>
      <c r="E912" t="n">
        <v>16</v>
      </c>
      <c r="F912" t="n">
        <v>106.56</v>
      </c>
      <c r="G912" t="n">
        <v>6.66</v>
      </c>
    </row>
    <row r="913">
      <c r="A913" t="n">
        <v>582</v>
      </c>
      <c r="B913" t="inlineStr">
        <is>
          <t>Crackers</t>
        </is>
      </c>
      <c r="C913" t="inlineStr">
        <is>
          <t>Rebisco Crackers</t>
        </is>
      </c>
      <c r="D913" t="inlineStr">
        <is>
          <t>grams</t>
        </is>
      </c>
      <c r="E913" t="n">
        <v>6</v>
      </c>
      <c r="F913" t="n">
        <v>34.2</v>
      </c>
      <c r="G913" t="n">
        <v>5.7</v>
      </c>
    </row>
    <row r="914">
      <c r="A914" t="n">
        <v>582</v>
      </c>
      <c r="B914" t="inlineStr">
        <is>
          <t>Crackers</t>
        </is>
      </c>
      <c r="C914" t="inlineStr">
        <is>
          <t>Rebisco - Pastillas</t>
        </is>
      </c>
      <c r="D914" t="inlineStr">
        <is>
          <t>grams</t>
        </is>
      </c>
      <c r="E914" t="n">
        <v>7</v>
      </c>
      <c r="F914" t="n">
        <v>39.2</v>
      </c>
      <c r="G914" t="n">
        <v>5.6</v>
      </c>
    </row>
    <row r="915">
      <c r="A915" t="n">
        <v>582</v>
      </c>
      <c r="B915" t="inlineStr">
        <is>
          <t>Crackers</t>
        </is>
      </c>
      <c r="C915" t="inlineStr">
        <is>
          <t>Jack n Jill - Magic Creams Cracker Sandwich - Butter/box (10pcsx28grams)</t>
        </is>
      </c>
      <c r="D915" t="inlineStr">
        <is>
          <t>pieces</t>
        </is>
      </c>
      <c r="E915" t="n">
        <v>30</v>
      </c>
      <c r="F915" t="n">
        <v>171.3</v>
      </c>
      <c r="G915" t="n">
        <v>5.71</v>
      </c>
    </row>
    <row r="916">
      <c r="A916" t="n">
        <v>582</v>
      </c>
      <c r="B916" t="inlineStr">
        <is>
          <t>Crackers</t>
        </is>
      </c>
      <c r="C916" t="inlineStr">
        <is>
          <t>Jack n Jill - Magic Creams Cracker Sandwich - Condensada/box (10pcsx28grams)</t>
        </is>
      </c>
      <c r="D916" t="inlineStr">
        <is>
          <t>pieces</t>
        </is>
      </c>
      <c r="E916" t="n">
        <v>30</v>
      </c>
      <c r="F916" t="n">
        <v>171.3</v>
      </c>
      <c r="G916" t="n">
        <v>5.71</v>
      </c>
    </row>
    <row r="917">
      <c r="A917" t="n">
        <v>582</v>
      </c>
      <c r="B917" t="inlineStr">
        <is>
          <t>Crackers</t>
        </is>
      </c>
      <c r="C917" t="inlineStr">
        <is>
          <t>Jack n jill - Magic Creams Cracker Sandwich - Peanut Butter/box (10pcsx28grams)</t>
        </is>
      </c>
      <c r="D917" t="inlineStr">
        <is>
          <t>pieces</t>
        </is>
      </c>
      <c r="E917" t="n">
        <v>60</v>
      </c>
      <c r="F917" t="n">
        <v>342.6</v>
      </c>
      <c r="G917" t="n">
        <v>5.71</v>
      </c>
    </row>
    <row r="918">
      <c r="A918" t="n">
        <v>582</v>
      </c>
      <c r="B918" t="inlineStr">
        <is>
          <t>Crackers</t>
        </is>
      </c>
      <c r="C918" t="inlineStr">
        <is>
          <t>Jack n Jill - Magic Flakes Cheese/pack (10pcsx28grams)</t>
        </is>
      </c>
      <c r="D918" t="inlineStr">
        <is>
          <t>pieces</t>
        </is>
      </c>
      <c r="E918" t="n">
        <v>60</v>
      </c>
      <c r="F918" t="n">
        <v>336</v>
      </c>
      <c r="G918" t="n">
        <v>5.6</v>
      </c>
    </row>
    <row r="919">
      <c r="A919" t="n">
        <v>582</v>
      </c>
      <c r="B919" t="inlineStr">
        <is>
          <t>Crackers</t>
        </is>
      </c>
      <c r="C919" t="inlineStr">
        <is>
          <t>Jack n Jill - Magic Flakes Cheese 28g</t>
        </is>
      </c>
      <c r="D919" t="inlineStr">
        <is>
          <t>pieces</t>
        </is>
      </c>
      <c r="E919" t="n">
        <v>10</v>
      </c>
      <c r="F919" t="n">
        <v>56</v>
      </c>
      <c r="G919" t="n">
        <v>5.6</v>
      </c>
    </row>
    <row r="920">
      <c r="A920" t="n">
        <v>582</v>
      </c>
      <c r="B920" t="inlineStr">
        <is>
          <t>Crackers</t>
        </is>
      </c>
      <c r="C920" t="inlineStr">
        <is>
          <t>Rebisco - Choco</t>
        </is>
      </c>
      <c r="D920" t="inlineStr">
        <is>
          <t>grams</t>
        </is>
      </c>
      <c r="E920" t="n">
        <v>10</v>
      </c>
      <c r="F920" t="n">
        <v>59</v>
      </c>
      <c r="G920" t="n">
        <v>5.9</v>
      </c>
    </row>
    <row r="921">
      <c r="A921" t="n">
        <v>583</v>
      </c>
      <c r="B921" t="inlineStr">
        <is>
          <t>Cream of Corn</t>
        </is>
      </c>
      <c r="C921" t="inlineStr">
        <is>
          <t>Jolly</t>
        </is>
      </c>
      <c r="D921" t="inlineStr">
        <is>
          <t>grams</t>
        </is>
      </c>
      <c r="E921" t="n">
        <v>7</v>
      </c>
      <c r="F921" t="n">
        <v>359.45</v>
      </c>
      <c r="G921" t="n">
        <v>51.35</v>
      </c>
    </row>
    <row r="922">
      <c r="A922" t="n">
        <v>583</v>
      </c>
      <c r="B922" t="inlineStr">
        <is>
          <t>Cream of Corn</t>
        </is>
      </c>
      <c r="C922" t="inlineStr">
        <is>
          <t>Golden Sweet</t>
        </is>
      </c>
      <c r="D922" t="inlineStr">
        <is>
          <t>grams</t>
        </is>
      </c>
      <c r="E922" t="n">
        <v>5</v>
      </c>
      <c r="F922" t="n">
        <v>263</v>
      </c>
      <c r="G922" t="n">
        <v>52.6</v>
      </c>
    </row>
    <row r="923">
      <c r="A923" t="n">
        <v>121</v>
      </c>
      <c r="B923" t="inlineStr">
        <is>
          <t>Cream of Mushroom</t>
        </is>
      </c>
      <c r="C923" t="inlineStr">
        <is>
          <t>Unilever - Knorr</t>
        </is>
      </c>
      <c r="D923" t="inlineStr">
        <is>
          <t>grams</t>
        </is>
      </c>
      <c r="E923" t="n">
        <v>81</v>
      </c>
      <c r="F923" t="n">
        <v>4283.400000000001</v>
      </c>
      <c r="G923" t="n">
        <v>52.88148148148149</v>
      </c>
    </row>
    <row r="924">
      <c r="A924" t="n">
        <v>584</v>
      </c>
      <c r="B924" t="inlineStr">
        <is>
          <t>Cream of Pumpkin</t>
        </is>
      </c>
      <c r="C924" t="inlineStr">
        <is>
          <t>Unilever - Knorr</t>
        </is>
      </c>
      <c r="D924" t="inlineStr">
        <is>
          <t>grams</t>
        </is>
      </c>
      <c r="E924" t="n">
        <v>1</v>
      </c>
      <c r="F924" t="n">
        <v>55</v>
      </c>
      <c r="G924" t="n">
        <v>55</v>
      </c>
    </row>
    <row r="925">
      <c r="A925" t="n">
        <v>585</v>
      </c>
      <c r="B925" t="inlineStr">
        <is>
          <t>Cream of Tartar</t>
        </is>
      </c>
      <c r="C925" t="inlineStr">
        <is>
          <t>J&amp;Y</t>
        </is>
      </c>
      <c r="D925" t="inlineStr">
        <is>
          <t>grams</t>
        </is>
      </c>
      <c r="E925" t="n">
        <v>2</v>
      </c>
      <c r="F925" t="n">
        <v>35.5</v>
      </c>
      <c r="G925" t="n">
        <v>17.75</v>
      </c>
    </row>
    <row r="926">
      <c r="A926" t="n">
        <v>585</v>
      </c>
      <c r="B926" t="inlineStr">
        <is>
          <t>Cream of Tartar</t>
        </is>
      </c>
      <c r="C926" t="inlineStr">
        <is>
          <t>McCormick</t>
        </is>
      </c>
      <c r="D926" t="inlineStr">
        <is>
          <t>grams</t>
        </is>
      </c>
      <c r="E926" t="n">
        <v>4</v>
      </c>
      <c r="F926" t="n">
        <v>409.5</v>
      </c>
      <c r="G926" t="n">
        <v>102.375</v>
      </c>
    </row>
    <row r="927">
      <c r="A927" t="n">
        <v>586</v>
      </c>
      <c r="B927" t="inlineStr">
        <is>
          <t>Crushed Grahams</t>
        </is>
      </c>
      <c r="C927" t="inlineStr">
        <is>
          <t>M.Y. San</t>
        </is>
      </c>
      <c r="D927" t="inlineStr">
        <is>
          <t>grams</t>
        </is>
      </c>
      <c r="E927" t="n">
        <v>8</v>
      </c>
      <c r="F927" t="n">
        <v>364.7</v>
      </c>
      <c r="G927" t="n">
        <v>45.5875</v>
      </c>
    </row>
    <row r="928">
      <c r="A928" t="n">
        <v>131</v>
      </c>
      <c r="B928" t="inlineStr">
        <is>
          <t>Cumin Powder</t>
        </is>
      </c>
      <c r="C928" t="inlineStr">
        <is>
          <t>Robinsons</t>
        </is>
      </c>
      <c r="D928" t="inlineStr">
        <is>
          <t>grams</t>
        </is>
      </c>
      <c r="E928" t="n">
        <v>1</v>
      </c>
      <c r="F928" t="n">
        <v>26.5</v>
      </c>
      <c r="G928" t="n">
        <v>26.5</v>
      </c>
    </row>
    <row r="929">
      <c r="A929" t="n">
        <v>136</v>
      </c>
      <c r="B929" t="inlineStr">
        <is>
          <t>Curry Powder</t>
        </is>
      </c>
      <c r="C929" t="inlineStr">
        <is>
          <t>Puregold - Pure Basics</t>
        </is>
      </c>
      <c r="D929" t="inlineStr">
        <is>
          <t>grams</t>
        </is>
      </c>
      <c r="E929" t="n">
        <v>1</v>
      </c>
      <c r="F929" t="n">
        <v>113</v>
      </c>
      <c r="G929" t="n">
        <v>113</v>
      </c>
    </row>
    <row r="930">
      <c r="A930" t="n">
        <v>136</v>
      </c>
      <c r="B930" t="inlineStr">
        <is>
          <t>Curry Powder</t>
        </is>
      </c>
      <c r="C930" t="inlineStr">
        <is>
          <t>UFC</t>
        </is>
      </c>
      <c r="D930" t="inlineStr">
        <is>
          <t>grams</t>
        </is>
      </c>
      <c r="E930" t="n">
        <v>3</v>
      </c>
      <c r="F930" t="n">
        <v>100.75</v>
      </c>
      <c r="G930" t="n">
        <v>33.58333333333334</v>
      </c>
    </row>
    <row r="931">
      <c r="A931" t="n">
        <v>136</v>
      </c>
      <c r="B931" t="inlineStr">
        <is>
          <t>Curry Powder</t>
        </is>
      </c>
      <c r="C931" t="inlineStr">
        <is>
          <t>Edward Edit</t>
        </is>
      </c>
      <c r="D931" t="inlineStr">
        <is>
          <t>grams</t>
        </is>
      </c>
      <c r="E931" t="n">
        <v>2</v>
      </c>
      <c r="F931" t="n">
        <v>500</v>
      </c>
      <c r="G931" t="n">
        <v>250</v>
      </c>
    </row>
    <row r="932">
      <c r="A932" t="n">
        <v>587</v>
      </c>
      <c r="B932" t="inlineStr">
        <is>
          <t>Dahunan</t>
        </is>
      </c>
      <c r="C932" t="inlineStr"/>
      <c r="D932" t="inlineStr">
        <is>
          <t>grams</t>
        </is>
      </c>
      <c r="E932" t="n">
        <v>1</v>
      </c>
      <c r="F932" t="n">
        <v>90</v>
      </c>
      <c r="G932" t="n">
        <v>90</v>
      </c>
    </row>
    <row r="933">
      <c r="A933" t="n">
        <v>588</v>
      </c>
      <c r="B933" t="inlineStr">
        <is>
          <t>Dalagang Bukid</t>
        </is>
      </c>
      <c r="C933" t="inlineStr"/>
      <c r="D933" t="inlineStr">
        <is>
          <t>kilos</t>
        </is>
      </c>
      <c r="E933" t="n">
        <v>3</v>
      </c>
      <c r="F933" t="n">
        <v>930</v>
      </c>
      <c r="G933" t="n">
        <v>310</v>
      </c>
    </row>
    <row r="934">
      <c r="A934" t="n">
        <v>589</v>
      </c>
      <c r="B934" t="inlineStr">
        <is>
          <t>Danggit</t>
        </is>
      </c>
      <c r="C934" t="inlineStr">
        <is>
          <t>JRS Vegetables and Seafoods</t>
        </is>
      </c>
      <c r="D934" t="inlineStr">
        <is>
          <t>kilos</t>
        </is>
      </c>
      <c r="E934" t="n">
        <v>1</v>
      </c>
      <c r="F934" t="n">
        <v>1300</v>
      </c>
      <c r="G934" t="n">
        <v>1300</v>
      </c>
    </row>
    <row r="935">
      <c r="A935" t="n">
        <v>590</v>
      </c>
      <c r="B935" t="inlineStr">
        <is>
          <t>Diced Tomato</t>
        </is>
      </c>
      <c r="C935" t="inlineStr">
        <is>
          <t>Sunbest</t>
        </is>
      </c>
      <c r="D935" t="inlineStr">
        <is>
          <t>drained weight grams</t>
        </is>
      </c>
      <c r="E935" t="n">
        <v>2</v>
      </c>
      <c r="F935" t="n">
        <v>139.5</v>
      </c>
      <c r="G935" t="n">
        <v>69.75</v>
      </c>
    </row>
    <row r="936">
      <c r="A936" t="n">
        <v>591</v>
      </c>
      <c r="B936" t="inlineStr">
        <is>
          <t>Dilis</t>
        </is>
      </c>
      <c r="C936" t="inlineStr"/>
      <c r="D936" t="inlineStr">
        <is>
          <t>kilos</t>
        </is>
      </c>
      <c r="E936" t="n">
        <v>4</v>
      </c>
      <c r="F936" t="n">
        <v>760</v>
      </c>
      <c r="G936" t="n">
        <v>190</v>
      </c>
    </row>
    <row r="937">
      <c r="A937" t="n">
        <v>591</v>
      </c>
      <c r="B937" t="inlineStr">
        <is>
          <t>Dilis</t>
        </is>
      </c>
      <c r="C937" t="inlineStr"/>
      <c r="D937" t="inlineStr">
        <is>
          <t>grams</t>
        </is>
      </c>
      <c r="E937" t="n">
        <v>0</v>
      </c>
      <c r="F937" t="n">
        <v>0</v>
      </c>
      <c r="G937" t="n">
        <v>0</v>
      </c>
    </row>
    <row r="938">
      <c r="A938" t="n">
        <v>592</v>
      </c>
      <c r="B938" t="inlineStr">
        <is>
          <t>Dilis - Boneless</t>
        </is>
      </c>
      <c r="C938" t="inlineStr">
        <is>
          <t>JRS Vegetables and Sea Foods</t>
        </is>
      </c>
      <c r="D938" t="inlineStr">
        <is>
          <t>kilos</t>
        </is>
      </c>
      <c r="E938" t="n">
        <v>0</v>
      </c>
      <c r="F938" t="n">
        <v>0</v>
      </c>
      <c r="G938" t="n">
        <v>0</v>
      </c>
    </row>
    <row r="939">
      <c r="A939" t="n">
        <v>593</v>
      </c>
      <c r="B939" t="inlineStr">
        <is>
          <t>Disposable Fork</t>
        </is>
      </c>
      <c r="C939" t="inlineStr"/>
      <c r="D939" t="inlineStr">
        <is>
          <t>pieces</t>
        </is>
      </c>
      <c r="E939" t="n">
        <v>39</v>
      </c>
      <c r="F939" t="n">
        <v>24.96</v>
      </c>
      <c r="G939" t="n">
        <v>0.64</v>
      </c>
    </row>
    <row r="940">
      <c r="A940" t="n">
        <v>594</v>
      </c>
      <c r="B940" t="inlineStr">
        <is>
          <t>Disposable Gloves</t>
        </is>
      </c>
      <c r="C940" t="inlineStr">
        <is>
          <t>Surebuy</t>
        </is>
      </c>
      <c r="D940" t="inlineStr">
        <is>
          <t>packs</t>
        </is>
      </c>
      <c r="E940" t="n">
        <v>3</v>
      </c>
      <c r="F940" t="n">
        <v>156</v>
      </c>
      <c r="G940" t="n">
        <v>52</v>
      </c>
    </row>
    <row r="941">
      <c r="A941" t="n">
        <v>594</v>
      </c>
      <c r="B941" t="inlineStr">
        <is>
          <t>Disposable Gloves</t>
        </is>
      </c>
      <c r="C941" t="inlineStr">
        <is>
          <t>Safe Hand</t>
        </is>
      </c>
      <c r="D941" t="inlineStr">
        <is>
          <t>packs</t>
        </is>
      </c>
      <c r="E941" t="n">
        <v>1</v>
      </c>
      <c r="F941" t="n">
        <v>40</v>
      </c>
      <c r="G941" t="n">
        <v>40</v>
      </c>
    </row>
    <row r="942">
      <c r="A942" t="n">
        <v>594</v>
      </c>
      <c r="B942" t="inlineStr">
        <is>
          <t>Disposable Gloves</t>
        </is>
      </c>
      <c r="C942" t="inlineStr">
        <is>
          <t>Pinoy Gloves</t>
        </is>
      </c>
      <c r="D942" t="inlineStr">
        <is>
          <t>packs</t>
        </is>
      </c>
      <c r="E942" t="n">
        <v>2</v>
      </c>
      <c r="F942" t="n">
        <v>100</v>
      </c>
      <c r="G942" t="n">
        <v>50</v>
      </c>
    </row>
    <row r="943">
      <c r="A943" t="n">
        <v>595</v>
      </c>
      <c r="B943" t="inlineStr">
        <is>
          <t>Disposable Popcorn Cups</t>
        </is>
      </c>
      <c r="C943" t="inlineStr"/>
      <c r="D943" t="inlineStr">
        <is>
          <t>pieces</t>
        </is>
      </c>
      <c r="E943" t="n">
        <v>20</v>
      </c>
      <c r="F943" t="n">
        <v>44.8</v>
      </c>
      <c r="G943" t="n">
        <v>2.24</v>
      </c>
    </row>
    <row r="944">
      <c r="A944" t="n">
        <v>596</v>
      </c>
      <c r="B944" t="inlineStr">
        <is>
          <t>Disposable Spoon</t>
        </is>
      </c>
      <c r="C944" t="inlineStr">
        <is>
          <t>Glow</t>
        </is>
      </c>
      <c r="D944" t="inlineStr">
        <is>
          <t>packs</t>
        </is>
      </c>
      <c r="E944" t="n">
        <v>2</v>
      </c>
      <c r="F944" t="n">
        <v>70</v>
      </c>
      <c r="G944" t="n">
        <v>35</v>
      </c>
    </row>
    <row r="945">
      <c r="A945" t="n">
        <v>596</v>
      </c>
      <c r="B945" t="inlineStr">
        <is>
          <t>Disposable Spoon</t>
        </is>
      </c>
      <c r="C945" t="inlineStr"/>
      <c r="D945" t="inlineStr">
        <is>
          <t>pieces</t>
        </is>
      </c>
      <c r="E945" t="n">
        <v>208</v>
      </c>
      <c r="F945" t="n">
        <v>170.56</v>
      </c>
      <c r="G945" t="n">
        <v>0.8200000000000001</v>
      </c>
    </row>
    <row r="946">
      <c r="A946" t="n">
        <v>597</v>
      </c>
      <c r="B946" t="inlineStr">
        <is>
          <t>Division Box</t>
        </is>
      </c>
      <c r="C946" t="inlineStr">
        <is>
          <t>Bio Pack</t>
        </is>
      </c>
      <c r="D946" t="inlineStr">
        <is>
          <t>pieces</t>
        </is>
      </c>
      <c r="E946" t="n">
        <v>200</v>
      </c>
      <c r="F946" t="n">
        <v>2000</v>
      </c>
      <c r="G946" t="n">
        <v>10</v>
      </c>
    </row>
    <row r="947">
      <c r="A947" t="n">
        <v>598</v>
      </c>
      <c r="B947" t="inlineStr">
        <is>
          <t>Dixie cups w/ Lid</t>
        </is>
      </c>
      <c r="C947" t="inlineStr">
        <is>
          <t>Belle</t>
        </is>
      </c>
      <c r="D947" t="inlineStr">
        <is>
          <t>pieces</t>
        </is>
      </c>
      <c r="E947" t="n">
        <v>125</v>
      </c>
      <c r="F947" t="n">
        <v>337.5</v>
      </c>
      <c r="G947" t="n">
        <v>2.7</v>
      </c>
    </row>
    <row r="948">
      <c r="A948" t="n">
        <v>599</v>
      </c>
      <c r="B948" t="inlineStr">
        <is>
          <t>Dried Oregano</t>
        </is>
      </c>
      <c r="C948" t="inlineStr">
        <is>
          <t>J&amp;Y</t>
        </is>
      </c>
      <c r="D948" t="inlineStr">
        <is>
          <t>grams</t>
        </is>
      </c>
      <c r="E948" t="n">
        <v>2</v>
      </c>
      <c r="F948" t="n">
        <v>50</v>
      </c>
      <c r="G948" t="n">
        <v>25</v>
      </c>
    </row>
    <row r="949">
      <c r="A949" t="n">
        <v>600</v>
      </c>
      <c r="B949" t="inlineStr">
        <is>
          <t>Dry Yeast</t>
        </is>
      </c>
      <c r="C949" t="inlineStr">
        <is>
          <t>Super 8 - Great Buy</t>
        </is>
      </c>
      <c r="D949" t="inlineStr">
        <is>
          <t>grams</t>
        </is>
      </c>
      <c r="E949" t="n">
        <v>1</v>
      </c>
      <c r="F949" t="n">
        <v>120</v>
      </c>
      <c r="G949" t="n">
        <v>120</v>
      </c>
    </row>
    <row r="950">
      <c r="A950" t="n">
        <v>600</v>
      </c>
      <c r="B950" t="inlineStr">
        <is>
          <t>Dry Yeast</t>
        </is>
      </c>
      <c r="C950" t="inlineStr">
        <is>
          <t>Angel</t>
        </is>
      </c>
      <c r="D950" t="inlineStr">
        <is>
          <t>grams</t>
        </is>
      </c>
      <c r="E950" t="n">
        <v>1</v>
      </c>
      <c r="F950" t="n">
        <v>140</v>
      </c>
      <c r="G950" t="n">
        <v>140</v>
      </c>
    </row>
    <row r="951">
      <c r="A951" t="n">
        <v>143</v>
      </c>
      <c r="B951" t="inlineStr">
        <is>
          <t>Dulong</t>
        </is>
      </c>
      <c r="C951" t="inlineStr"/>
      <c r="D951" t="inlineStr">
        <is>
          <t>kilos</t>
        </is>
      </c>
      <c r="E951" t="n">
        <v>1</v>
      </c>
      <c r="F951" t="n">
        <v>190</v>
      </c>
      <c r="G951" t="n">
        <v>190</v>
      </c>
    </row>
    <row r="952">
      <c r="A952" t="n">
        <v>601</v>
      </c>
      <c r="B952" t="inlineStr">
        <is>
          <t>Eco Bag</t>
        </is>
      </c>
      <c r="C952" t="inlineStr"/>
      <c r="D952" t="inlineStr">
        <is>
          <t>pieces</t>
        </is>
      </c>
      <c r="E952" t="n">
        <v>66</v>
      </c>
      <c r="F952" t="n">
        <v>462</v>
      </c>
      <c r="G952" t="n">
        <v>7</v>
      </c>
    </row>
    <row r="953">
      <c r="A953" t="n">
        <v>602</v>
      </c>
      <c r="B953" t="inlineStr">
        <is>
          <t>Eco Bag - Medium</t>
        </is>
      </c>
      <c r="C953" t="inlineStr">
        <is>
          <t>Everyday/bundle/25pcs</t>
        </is>
      </c>
      <c r="D953" t="inlineStr">
        <is>
          <t>pieces</t>
        </is>
      </c>
      <c r="E953" t="n">
        <v>25</v>
      </c>
      <c r="F953" t="n">
        <v>270.5</v>
      </c>
      <c r="G953" t="n">
        <v>10.82</v>
      </c>
    </row>
    <row r="954">
      <c r="A954" t="n">
        <v>147</v>
      </c>
      <c r="B954" t="inlineStr">
        <is>
          <t>Egg</t>
        </is>
      </c>
      <c r="C954" t="inlineStr">
        <is>
          <t>Medium/tray</t>
        </is>
      </c>
      <c r="D954" t="inlineStr">
        <is>
          <t>pieces</t>
        </is>
      </c>
      <c r="E954" t="n">
        <v>631</v>
      </c>
      <c r="F954" t="n">
        <v>11375</v>
      </c>
      <c r="G954" t="n">
        <v>18.02694136291601</v>
      </c>
    </row>
    <row r="955">
      <c r="A955" t="n">
        <v>147</v>
      </c>
      <c r="B955" t="inlineStr">
        <is>
          <t>Egg</t>
        </is>
      </c>
      <c r="C955" t="inlineStr">
        <is>
          <t>Medium</t>
        </is>
      </c>
      <c r="D955" t="inlineStr">
        <is>
          <t>trays</t>
        </is>
      </c>
      <c r="E955" t="n">
        <v>12</v>
      </c>
      <c r="F955" t="n">
        <v>2760</v>
      </c>
      <c r="G955" t="n">
        <v>230</v>
      </c>
    </row>
    <row r="956">
      <c r="A956" t="n">
        <v>147</v>
      </c>
      <c r="B956" t="inlineStr">
        <is>
          <t>Egg</t>
        </is>
      </c>
      <c r="C956" t="inlineStr">
        <is>
          <t>Medium/tray/30pieces</t>
        </is>
      </c>
      <c r="D956" t="inlineStr">
        <is>
          <t>pieces</t>
        </is>
      </c>
      <c r="E956" t="n">
        <v>159</v>
      </c>
      <c r="F956" t="n">
        <v>1324.47</v>
      </c>
      <c r="G956" t="n">
        <v>8.33</v>
      </c>
    </row>
    <row r="957">
      <c r="A957" t="n">
        <v>147</v>
      </c>
      <c r="B957" t="inlineStr">
        <is>
          <t>Egg</t>
        </is>
      </c>
      <c r="C957" t="inlineStr"/>
      <c r="D957" t="inlineStr">
        <is>
          <t>trays</t>
        </is>
      </c>
      <c r="E957" t="n">
        <v>14</v>
      </c>
      <c r="F957" t="n">
        <v>3360</v>
      </c>
      <c r="G957" t="n">
        <v>240</v>
      </c>
    </row>
    <row r="958">
      <c r="A958" t="n">
        <v>603</v>
      </c>
      <c r="B958" t="inlineStr">
        <is>
          <t>Electrolyte Drink</t>
        </is>
      </c>
      <c r="C958" t="inlineStr">
        <is>
          <t>Pepsi - Gatorade (Assorted)</t>
        </is>
      </c>
      <c r="D958" t="inlineStr">
        <is>
          <t>pieces</t>
        </is>
      </c>
      <c r="E958" t="n">
        <v>174</v>
      </c>
      <c r="F958" t="n">
        <v>5916</v>
      </c>
      <c r="G958" t="n">
        <v>34</v>
      </c>
    </row>
    <row r="959">
      <c r="A959" t="n">
        <v>603</v>
      </c>
      <c r="B959" t="inlineStr">
        <is>
          <t>Electrolyte Drink</t>
        </is>
      </c>
      <c r="C959" t="inlineStr">
        <is>
          <t>Pepsi - Gatorade (Assorted)</t>
        </is>
      </c>
      <c r="D959" t="inlineStr">
        <is>
          <t>ml</t>
        </is>
      </c>
      <c r="E959" t="n">
        <v>182</v>
      </c>
      <c r="F959" t="n">
        <v>66251.8</v>
      </c>
      <c r="G959" t="n">
        <v>364.0208791208792</v>
      </c>
    </row>
    <row r="960">
      <c r="A960" t="n">
        <v>603</v>
      </c>
      <c r="B960" t="inlineStr">
        <is>
          <t>Electrolyte Drink</t>
        </is>
      </c>
      <c r="C960" t="inlineStr">
        <is>
          <t>Pepsi - Gatorade</t>
        </is>
      </c>
      <c r="D960" t="inlineStr">
        <is>
          <t>ml</t>
        </is>
      </c>
      <c r="E960" t="n">
        <v>14</v>
      </c>
      <c r="F960" t="n">
        <v>504.42</v>
      </c>
      <c r="G960" t="n">
        <v>36.03</v>
      </c>
    </row>
    <row r="961">
      <c r="A961" t="n">
        <v>603</v>
      </c>
      <c r="B961" t="inlineStr">
        <is>
          <t>Electrolyte Drink</t>
        </is>
      </c>
      <c r="C961" t="inlineStr">
        <is>
          <t>Otsuka - Pocari Sweat</t>
        </is>
      </c>
      <c r="D961" t="inlineStr">
        <is>
          <t>ml</t>
        </is>
      </c>
      <c r="E961" t="n">
        <v>29</v>
      </c>
      <c r="F961" t="n">
        <v>966.2</v>
      </c>
      <c r="G961" t="n">
        <v>33.31724137931035</v>
      </c>
    </row>
    <row r="962">
      <c r="A962" t="n">
        <v>152</v>
      </c>
      <c r="B962" t="inlineStr">
        <is>
          <t>Evaporated Milk</t>
        </is>
      </c>
      <c r="C962" t="inlineStr">
        <is>
          <t>Alaska</t>
        </is>
      </c>
      <c r="D962" t="inlineStr">
        <is>
          <t>ml</t>
        </is>
      </c>
      <c r="E962" t="n">
        <v>81</v>
      </c>
      <c r="F962" t="n">
        <v>2961</v>
      </c>
      <c r="G962" t="n">
        <v>36.55555555555556</v>
      </c>
    </row>
    <row r="963">
      <c r="A963" t="n">
        <v>152</v>
      </c>
      <c r="B963" t="inlineStr">
        <is>
          <t>Evaporated Milk</t>
        </is>
      </c>
      <c r="C963" t="inlineStr">
        <is>
          <t>Cowbell</t>
        </is>
      </c>
      <c r="D963" t="inlineStr">
        <is>
          <t>ml</t>
        </is>
      </c>
      <c r="E963" t="n">
        <v>3</v>
      </c>
      <c r="F963" t="n">
        <v>90.90000000000001</v>
      </c>
      <c r="G963" t="n">
        <v>30.3</v>
      </c>
    </row>
    <row r="964">
      <c r="A964" t="n">
        <v>152</v>
      </c>
      <c r="B964" t="inlineStr">
        <is>
          <t>Evaporated Milk</t>
        </is>
      </c>
      <c r="C964" t="inlineStr">
        <is>
          <t>Angel</t>
        </is>
      </c>
      <c r="D964" t="inlineStr">
        <is>
          <t>ml</t>
        </is>
      </c>
      <c r="E964" t="n">
        <v>49</v>
      </c>
      <c r="F964" t="n">
        <v>1583.05</v>
      </c>
      <c r="G964" t="n">
        <v>32.30714285714286</v>
      </c>
    </row>
    <row r="965">
      <c r="A965" t="n">
        <v>604</v>
      </c>
      <c r="B965" t="inlineStr">
        <is>
          <t>Fettuccine</t>
        </is>
      </c>
      <c r="C965" t="inlineStr">
        <is>
          <t>San Remo</t>
        </is>
      </c>
      <c r="D965" t="inlineStr">
        <is>
          <t>grams</t>
        </is>
      </c>
      <c r="E965" t="n">
        <v>2</v>
      </c>
      <c r="F965" t="n">
        <v>156</v>
      </c>
      <c r="G965" t="n">
        <v>78</v>
      </c>
    </row>
    <row r="966">
      <c r="A966" t="n">
        <v>605</v>
      </c>
      <c r="B966" t="inlineStr">
        <is>
          <t>Fish Balls</t>
        </is>
      </c>
      <c r="C966" t="inlineStr">
        <is>
          <t>Shanghai</t>
        </is>
      </c>
      <c r="D966" t="inlineStr">
        <is>
          <t>grams</t>
        </is>
      </c>
      <c r="E966" t="n">
        <v>2</v>
      </c>
      <c r="F966" t="n">
        <v>177</v>
      </c>
      <c r="G966" t="n">
        <v>88.5</v>
      </c>
    </row>
    <row r="967">
      <c r="A967" t="n">
        <v>154</v>
      </c>
      <c r="B967" t="inlineStr">
        <is>
          <t>Fish Sauce</t>
        </is>
      </c>
      <c r="C967" t="inlineStr">
        <is>
          <t>Ticman</t>
        </is>
      </c>
      <c r="D967" t="inlineStr">
        <is>
          <t>ml</t>
        </is>
      </c>
      <c r="E967" t="n">
        <v>12</v>
      </c>
      <c r="F967" t="n">
        <v>860</v>
      </c>
      <c r="G967" t="n">
        <v>71.66666666666667</v>
      </c>
    </row>
    <row r="968">
      <c r="A968" t="n">
        <v>154</v>
      </c>
      <c r="B968" t="inlineStr">
        <is>
          <t>Fish Sauce</t>
        </is>
      </c>
      <c r="C968" t="inlineStr">
        <is>
          <t>Lorin's</t>
        </is>
      </c>
      <c r="D968" t="inlineStr">
        <is>
          <t>ml</t>
        </is>
      </c>
      <c r="E968" t="n">
        <v>2</v>
      </c>
      <c r="F968" t="n">
        <v>49.5</v>
      </c>
      <c r="G968" t="n">
        <v>24.75</v>
      </c>
    </row>
    <row r="969">
      <c r="A969" t="n">
        <v>154</v>
      </c>
      <c r="B969" t="inlineStr">
        <is>
          <t>Fish Sauce</t>
        </is>
      </c>
      <c r="C969" t="inlineStr">
        <is>
          <t>JP - Pangasinan Fish Sauce</t>
        </is>
      </c>
      <c r="D969" t="inlineStr">
        <is>
          <t>ounces</t>
        </is>
      </c>
      <c r="E969" t="n">
        <v>1</v>
      </c>
      <c r="F969" t="n">
        <v>32</v>
      </c>
      <c r="G969" t="n">
        <v>32</v>
      </c>
    </row>
    <row r="970">
      <c r="A970" t="n">
        <v>159</v>
      </c>
      <c r="B970" t="inlineStr">
        <is>
          <t>Food Color</t>
        </is>
      </c>
      <c r="C970" t="inlineStr">
        <is>
          <t>Hyco</t>
        </is>
      </c>
      <c r="D970" t="inlineStr">
        <is>
          <t>grams</t>
        </is>
      </c>
      <c r="E970" t="n">
        <v>1</v>
      </c>
      <c r="F970" t="n">
        <v>120</v>
      </c>
      <c r="G970" t="n">
        <v>120</v>
      </c>
    </row>
    <row r="971">
      <c r="A971" t="n">
        <v>606</v>
      </c>
      <c r="B971" t="inlineStr">
        <is>
          <t>Food Color - Green</t>
        </is>
      </c>
      <c r="C971" t="inlineStr">
        <is>
          <t>Green Leaves</t>
        </is>
      </c>
      <c r="D971" t="inlineStr">
        <is>
          <t>ml</t>
        </is>
      </c>
      <c r="E971" t="n">
        <v>2</v>
      </c>
      <c r="F971" t="n">
        <v>65</v>
      </c>
      <c r="G971" t="n">
        <v>32.5</v>
      </c>
    </row>
    <row r="972">
      <c r="A972" t="n">
        <v>607</v>
      </c>
      <c r="B972" t="inlineStr">
        <is>
          <t>Food Color - Yellow</t>
        </is>
      </c>
      <c r="C972" t="inlineStr">
        <is>
          <t>McCormick</t>
        </is>
      </c>
      <c r="D972" t="inlineStr">
        <is>
          <t>ml</t>
        </is>
      </c>
      <c r="E972" t="n">
        <v>4</v>
      </c>
      <c r="F972" t="n">
        <v>651.5</v>
      </c>
      <c r="G972" t="n">
        <v>162.875</v>
      </c>
    </row>
    <row r="973">
      <c r="A973" t="n">
        <v>608</v>
      </c>
      <c r="B973" t="inlineStr">
        <is>
          <t>Food Flavoring - Almond</t>
        </is>
      </c>
      <c r="C973" t="inlineStr">
        <is>
          <t>McCormick</t>
        </is>
      </c>
      <c r="D973" t="inlineStr">
        <is>
          <t>ml</t>
        </is>
      </c>
      <c r="E973" t="n">
        <v>8</v>
      </c>
      <c r="F973" t="n">
        <v>377.5</v>
      </c>
      <c r="G973" t="n">
        <v>47.1875</v>
      </c>
    </row>
    <row r="974">
      <c r="A974" t="n">
        <v>609</v>
      </c>
      <c r="B974" t="inlineStr">
        <is>
          <t>Food Flavoring - Buko Pandan</t>
        </is>
      </c>
      <c r="C974" t="inlineStr">
        <is>
          <t>McCormick</t>
        </is>
      </c>
      <c r="D974" t="inlineStr">
        <is>
          <t>ml</t>
        </is>
      </c>
      <c r="E974" t="n">
        <v>2</v>
      </c>
      <c r="F974" t="n">
        <v>87</v>
      </c>
      <c r="G974" t="n">
        <v>43.5</v>
      </c>
    </row>
    <row r="975">
      <c r="A975" t="n">
        <v>610</v>
      </c>
      <c r="B975" t="inlineStr">
        <is>
          <t>Food Flavoring - Melon</t>
        </is>
      </c>
      <c r="C975" t="inlineStr">
        <is>
          <t>McCormick</t>
        </is>
      </c>
      <c r="D975" t="inlineStr">
        <is>
          <t>ml</t>
        </is>
      </c>
      <c r="E975" t="n">
        <v>2</v>
      </c>
      <c r="F975" t="n">
        <v>106</v>
      </c>
      <c r="G975" t="n">
        <v>53</v>
      </c>
    </row>
    <row r="976">
      <c r="A976" t="n">
        <v>611</v>
      </c>
      <c r="B976" t="inlineStr">
        <is>
          <t>Food Flavoring - Strawberry</t>
        </is>
      </c>
      <c r="C976" t="inlineStr">
        <is>
          <t>McCormick</t>
        </is>
      </c>
      <c r="D976" t="inlineStr">
        <is>
          <t>ml</t>
        </is>
      </c>
      <c r="E976" t="n">
        <v>1</v>
      </c>
      <c r="F976" t="n">
        <v>60</v>
      </c>
      <c r="G976" t="n">
        <v>60</v>
      </c>
    </row>
    <row r="977">
      <c r="A977" t="n">
        <v>612</v>
      </c>
      <c r="B977" t="inlineStr">
        <is>
          <t>Food Flavoring - Ube</t>
        </is>
      </c>
      <c r="C977" t="inlineStr">
        <is>
          <t>Flavorade</t>
        </is>
      </c>
      <c r="D977" t="inlineStr">
        <is>
          <t>grams</t>
        </is>
      </c>
      <c r="E977" t="n">
        <v>1</v>
      </c>
      <c r="F977" t="n">
        <v>329</v>
      </c>
      <c r="G977" t="n">
        <v>329</v>
      </c>
    </row>
    <row r="978">
      <c r="A978" t="n">
        <v>612</v>
      </c>
      <c r="B978" t="inlineStr">
        <is>
          <t>Food Flavoring - Ube</t>
        </is>
      </c>
      <c r="C978" t="inlineStr">
        <is>
          <t>McCormick</t>
        </is>
      </c>
      <c r="D978" t="inlineStr">
        <is>
          <t>ml</t>
        </is>
      </c>
      <c r="E978" t="n">
        <v>3</v>
      </c>
      <c r="F978" t="n">
        <v>145</v>
      </c>
      <c r="G978" t="n">
        <v>48.33333333333334</v>
      </c>
    </row>
    <row r="979">
      <c r="A979" t="n">
        <v>613</v>
      </c>
      <c r="B979" t="inlineStr">
        <is>
          <t>Footlong</t>
        </is>
      </c>
      <c r="C979" t="inlineStr">
        <is>
          <t>Holiday</t>
        </is>
      </c>
      <c r="D979" t="inlineStr">
        <is>
          <t>grams</t>
        </is>
      </c>
      <c r="E979" t="n">
        <v>5</v>
      </c>
      <c r="F979" t="n">
        <v>887</v>
      </c>
      <c r="G979" t="n">
        <v>177.4</v>
      </c>
    </row>
    <row r="980">
      <c r="A980" t="n">
        <v>614</v>
      </c>
      <c r="B980" t="inlineStr">
        <is>
          <t>French Fries</t>
        </is>
      </c>
      <c r="C980" t="inlineStr">
        <is>
          <t>Frenchies</t>
        </is>
      </c>
      <c r="D980" t="inlineStr">
        <is>
          <t>grams</t>
        </is>
      </c>
      <c r="E980" t="n">
        <v>2</v>
      </c>
      <c r="F980" t="n">
        <v>386</v>
      </c>
      <c r="G980" t="n">
        <v>193</v>
      </c>
    </row>
    <row r="981">
      <c r="A981" t="n">
        <v>615</v>
      </c>
      <c r="B981" t="inlineStr">
        <is>
          <t>Frozen Peas</t>
        </is>
      </c>
      <c r="C981" t="inlineStr"/>
      <c r="D981" t="inlineStr">
        <is>
          <t>kilos</t>
        </is>
      </c>
      <c r="E981" t="n">
        <v>1</v>
      </c>
      <c r="F981" t="n">
        <v>145</v>
      </c>
      <c r="G981" t="n">
        <v>145</v>
      </c>
    </row>
    <row r="982">
      <c r="A982" t="n">
        <v>615</v>
      </c>
      <c r="B982" t="inlineStr">
        <is>
          <t>Frozen Peas</t>
        </is>
      </c>
      <c r="C982" t="inlineStr">
        <is>
          <t>Hernan Logmao</t>
        </is>
      </c>
      <c r="D982" t="inlineStr">
        <is>
          <t>grams</t>
        </is>
      </c>
      <c r="E982" t="n">
        <v>1</v>
      </c>
      <c r="F982" t="n">
        <v>180</v>
      </c>
      <c r="G982" t="n">
        <v>180</v>
      </c>
    </row>
    <row r="983">
      <c r="A983" t="n">
        <v>162</v>
      </c>
      <c r="B983" t="inlineStr">
        <is>
          <t>Fruit Cocktail</t>
        </is>
      </c>
      <c r="C983" t="inlineStr">
        <is>
          <t>Today's</t>
        </is>
      </c>
      <c r="D983" t="inlineStr">
        <is>
          <t>grams</t>
        </is>
      </c>
      <c r="E983" t="n">
        <v>3</v>
      </c>
      <c r="F983" t="n">
        <v>499.47</v>
      </c>
      <c r="G983" t="n">
        <v>166.49</v>
      </c>
    </row>
    <row r="984">
      <c r="A984" t="n">
        <v>162</v>
      </c>
      <c r="B984" t="inlineStr">
        <is>
          <t>Fruit Cocktail</t>
        </is>
      </c>
      <c r="C984" t="inlineStr">
        <is>
          <t>Today's</t>
        </is>
      </c>
      <c r="D984" t="inlineStr">
        <is>
          <t>drained weight grams</t>
        </is>
      </c>
      <c r="E984" t="n">
        <v>2</v>
      </c>
      <c r="F984" t="n">
        <v>179</v>
      </c>
      <c r="G984" t="n">
        <v>89.5</v>
      </c>
    </row>
    <row r="985">
      <c r="A985" t="n">
        <v>162</v>
      </c>
      <c r="B985" t="inlineStr">
        <is>
          <t>Fruit Cocktail</t>
        </is>
      </c>
      <c r="C985" t="inlineStr">
        <is>
          <t>Del Monte</t>
        </is>
      </c>
      <c r="D985" t="inlineStr">
        <is>
          <t>grams</t>
        </is>
      </c>
      <c r="E985" t="n">
        <v>11</v>
      </c>
      <c r="F985" t="n">
        <v>2199</v>
      </c>
      <c r="G985" t="n">
        <v>199.9090909090909</v>
      </c>
    </row>
    <row r="986">
      <c r="A986" t="n">
        <v>616</v>
      </c>
      <c r="B986" t="inlineStr">
        <is>
          <t>Gabi</t>
        </is>
      </c>
      <c r="C986" t="inlineStr"/>
      <c r="D986" t="inlineStr">
        <is>
          <t>grams</t>
        </is>
      </c>
      <c r="E986" t="n">
        <v>3</v>
      </c>
      <c r="F986" t="n">
        <v>105</v>
      </c>
      <c r="G986" t="n">
        <v>35</v>
      </c>
    </row>
    <row r="987">
      <c r="A987" t="n">
        <v>617</v>
      </c>
      <c r="B987" t="inlineStr">
        <is>
          <t>Galunggong</t>
        </is>
      </c>
      <c r="C987" t="inlineStr"/>
      <c r="D987" t="inlineStr">
        <is>
          <t>kilos</t>
        </is>
      </c>
      <c r="E987" t="n">
        <v>11</v>
      </c>
      <c r="F987" t="n">
        <v>3520</v>
      </c>
      <c r="G987" t="n">
        <v>320</v>
      </c>
    </row>
    <row r="988">
      <c r="A988" t="n">
        <v>617</v>
      </c>
      <c r="B988" t="inlineStr">
        <is>
          <t>Galunggong</t>
        </is>
      </c>
      <c r="C988" t="inlineStr"/>
      <c r="D988" t="inlineStr">
        <is>
          <t>grams</t>
        </is>
      </c>
      <c r="E988" t="n">
        <v>2</v>
      </c>
      <c r="F988" t="n">
        <v>500</v>
      </c>
      <c r="G988" t="n">
        <v>250</v>
      </c>
    </row>
    <row r="989">
      <c r="A989" t="n">
        <v>169</v>
      </c>
      <c r="B989" t="inlineStr">
        <is>
          <t>Garbanzos</t>
        </is>
      </c>
      <c r="C989" t="inlineStr">
        <is>
          <t>Ram</t>
        </is>
      </c>
      <c r="D989" t="inlineStr">
        <is>
          <t>grams</t>
        </is>
      </c>
      <c r="E989" t="n">
        <v>7</v>
      </c>
      <c r="F989" t="n">
        <v>270.4</v>
      </c>
      <c r="G989" t="n">
        <v>38.62857142857143</v>
      </c>
    </row>
    <row r="990">
      <c r="A990" t="n">
        <v>169</v>
      </c>
      <c r="B990" t="inlineStr">
        <is>
          <t>Garbanzos</t>
        </is>
      </c>
      <c r="C990" t="inlineStr">
        <is>
          <t>Ram</t>
        </is>
      </c>
      <c r="D990" t="inlineStr">
        <is>
          <t>drained weight grams</t>
        </is>
      </c>
      <c r="E990" t="n">
        <v>8</v>
      </c>
      <c r="F990" t="n">
        <v>337.6</v>
      </c>
      <c r="G990" t="n">
        <v>42.2</v>
      </c>
    </row>
    <row r="991">
      <c r="A991" t="n">
        <v>169</v>
      </c>
      <c r="B991" t="inlineStr">
        <is>
          <t>Garbanzos</t>
        </is>
      </c>
      <c r="C991" t="inlineStr">
        <is>
          <t>Sevilla</t>
        </is>
      </c>
      <c r="D991" t="inlineStr">
        <is>
          <t>drained weight grams</t>
        </is>
      </c>
      <c r="E991" t="n">
        <v>17</v>
      </c>
      <c r="F991" t="n">
        <v>816</v>
      </c>
      <c r="G991" t="n">
        <v>48</v>
      </c>
    </row>
    <row r="992">
      <c r="A992" t="n">
        <v>169</v>
      </c>
      <c r="B992" t="inlineStr">
        <is>
          <t>Garbanzos</t>
        </is>
      </c>
      <c r="C992" t="inlineStr">
        <is>
          <t>Jolly</t>
        </is>
      </c>
      <c r="D992" t="inlineStr">
        <is>
          <t>grams</t>
        </is>
      </c>
      <c r="E992" t="n">
        <v>3</v>
      </c>
      <c r="F992" t="n">
        <v>85.5</v>
      </c>
      <c r="G992" t="n">
        <v>28.5</v>
      </c>
    </row>
    <row r="993">
      <c r="A993" t="n">
        <v>170</v>
      </c>
      <c r="B993" t="inlineStr">
        <is>
          <t>Garlic</t>
        </is>
      </c>
      <c r="C993" t="inlineStr"/>
      <c r="D993" t="inlineStr">
        <is>
          <t>kilos</t>
        </is>
      </c>
      <c r="E993" t="n">
        <v>1</v>
      </c>
      <c r="F993" t="n">
        <v>140</v>
      </c>
      <c r="G993" t="n">
        <v>140</v>
      </c>
    </row>
    <row r="994">
      <c r="A994" t="n">
        <v>170</v>
      </c>
      <c r="B994" t="inlineStr">
        <is>
          <t>Garlic</t>
        </is>
      </c>
      <c r="C994" t="inlineStr"/>
      <c r="D994" t="inlineStr">
        <is>
          <t>grams</t>
        </is>
      </c>
      <c r="E994" t="n">
        <v>1</v>
      </c>
      <c r="F994" t="n">
        <v>170</v>
      </c>
      <c r="G994" t="n">
        <v>170</v>
      </c>
    </row>
    <row r="995">
      <c r="A995" t="n">
        <v>618</v>
      </c>
      <c r="B995" t="inlineStr">
        <is>
          <t>Garlic - Granulated Singles</t>
        </is>
      </c>
      <c r="C995" t="inlineStr">
        <is>
          <t>McCormick</t>
        </is>
      </c>
      <c r="D995" t="inlineStr">
        <is>
          <t>pieces</t>
        </is>
      </c>
      <c r="E995" t="n">
        <v>5</v>
      </c>
      <c r="F995" t="n">
        <v>30</v>
      </c>
      <c r="G995" t="n">
        <v>6</v>
      </c>
    </row>
    <row r="996">
      <c r="A996" t="n">
        <v>172</v>
      </c>
      <c r="B996" t="inlineStr">
        <is>
          <t>Garlic Powder</t>
        </is>
      </c>
      <c r="C996" t="inlineStr">
        <is>
          <t>McCormick</t>
        </is>
      </c>
      <c r="D996" t="inlineStr">
        <is>
          <t>kilos</t>
        </is>
      </c>
      <c r="E996" t="n">
        <v>1</v>
      </c>
      <c r="F996" t="n">
        <v>780</v>
      </c>
      <c r="G996" t="n">
        <v>780</v>
      </c>
    </row>
    <row r="997">
      <c r="A997" t="n">
        <v>619</v>
      </c>
      <c r="B997" t="inlineStr">
        <is>
          <t>Gelatine</t>
        </is>
      </c>
      <c r="C997" t="inlineStr">
        <is>
          <t>Ferna/box/50grams</t>
        </is>
      </c>
      <c r="D997" t="inlineStr">
        <is>
          <t>grams</t>
        </is>
      </c>
      <c r="E997" t="n">
        <v>33</v>
      </c>
      <c r="F997" t="n">
        <v>513.15</v>
      </c>
      <c r="G997" t="n">
        <v>15.55</v>
      </c>
    </row>
    <row r="998">
      <c r="A998" t="n">
        <v>174</v>
      </c>
      <c r="B998" t="inlineStr">
        <is>
          <t>General Sanitizer</t>
        </is>
      </c>
      <c r="C998" t="inlineStr">
        <is>
          <t>Quinriv</t>
        </is>
      </c>
      <c r="D998" t="inlineStr">
        <is>
          <t>gal</t>
        </is>
      </c>
      <c r="E998" t="n">
        <v>3</v>
      </c>
      <c r="F998" t="n">
        <v>1116</v>
      </c>
      <c r="G998" t="n">
        <v>372</v>
      </c>
    </row>
    <row r="999">
      <c r="A999" t="n">
        <v>620</v>
      </c>
      <c r="B999" t="inlineStr">
        <is>
          <t>Gin</t>
        </is>
      </c>
      <c r="C999" t="inlineStr">
        <is>
          <t>Ginebra</t>
        </is>
      </c>
      <c r="D999" t="inlineStr">
        <is>
          <t>grams</t>
        </is>
      </c>
      <c r="E999" t="n">
        <v>0</v>
      </c>
      <c r="F999" t="n">
        <v>0</v>
      </c>
      <c r="G999" t="n">
        <v>0</v>
      </c>
    </row>
    <row r="1000">
      <c r="A1000" t="n">
        <v>175</v>
      </c>
      <c r="B1000" t="inlineStr">
        <is>
          <t>Ginger</t>
        </is>
      </c>
      <c r="C1000" t="inlineStr">
        <is>
          <t>Fresh</t>
        </is>
      </c>
      <c r="D1000" t="inlineStr">
        <is>
          <t>kilos</t>
        </is>
      </c>
      <c r="E1000" t="n">
        <v>1</v>
      </c>
      <c r="F1000" t="n">
        <v>45</v>
      </c>
      <c r="G1000" t="n">
        <v>45</v>
      </c>
    </row>
    <row r="1001">
      <c r="A1001" t="n">
        <v>175</v>
      </c>
      <c r="B1001" t="inlineStr">
        <is>
          <t>Ginger</t>
        </is>
      </c>
      <c r="C1001" t="inlineStr">
        <is>
          <t>Hernan Logmao</t>
        </is>
      </c>
      <c r="D1001" t="inlineStr">
        <is>
          <t>kilos</t>
        </is>
      </c>
      <c r="E1001" t="n">
        <v>0</v>
      </c>
      <c r="F1001" t="n">
        <v>0</v>
      </c>
      <c r="G1001" t="n">
        <v>0</v>
      </c>
    </row>
    <row r="1002">
      <c r="A1002" t="n">
        <v>176</v>
      </c>
      <c r="B1002" t="inlineStr">
        <is>
          <t>Giniling</t>
        </is>
      </c>
      <c r="C1002" t="inlineStr">
        <is>
          <t>Argentina</t>
        </is>
      </c>
      <c r="D1002" t="inlineStr">
        <is>
          <t>grams</t>
        </is>
      </c>
      <c r="E1002" t="n">
        <v>1</v>
      </c>
      <c r="F1002" t="n">
        <v>28.2</v>
      </c>
      <c r="G1002" t="n">
        <v>28.2</v>
      </c>
    </row>
    <row r="1003">
      <c r="A1003" t="n">
        <v>176</v>
      </c>
      <c r="B1003" t="inlineStr">
        <is>
          <t>Giniling</t>
        </is>
      </c>
      <c r="C1003" t="inlineStr">
        <is>
          <t>Argentina/can/250grams</t>
        </is>
      </c>
      <c r="D1003" t="inlineStr">
        <is>
          <t>grams</t>
        </is>
      </c>
      <c r="E1003" t="n">
        <v>10</v>
      </c>
      <c r="F1003" t="n">
        <v>416</v>
      </c>
      <c r="G1003" t="n">
        <v>41.6</v>
      </c>
    </row>
    <row r="1004">
      <c r="A1004" t="n">
        <v>177</v>
      </c>
      <c r="B1004" t="inlineStr">
        <is>
          <t>Glutinous Rice Flour</t>
        </is>
      </c>
      <c r="C1004" t="inlineStr">
        <is>
          <t>Arawan</t>
        </is>
      </c>
      <c r="D1004" t="inlineStr">
        <is>
          <t>grams</t>
        </is>
      </c>
      <c r="E1004" t="n">
        <v>5</v>
      </c>
      <c r="F1004" t="n">
        <v>290.5</v>
      </c>
      <c r="G1004" t="n">
        <v>58.1</v>
      </c>
    </row>
    <row r="1005">
      <c r="A1005" t="n">
        <v>177</v>
      </c>
      <c r="B1005" t="inlineStr">
        <is>
          <t>Glutinous Rice Flour</t>
        </is>
      </c>
      <c r="C1005" t="inlineStr">
        <is>
          <t>Kings</t>
        </is>
      </c>
      <c r="D1005" t="inlineStr">
        <is>
          <t>grams</t>
        </is>
      </c>
      <c r="E1005" t="n">
        <v>17</v>
      </c>
      <c r="F1005" t="n">
        <v>860</v>
      </c>
      <c r="G1005" t="n">
        <v>50.58823529411764</v>
      </c>
    </row>
    <row r="1006">
      <c r="A1006" t="n">
        <v>177</v>
      </c>
      <c r="B1006" t="inlineStr">
        <is>
          <t>Glutinous Rice Flour</t>
        </is>
      </c>
      <c r="C1006" t="inlineStr">
        <is>
          <t>Master Chef</t>
        </is>
      </c>
      <c r="D1006" t="inlineStr">
        <is>
          <t>grams</t>
        </is>
      </c>
      <c r="E1006" t="n">
        <v>5</v>
      </c>
      <c r="F1006" t="n">
        <v>237.5</v>
      </c>
      <c r="G1006" t="n">
        <v>47.5</v>
      </c>
    </row>
    <row r="1007">
      <c r="A1007" t="n">
        <v>177</v>
      </c>
      <c r="B1007" t="inlineStr">
        <is>
          <t>Glutinous Rice Flour</t>
        </is>
      </c>
      <c r="C1007" t="inlineStr">
        <is>
          <t>Polar Bear</t>
        </is>
      </c>
      <c r="D1007" t="inlineStr">
        <is>
          <t>grams</t>
        </is>
      </c>
      <c r="E1007" t="n">
        <v>2</v>
      </c>
      <c r="F1007" t="n">
        <v>65</v>
      </c>
      <c r="G1007" t="n">
        <v>32.5</v>
      </c>
    </row>
    <row r="1008">
      <c r="A1008" t="n">
        <v>181</v>
      </c>
      <c r="B1008" t="inlineStr">
        <is>
          <t>Graham Crackers</t>
        </is>
      </c>
      <c r="C1008" t="inlineStr">
        <is>
          <t>M.Y. San</t>
        </is>
      </c>
      <c r="D1008" t="inlineStr">
        <is>
          <t>grams</t>
        </is>
      </c>
      <c r="E1008" t="n">
        <v>9</v>
      </c>
      <c r="F1008" t="n">
        <v>379.4</v>
      </c>
      <c r="G1008" t="n">
        <v>42.15555555555555</v>
      </c>
    </row>
    <row r="1009">
      <c r="A1009" t="n">
        <v>621</v>
      </c>
      <c r="B1009" t="inlineStr">
        <is>
          <t>Grapes Green</t>
        </is>
      </c>
      <c r="C1009" t="inlineStr"/>
      <c r="D1009" t="inlineStr">
        <is>
          <t>kilos</t>
        </is>
      </c>
      <c r="E1009" t="n">
        <v>0</v>
      </c>
      <c r="F1009" t="n">
        <v>0</v>
      </c>
      <c r="G1009" t="n">
        <v>0</v>
      </c>
    </row>
    <row r="1010">
      <c r="A1010" t="n">
        <v>622</v>
      </c>
      <c r="B1010" t="inlineStr">
        <is>
          <t>Grapes Seedless</t>
        </is>
      </c>
      <c r="C1010" t="inlineStr"/>
      <c r="D1010" t="inlineStr">
        <is>
          <t>grams</t>
        </is>
      </c>
      <c r="E1010" t="n">
        <v>0</v>
      </c>
      <c r="F1010" t="n">
        <v>0</v>
      </c>
      <c r="G1010" t="n">
        <v>0</v>
      </c>
    </row>
    <row r="1011">
      <c r="A1011" t="n">
        <v>183</v>
      </c>
      <c r="B1011" t="inlineStr">
        <is>
          <t>Grass Jelly</t>
        </is>
      </c>
      <c r="C1011" t="inlineStr">
        <is>
          <t>Jolly</t>
        </is>
      </c>
      <c r="D1011" t="inlineStr">
        <is>
          <t>grams</t>
        </is>
      </c>
      <c r="E1011" t="n">
        <v>1</v>
      </c>
      <c r="F1011" t="n">
        <v>48</v>
      </c>
      <c r="G1011" t="n">
        <v>48</v>
      </c>
    </row>
    <row r="1012">
      <c r="A1012" t="n">
        <v>623</v>
      </c>
      <c r="B1012" t="inlineStr">
        <is>
          <t>Greaseproof french fries paperbag</t>
        </is>
      </c>
      <c r="C1012" t="inlineStr"/>
      <c r="D1012" t="inlineStr">
        <is>
          <t>pieces</t>
        </is>
      </c>
      <c r="E1012" t="n">
        <v>9</v>
      </c>
      <c r="F1012" t="n">
        <v>9</v>
      </c>
      <c r="G1012" t="n">
        <v>1</v>
      </c>
    </row>
    <row r="1013">
      <c r="A1013" t="n">
        <v>624</v>
      </c>
      <c r="B1013" t="inlineStr">
        <is>
          <t>Green Olives</t>
        </is>
      </c>
      <c r="C1013" t="inlineStr">
        <is>
          <t>Dona Elena</t>
        </is>
      </c>
      <c r="D1013" t="inlineStr">
        <is>
          <t>drained weight grams</t>
        </is>
      </c>
      <c r="E1013" t="n">
        <v>4</v>
      </c>
      <c r="F1013" t="n">
        <v>639.2</v>
      </c>
      <c r="G1013" t="n">
        <v>159.8</v>
      </c>
    </row>
    <row r="1014">
      <c r="A1014" t="n">
        <v>624</v>
      </c>
      <c r="B1014" t="inlineStr">
        <is>
          <t>Green Olives</t>
        </is>
      </c>
      <c r="C1014" t="inlineStr">
        <is>
          <t>Capri</t>
        </is>
      </c>
      <c r="D1014" t="inlineStr">
        <is>
          <t>grams</t>
        </is>
      </c>
      <c r="E1014" t="n">
        <v>2</v>
      </c>
      <c r="F1014" t="n">
        <v>396</v>
      </c>
      <c r="G1014" t="n">
        <v>198</v>
      </c>
    </row>
    <row r="1015">
      <c r="A1015" t="n">
        <v>625</v>
      </c>
      <c r="B1015" t="inlineStr">
        <is>
          <t>Green Peas</t>
        </is>
      </c>
      <c r="C1015" t="inlineStr">
        <is>
          <t>UFC</t>
        </is>
      </c>
      <c r="D1015" t="inlineStr">
        <is>
          <t>grams</t>
        </is>
      </c>
      <c r="E1015" t="n">
        <v>2</v>
      </c>
      <c r="F1015" t="n">
        <v>58</v>
      </c>
      <c r="G1015" t="n">
        <v>29</v>
      </c>
    </row>
    <row r="1016">
      <c r="A1016" t="n">
        <v>625</v>
      </c>
      <c r="B1016" t="inlineStr">
        <is>
          <t>Green Peas</t>
        </is>
      </c>
      <c r="C1016" t="inlineStr">
        <is>
          <t>Ram</t>
        </is>
      </c>
      <c r="D1016" t="inlineStr">
        <is>
          <t>drained weight grams</t>
        </is>
      </c>
      <c r="E1016" t="n">
        <v>10</v>
      </c>
      <c r="F1016" t="n">
        <v>239</v>
      </c>
      <c r="G1016" t="n">
        <v>23.9</v>
      </c>
    </row>
    <row r="1017">
      <c r="A1017" t="n">
        <v>626</v>
      </c>
      <c r="B1017" t="inlineStr">
        <is>
          <t>Ground Cumin</t>
        </is>
      </c>
      <c r="C1017" t="inlineStr">
        <is>
          <t>Badia</t>
        </is>
      </c>
      <c r="D1017" t="inlineStr">
        <is>
          <t>grams</t>
        </is>
      </c>
      <c r="E1017" t="n">
        <v>1</v>
      </c>
      <c r="F1017" t="n">
        <v>199.95</v>
      </c>
      <c r="G1017" t="n">
        <v>199.95</v>
      </c>
    </row>
    <row r="1018">
      <c r="A1018" t="n">
        <v>626</v>
      </c>
      <c r="B1018" t="inlineStr">
        <is>
          <t>Ground Cumin</t>
        </is>
      </c>
      <c r="C1018" t="inlineStr">
        <is>
          <t>McCormick</t>
        </is>
      </c>
      <c r="D1018" t="inlineStr">
        <is>
          <t>grams</t>
        </is>
      </c>
      <c r="E1018" t="n">
        <v>4</v>
      </c>
      <c r="F1018" t="n">
        <v>321.5</v>
      </c>
      <c r="G1018" t="n">
        <v>80.375</v>
      </c>
    </row>
    <row r="1019">
      <c r="A1019" t="n">
        <v>627</v>
      </c>
      <c r="B1019" t="inlineStr">
        <is>
          <t>Gulaman - Black</t>
        </is>
      </c>
      <c r="C1019" t="inlineStr">
        <is>
          <t>Mr. Gulaman</t>
        </is>
      </c>
      <c r="D1019" t="inlineStr">
        <is>
          <t>grams</t>
        </is>
      </c>
      <c r="E1019" t="n">
        <v>20</v>
      </c>
      <c r="F1019" t="n">
        <v>191.06</v>
      </c>
      <c r="G1019" t="n">
        <v>9.553000000000001</v>
      </c>
    </row>
    <row r="1020">
      <c r="A1020" t="n">
        <v>627</v>
      </c>
      <c r="B1020" t="inlineStr">
        <is>
          <t>Gulaman - Black</t>
        </is>
      </c>
      <c r="C1020" t="inlineStr">
        <is>
          <t>Master Gulaman</t>
        </is>
      </c>
      <c r="D1020" t="inlineStr">
        <is>
          <t>grams</t>
        </is>
      </c>
      <c r="E1020" t="n">
        <v>6</v>
      </c>
      <c r="F1020" t="n">
        <v>76.56</v>
      </c>
      <c r="G1020" t="n">
        <v>12.76</v>
      </c>
    </row>
    <row r="1021">
      <c r="A1021" t="n">
        <v>187</v>
      </c>
      <c r="B1021" t="inlineStr">
        <is>
          <t>Gulaman - Buko Pandan</t>
        </is>
      </c>
      <c r="C1021" t="inlineStr">
        <is>
          <t>Master Gulaman</t>
        </is>
      </c>
      <c r="D1021" t="inlineStr">
        <is>
          <t>grams</t>
        </is>
      </c>
      <c r="E1021" t="n">
        <v>20</v>
      </c>
      <c r="F1021" t="n">
        <v>231.6</v>
      </c>
      <c r="G1021" t="n">
        <v>11.58</v>
      </c>
    </row>
    <row r="1022">
      <c r="A1022" t="n">
        <v>187</v>
      </c>
      <c r="B1022" t="inlineStr">
        <is>
          <t>Gulaman - Buko Pandan</t>
        </is>
      </c>
      <c r="C1022" t="inlineStr">
        <is>
          <t>Mr. Gulaman</t>
        </is>
      </c>
      <c r="D1022" t="inlineStr">
        <is>
          <t>grams</t>
        </is>
      </c>
      <c r="E1022" t="n">
        <v>3</v>
      </c>
      <c r="F1022" t="n">
        <v>37.92</v>
      </c>
      <c r="G1022" t="n">
        <v>12.64</v>
      </c>
    </row>
    <row r="1023">
      <c r="A1023" t="n">
        <v>189</v>
      </c>
      <c r="B1023" t="inlineStr">
        <is>
          <t>Gulaman - Green</t>
        </is>
      </c>
      <c r="C1023" t="inlineStr">
        <is>
          <t>Mr. Gulaman</t>
        </is>
      </c>
      <c r="D1023" t="inlineStr">
        <is>
          <t>grams</t>
        </is>
      </c>
      <c r="E1023" t="n">
        <v>27</v>
      </c>
      <c r="F1023" t="n">
        <v>393.6</v>
      </c>
      <c r="G1023" t="n">
        <v>14.57777777777778</v>
      </c>
    </row>
    <row r="1024">
      <c r="A1024" t="n">
        <v>628</v>
      </c>
      <c r="B1024" t="inlineStr">
        <is>
          <t>Gulaman - Orange</t>
        </is>
      </c>
      <c r="C1024" t="inlineStr">
        <is>
          <t>Mr. Gulaman</t>
        </is>
      </c>
      <c r="D1024" t="inlineStr">
        <is>
          <t>grams</t>
        </is>
      </c>
      <c r="E1024" t="n">
        <v>2</v>
      </c>
      <c r="F1024" t="n">
        <v>28.6</v>
      </c>
      <c r="G1024" t="n">
        <v>14.3</v>
      </c>
    </row>
    <row r="1025">
      <c r="A1025" t="n">
        <v>191</v>
      </c>
      <c r="B1025" t="inlineStr">
        <is>
          <t>Gulaman - Red</t>
        </is>
      </c>
      <c r="C1025" t="inlineStr">
        <is>
          <t>Master Gulaman</t>
        </is>
      </c>
      <c r="D1025" t="inlineStr">
        <is>
          <t>grams</t>
        </is>
      </c>
      <c r="E1025" t="n">
        <v>1</v>
      </c>
      <c r="F1025" t="n">
        <v>13.27</v>
      </c>
      <c r="G1025" t="n">
        <v>13.27</v>
      </c>
    </row>
    <row r="1026">
      <c r="A1026" t="n">
        <v>191</v>
      </c>
      <c r="B1026" t="inlineStr">
        <is>
          <t>Gulaman - Red</t>
        </is>
      </c>
      <c r="C1026" t="inlineStr">
        <is>
          <t>Master Chef</t>
        </is>
      </c>
      <c r="D1026" t="inlineStr">
        <is>
          <t>grams</t>
        </is>
      </c>
      <c r="E1026" t="n">
        <v>4</v>
      </c>
      <c r="F1026" t="n">
        <v>373.7</v>
      </c>
      <c r="G1026" t="n">
        <v>93.42500000000001</v>
      </c>
    </row>
    <row r="1027">
      <c r="A1027" t="n">
        <v>191</v>
      </c>
      <c r="B1027" t="inlineStr">
        <is>
          <t>Gulaman - Red</t>
        </is>
      </c>
      <c r="C1027" t="inlineStr">
        <is>
          <t>Mr. Gulaman</t>
        </is>
      </c>
      <c r="D1027" t="inlineStr">
        <is>
          <t>grams</t>
        </is>
      </c>
      <c r="E1027" t="n">
        <v>11</v>
      </c>
      <c r="F1027" t="n">
        <v>143.48</v>
      </c>
      <c r="G1027" t="n">
        <v>13.04363636363636</v>
      </c>
    </row>
    <row r="1028">
      <c r="A1028" t="n">
        <v>191</v>
      </c>
      <c r="B1028" t="inlineStr">
        <is>
          <t>Gulaman - Red</t>
        </is>
      </c>
      <c r="C1028" t="inlineStr">
        <is>
          <t>Master. Gulaman</t>
        </is>
      </c>
      <c r="D1028" t="inlineStr">
        <is>
          <t>grams</t>
        </is>
      </c>
      <c r="E1028" t="n">
        <v>13</v>
      </c>
      <c r="F1028" t="n">
        <v>164.32</v>
      </c>
      <c r="G1028" t="n">
        <v>12.64</v>
      </c>
    </row>
    <row r="1029">
      <c r="A1029" t="n">
        <v>192</v>
      </c>
      <c r="B1029" t="inlineStr">
        <is>
          <t>Gulaman - White</t>
        </is>
      </c>
      <c r="C1029" t="inlineStr">
        <is>
          <t>Master Gulaman</t>
        </is>
      </c>
      <c r="D1029" t="inlineStr">
        <is>
          <t>grams</t>
        </is>
      </c>
      <c r="E1029" t="n">
        <v>14</v>
      </c>
      <c r="F1029" t="n">
        <v>162.12</v>
      </c>
      <c r="G1029" t="n">
        <v>11.58</v>
      </c>
    </row>
    <row r="1030">
      <c r="A1030" t="n">
        <v>192</v>
      </c>
      <c r="B1030" t="inlineStr">
        <is>
          <t>Gulaman - White</t>
        </is>
      </c>
      <c r="C1030" t="inlineStr">
        <is>
          <t>Master Chef</t>
        </is>
      </c>
      <c r="D1030" t="inlineStr">
        <is>
          <t>grams</t>
        </is>
      </c>
      <c r="E1030" t="n">
        <v>6</v>
      </c>
      <c r="F1030" t="n">
        <v>694.8</v>
      </c>
      <c r="G1030" t="n">
        <v>115.8</v>
      </c>
    </row>
    <row r="1031">
      <c r="A1031" t="n">
        <v>192</v>
      </c>
      <c r="B1031" t="inlineStr">
        <is>
          <t>Gulaman - White</t>
        </is>
      </c>
      <c r="C1031" t="inlineStr">
        <is>
          <t>Mr Gulaman</t>
        </is>
      </c>
      <c r="D1031" t="inlineStr">
        <is>
          <t>grams</t>
        </is>
      </c>
      <c r="E1031" t="n">
        <v>48</v>
      </c>
      <c r="F1031" t="n">
        <v>902.5</v>
      </c>
      <c r="G1031" t="n">
        <v>18.80208333333333</v>
      </c>
    </row>
    <row r="1032">
      <c r="A1032" t="n">
        <v>192</v>
      </c>
      <c r="B1032" t="inlineStr">
        <is>
          <t>Gulaman - White</t>
        </is>
      </c>
      <c r="C1032" t="inlineStr">
        <is>
          <t>Mr. Gulaman</t>
        </is>
      </c>
      <c r="D1032" t="inlineStr">
        <is>
          <t>grams</t>
        </is>
      </c>
      <c r="E1032" t="n">
        <v>6</v>
      </c>
      <c r="F1032" t="n">
        <v>96</v>
      </c>
      <c r="G1032" t="n">
        <v>16</v>
      </c>
    </row>
    <row r="1033">
      <c r="A1033" t="n">
        <v>193</v>
      </c>
      <c r="B1033" t="inlineStr">
        <is>
          <t>Gulaman - Yellow</t>
        </is>
      </c>
      <c r="C1033" t="inlineStr">
        <is>
          <t>Master Gulaman</t>
        </is>
      </c>
      <c r="D1033" t="inlineStr">
        <is>
          <t>grams</t>
        </is>
      </c>
      <c r="E1033" t="n">
        <v>160</v>
      </c>
      <c r="F1033" t="n">
        <v>2148.8</v>
      </c>
      <c r="G1033" t="n">
        <v>13.43</v>
      </c>
    </row>
    <row r="1034">
      <c r="A1034" t="n">
        <v>193</v>
      </c>
      <c r="B1034" t="inlineStr">
        <is>
          <t>Gulaman - Yellow</t>
        </is>
      </c>
      <c r="C1034" t="inlineStr">
        <is>
          <t>Mr. Gulaman</t>
        </is>
      </c>
      <c r="D1034" t="inlineStr">
        <is>
          <t>grams</t>
        </is>
      </c>
      <c r="E1034" t="n">
        <v>7</v>
      </c>
      <c r="F1034" t="n">
        <v>91</v>
      </c>
      <c r="G1034" t="n">
        <v>13</v>
      </c>
    </row>
    <row r="1035">
      <c r="A1035" t="n">
        <v>629</v>
      </c>
      <c r="B1035" t="inlineStr">
        <is>
          <t>Gummy Worm</t>
        </is>
      </c>
      <c r="C1035" t="inlineStr">
        <is>
          <t>Mialendra Online Shop</t>
        </is>
      </c>
      <c r="D1035" t="inlineStr">
        <is>
          <t>jar</t>
        </is>
      </c>
      <c r="E1035" t="n">
        <v>12</v>
      </c>
      <c r="F1035" t="n">
        <v>900</v>
      </c>
      <c r="G1035" t="n">
        <v>75</v>
      </c>
    </row>
    <row r="1036">
      <c r="A1036" t="n">
        <v>630</v>
      </c>
      <c r="B1036" t="inlineStr">
        <is>
          <t>Ham</t>
        </is>
      </c>
      <c r="C1036" t="inlineStr">
        <is>
          <t>Vida</t>
        </is>
      </c>
      <c r="D1036" t="inlineStr">
        <is>
          <t>grams</t>
        </is>
      </c>
      <c r="E1036" t="n">
        <v>5</v>
      </c>
      <c r="F1036" t="n">
        <v>285</v>
      </c>
      <c r="G1036" t="n">
        <v>57</v>
      </c>
    </row>
    <row r="1037">
      <c r="A1037" t="n">
        <v>630</v>
      </c>
      <c r="B1037" t="inlineStr">
        <is>
          <t>Ham</t>
        </is>
      </c>
      <c r="C1037" t="inlineStr">
        <is>
          <t>Mekeni</t>
        </is>
      </c>
      <c r="D1037" t="inlineStr">
        <is>
          <t>grams</t>
        </is>
      </c>
      <c r="E1037" t="n">
        <v>11</v>
      </c>
      <c r="F1037" t="n">
        <v>678.7</v>
      </c>
      <c r="G1037" t="n">
        <v>61.7</v>
      </c>
    </row>
    <row r="1038">
      <c r="A1038" t="n">
        <v>195</v>
      </c>
      <c r="B1038" t="inlineStr">
        <is>
          <t>Hand Gloves</t>
        </is>
      </c>
      <c r="C1038" t="inlineStr">
        <is>
          <t>Suy Sing - My Everyday</t>
        </is>
      </c>
      <c r="D1038" t="inlineStr">
        <is>
          <t>pieces</t>
        </is>
      </c>
      <c r="E1038" t="n">
        <v>14</v>
      </c>
      <c r="F1038" t="n">
        <v>910</v>
      </c>
      <c r="G1038" t="n">
        <v>65</v>
      </c>
    </row>
    <row r="1039">
      <c r="A1039" t="n">
        <v>195</v>
      </c>
      <c r="B1039" t="inlineStr">
        <is>
          <t>Hand Gloves</t>
        </is>
      </c>
      <c r="C1039" t="inlineStr">
        <is>
          <t>Suy Sing - My Everyday</t>
        </is>
      </c>
      <c r="D1039" t="inlineStr">
        <is>
          <t>packs</t>
        </is>
      </c>
      <c r="E1039" t="n">
        <v>23</v>
      </c>
      <c r="F1039" t="n">
        <v>1047</v>
      </c>
      <c r="G1039" t="n">
        <v>45.52173913043478</v>
      </c>
    </row>
    <row r="1040">
      <c r="A1040" t="n">
        <v>195</v>
      </c>
      <c r="B1040" t="inlineStr">
        <is>
          <t>Hand Gloves</t>
        </is>
      </c>
      <c r="C1040" t="inlineStr">
        <is>
          <t>Glow</t>
        </is>
      </c>
      <c r="D1040" t="inlineStr">
        <is>
          <t>packs</t>
        </is>
      </c>
      <c r="E1040" t="n">
        <v>2</v>
      </c>
      <c r="F1040" t="n">
        <v>90</v>
      </c>
      <c r="G1040" t="n">
        <v>45</v>
      </c>
    </row>
    <row r="1041">
      <c r="A1041" t="n">
        <v>631</v>
      </c>
      <c r="B1041" t="inlineStr">
        <is>
          <t>Hand Goves</t>
        </is>
      </c>
      <c r="C1041" t="inlineStr">
        <is>
          <t>Scotch Brite</t>
        </is>
      </c>
      <c r="D1041" t="inlineStr">
        <is>
          <t>pieces</t>
        </is>
      </c>
      <c r="E1041" t="n">
        <v>2</v>
      </c>
      <c r="F1041" t="n">
        <v>344</v>
      </c>
      <c r="G1041" t="n">
        <v>172</v>
      </c>
    </row>
    <row r="1042">
      <c r="A1042" t="n">
        <v>632</v>
      </c>
      <c r="B1042" t="inlineStr">
        <is>
          <t>Hasa</t>
        </is>
      </c>
      <c r="C1042" t="inlineStr"/>
      <c r="D1042" t="inlineStr">
        <is>
          <t>grams</t>
        </is>
      </c>
      <c r="E1042" t="n">
        <v>5</v>
      </c>
      <c r="F1042" t="n">
        <v>1000</v>
      </c>
      <c r="G1042" t="n">
        <v>200</v>
      </c>
    </row>
    <row r="1043">
      <c r="A1043" t="n">
        <v>633</v>
      </c>
      <c r="B1043" t="inlineStr">
        <is>
          <t>Hipon</t>
        </is>
      </c>
      <c r="C1043" t="inlineStr"/>
      <c r="D1043" t="inlineStr">
        <is>
          <t>grams</t>
        </is>
      </c>
      <c r="E1043" t="n">
        <v>1</v>
      </c>
      <c r="F1043" t="n">
        <v>530</v>
      </c>
      <c r="G1043" t="n">
        <v>530</v>
      </c>
    </row>
    <row r="1044">
      <c r="A1044" t="n">
        <v>634</v>
      </c>
      <c r="B1044" t="inlineStr">
        <is>
          <t>Hofan Rice Noodles</t>
        </is>
      </c>
      <c r="C1044" t="inlineStr">
        <is>
          <t>Fat &amp; Thin</t>
        </is>
      </c>
      <c r="D1044" t="inlineStr">
        <is>
          <t>grams</t>
        </is>
      </c>
      <c r="E1044" t="n">
        <v>1</v>
      </c>
      <c r="F1044" t="n">
        <v>116.5</v>
      </c>
      <c r="G1044" t="n">
        <v>116.5</v>
      </c>
    </row>
    <row r="1045">
      <c r="A1045" t="n">
        <v>635</v>
      </c>
      <c r="B1045" t="inlineStr">
        <is>
          <t>Hoisin Sauce</t>
        </is>
      </c>
      <c r="C1045" t="inlineStr">
        <is>
          <t>Lee Kum Kee</t>
        </is>
      </c>
      <c r="D1045" t="inlineStr">
        <is>
          <t>grams</t>
        </is>
      </c>
      <c r="E1045" t="n">
        <v>5</v>
      </c>
      <c r="F1045" t="n">
        <v>959</v>
      </c>
      <c r="G1045" t="n">
        <v>191.8</v>
      </c>
    </row>
    <row r="1046">
      <c r="A1046" t="n">
        <v>636</v>
      </c>
      <c r="B1046" t="inlineStr">
        <is>
          <t>Honey</t>
        </is>
      </c>
      <c r="C1046" t="inlineStr">
        <is>
          <t>Honeylicious</t>
        </is>
      </c>
      <c r="D1046" t="inlineStr">
        <is>
          <t>kilos</t>
        </is>
      </c>
      <c r="E1046" t="n">
        <v>1</v>
      </c>
      <c r="F1046" t="n">
        <v>330</v>
      </c>
      <c r="G1046" t="n">
        <v>330</v>
      </c>
    </row>
    <row r="1047">
      <c r="A1047" t="n">
        <v>637</v>
      </c>
      <c r="B1047" t="inlineStr">
        <is>
          <t>Hopia - Monggo</t>
        </is>
      </c>
      <c r="C1047" t="inlineStr">
        <is>
          <t>Tipas</t>
        </is>
      </c>
      <c r="D1047" t="inlineStr">
        <is>
          <t>grams</t>
        </is>
      </c>
      <c r="E1047" t="n">
        <v>7</v>
      </c>
      <c r="F1047" t="n">
        <v>38.5</v>
      </c>
      <c r="G1047" t="n">
        <v>5.5</v>
      </c>
    </row>
    <row r="1048">
      <c r="A1048" t="n">
        <v>638</v>
      </c>
      <c r="B1048" t="inlineStr">
        <is>
          <t>Hopia - Pandan</t>
        </is>
      </c>
      <c r="C1048" t="inlineStr">
        <is>
          <t>Tipas</t>
        </is>
      </c>
      <c r="D1048" t="inlineStr">
        <is>
          <t>grams</t>
        </is>
      </c>
      <c r="E1048" t="n">
        <v>6</v>
      </c>
      <c r="F1048" t="n">
        <v>36</v>
      </c>
      <c r="G1048" t="n">
        <v>6</v>
      </c>
    </row>
    <row r="1049">
      <c r="A1049" t="n">
        <v>639</v>
      </c>
      <c r="B1049" t="inlineStr">
        <is>
          <t>Hot Pepper Sauce</t>
        </is>
      </c>
      <c r="C1049" t="inlineStr">
        <is>
          <t>Tabasco</t>
        </is>
      </c>
      <c r="D1049" t="inlineStr">
        <is>
          <t>ml</t>
        </is>
      </c>
      <c r="E1049" t="n">
        <v>2</v>
      </c>
      <c r="F1049" t="n">
        <v>229</v>
      </c>
      <c r="G1049" t="n">
        <v>114.5</v>
      </c>
    </row>
    <row r="1050">
      <c r="A1050" t="n">
        <v>640</v>
      </c>
      <c r="B1050" t="inlineStr">
        <is>
          <t>Hot Sauce</t>
        </is>
      </c>
      <c r="C1050" t="inlineStr">
        <is>
          <t>Mother's Best</t>
        </is>
      </c>
      <c r="D1050" t="inlineStr">
        <is>
          <t>grams</t>
        </is>
      </c>
      <c r="E1050" t="n">
        <v>3</v>
      </c>
      <c r="F1050" t="n">
        <v>66</v>
      </c>
      <c r="G1050" t="n">
        <v>22</v>
      </c>
    </row>
    <row r="1051">
      <c r="A1051" t="n">
        <v>207</v>
      </c>
      <c r="B1051" t="inlineStr">
        <is>
          <t>Hotcake Mix</t>
        </is>
      </c>
      <c r="C1051" t="inlineStr">
        <is>
          <t>Maya</t>
        </is>
      </c>
      <c r="D1051" t="inlineStr">
        <is>
          <t>grams</t>
        </is>
      </c>
      <c r="E1051" t="n">
        <v>61</v>
      </c>
      <c r="F1051" t="n">
        <v>3418.8</v>
      </c>
      <c r="G1051" t="n">
        <v>56.04590163934426</v>
      </c>
    </row>
    <row r="1052">
      <c r="A1052" t="n">
        <v>641</v>
      </c>
      <c r="B1052" t="inlineStr">
        <is>
          <t>Hotdog</t>
        </is>
      </c>
      <c r="C1052" t="inlineStr">
        <is>
          <t>Purefoods</t>
        </is>
      </c>
      <c r="D1052" t="inlineStr">
        <is>
          <t>kilos</t>
        </is>
      </c>
      <c r="E1052" t="n">
        <v>6</v>
      </c>
      <c r="F1052" t="n">
        <v>1170</v>
      </c>
      <c r="G1052" t="n">
        <v>195</v>
      </c>
    </row>
    <row r="1053">
      <c r="A1053" t="n">
        <v>642</v>
      </c>
      <c r="B1053" t="inlineStr">
        <is>
          <t>Hotdog - Cheese</t>
        </is>
      </c>
      <c r="C1053" t="inlineStr">
        <is>
          <t>Virginia</t>
        </is>
      </c>
      <c r="D1053" t="inlineStr">
        <is>
          <t>grams</t>
        </is>
      </c>
      <c r="E1053" t="n">
        <v>2</v>
      </c>
      <c r="F1053" t="n">
        <v>436</v>
      </c>
      <c r="G1053" t="n">
        <v>218</v>
      </c>
    </row>
    <row r="1054">
      <c r="A1054" t="n">
        <v>642</v>
      </c>
      <c r="B1054" t="inlineStr">
        <is>
          <t>Hotdog - Cheese</t>
        </is>
      </c>
      <c r="C1054" t="inlineStr">
        <is>
          <t>New Yorkers</t>
        </is>
      </c>
      <c r="D1054" t="inlineStr">
        <is>
          <t>grams</t>
        </is>
      </c>
      <c r="E1054" t="n">
        <v>1</v>
      </c>
      <c r="F1054" t="n">
        <v>289</v>
      </c>
      <c r="G1054" t="n">
        <v>289</v>
      </c>
    </row>
    <row r="1055">
      <c r="A1055" t="n">
        <v>643</v>
      </c>
      <c r="B1055" t="inlineStr">
        <is>
          <t>Hotdog - Giant</t>
        </is>
      </c>
      <c r="C1055" t="inlineStr">
        <is>
          <t>Purefoods</t>
        </is>
      </c>
      <c r="D1055" t="inlineStr">
        <is>
          <t>grams</t>
        </is>
      </c>
      <c r="E1055" t="n">
        <v>2</v>
      </c>
      <c r="F1055" t="n">
        <v>430</v>
      </c>
      <c r="G1055" t="n">
        <v>215</v>
      </c>
    </row>
    <row r="1056">
      <c r="A1056" t="n">
        <v>644</v>
      </c>
      <c r="B1056" t="inlineStr">
        <is>
          <t>Hotdog - Jumbo</t>
        </is>
      </c>
      <c r="C1056" t="inlineStr">
        <is>
          <t>Purefoods</t>
        </is>
      </c>
      <c r="D1056" t="inlineStr">
        <is>
          <t>grams</t>
        </is>
      </c>
      <c r="E1056" t="n">
        <v>16</v>
      </c>
      <c r="F1056" t="n">
        <v>3028.5</v>
      </c>
      <c r="G1056" t="n">
        <v>189.28125</v>
      </c>
    </row>
    <row r="1057">
      <c r="A1057" t="n">
        <v>644</v>
      </c>
      <c r="B1057" t="inlineStr">
        <is>
          <t>Hotdog - Jumbo</t>
        </is>
      </c>
      <c r="C1057" t="inlineStr">
        <is>
          <t>Virginia</t>
        </is>
      </c>
      <c r="D1057" t="inlineStr">
        <is>
          <t>grams</t>
        </is>
      </c>
      <c r="E1057" t="n">
        <v>2</v>
      </c>
      <c r="F1057" t="n">
        <v>416</v>
      </c>
      <c r="G1057" t="n">
        <v>208</v>
      </c>
    </row>
    <row r="1058">
      <c r="A1058" t="n">
        <v>645</v>
      </c>
      <c r="B1058" t="inlineStr">
        <is>
          <t>Hotdog - King Size</t>
        </is>
      </c>
      <c r="C1058" t="inlineStr">
        <is>
          <t>Purefoods</t>
        </is>
      </c>
      <c r="D1058" t="inlineStr">
        <is>
          <t>grams</t>
        </is>
      </c>
      <c r="E1058" t="n">
        <v>8</v>
      </c>
      <c r="F1058" t="n">
        <v>1620</v>
      </c>
      <c r="G1058" t="n">
        <v>202.5</v>
      </c>
    </row>
    <row r="1059">
      <c r="A1059" t="n">
        <v>646</v>
      </c>
      <c r="B1059" t="inlineStr">
        <is>
          <t>Hotdog - Regular</t>
        </is>
      </c>
      <c r="C1059" t="inlineStr">
        <is>
          <t>Star</t>
        </is>
      </c>
      <c r="D1059" t="inlineStr">
        <is>
          <t>kilos</t>
        </is>
      </c>
      <c r="E1059" t="n">
        <v>1</v>
      </c>
      <c r="F1059" t="n">
        <v>192</v>
      </c>
      <c r="G1059" t="n">
        <v>192</v>
      </c>
    </row>
    <row r="1060">
      <c r="A1060" t="n">
        <v>647</v>
      </c>
      <c r="B1060" t="inlineStr">
        <is>
          <t>Hungarian Sausage</t>
        </is>
      </c>
      <c r="C1060" t="inlineStr">
        <is>
          <t>Bossing</t>
        </is>
      </c>
      <c r="D1060" t="inlineStr">
        <is>
          <t>grams</t>
        </is>
      </c>
      <c r="E1060" t="n">
        <v>1</v>
      </c>
      <c r="F1060" t="n">
        <v>165</v>
      </c>
      <c r="G1060" t="n">
        <v>165</v>
      </c>
    </row>
    <row r="1061">
      <c r="A1061" t="n">
        <v>648</v>
      </c>
      <c r="B1061" t="inlineStr">
        <is>
          <t>Ice Bag</t>
        </is>
      </c>
      <c r="C1061" t="inlineStr">
        <is>
          <t>Shure - 4 x 12</t>
        </is>
      </c>
      <c r="D1061" t="inlineStr">
        <is>
          <t>packs</t>
        </is>
      </c>
      <c r="E1061" t="n">
        <v>2</v>
      </c>
      <c r="F1061" t="n">
        <v>44</v>
      </c>
      <c r="G1061" t="n">
        <v>22</v>
      </c>
    </row>
    <row r="1062">
      <c r="A1062" t="n">
        <v>648</v>
      </c>
      <c r="B1062" t="inlineStr">
        <is>
          <t>Ice Bag</t>
        </is>
      </c>
      <c r="C1062" t="inlineStr">
        <is>
          <t>My Everyday - 4 x 12</t>
        </is>
      </c>
      <c r="D1062" t="inlineStr">
        <is>
          <t>packs</t>
        </is>
      </c>
      <c r="E1062" t="n">
        <v>7</v>
      </c>
      <c r="F1062" t="n">
        <v>175</v>
      </c>
      <c r="G1062" t="n">
        <v>25</v>
      </c>
    </row>
    <row r="1063">
      <c r="A1063" t="n">
        <v>648</v>
      </c>
      <c r="B1063" t="inlineStr">
        <is>
          <t>Ice bag</t>
        </is>
      </c>
      <c r="C1063" t="inlineStr">
        <is>
          <t>Shure</t>
        </is>
      </c>
      <c r="D1063" t="inlineStr">
        <is>
          <t>pieces</t>
        </is>
      </c>
      <c r="E1063" t="n">
        <v>6</v>
      </c>
      <c r="F1063" t="n">
        <v>150</v>
      </c>
      <c r="G1063" t="n">
        <v>25</v>
      </c>
    </row>
    <row r="1064">
      <c r="A1064" t="n">
        <v>649</v>
      </c>
      <c r="B1064" t="inlineStr">
        <is>
          <t>Iced Tea - Lemon</t>
        </is>
      </c>
      <c r="C1064" t="inlineStr">
        <is>
          <t>Tang/sachet/19grams</t>
        </is>
      </c>
      <c r="D1064" t="inlineStr">
        <is>
          <t>grams</t>
        </is>
      </c>
      <c r="E1064" t="n">
        <v>1</v>
      </c>
      <c r="F1064" t="n">
        <v>21.5</v>
      </c>
      <c r="G1064" t="n">
        <v>21.5</v>
      </c>
    </row>
    <row r="1065">
      <c r="A1065" t="n">
        <v>650</v>
      </c>
      <c r="B1065" t="inlineStr">
        <is>
          <t>Instant Noodles</t>
        </is>
      </c>
      <c r="C1065" t="inlineStr">
        <is>
          <t>Lucky Me! - Go cup Batchoy 40g</t>
        </is>
      </c>
      <c r="D1065" t="inlineStr">
        <is>
          <t>grams</t>
        </is>
      </c>
      <c r="E1065" t="n">
        <v>8</v>
      </c>
      <c r="F1065" t="n">
        <v>173.2</v>
      </c>
      <c r="G1065" t="n">
        <v>21.65</v>
      </c>
    </row>
    <row r="1066">
      <c r="A1066" t="n">
        <v>650</v>
      </c>
      <c r="B1066" t="inlineStr">
        <is>
          <t>Instant Noodles</t>
        </is>
      </c>
      <c r="C1066" t="inlineStr">
        <is>
          <t>Lucky Me! - Go cup Beef 40g</t>
        </is>
      </c>
      <c r="D1066" t="inlineStr">
        <is>
          <t>grams</t>
        </is>
      </c>
      <c r="E1066" t="n">
        <v>10</v>
      </c>
      <c r="F1066" t="n">
        <v>216.5</v>
      </c>
      <c r="G1066" t="n">
        <v>21.65</v>
      </c>
    </row>
    <row r="1067">
      <c r="A1067" t="n">
        <v>650</v>
      </c>
      <c r="B1067" t="inlineStr">
        <is>
          <t>Instant Noodles</t>
        </is>
      </c>
      <c r="C1067" t="inlineStr">
        <is>
          <t>Lucky Me! - Go cup Bulalo 40g</t>
        </is>
      </c>
      <c r="D1067" t="inlineStr">
        <is>
          <t>grams</t>
        </is>
      </c>
      <c r="E1067" t="n">
        <v>17</v>
      </c>
      <c r="F1067" t="n">
        <v>368.05</v>
      </c>
      <c r="G1067" t="n">
        <v>21.65</v>
      </c>
    </row>
    <row r="1068">
      <c r="A1068" t="n">
        <v>650</v>
      </c>
      <c r="B1068" t="inlineStr">
        <is>
          <t>Instant Noodles</t>
        </is>
      </c>
      <c r="C1068" t="inlineStr">
        <is>
          <t>Lucky Me! - Go cup Jjampong 40g</t>
        </is>
      </c>
      <c r="D1068" t="inlineStr">
        <is>
          <t>grams</t>
        </is>
      </c>
      <c r="E1068" t="n">
        <v>10</v>
      </c>
      <c r="F1068" t="n">
        <v>255.5</v>
      </c>
      <c r="G1068" t="n">
        <v>25.55</v>
      </c>
    </row>
    <row r="1069">
      <c r="A1069" t="n">
        <v>650</v>
      </c>
      <c r="B1069" t="inlineStr">
        <is>
          <t>Instant Noodles</t>
        </is>
      </c>
      <c r="C1069" t="inlineStr">
        <is>
          <t>Lucky Me! - Go cup Seafood 40g</t>
        </is>
      </c>
      <c r="D1069" t="inlineStr">
        <is>
          <t>grams</t>
        </is>
      </c>
      <c r="E1069" t="n">
        <v>5</v>
      </c>
      <c r="F1069" t="n">
        <v>108.25</v>
      </c>
      <c r="G1069" t="n">
        <v>21.65</v>
      </c>
    </row>
    <row r="1070">
      <c r="A1070" t="n">
        <v>650</v>
      </c>
      <c r="B1070" t="inlineStr">
        <is>
          <t>Instant Noodles</t>
        </is>
      </c>
      <c r="C1070" t="inlineStr">
        <is>
          <t>Lucky Me! - Go cup Sotanghon 40g</t>
        </is>
      </c>
      <c r="D1070" t="inlineStr">
        <is>
          <t>grams</t>
        </is>
      </c>
      <c r="E1070" t="n">
        <v>7</v>
      </c>
      <c r="F1070" t="n">
        <v>178.85</v>
      </c>
      <c r="G1070" t="n">
        <v>25.55</v>
      </c>
    </row>
    <row r="1071">
      <c r="A1071" t="n">
        <v>650</v>
      </c>
      <c r="B1071" t="inlineStr">
        <is>
          <t>Instant Noodles</t>
        </is>
      </c>
      <c r="C1071" t="inlineStr">
        <is>
          <t>Lucky Me! - Go cup Spicy Batchoy 40g</t>
        </is>
      </c>
      <c r="D1071" t="inlineStr">
        <is>
          <t>grams</t>
        </is>
      </c>
      <c r="E1071" t="n">
        <v>10</v>
      </c>
      <c r="F1071" t="n">
        <v>216.5</v>
      </c>
      <c r="G1071" t="n">
        <v>21.65</v>
      </c>
    </row>
    <row r="1072">
      <c r="A1072" t="n">
        <v>650</v>
      </c>
      <c r="B1072" t="inlineStr">
        <is>
          <t>Instant Noodles</t>
        </is>
      </c>
      <c r="C1072" t="inlineStr">
        <is>
          <t>Lucky Me! - Chicken Sotanghon</t>
        </is>
      </c>
      <c r="D1072" t="inlineStr">
        <is>
          <t>grams</t>
        </is>
      </c>
      <c r="E1072" t="n">
        <v>63</v>
      </c>
      <c r="F1072" t="n">
        <v>1336.86</v>
      </c>
      <c r="G1072" t="n">
        <v>21.22</v>
      </c>
    </row>
    <row r="1073">
      <c r="A1073" t="n">
        <v>650</v>
      </c>
      <c r="B1073" t="inlineStr">
        <is>
          <t>Instant Noodles</t>
        </is>
      </c>
      <c r="C1073" t="inlineStr">
        <is>
          <t>Nissin - Cup Noodles Batchoy</t>
        </is>
      </c>
      <c r="D1073" t="inlineStr">
        <is>
          <t>grams</t>
        </is>
      </c>
      <c r="E1073" t="n">
        <v>10</v>
      </c>
      <c r="F1073" t="n">
        <v>326</v>
      </c>
      <c r="G1073" t="n">
        <v>32.6</v>
      </c>
    </row>
    <row r="1074">
      <c r="A1074" t="n">
        <v>650</v>
      </c>
      <c r="B1074" t="inlineStr">
        <is>
          <t>Instant Noodles</t>
        </is>
      </c>
      <c r="C1074" t="inlineStr">
        <is>
          <t>Nissin - Cup Noodles Creamy Seafood</t>
        </is>
      </c>
      <c r="D1074" t="inlineStr">
        <is>
          <t>grams</t>
        </is>
      </c>
      <c r="E1074" t="n">
        <v>7</v>
      </c>
      <c r="F1074" t="n">
        <v>150.5</v>
      </c>
      <c r="G1074" t="n">
        <v>21.5</v>
      </c>
    </row>
    <row r="1075">
      <c r="A1075" t="n">
        <v>650</v>
      </c>
      <c r="B1075" t="inlineStr">
        <is>
          <t>Instant Noodles</t>
        </is>
      </c>
      <c r="C1075" t="inlineStr">
        <is>
          <t>Lucky Me! - Go Cup Seafood</t>
        </is>
      </c>
      <c r="D1075" t="inlineStr">
        <is>
          <t>grams</t>
        </is>
      </c>
      <c r="E1075" t="n">
        <v>32</v>
      </c>
      <c r="F1075" t="n">
        <v>672.96</v>
      </c>
      <c r="G1075" t="n">
        <v>21.03</v>
      </c>
    </row>
    <row r="1076">
      <c r="A1076" t="n">
        <v>650</v>
      </c>
      <c r="B1076" t="inlineStr">
        <is>
          <t>Instant Noodles</t>
        </is>
      </c>
      <c r="C1076" t="inlineStr">
        <is>
          <t>Lucky Me! - Go Cup Spicy Bulalo</t>
        </is>
      </c>
      <c r="D1076" t="inlineStr">
        <is>
          <t>grams</t>
        </is>
      </c>
      <c r="E1076" t="n">
        <v>37</v>
      </c>
      <c r="F1076" t="n">
        <v>785.14</v>
      </c>
      <c r="G1076" t="n">
        <v>21.22</v>
      </c>
    </row>
    <row r="1077">
      <c r="A1077" t="n">
        <v>650</v>
      </c>
      <c r="B1077" t="inlineStr">
        <is>
          <t>Instant Noodles</t>
        </is>
      </c>
      <c r="C1077" t="inlineStr">
        <is>
          <t>Lucky Me! - Jjamppong</t>
        </is>
      </c>
      <c r="D1077" t="inlineStr">
        <is>
          <t>grams</t>
        </is>
      </c>
      <c r="E1077" t="n">
        <v>36</v>
      </c>
      <c r="F1077" t="n">
        <v>910.8000000000001</v>
      </c>
      <c r="G1077" t="n">
        <v>25.3</v>
      </c>
    </row>
    <row r="1078">
      <c r="A1078" t="n">
        <v>651</v>
      </c>
      <c r="B1078" t="inlineStr">
        <is>
          <t>Instant Oast</t>
        </is>
      </c>
      <c r="C1078" t="inlineStr">
        <is>
          <t>quaker/pack/500grams</t>
        </is>
      </c>
      <c r="D1078" t="inlineStr">
        <is>
          <t>grams</t>
        </is>
      </c>
      <c r="E1078" t="n">
        <v>1</v>
      </c>
      <c r="F1078" t="n">
        <v>88.09999999999999</v>
      </c>
      <c r="G1078" t="n">
        <v>88.09999999999999</v>
      </c>
    </row>
    <row r="1079">
      <c r="A1079" t="n">
        <v>652</v>
      </c>
      <c r="B1079" t="inlineStr">
        <is>
          <t>Instant Oatmeal</t>
        </is>
      </c>
      <c r="C1079" t="inlineStr">
        <is>
          <t>Quaker</t>
        </is>
      </c>
      <c r="D1079" t="inlineStr">
        <is>
          <t>grams</t>
        </is>
      </c>
      <c r="E1079" t="n">
        <v>10</v>
      </c>
      <c r="F1079" t="n">
        <v>108.3</v>
      </c>
      <c r="G1079" t="n">
        <v>10.83</v>
      </c>
    </row>
    <row r="1080">
      <c r="A1080" t="n">
        <v>652</v>
      </c>
      <c r="B1080" t="inlineStr">
        <is>
          <t>Instant Oatmeal</t>
        </is>
      </c>
      <c r="C1080" t="inlineStr">
        <is>
          <t>Quaker - 6x33grams</t>
        </is>
      </c>
      <c r="D1080" t="inlineStr">
        <is>
          <t>pieces</t>
        </is>
      </c>
      <c r="E1080" t="n">
        <v>4</v>
      </c>
      <c r="F1080" t="n">
        <v>259.5</v>
      </c>
      <c r="G1080" t="n">
        <v>64.875</v>
      </c>
    </row>
    <row r="1081">
      <c r="A1081" t="n">
        <v>653</v>
      </c>
      <c r="B1081" t="inlineStr">
        <is>
          <t>Instant Oatmeal - Chocolate</t>
        </is>
      </c>
      <c r="C1081" t="inlineStr">
        <is>
          <t>Quaker</t>
        </is>
      </c>
      <c r="D1081" t="inlineStr">
        <is>
          <t>grams</t>
        </is>
      </c>
      <c r="E1081" t="n">
        <v>11</v>
      </c>
      <c r="F1081" t="n">
        <v>119.13</v>
      </c>
      <c r="G1081" t="n">
        <v>10.83</v>
      </c>
    </row>
    <row r="1082">
      <c r="A1082" t="n">
        <v>654</v>
      </c>
      <c r="B1082" t="inlineStr">
        <is>
          <t>Italian Seasoning</t>
        </is>
      </c>
      <c r="C1082" t="inlineStr">
        <is>
          <t>Mc Cormick</t>
        </is>
      </c>
      <c r="D1082" t="inlineStr">
        <is>
          <t>grams</t>
        </is>
      </c>
      <c r="E1082" t="n">
        <v>1</v>
      </c>
      <c r="F1082" t="n">
        <v>71</v>
      </c>
      <c r="G1082" t="n">
        <v>71</v>
      </c>
    </row>
    <row r="1083">
      <c r="A1083" t="n">
        <v>654</v>
      </c>
      <c r="B1083" t="inlineStr">
        <is>
          <t>Italian Seasoning</t>
        </is>
      </c>
      <c r="C1083" t="inlineStr">
        <is>
          <t>McCormick</t>
        </is>
      </c>
      <c r="D1083" t="inlineStr">
        <is>
          <t>grams</t>
        </is>
      </c>
      <c r="E1083" t="n">
        <v>6</v>
      </c>
      <c r="F1083" t="n">
        <v>355.5</v>
      </c>
      <c r="G1083" t="n">
        <v>59.25</v>
      </c>
    </row>
    <row r="1084">
      <c r="A1084" t="n">
        <v>211</v>
      </c>
      <c r="B1084" t="inlineStr">
        <is>
          <t>Italian Spaghetti Sauce</t>
        </is>
      </c>
      <c r="C1084" t="inlineStr">
        <is>
          <t>Del Monte</t>
        </is>
      </c>
      <c r="D1084" t="inlineStr">
        <is>
          <t>grams</t>
        </is>
      </c>
      <c r="E1084" t="n">
        <v>5</v>
      </c>
      <c r="F1084" t="n">
        <v>490</v>
      </c>
      <c r="G1084" t="n">
        <v>98</v>
      </c>
    </row>
    <row r="1085">
      <c r="A1085" t="n">
        <v>655</v>
      </c>
      <c r="B1085" t="inlineStr">
        <is>
          <t>JAPCHAE NOODLES</t>
        </is>
      </c>
      <c r="C1085" t="inlineStr">
        <is>
          <t>PACK/1000</t>
        </is>
      </c>
      <c r="D1085" t="inlineStr">
        <is>
          <t>packs</t>
        </is>
      </c>
      <c r="E1085" t="n">
        <v>2</v>
      </c>
      <c r="F1085" t="n">
        <v>570</v>
      </c>
      <c r="G1085" t="n">
        <v>285</v>
      </c>
    </row>
    <row r="1086">
      <c r="A1086" t="n">
        <v>220</v>
      </c>
      <c r="B1086" t="inlineStr">
        <is>
          <t>Jasmine Rice</t>
        </is>
      </c>
      <c r="C1086" t="inlineStr">
        <is>
          <t>Golden Grains/pack/5kilos</t>
        </is>
      </c>
      <c r="D1086" t="inlineStr">
        <is>
          <t>kilos</t>
        </is>
      </c>
      <c r="E1086" t="n">
        <v>3</v>
      </c>
      <c r="F1086" t="n">
        <v>240</v>
      </c>
      <c r="G1086" t="n">
        <v>80</v>
      </c>
    </row>
    <row r="1087">
      <c r="A1087" t="n">
        <v>656</v>
      </c>
      <c r="B1087" t="inlineStr">
        <is>
          <t>Kalabasa</t>
        </is>
      </c>
      <c r="C1087" t="inlineStr"/>
      <c r="D1087" t="inlineStr">
        <is>
          <t>kilos</t>
        </is>
      </c>
      <c r="E1087" t="n">
        <v>7</v>
      </c>
      <c r="F1087" t="n">
        <v>385</v>
      </c>
      <c r="G1087" t="n">
        <v>55</v>
      </c>
    </row>
    <row r="1088">
      <c r="A1088" t="n">
        <v>656</v>
      </c>
      <c r="B1088" t="inlineStr">
        <is>
          <t>Kalabasa</t>
        </is>
      </c>
      <c r="C1088" t="inlineStr"/>
      <c r="D1088" t="inlineStr">
        <is>
          <t>grams</t>
        </is>
      </c>
      <c r="E1088" t="n">
        <v>29</v>
      </c>
      <c r="F1088" t="n">
        <v>580</v>
      </c>
      <c r="G1088" t="n">
        <v>20</v>
      </c>
    </row>
    <row r="1089">
      <c r="A1089" t="n">
        <v>657</v>
      </c>
      <c r="B1089" t="inlineStr">
        <is>
          <t>Kamatis</t>
        </is>
      </c>
      <c r="C1089" t="inlineStr"/>
      <c r="D1089" t="inlineStr">
        <is>
          <t>grams</t>
        </is>
      </c>
      <c r="E1089" t="n">
        <v>1</v>
      </c>
      <c r="F1089" t="n">
        <v>55</v>
      </c>
      <c r="G1089" t="n">
        <v>55</v>
      </c>
    </row>
    <row r="1090">
      <c r="A1090" t="n">
        <v>657</v>
      </c>
      <c r="B1090" t="inlineStr">
        <is>
          <t>Kamatis</t>
        </is>
      </c>
      <c r="C1090" t="inlineStr">
        <is>
          <t>Hernan Logmao</t>
        </is>
      </c>
      <c r="D1090" t="inlineStr">
        <is>
          <t>grams</t>
        </is>
      </c>
      <c r="E1090" t="n">
        <v>1</v>
      </c>
      <c r="F1090" t="n">
        <v>175</v>
      </c>
      <c r="G1090" t="n">
        <v>175</v>
      </c>
    </row>
    <row r="1091">
      <c r="A1091" t="n">
        <v>658</v>
      </c>
      <c r="B1091" t="inlineStr">
        <is>
          <t>Kamote</t>
        </is>
      </c>
      <c r="C1091" t="inlineStr"/>
      <c r="D1091" t="inlineStr">
        <is>
          <t>grams</t>
        </is>
      </c>
      <c r="E1091" t="n">
        <v>1</v>
      </c>
      <c r="F1091" t="n">
        <v>35</v>
      </c>
      <c r="G1091" t="n">
        <v>35</v>
      </c>
    </row>
    <row r="1092">
      <c r="A1092" t="n">
        <v>659</v>
      </c>
      <c r="B1092" t="inlineStr">
        <is>
          <t>Kangkong</t>
        </is>
      </c>
      <c r="C1092" t="inlineStr"/>
      <c r="D1092" t="inlineStr">
        <is>
          <t>bundle</t>
        </is>
      </c>
      <c r="E1092" t="n">
        <v>1</v>
      </c>
      <c r="F1092" t="n">
        <v>10</v>
      </c>
      <c r="G1092" t="n">
        <v>10</v>
      </c>
    </row>
    <row r="1093">
      <c r="A1093" t="n">
        <v>659</v>
      </c>
      <c r="B1093" t="inlineStr">
        <is>
          <t>Kangkong</t>
        </is>
      </c>
      <c r="C1093" t="inlineStr">
        <is>
          <t>Fresh</t>
        </is>
      </c>
      <c r="D1093" t="inlineStr">
        <is>
          <t>grams</t>
        </is>
      </c>
      <c r="E1093" t="n">
        <v>2</v>
      </c>
      <c r="F1093" t="n">
        <v>150</v>
      </c>
      <c r="G1093" t="n">
        <v>75</v>
      </c>
    </row>
    <row r="1094">
      <c r="A1094" t="n">
        <v>659</v>
      </c>
      <c r="B1094" t="inlineStr">
        <is>
          <t>Kangkong</t>
        </is>
      </c>
      <c r="C1094" t="inlineStr">
        <is>
          <t>Fresh</t>
        </is>
      </c>
      <c r="D1094" t="inlineStr">
        <is>
          <t>bundle</t>
        </is>
      </c>
      <c r="E1094" t="n">
        <v>2</v>
      </c>
      <c r="F1094" t="n">
        <v>190</v>
      </c>
      <c r="G1094" t="n">
        <v>95</v>
      </c>
    </row>
    <row r="1095">
      <c r="A1095" t="n">
        <v>660</v>
      </c>
      <c r="B1095" t="inlineStr">
        <is>
          <t>Kaong Red</t>
        </is>
      </c>
      <c r="C1095" t="inlineStr">
        <is>
          <t>Florence</t>
        </is>
      </c>
      <c r="D1095" t="inlineStr">
        <is>
          <t>grams</t>
        </is>
      </c>
      <c r="E1095" t="n">
        <v>2</v>
      </c>
      <c r="F1095" t="n">
        <v>168.2</v>
      </c>
      <c r="G1095" t="n">
        <v>84.09999999999999</v>
      </c>
    </row>
    <row r="1096">
      <c r="A1096" t="n">
        <v>661</v>
      </c>
      <c r="B1096" t="inlineStr">
        <is>
          <t>Kapeng Barako - Ground</t>
        </is>
      </c>
      <c r="C1096" t="inlineStr">
        <is>
          <t>Amparos</t>
        </is>
      </c>
      <c r="D1096" t="inlineStr">
        <is>
          <t>grams</t>
        </is>
      </c>
      <c r="E1096" t="n">
        <v>2</v>
      </c>
      <c r="F1096" t="n">
        <v>680</v>
      </c>
      <c r="G1096" t="n">
        <v>340</v>
      </c>
    </row>
    <row r="1097">
      <c r="A1097" t="n">
        <v>223</v>
      </c>
      <c r="B1097" t="inlineStr">
        <is>
          <t>Kernel Corn Whole</t>
        </is>
      </c>
      <c r="C1097" t="inlineStr">
        <is>
          <t>Jolly</t>
        </is>
      </c>
      <c r="D1097" t="inlineStr">
        <is>
          <t>grams</t>
        </is>
      </c>
      <c r="E1097" t="n">
        <v>12</v>
      </c>
      <c r="F1097" t="n">
        <v>507.6</v>
      </c>
      <c r="G1097" t="n">
        <v>42.3</v>
      </c>
    </row>
    <row r="1098">
      <c r="A1098" t="n">
        <v>223</v>
      </c>
      <c r="B1098" t="inlineStr">
        <is>
          <t>Kernel Corn Whole</t>
        </is>
      </c>
      <c r="C1098" t="inlineStr">
        <is>
          <t>Jolly/can/425grams/250gramsdrained weight</t>
        </is>
      </c>
      <c r="D1098" t="inlineStr">
        <is>
          <t>drained weight grams</t>
        </is>
      </c>
      <c r="E1098" t="n">
        <v>10</v>
      </c>
      <c r="F1098" t="n">
        <v>402</v>
      </c>
      <c r="G1098" t="n">
        <v>40.2</v>
      </c>
    </row>
    <row r="1099">
      <c r="A1099" t="n">
        <v>223</v>
      </c>
      <c r="B1099" t="inlineStr">
        <is>
          <t>Kernel Corn Whole</t>
        </is>
      </c>
      <c r="C1099" t="inlineStr">
        <is>
          <t>DEL MONTE</t>
        </is>
      </c>
      <c r="D1099" t="inlineStr">
        <is>
          <t>grams</t>
        </is>
      </c>
      <c r="E1099" t="n">
        <v>26</v>
      </c>
      <c r="F1099" t="n">
        <v>1461.2</v>
      </c>
      <c r="G1099" t="n">
        <v>56.2</v>
      </c>
    </row>
    <row r="1100">
      <c r="A1100" t="n">
        <v>223</v>
      </c>
      <c r="B1100" t="inlineStr">
        <is>
          <t>Kernel Corn Whole</t>
        </is>
      </c>
      <c r="C1100" t="inlineStr">
        <is>
          <t>HAPPY FIESTA</t>
        </is>
      </c>
      <c r="D1100" t="inlineStr">
        <is>
          <t>grams</t>
        </is>
      </c>
      <c r="E1100" t="n">
        <v>3</v>
      </c>
      <c r="F1100" t="n">
        <v>150</v>
      </c>
      <c r="G1100" t="n">
        <v>50</v>
      </c>
    </row>
    <row r="1101">
      <c r="A1101" t="n">
        <v>223</v>
      </c>
      <c r="B1101" t="inlineStr">
        <is>
          <t>Kernel Corn Whole</t>
        </is>
      </c>
      <c r="C1101" t="inlineStr">
        <is>
          <t>Jolly/can/425grams/250gramsdrained weight</t>
        </is>
      </c>
      <c r="D1101" t="inlineStr">
        <is>
          <t>grams</t>
        </is>
      </c>
      <c r="E1101" t="n">
        <v>1</v>
      </c>
      <c r="F1101" t="n">
        <v>42.5</v>
      </c>
      <c r="G1101" t="n">
        <v>42.5</v>
      </c>
    </row>
    <row r="1102">
      <c r="A1102" t="n">
        <v>662</v>
      </c>
      <c r="B1102" t="inlineStr">
        <is>
          <t>Ketchup</t>
        </is>
      </c>
      <c r="C1102" t="inlineStr">
        <is>
          <t>MAFRAN</t>
        </is>
      </c>
      <c r="D1102" t="inlineStr">
        <is>
          <t>gal</t>
        </is>
      </c>
      <c r="E1102" t="n">
        <v>10</v>
      </c>
      <c r="F1102" t="n">
        <v>1067.5</v>
      </c>
      <c r="G1102" t="n">
        <v>106.75</v>
      </c>
    </row>
    <row r="1103">
      <c r="A1103" t="n">
        <v>662</v>
      </c>
      <c r="B1103" t="inlineStr">
        <is>
          <t>Ketchup</t>
        </is>
      </c>
      <c r="C1103" t="inlineStr">
        <is>
          <t>Ticman</t>
        </is>
      </c>
      <c r="D1103" t="inlineStr">
        <is>
          <t>gal</t>
        </is>
      </c>
      <c r="E1103" t="n">
        <v>6</v>
      </c>
      <c r="F1103" t="n">
        <v>456</v>
      </c>
      <c r="G1103" t="n">
        <v>76</v>
      </c>
    </row>
    <row r="1104">
      <c r="A1104" t="n">
        <v>224</v>
      </c>
      <c r="B1104" t="inlineStr">
        <is>
          <t>Kikiam</t>
        </is>
      </c>
      <c r="C1104" t="inlineStr">
        <is>
          <t>ORION</t>
        </is>
      </c>
      <c r="D1104" t="inlineStr">
        <is>
          <t>grams</t>
        </is>
      </c>
      <c r="E1104" t="n">
        <v>3</v>
      </c>
      <c r="F1104" t="n">
        <v>360</v>
      </c>
      <c r="G1104" t="n">
        <v>120</v>
      </c>
    </row>
    <row r="1105">
      <c r="A1105" t="n">
        <v>224</v>
      </c>
      <c r="B1105" t="inlineStr">
        <is>
          <t>Kikiam</t>
        </is>
      </c>
      <c r="C1105" t="inlineStr">
        <is>
          <t>Daisuke</t>
        </is>
      </c>
      <c r="D1105" t="inlineStr">
        <is>
          <t>grams</t>
        </is>
      </c>
      <c r="E1105" t="n">
        <v>2</v>
      </c>
      <c r="F1105" t="n">
        <v>110</v>
      </c>
      <c r="G1105" t="n">
        <v>55</v>
      </c>
    </row>
    <row r="1106">
      <c r="A1106" t="n">
        <v>224</v>
      </c>
      <c r="B1106" t="inlineStr">
        <is>
          <t>Kikiam</t>
        </is>
      </c>
      <c r="C1106" t="inlineStr">
        <is>
          <t>Holiday</t>
        </is>
      </c>
      <c r="D1106" t="inlineStr">
        <is>
          <t>grams</t>
        </is>
      </c>
      <c r="E1106" t="n">
        <v>9</v>
      </c>
      <c r="F1106" t="n">
        <v>507.15</v>
      </c>
      <c r="G1106" t="n">
        <v>56.35</v>
      </c>
    </row>
    <row r="1107">
      <c r="A1107" t="n">
        <v>663</v>
      </c>
      <c r="B1107" t="inlineStr">
        <is>
          <t>Kutob</t>
        </is>
      </c>
      <c r="C1107" t="inlineStr"/>
      <c r="D1107" t="inlineStr">
        <is>
          <t>grams</t>
        </is>
      </c>
      <c r="E1107" t="n">
        <v>5</v>
      </c>
      <c r="F1107" t="n">
        <v>1000</v>
      </c>
      <c r="G1107" t="n">
        <v>200</v>
      </c>
    </row>
    <row r="1108">
      <c r="A1108" t="n">
        <v>664</v>
      </c>
      <c r="B1108" t="inlineStr">
        <is>
          <t>Labanos</t>
        </is>
      </c>
      <c r="C1108" t="inlineStr"/>
      <c r="D1108" t="inlineStr">
        <is>
          <t>grams</t>
        </is>
      </c>
      <c r="E1108" t="n">
        <v>1</v>
      </c>
      <c r="F1108" t="n">
        <v>70</v>
      </c>
      <c r="G1108" t="n">
        <v>70</v>
      </c>
    </row>
    <row r="1109">
      <c r="A1109" t="n">
        <v>664</v>
      </c>
      <c r="B1109" t="inlineStr">
        <is>
          <t>Labanos</t>
        </is>
      </c>
      <c r="C1109" t="inlineStr">
        <is>
          <t>Fresh</t>
        </is>
      </c>
      <c r="D1109" t="inlineStr">
        <is>
          <t>grams</t>
        </is>
      </c>
      <c r="E1109" t="n">
        <v>2</v>
      </c>
      <c r="F1109" t="n">
        <v>92</v>
      </c>
      <c r="G1109" t="n">
        <v>46</v>
      </c>
    </row>
    <row r="1110">
      <c r="A1110" t="n">
        <v>665</v>
      </c>
      <c r="B1110" t="inlineStr">
        <is>
          <t>Lakatan</t>
        </is>
      </c>
      <c r="C1110" t="inlineStr"/>
      <c r="D1110" t="inlineStr">
        <is>
          <t>kilos</t>
        </is>
      </c>
      <c r="E1110" t="n">
        <v>2</v>
      </c>
      <c r="F1110" t="n">
        <v>190</v>
      </c>
      <c r="G1110" t="n">
        <v>95</v>
      </c>
    </row>
    <row r="1111">
      <c r="A1111" t="n">
        <v>665</v>
      </c>
      <c r="B1111" t="inlineStr">
        <is>
          <t>Lakatan</t>
        </is>
      </c>
      <c r="C1111" t="inlineStr"/>
      <c r="D1111" t="inlineStr">
        <is>
          <t>grams</t>
        </is>
      </c>
      <c r="E1111" t="n">
        <v>12</v>
      </c>
      <c r="F1111" t="n">
        <v>720</v>
      </c>
      <c r="G1111" t="n">
        <v>60</v>
      </c>
    </row>
    <row r="1112">
      <c r="A1112" t="n">
        <v>666</v>
      </c>
      <c r="B1112" t="inlineStr">
        <is>
          <t>Langka</t>
        </is>
      </c>
      <c r="C1112" t="inlineStr">
        <is>
          <t>Tita Elys/bottle/340grams</t>
        </is>
      </c>
      <c r="D1112" t="inlineStr">
        <is>
          <t>grams</t>
        </is>
      </c>
      <c r="E1112" t="n">
        <v>1</v>
      </c>
      <c r="F1112" t="n">
        <v>130</v>
      </c>
      <c r="G1112" t="n">
        <v>130</v>
      </c>
    </row>
    <row r="1113">
      <c r="A1113" t="n">
        <v>230</v>
      </c>
      <c r="B1113" t="inlineStr">
        <is>
          <t>Lard</t>
        </is>
      </c>
      <c r="C1113" t="inlineStr">
        <is>
          <t>Approved/6800grams</t>
        </is>
      </c>
      <c r="D1113" t="inlineStr">
        <is>
          <t>grams</t>
        </is>
      </c>
      <c r="E1113" t="n">
        <v>1</v>
      </c>
      <c r="F1113" t="n">
        <v>860</v>
      </c>
      <c r="G1113" t="n">
        <v>860</v>
      </c>
    </row>
    <row r="1114">
      <c r="A1114" t="n">
        <v>667</v>
      </c>
      <c r="B1114" t="inlineStr">
        <is>
          <t>Lasagna</t>
        </is>
      </c>
      <c r="C1114" t="inlineStr">
        <is>
          <t>Ideal</t>
        </is>
      </c>
      <c r="D1114" t="inlineStr">
        <is>
          <t>grams</t>
        </is>
      </c>
      <c r="E1114" t="n">
        <v>3</v>
      </c>
      <c r="F1114" t="n">
        <v>395</v>
      </c>
      <c r="G1114" t="n">
        <v>131.6666666666667</v>
      </c>
    </row>
    <row r="1115">
      <c r="A1115" t="n">
        <v>667</v>
      </c>
      <c r="B1115" t="inlineStr">
        <is>
          <t>Lasagna</t>
        </is>
      </c>
      <c r="C1115" t="inlineStr">
        <is>
          <t>Dona Elena</t>
        </is>
      </c>
      <c r="D1115" t="inlineStr">
        <is>
          <t>grams</t>
        </is>
      </c>
      <c r="E1115" t="n">
        <v>3</v>
      </c>
      <c r="F1115" t="n">
        <v>404.5</v>
      </c>
      <c r="G1115" t="n">
        <v>134.8333333333333</v>
      </c>
    </row>
    <row r="1116">
      <c r="A1116" t="n">
        <v>232</v>
      </c>
      <c r="B1116" t="inlineStr">
        <is>
          <t>Laurel Leaves</t>
        </is>
      </c>
      <c r="C1116" t="inlineStr">
        <is>
          <t>Lipa Spices</t>
        </is>
      </c>
      <c r="D1116" t="inlineStr">
        <is>
          <t>kilos</t>
        </is>
      </c>
      <c r="E1116" t="n">
        <v>0</v>
      </c>
      <c r="F1116" t="n">
        <v>0</v>
      </c>
      <c r="G1116" t="n">
        <v>0</v>
      </c>
    </row>
    <row r="1117">
      <c r="A1117" t="n">
        <v>232</v>
      </c>
      <c r="B1117" t="inlineStr">
        <is>
          <t>Laurel Leaves</t>
        </is>
      </c>
      <c r="C1117" t="inlineStr">
        <is>
          <t>Amparo's</t>
        </is>
      </c>
      <c r="D1117" t="inlineStr">
        <is>
          <t>grams</t>
        </is>
      </c>
      <c r="E1117" t="n">
        <v>1</v>
      </c>
      <c r="F1117" t="n">
        <v>125</v>
      </c>
      <c r="G1117" t="n">
        <v>125</v>
      </c>
    </row>
    <row r="1118">
      <c r="A1118" t="n">
        <v>232</v>
      </c>
      <c r="B1118" t="inlineStr">
        <is>
          <t>Laurel Leaves</t>
        </is>
      </c>
      <c r="C1118" t="inlineStr">
        <is>
          <t>Lipa Spices/pack/1000grams</t>
        </is>
      </c>
      <c r="D1118" t="inlineStr">
        <is>
          <t>grams</t>
        </is>
      </c>
      <c r="E1118" t="n">
        <v>1</v>
      </c>
      <c r="F1118" t="n">
        <v>98</v>
      </c>
      <c r="G1118" t="n">
        <v>98</v>
      </c>
    </row>
    <row r="1119">
      <c r="A1119" t="n">
        <v>233</v>
      </c>
      <c r="B1119" t="inlineStr">
        <is>
          <t>Lechon Sauce</t>
        </is>
      </c>
      <c r="C1119" t="inlineStr">
        <is>
          <t>Mang Tomas/bottle/325grams</t>
        </is>
      </c>
      <c r="D1119" t="inlineStr">
        <is>
          <t>grams</t>
        </is>
      </c>
      <c r="E1119" t="n">
        <v>1</v>
      </c>
      <c r="F1119" t="n">
        <v>35.1</v>
      </c>
      <c r="G1119" t="n">
        <v>35.1</v>
      </c>
    </row>
    <row r="1120">
      <c r="A1120" t="n">
        <v>233</v>
      </c>
      <c r="B1120" t="inlineStr">
        <is>
          <t>Lechon Sauce</t>
        </is>
      </c>
      <c r="C1120" t="inlineStr">
        <is>
          <t>Mang Tomas</t>
        </is>
      </c>
      <c r="D1120" t="inlineStr">
        <is>
          <t>kilos</t>
        </is>
      </c>
      <c r="E1120" t="n">
        <v>5</v>
      </c>
      <c r="F1120" t="n">
        <v>386.5</v>
      </c>
      <c r="G1120" t="n">
        <v>77.3</v>
      </c>
    </row>
    <row r="1121">
      <c r="A1121" t="n">
        <v>233</v>
      </c>
      <c r="B1121" t="inlineStr">
        <is>
          <t>Lechon Sauce</t>
        </is>
      </c>
      <c r="C1121" t="inlineStr">
        <is>
          <t>Lasap</t>
        </is>
      </c>
      <c r="D1121" t="inlineStr">
        <is>
          <t>gal</t>
        </is>
      </c>
      <c r="E1121" t="n">
        <v>4</v>
      </c>
      <c r="F1121" t="n">
        <v>1004</v>
      </c>
      <c r="G1121" t="n">
        <v>251</v>
      </c>
    </row>
    <row r="1122">
      <c r="A1122" t="n">
        <v>233</v>
      </c>
      <c r="B1122" t="inlineStr">
        <is>
          <t>Lechon Sauce</t>
        </is>
      </c>
      <c r="C1122" t="inlineStr">
        <is>
          <t>Mang Tomas</t>
        </is>
      </c>
      <c r="D1122" t="inlineStr">
        <is>
          <t>grams</t>
        </is>
      </c>
      <c r="E1122" t="n">
        <v>4</v>
      </c>
      <c r="F1122" t="n">
        <v>145</v>
      </c>
      <c r="G1122" t="n">
        <v>36.25</v>
      </c>
    </row>
    <row r="1123">
      <c r="A1123" t="n">
        <v>233</v>
      </c>
      <c r="B1123" t="inlineStr">
        <is>
          <t>Lechon Sauce</t>
        </is>
      </c>
      <c r="C1123" t="inlineStr">
        <is>
          <t>Mang Tomas</t>
        </is>
      </c>
      <c r="D1123" t="inlineStr">
        <is>
          <t>liters</t>
        </is>
      </c>
      <c r="E1123" t="n">
        <v>1</v>
      </c>
      <c r="F1123" t="n">
        <v>48.7</v>
      </c>
      <c r="G1123" t="n">
        <v>48.7</v>
      </c>
    </row>
    <row r="1124">
      <c r="A1124" t="n">
        <v>668</v>
      </c>
      <c r="B1124" t="inlineStr">
        <is>
          <t>Lemon</t>
        </is>
      </c>
      <c r="C1124" t="inlineStr"/>
      <c r="D1124" t="inlineStr">
        <is>
          <t>pieces</t>
        </is>
      </c>
      <c r="E1124" t="n">
        <v>5</v>
      </c>
      <c r="F1124" t="n">
        <v>128</v>
      </c>
      <c r="G1124" t="n">
        <v>25.6</v>
      </c>
    </row>
    <row r="1125">
      <c r="A1125" t="n">
        <v>668</v>
      </c>
      <c r="B1125" t="inlineStr">
        <is>
          <t>Lemon</t>
        </is>
      </c>
      <c r="C1125" t="inlineStr">
        <is>
          <t>TOPPINGS</t>
        </is>
      </c>
      <c r="D1125" t="inlineStr">
        <is>
          <t>grams</t>
        </is>
      </c>
      <c r="E1125" t="n">
        <v>2</v>
      </c>
      <c r="F1125" t="n">
        <v>50</v>
      </c>
      <c r="G1125" t="n">
        <v>25</v>
      </c>
    </row>
    <row r="1126">
      <c r="A1126" t="n">
        <v>669</v>
      </c>
      <c r="B1126" t="inlineStr">
        <is>
          <t>Lemonade - Blue</t>
        </is>
      </c>
      <c r="C1126" t="inlineStr">
        <is>
          <t>Nestle</t>
        </is>
      </c>
      <c r="D1126" t="inlineStr">
        <is>
          <t>grams</t>
        </is>
      </c>
      <c r="E1126" t="n">
        <v>12</v>
      </c>
      <c r="F1126" t="n">
        <v>2160</v>
      </c>
      <c r="G1126" t="n">
        <v>180</v>
      </c>
    </row>
    <row r="1127">
      <c r="A1127" t="n">
        <v>670</v>
      </c>
      <c r="B1127" t="inlineStr">
        <is>
          <t>Lemonade - Cucumber</t>
        </is>
      </c>
      <c r="C1127" t="inlineStr">
        <is>
          <t>Nestle</t>
        </is>
      </c>
      <c r="D1127" t="inlineStr">
        <is>
          <t>grams</t>
        </is>
      </c>
      <c r="E1127" t="n">
        <v>24</v>
      </c>
      <c r="F1127" t="n">
        <v>4320</v>
      </c>
      <c r="G1127" t="n">
        <v>180</v>
      </c>
    </row>
    <row r="1128">
      <c r="A1128" t="n">
        <v>671</v>
      </c>
      <c r="B1128" t="inlineStr">
        <is>
          <t>Lettuce - Green Ice</t>
        </is>
      </c>
      <c r="C1128" t="inlineStr">
        <is>
          <t>Fresh</t>
        </is>
      </c>
      <c r="D1128" t="inlineStr">
        <is>
          <t>grams</t>
        </is>
      </c>
      <c r="E1128" t="n">
        <v>1</v>
      </c>
      <c r="F1128" t="n">
        <v>195</v>
      </c>
      <c r="G1128" t="n">
        <v>195</v>
      </c>
    </row>
    <row r="1129">
      <c r="A1129" t="n">
        <v>672</v>
      </c>
      <c r="B1129" t="inlineStr">
        <is>
          <t>Light Soy sauce</t>
        </is>
      </c>
      <c r="C1129" t="inlineStr">
        <is>
          <t>Kikkoman</t>
        </is>
      </c>
      <c r="D1129" t="inlineStr">
        <is>
          <t>liters</t>
        </is>
      </c>
      <c r="E1129" t="n">
        <v>0</v>
      </c>
      <c r="F1129" t="n">
        <v>0</v>
      </c>
      <c r="G1129" t="n">
        <v>0</v>
      </c>
    </row>
    <row r="1130">
      <c r="A1130" t="n">
        <v>672</v>
      </c>
      <c r="B1130" t="inlineStr">
        <is>
          <t>Light Soy Sauce</t>
        </is>
      </c>
      <c r="C1130" t="inlineStr">
        <is>
          <t>heng Bing/bottle/1800Ml</t>
        </is>
      </c>
      <c r="D1130" t="inlineStr">
        <is>
          <t>ml</t>
        </is>
      </c>
      <c r="E1130" t="n">
        <v>1</v>
      </c>
      <c r="F1130" t="n">
        <v>310</v>
      </c>
      <c r="G1130" t="n">
        <v>310</v>
      </c>
    </row>
    <row r="1131">
      <c r="A1131" t="n">
        <v>234</v>
      </c>
      <c r="B1131" t="inlineStr">
        <is>
          <t>Lihia</t>
        </is>
      </c>
      <c r="C1131" t="inlineStr">
        <is>
          <t>Sampaguita/bottle/350ml</t>
        </is>
      </c>
      <c r="D1131" t="inlineStr">
        <is>
          <t>ml</t>
        </is>
      </c>
      <c r="E1131" t="n">
        <v>1</v>
      </c>
      <c r="F1131" t="n">
        <v>65</v>
      </c>
      <c r="G1131" t="n">
        <v>65</v>
      </c>
    </row>
    <row r="1132">
      <c r="A1132" t="n">
        <v>673</v>
      </c>
      <c r="B1132" t="inlineStr">
        <is>
          <t>Lime Juice</t>
        </is>
      </c>
      <c r="C1132" t="inlineStr"/>
      <c r="D1132" t="inlineStr">
        <is>
          <t>ml</t>
        </is>
      </c>
      <c r="E1132" t="n">
        <v>1</v>
      </c>
      <c r="F1132" t="n">
        <v>45</v>
      </c>
      <c r="G1132" t="n">
        <v>45</v>
      </c>
    </row>
    <row r="1133">
      <c r="A1133" t="n">
        <v>674</v>
      </c>
      <c r="B1133" t="inlineStr">
        <is>
          <t>Lime Seasoning Mix</t>
        </is>
      </c>
      <c r="C1133" t="inlineStr">
        <is>
          <t>McCormick</t>
        </is>
      </c>
      <c r="D1133" t="inlineStr">
        <is>
          <t>pieces</t>
        </is>
      </c>
      <c r="E1133" t="n">
        <v>2</v>
      </c>
      <c r="F1133" t="n">
        <v>44</v>
      </c>
      <c r="G1133" t="n">
        <v>22</v>
      </c>
    </row>
    <row r="1134">
      <c r="A1134" t="n">
        <v>675</v>
      </c>
      <c r="B1134" t="inlineStr">
        <is>
          <t>Liquid Glucose</t>
        </is>
      </c>
      <c r="C1134" t="inlineStr">
        <is>
          <t>Ferna/bottle/1000ml</t>
        </is>
      </c>
      <c r="D1134" t="inlineStr">
        <is>
          <t>ml</t>
        </is>
      </c>
      <c r="E1134" t="n">
        <v>1</v>
      </c>
      <c r="F1134" t="n">
        <v>100</v>
      </c>
      <c r="G1134" t="n">
        <v>100</v>
      </c>
    </row>
    <row r="1135">
      <c r="A1135" t="n">
        <v>237</v>
      </c>
      <c r="B1135" t="inlineStr">
        <is>
          <t>Liquid seasoning</t>
        </is>
      </c>
      <c r="C1135" t="inlineStr">
        <is>
          <t>Unilever - Knorr</t>
        </is>
      </c>
      <c r="D1135" t="inlineStr">
        <is>
          <t>liters</t>
        </is>
      </c>
      <c r="E1135" t="n">
        <v>0</v>
      </c>
      <c r="F1135" t="n">
        <v>0</v>
      </c>
      <c r="G1135" t="n">
        <v>0</v>
      </c>
    </row>
    <row r="1136">
      <c r="A1136" t="n">
        <v>238</v>
      </c>
      <c r="B1136" t="inlineStr">
        <is>
          <t>Liver Spread</t>
        </is>
      </c>
      <c r="C1136" t="inlineStr">
        <is>
          <t>CDO</t>
        </is>
      </c>
      <c r="D1136" t="inlineStr">
        <is>
          <t>grams</t>
        </is>
      </c>
      <c r="E1136" t="n">
        <v>6</v>
      </c>
      <c r="F1136" t="n">
        <v>137.4</v>
      </c>
      <c r="G1136" t="n">
        <v>22.9</v>
      </c>
    </row>
    <row r="1137">
      <c r="A1137" t="n">
        <v>238</v>
      </c>
      <c r="B1137" t="inlineStr">
        <is>
          <t>Liver Spread</t>
        </is>
      </c>
      <c r="C1137" t="inlineStr">
        <is>
          <t>Argentina</t>
        </is>
      </c>
      <c r="D1137" t="inlineStr">
        <is>
          <t>grams</t>
        </is>
      </c>
      <c r="E1137" t="n">
        <v>10</v>
      </c>
      <c r="F1137" t="n">
        <v>237</v>
      </c>
      <c r="G1137" t="n">
        <v>23.7</v>
      </c>
    </row>
    <row r="1138">
      <c r="A1138" t="n">
        <v>238</v>
      </c>
      <c r="B1138" t="inlineStr">
        <is>
          <t>Liver Spread</t>
        </is>
      </c>
      <c r="C1138" t="inlineStr">
        <is>
          <t>Reno/can/85grams</t>
        </is>
      </c>
      <c r="D1138" t="inlineStr">
        <is>
          <t>grams</t>
        </is>
      </c>
      <c r="E1138" t="n">
        <v>22</v>
      </c>
      <c r="F1138" t="n">
        <v>591.8</v>
      </c>
      <c r="G1138" t="n">
        <v>26.9</v>
      </c>
    </row>
    <row r="1139">
      <c r="A1139" t="n">
        <v>238</v>
      </c>
      <c r="B1139" t="inlineStr">
        <is>
          <t>Liver Spread</t>
        </is>
      </c>
      <c r="C1139" t="inlineStr">
        <is>
          <t>Argentina/can/85grams</t>
        </is>
      </c>
      <c r="D1139" t="inlineStr">
        <is>
          <t>grams</t>
        </is>
      </c>
      <c r="E1139" t="n">
        <v>19</v>
      </c>
      <c r="F1139" t="n">
        <v>469.8</v>
      </c>
      <c r="G1139" t="n">
        <v>24.72631578947368</v>
      </c>
    </row>
    <row r="1140">
      <c r="A1140" t="n">
        <v>676</v>
      </c>
      <c r="B1140" t="inlineStr">
        <is>
          <t>Lomi</t>
        </is>
      </c>
      <c r="C1140" t="inlineStr">
        <is>
          <t>JMRL</t>
        </is>
      </c>
      <c r="D1140" t="inlineStr">
        <is>
          <t>grams</t>
        </is>
      </c>
      <c r="E1140" t="n">
        <v>3</v>
      </c>
      <c r="F1140" t="n">
        <v>150</v>
      </c>
      <c r="G1140" t="n">
        <v>50</v>
      </c>
    </row>
    <row r="1141">
      <c r="A1141" t="n">
        <v>677</v>
      </c>
      <c r="B1141" t="inlineStr">
        <is>
          <t>Lomi Noodles</t>
        </is>
      </c>
      <c r="C1141" t="inlineStr"/>
      <c r="D1141" t="inlineStr">
        <is>
          <t>grams</t>
        </is>
      </c>
      <c r="E1141" t="n">
        <v>2</v>
      </c>
      <c r="F1141" t="n">
        <v>94</v>
      </c>
      <c r="G1141" t="n">
        <v>47</v>
      </c>
    </row>
    <row r="1142">
      <c r="A1142" t="n">
        <v>678</v>
      </c>
      <c r="B1142" t="inlineStr">
        <is>
          <t>LPG</t>
        </is>
      </c>
      <c r="C1142" t="inlineStr"/>
      <c r="D1142" t="inlineStr">
        <is>
          <t>kilos</t>
        </is>
      </c>
      <c r="E1142" t="n">
        <v>1</v>
      </c>
      <c r="F1142" t="n">
        <v>4497</v>
      </c>
      <c r="G1142" t="n">
        <v>4497</v>
      </c>
    </row>
    <row r="1143">
      <c r="A1143" t="n">
        <v>678</v>
      </c>
      <c r="B1143" t="inlineStr">
        <is>
          <t>LPG</t>
        </is>
      </c>
      <c r="C1143" t="inlineStr">
        <is>
          <t>Balcos</t>
        </is>
      </c>
      <c r="D1143" t="inlineStr">
        <is>
          <t>cylinder</t>
        </is>
      </c>
      <c r="E1143" t="n">
        <v>3</v>
      </c>
      <c r="F1143" t="n">
        <v>12402</v>
      </c>
      <c r="G1143" t="n">
        <v>4134</v>
      </c>
    </row>
    <row r="1144">
      <c r="A1144" t="n">
        <v>679</v>
      </c>
      <c r="B1144" t="inlineStr">
        <is>
          <t>Lubi Kayod</t>
        </is>
      </c>
      <c r="C1144" t="inlineStr"/>
      <c r="D1144" t="inlineStr">
        <is>
          <t>grams</t>
        </is>
      </c>
      <c r="E1144" t="n">
        <v>15</v>
      </c>
      <c r="F1144" t="n">
        <v>300</v>
      </c>
      <c r="G1144" t="n">
        <v>20</v>
      </c>
    </row>
    <row r="1145">
      <c r="A1145" t="n">
        <v>680</v>
      </c>
      <c r="B1145" t="inlineStr">
        <is>
          <t>Ludy's Salabat</t>
        </is>
      </c>
      <c r="C1145" t="inlineStr">
        <is>
          <t>Ludy's - 8g</t>
        </is>
      </c>
      <c r="D1145" t="inlineStr">
        <is>
          <t>pieces</t>
        </is>
      </c>
      <c r="E1145" t="n">
        <v>1</v>
      </c>
      <c r="F1145" t="n">
        <v>55.2</v>
      </c>
      <c r="G1145" t="n">
        <v>55.2</v>
      </c>
    </row>
    <row r="1146">
      <c r="A1146" t="n">
        <v>681</v>
      </c>
      <c r="B1146" t="inlineStr">
        <is>
          <t>Lumpia Wrapper</t>
        </is>
      </c>
      <c r="C1146" t="inlineStr"/>
      <c r="D1146" t="inlineStr">
        <is>
          <t>grams</t>
        </is>
      </c>
      <c r="E1146" t="n">
        <v>21</v>
      </c>
      <c r="F1146" t="n">
        <v>420</v>
      </c>
      <c r="G1146" t="n">
        <v>20</v>
      </c>
    </row>
    <row r="1147">
      <c r="A1147" t="n">
        <v>681</v>
      </c>
      <c r="B1147" t="inlineStr">
        <is>
          <t>Lumpia Wrapper</t>
        </is>
      </c>
      <c r="C1147" t="inlineStr"/>
      <c r="D1147" t="inlineStr">
        <is>
          <t>pieces</t>
        </is>
      </c>
      <c r="E1147" t="n">
        <v>900</v>
      </c>
      <c r="F1147" t="n">
        <v>900</v>
      </c>
      <c r="G1147" t="n">
        <v>1</v>
      </c>
    </row>
    <row r="1148">
      <c r="A1148" t="n">
        <v>681</v>
      </c>
      <c r="B1148" t="inlineStr">
        <is>
          <t>Lumpia Wrapper</t>
        </is>
      </c>
      <c r="C1148" t="inlineStr">
        <is>
          <t>Hernan Logmao</t>
        </is>
      </c>
      <c r="D1148" t="inlineStr">
        <is>
          <t>grams</t>
        </is>
      </c>
      <c r="E1148" t="n">
        <v>7</v>
      </c>
      <c r="F1148" t="n">
        <v>432</v>
      </c>
      <c r="G1148" t="n">
        <v>61.71428571428572</v>
      </c>
    </row>
    <row r="1149">
      <c r="A1149" t="n">
        <v>682</v>
      </c>
      <c r="B1149" t="inlineStr">
        <is>
          <t>Lumpia Wrapper Large</t>
        </is>
      </c>
      <c r="C1149" t="inlineStr">
        <is>
          <t>pack (1x100piece)</t>
        </is>
      </c>
      <c r="D1149" t="inlineStr">
        <is>
          <t>packs</t>
        </is>
      </c>
      <c r="E1149" t="n">
        <v>1</v>
      </c>
      <c r="F1149" t="n">
        <v>45</v>
      </c>
      <c r="G1149" t="n">
        <v>45</v>
      </c>
    </row>
    <row r="1150">
      <c r="A1150" t="n">
        <v>682</v>
      </c>
      <c r="B1150" t="inlineStr">
        <is>
          <t>Lumpia Wrapper Large</t>
        </is>
      </c>
      <c r="C1150" t="inlineStr">
        <is>
          <t>piece</t>
        </is>
      </c>
      <c r="D1150" t="inlineStr">
        <is>
          <t>pieces</t>
        </is>
      </c>
      <c r="E1150" t="n">
        <v>50</v>
      </c>
      <c r="F1150" t="n">
        <v>90</v>
      </c>
      <c r="G1150" t="n">
        <v>1.8</v>
      </c>
    </row>
    <row r="1151">
      <c r="A1151" t="n">
        <v>683</v>
      </c>
      <c r="B1151" t="inlineStr">
        <is>
          <t>Lumpia Wrapper Small</t>
        </is>
      </c>
      <c r="C1151" t="inlineStr">
        <is>
          <t>pack</t>
        </is>
      </c>
      <c r="D1151" t="inlineStr">
        <is>
          <t>packs</t>
        </is>
      </c>
      <c r="E1151" t="n">
        <v>2</v>
      </c>
      <c r="F1151" t="n">
        <v>50</v>
      </c>
      <c r="G1151" t="n">
        <v>25</v>
      </c>
    </row>
    <row r="1152">
      <c r="A1152" t="n">
        <v>239</v>
      </c>
      <c r="B1152" t="inlineStr">
        <is>
          <t>Luncheon Meat</t>
        </is>
      </c>
      <c r="C1152" t="inlineStr">
        <is>
          <t>Prem</t>
        </is>
      </c>
      <c r="D1152" t="inlineStr">
        <is>
          <t>grams</t>
        </is>
      </c>
      <c r="E1152" t="n">
        <v>2</v>
      </c>
      <c r="F1152" t="n">
        <v>370</v>
      </c>
      <c r="G1152" t="n">
        <v>185</v>
      </c>
    </row>
    <row r="1153">
      <c r="A1153" t="n">
        <v>239</v>
      </c>
      <c r="B1153" t="inlineStr">
        <is>
          <t>Luncheon Meat</t>
        </is>
      </c>
      <c r="C1153" t="inlineStr">
        <is>
          <t>Tulip</t>
        </is>
      </c>
      <c r="D1153" t="inlineStr">
        <is>
          <t>grams</t>
        </is>
      </c>
      <c r="E1153" t="n">
        <v>5</v>
      </c>
      <c r="F1153" t="n">
        <v>549.5</v>
      </c>
      <c r="G1153" t="n">
        <v>109.9</v>
      </c>
    </row>
    <row r="1154">
      <c r="A1154" t="n">
        <v>239</v>
      </c>
      <c r="B1154" t="inlineStr">
        <is>
          <t>Luncheon Meat</t>
        </is>
      </c>
      <c r="C1154" t="inlineStr">
        <is>
          <t>Hormel - Spam - 25% Less Sodium</t>
        </is>
      </c>
      <c r="D1154" t="inlineStr">
        <is>
          <t>grams</t>
        </is>
      </c>
      <c r="E1154" t="n">
        <v>11</v>
      </c>
      <c r="F1154" t="n">
        <v>2398</v>
      </c>
      <c r="G1154" t="n">
        <v>218</v>
      </c>
    </row>
    <row r="1155">
      <c r="A1155" t="n">
        <v>239</v>
      </c>
      <c r="B1155" t="inlineStr">
        <is>
          <t>Luncheon Meat</t>
        </is>
      </c>
      <c r="C1155" t="inlineStr">
        <is>
          <t>Hormel - Spam Lite</t>
        </is>
      </c>
      <c r="D1155" t="inlineStr">
        <is>
          <t>grams</t>
        </is>
      </c>
      <c r="E1155" t="n">
        <v>2</v>
      </c>
      <c r="F1155" t="n">
        <v>416</v>
      </c>
      <c r="G1155" t="n">
        <v>208</v>
      </c>
    </row>
    <row r="1156">
      <c r="A1156" t="n">
        <v>240</v>
      </c>
      <c r="B1156" t="inlineStr">
        <is>
          <t>Luncheon Meat - Chicken</t>
        </is>
      </c>
      <c r="C1156" t="inlineStr">
        <is>
          <t>Lotte</t>
        </is>
      </c>
      <c r="D1156" t="inlineStr">
        <is>
          <t>grams</t>
        </is>
      </c>
      <c r="E1156" t="n">
        <v>4</v>
      </c>
      <c r="F1156" t="n">
        <v>579.2</v>
      </c>
      <c r="G1156" t="n">
        <v>144.8</v>
      </c>
    </row>
    <row r="1157">
      <c r="A1157" t="n">
        <v>240</v>
      </c>
      <c r="B1157" t="inlineStr">
        <is>
          <t>Luncheon Meat - Chicken</t>
        </is>
      </c>
      <c r="C1157" t="inlineStr">
        <is>
          <t>Chef's Choice</t>
        </is>
      </c>
      <c r="D1157" t="inlineStr">
        <is>
          <t>grams</t>
        </is>
      </c>
      <c r="E1157" t="n">
        <v>17</v>
      </c>
      <c r="F1157" t="n">
        <v>1526.6</v>
      </c>
      <c r="G1157" t="n">
        <v>89.8</v>
      </c>
    </row>
    <row r="1158">
      <c r="A1158" t="n">
        <v>240</v>
      </c>
      <c r="B1158" t="inlineStr">
        <is>
          <t>Luncheon Meat - Chicken</t>
        </is>
      </c>
      <c r="C1158" t="inlineStr">
        <is>
          <t>Maling</t>
        </is>
      </c>
      <c r="D1158" t="inlineStr">
        <is>
          <t>grams</t>
        </is>
      </c>
      <c r="E1158" t="n">
        <v>8</v>
      </c>
      <c r="F1158" t="n">
        <v>920.8</v>
      </c>
      <c r="G1158" t="n">
        <v>115.1</v>
      </c>
    </row>
    <row r="1159">
      <c r="A1159" t="n">
        <v>240</v>
      </c>
      <c r="B1159" t="inlineStr">
        <is>
          <t>Luncheon Meat - Chicken</t>
        </is>
      </c>
      <c r="C1159" t="inlineStr">
        <is>
          <t>Lotte/can/340grams</t>
        </is>
      </c>
      <c r="D1159" t="inlineStr">
        <is>
          <t>grams</t>
        </is>
      </c>
      <c r="E1159" t="n">
        <v>6</v>
      </c>
      <c r="F1159" t="n">
        <v>853.8000000000001</v>
      </c>
      <c r="G1159" t="n">
        <v>142.3</v>
      </c>
    </row>
    <row r="1160">
      <c r="A1160" t="n">
        <v>240</v>
      </c>
      <c r="B1160" t="inlineStr">
        <is>
          <t>Luncheon Meat - Chicken</t>
        </is>
      </c>
      <c r="C1160" t="inlineStr">
        <is>
          <t>CDO/can/350grams</t>
        </is>
      </c>
      <c r="D1160" t="inlineStr">
        <is>
          <t>grams</t>
        </is>
      </c>
      <c r="E1160" t="n">
        <v>2</v>
      </c>
      <c r="F1160" t="n">
        <v>177.6</v>
      </c>
      <c r="G1160" t="n">
        <v>88.8</v>
      </c>
    </row>
    <row r="1161">
      <c r="A1161" t="n">
        <v>684</v>
      </c>
      <c r="B1161" t="inlineStr">
        <is>
          <t>Luncheon Meat - Chinese Style</t>
        </is>
      </c>
      <c r="C1161" t="inlineStr">
        <is>
          <t>Purefoods</t>
        </is>
      </c>
      <c r="D1161" t="inlineStr">
        <is>
          <t>grams</t>
        </is>
      </c>
      <c r="E1161" t="n">
        <v>8</v>
      </c>
      <c r="F1161" t="n">
        <v>680.8</v>
      </c>
      <c r="G1161" t="n">
        <v>85.09999999999999</v>
      </c>
    </row>
    <row r="1162">
      <c r="A1162" t="n">
        <v>684</v>
      </c>
      <c r="B1162" t="inlineStr">
        <is>
          <t>Luncheon Meat - Chinese Style</t>
        </is>
      </c>
      <c r="C1162" t="inlineStr">
        <is>
          <t>CDO</t>
        </is>
      </c>
      <c r="D1162" t="inlineStr">
        <is>
          <t>grams</t>
        </is>
      </c>
      <c r="E1162" t="n">
        <v>6</v>
      </c>
      <c r="F1162" t="n">
        <v>495</v>
      </c>
      <c r="G1162" t="n">
        <v>82.5</v>
      </c>
    </row>
    <row r="1163">
      <c r="A1163" t="n">
        <v>684</v>
      </c>
      <c r="B1163" t="inlineStr">
        <is>
          <t>Luncheon Meat - Chinese Style</t>
        </is>
      </c>
      <c r="C1163" t="inlineStr">
        <is>
          <t>Purefoods/can/350grams</t>
        </is>
      </c>
      <c r="D1163" t="inlineStr">
        <is>
          <t>grams</t>
        </is>
      </c>
      <c r="E1163" t="n">
        <v>1</v>
      </c>
      <c r="F1163" t="n">
        <v>85.09999999999999</v>
      </c>
      <c r="G1163" t="n">
        <v>85.09999999999999</v>
      </c>
    </row>
    <row r="1164">
      <c r="A1164" t="n">
        <v>242</v>
      </c>
      <c r="B1164" t="inlineStr">
        <is>
          <t>Luya</t>
        </is>
      </c>
      <c r="C1164" t="inlineStr"/>
      <c r="D1164" t="inlineStr">
        <is>
          <t>kilos</t>
        </is>
      </c>
      <c r="E1164" t="n">
        <v>1</v>
      </c>
      <c r="F1164" t="n">
        <v>140</v>
      </c>
      <c r="G1164" t="n">
        <v>140</v>
      </c>
    </row>
    <row r="1165">
      <c r="A1165" t="n">
        <v>685</v>
      </c>
      <c r="B1165" t="inlineStr">
        <is>
          <t>Lychee in Light Syrup</t>
        </is>
      </c>
      <c r="C1165" t="inlineStr">
        <is>
          <t>Jolly/can/540grams/230 draigned weight</t>
        </is>
      </c>
      <c r="D1165" t="inlineStr">
        <is>
          <t>drained weight grams</t>
        </is>
      </c>
      <c r="E1165" t="n">
        <v>1</v>
      </c>
      <c r="F1165" t="n">
        <v>106.5</v>
      </c>
      <c r="G1165" t="n">
        <v>106.5</v>
      </c>
    </row>
    <row r="1166">
      <c r="A1166" t="n">
        <v>243</v>
      </c>
      <c r="B1166" t="inlineStr">
        <is>
          <t>Lychees</t>
        </is>
      </c>
      <c r="C1166" t="inlineStr">
        <is>
          <t>Jolly</t>
        </is>
      </c>
      <c r="D1166" t="inlineStr">
        <is>
          <t>grams</t>
        </is>
      </c>
      <c r="E1166" t="n">
        <v>3</v>
      </c>
      <c r="F1166" t="n">
        <v>293.25</v>
      </c>
      <c r="G1166" t="n">
        <v>97.75</v>
      </c>
    </row>
    <row r="1167">
      <c r="A1167" t="n">
        <v>243</v>
      </c>
      <c r="B1167" t="inlineStr">
        <is>
          <t>Lychees</t>
        </is>
      </c>
      <c r="C1167" t="inlineStr">
        <is>
          <t>HOSEN</t>
        </is>
      </c>
      <c r="D1167" t="inlineStr">
        <is>
          <t>grams</t>
        </is>
      </c>
      <c r="E1167" t="n">
        <v>1</v>
      </c>
      <c r="F1167" t="n">
        <v>138.5</v>
      </c>
      <c r="G1167" t="n">
        <v>138.5</v>
      </c>
    </row>
    <row r="1168">
      <c r="A1168" t="n">
        <v>686</v>
      </c>
      <c r="B1168" t="inlineStr">
        <is>
          <t>Lye Water</t>
        </is>
      </c>
      <c r="C1168" t="inlineStr">
        <is>
          <t>Green Leaves</t>
        </is>
      </c>
      <c r="D1168" t="inlineStr">
        <is>
          <t>ml</t>
        </is>
      </c>
      <c r="E1168" t="n">
        <v>1</v>
      </c>
      <c r="F1168" t="n">
        <v>35</v>
      </c>
      <c r="G1168" t="n">
        <v>35</v>
      </c>
    </row>
    <row r="1169">
      <c r="A1169" t="n">
        <v>687</v>
      </c>
      <c r="B1169" t="inlineStr">
        <is>
          <t>Macapuno</t>
        </is>
      </c>
      <c r="C1169" t="inlineStr">
        <is>
          <t>Buenas</t>
        </is>
      </c>
      <c r="D1169" t="inlineStr">
        <is>
          <t>grams</t>
        </is>
      </c>
      <c r="E1169" t="n">
        <v>1</v>
      </c>
      <c r="F1169" t="n">
        <v>154</v>
      </c>
      <c r="G1169" t="n">
        <v>154</v>
      </c>
    </row>
    <row r="1170">
      <c r="A1170" t="n">
        <v>688</v>
      </c>
      <c r="B1170" t="inlineStr">
        <is>
          <t>Macaroni</t>
        </is>
      </c>
      <c r="C1170" t="inlineStr">
        <is>
          <t>Ideal</t>
        </is>
      </c>
      <c r="D1170" t="inlineStr">
        <is>
          <t>kilos</t>
        </is>
      </c>
      <c r="E1170" t="n">
        <v>6</v>
      </c>
      <c r="F1170" t="n">
        <v>2196.7</v>
      </c>
      <c r="G1170" t="n">
        <v>366.1166666666666</v>
      </c>
    </row>
    <row r="1171">
      <c r="A1171" t="n">
        <v>688</v>
      </c>
      <c r="B1171" t="inlineStr">
        <is>
          <t>Macaroni</t>
        </is>
      </c>
      <c r="C1171" t="inlineStr">
        <is>
          <t>Ideal</t>
        </is>
      </c>
      <c r="D1171" t="inlineStr">
        <is>
          <t>grams</t>
        </is>
      </c>
      <c r="E1171" t="n">
        <v>25</v>
      </c>
      <c r="F1171" t="n">
        <v>1508.72</v>
      </c>
      <c r="G1171" t="n">
        <v>60.3488</v>
      </c>
    </row>
    <row r="1172">
      <c r="A1172" t="n">
        <v>689</v>
      </c>
      <c r="B1172" t="inlineStr">
        <is>
          <t>Macaroni Elbow</t>
        </is>
      </c>
      <c r="C1172" t="inlineStr">
        <is>
          <t>SUNSHINE</t>
        </is>
      </c>
      <c r="D1172" t="inlineStr">
        <is>
          <t>grams</t>
        </is>
      </c>
      <c r="E1172" t="n">
        <v>1</v>
      </c>
      <c r="F1172" t="n">
        <v>87</v>
      </c>
      <c r="G1172" t="n">
        <v>87</v>
      </c>
    </row>
    <row r="1173">
      <c r="A1173" t="n">
        <v>689</v>
      </c>
      <c r="B1173" t="inlineStr">
        <is>
          <t>Macaroni Elbow</t>
        </is>
      </c>
      <c r="C1173" t="inlineStr">
        <is>
          <t>El Real</t>
        </is>
      </c>
      <c r="D1173" t="inlineStr">
        <is>
          <t>grams</t>
        </is>
      </c>
      <c r="E1173" t="n">
        <v>2</v>
      </c>
      <c r="F1173" t="n">
        <v>79.40000000000001</v>
      </c>
      <c r="G1173" t="n">
        <v>39.7</v>
      </c>
    </row>
    <row r="1174">
      <c r="A1174" t="n">
        <v>690</v>
      </c>
      <c r="B1174" t="inlineStr">
        <is>
          <t>Mackerel</t>
        </is>
      </c>
      <c r="C1174" t="inlineStr">
        <is>
          <t>Uni pak</t>
        </is>
      </c>
      <c r="D1174" t="inlineStr">
        <is>
          <t>grams</t>
        </is>
      </c>
      <c r="E1174" t="n">
        <v>1</v>
      </c>
      <c r="F1174" t="n">
        <v>73.5</v>
      </c>
      <c r="G1174" t="n">
        <v>73.5</v>
      </c>
    </row>
    <row r="1175">
      <c r="A1175" t="n">
        <v>690</v>
      </c>
      <c r="B1175" t="inlineStr">
        <is>
          <t>Mackerel</t>
        </is>
      </c>
      <c r="C1175" t="inlineStr">
        <is>
          <t>MEGA</t>
        </is>
      </c>
      <c r="D1175" t="inlineStr">
        <is>
          <t>grams</t>
        </is>
      </c>
      <c r="E1175" t="n">
        <v>5</v>
      </c>
      <c r="F1175" t="n">
        <v>322</v>
      </c>
      <c r="G1175" t="n">
        <v>64.40000000000001</v>
      </c>
    </row>
    <row r="1176">
      <c r="A1176" t="n">
        <v>690</v>
      </c>
      <c r="B1176" t="inlineStr">
        <is>
          <t>Mackerel</t>
        </is>
      </c>
      <c r="C1176" t="inlineStr">
        <is>
          <t>Unipak</t>
        </is>
      </c>
      <c r="D1176" t="inlineStr">
        <is>
          <t>grams</t>
        </is>
      </c>
      <c r="E1176" t="n">
        <v>6</v>
      </c>
      <c r="F1176" t="n">
        <v>441.6</v>
      </c>
      <c r="G1176" t="n">
        <v>73.59999999999999</v>
      </c>
    </row>
    <row r="1177">
      <c r="A1177" t="n">
        <v>246</v>
      </c>
      <c r="B1177" t="inlineStr">
        <is>
          <t>Mackerel in Natural Oil</t>
        </is>
      </c>
      <c r="C1177" t="inlineStr">
        <is>
          <t>Mega</t>
        </is>
      </c>
      <c r="D1177" t="inlineStr">
        <is>
          <t>grams</t>
        </is>
      </c>
      <c r="E1177" t="n">
        <v>10</v>
      </c>
      <c r="F1177" t="n">
        <v>674</v>
      </c>
      <c r="G1177" t="n">
        <v>67.40000000000001</v>
      </c>
    </row>
    <row r="1178">
      <c r="A1178" t="n">
        <v>246</v>
      </c>
      <c r="B1178" t="inlineStr">
        <is>
          <t>Mackerel in Natural Oil</t>
        </is>
      </c>
      <c r="C1178" t="inlineStr">
        <is>
          <t>MEGA</t>
        </is>
      </c>
      <c r="D1178" t="inlineStr">
        <is>
          <t>grams</t>
        </is>
      </c>
      <c r="E1178" t="n">
        <v>10</v>
      </c>
      <c r="F1178" t="n">
        <v>720</v>
      </c>
      <c r="G1178" t="n">
        <v>72</v>
      </c>
    </row>
    <row r="1179">
      <c r="A1179" t="n">
        <v>246</v>
      </c>
      <c r="B1179" t="inlineStr">
        <is>
          <t>Mackerel in Natural Oil</t>
        </is>
      </c>
      <c r="C1179" t="inlineStr">
        <is>
          <t>UNIPAK</t>
        </is>
      </c>
      <c r="D1179" t="inlineStr">
        <is>
          <t>grams</t>
        </is>
      </c>
      <c r="E1179" t="n">
        <v>3</v>
      </c>
      <c r="F1179" t="n">
        <v>219.3</v>
      </c>
      <c r="G1179" t="n">
        <v>73.09999999999999</v>
      </c>
    </row>
    <row r="1180">
      <c r="A1180" t="n">
        <v>250</v>
      </c>
      <c r="B1180" t="inlineStr">
        <is>
          <t>Magic Sarap</t>
        </is>
      </c>
      <c r="C1180" t="inlineStr">
        <is>
          <t>Nestle - Maggi</t>
        </is>
      </c>
      <c r="D1180" t="inlineStr">
        <is>
          <t>grams</t>
        </is>
      </c>
      <c r="E1180" t="n">
        <v>763</v>
      </c>
      <c r="F1180" t="n">
        <v>4749.32</v>
      </c>
      <c r="G1180" t="n">
        <v>6.224534731323722</v>
      </c>
    </row>
    <row r="1181">
      <c r="A1181" t="n">
        <v>691</v>
      </c>
      <c r="B1181" t="inlineStr">
        <is>
          <t>Malagkit</t>
        </is>
      </c>
      <c r="C1181" t="inlineStr">
        <is>
          <t>JMRL</t>
        </is>
      </c>
      <c r="D1181" t="inlineStr">
        <is>
          <t>kilos</t>
        </is>
      </c>
      <c r="E1181" t="n">
        <v>3</v>
      </c>
      <c r="F1181" t="n">
        <v>270</v>
      </c>
      <c r="G1181" t="n">
        <v>90</v>
      </c>
    </row>
    <row r="1182">
      <c r="A1182" t="n">
        <v>251</v>
      </c>
      <c r="B1182" t="inlineStr">
        <is>
          <t>Malagkit na Bigas</t>
        </is>
      </c>
      <c r="C1182" t="inlineStr">
        <is>
          <t>Amparos</t>
        </is>
      </c>
      <c r="D1182" t="inlineStr">
        <is>
          <t>kilos</t>
        </is>
      </c>
      <c r="E1182" t="n">
        <v>5</v>
      </c>
      <c r="F1182" t="n">
        <v>440</v>
      </c>
      <c r="G1182" t="n">
        <v>88</v>
      </c>
    </row>
    <row r="1183">
      <c r="A1183" t="n">
        <v>251</v>
      </c>
      <c r="B1183" t="inlineStr">
        <is>
          <t>Malagkit na Bigas</t>
        </is>
      </c>
      <c r="C1183" t="inlineStr">
        <is>
          <t>Edward Edit</t>
        </is>
      </c>
      <c r="D1183" t="inlineStr">
        <is>
          <t>grams</t>
        </is>
      </c>
      <c r="E1183" t="n">
        <v>3</v>
      </c>
      <c r="F1183" t="n">
        <v>360</v>
      </c>
      <c r="G1183" t="n">
        <v>120</v>
      </c>
    </row>
    <row r="1184">
      <c r="A1184" t="n">
        <v>251</v>
      </c>
      <c r="B1184" t="inlineStr">
        <is>
          <t>Malagkit na Bigas</t>
        </is>
      </c>
      <c r="C1184" t="inlineStr">
        <is>
          <t>/pack/1kilos</t>
        </is>
      </c>
      <c r="D1184" t="inlineStr">
        <is>
          <t>kilos</t>
        </is>
      </c>
      <c r="E1184" t="n">
        <v>2</v>
      </c>
      <c r="F1184" t="n">
        <v>170</v>
      </c>
      <c r="G1184" t="n">
        <v>85</v>
      </c>
    </row>
    <row r="1185">
      <c r="A1185" t="n">
        <v>692</v>
      </c>
      <c r="B1185" t="inlineStr">
        <is>
          <t>Malunggay</t>
        </is>
      </c>
      <c r="C1185" t="inlineStr"/>
      <c r="D1185" t="inlineStr">
        <is>
          <t>grams</t>
        </is>
      </c>
      <c r="E1185" t="n">
        <v>1</v>
      </c>
      <c r="F1185" t="n">
        <v>35</v>
      </c>
      <c r="G1185" t="n">
        <v>35</v>
      </c>
    </row>
    <row r="1186">
      <c r="A1186" t="n">
        <v>693</v>
      </c>
      <c r="B1186" t="inlineStr">
        <is>
          <t>Mami</t>
        </is>
      </c>
      <c r="C1186" t="inlineStr">
        <is>
          <t>BestFoods/pack/1000grams</t>
        </is>
      </c>
      <c r="D1186" t="inlineStr">
        <is>
          <t>grams</t>
        </is>
      </c>
      <c r="E1186" t="n">
        <v>1</v>
      </c>
      <c r="F1186" t="n">
        <v>47</v>
      </c>
      <c r="G1186" t="n">
        <v>47</v>
      </c>
    </row>
    <row r="1187">
      <c r="A1187" t="n">
        <v>694</v>
      </c>
      <c r="B1187" t="inlineStr">
        <is>
          <t>Mangga</t>
        </is>
      </c>
      <c r="C1187" t="inlineStr"/>
      <c r="D1187" t="inlineStr">
        <is>
          <t>grams</t>
        </is>
      </c>
      <c r="E1187" t="n">
        <v>1</v>
      </c>
      <c r="F1187" t="n">
        <v>100</v>
      </c>
      <c r="G1187" t="n">
        <v>100</v>
      </c>
    </row>
    <row r="1188">
      <c r="A1188" t="n">
        <v>255</v>
      </c>
      <c r="B1188" t="inlineStr">
        <is>
          <t>Margarine</t>
        </is>
      </c>
      <c r="C1188" t="inlineStr">
        <is>
          <t>Star</t>
        </is>
      </c>
      <c r="D1188" t="inlineStr">
        <is>
          <t>grams</t>
        </is>
      </c>
      <c r="E1188" t="n">
        <v>1</v>
      </c>
      <c r="F1188" t="n">
        <v>317.8</v>
      </c>
      <c r="G1188" t="n">
        <v>317.8</v>
      </c>
    </row>
    <row r="1189">
      <c r="A1189" t="n">
        <v>255</v>
      </c>
      <c r="B1189" t="inlineStr">
        <is>
          <t>Margarine</t>
        </is>
      </c>
      <c r="C1189" t="inlineStr">
        <is>
          <t>Star</t>
        </is>
      </c>
      <c r="D1189" t="inlineStr">
        <is>
          <t>kilos</t>
        </is>
      </c>
      <c r="E1189" t="n">
        <v>3</v>
      </c>
      <c r="F1189" t="n">
        <v>1115.85</v>
      </c>
      <c r="G1189" t="n">
        <v>371.95</v>
      </c>
    </row>
    <row r="1190">
      <c r="A1190" t="n">
        <v>255</v>
      </c>
      <c r="B1190" t="inlineStr">
        <is>
          <t>Margarine</t>
        </is>
      </c>
      <c r="C1190" t="inlineStr">
        <is>
          <t>Star/pail/1000grams</t>
        </is>
      </c>
      <c r="D1190" t="inlineStr">
        <is>
          <t>grams</t>
        </is>
      </c>
      <c r="E1190" t="n">
        <v>1</v>
      </c>
      <c r="F1190" t="n">
        <v>317.8</v>
      </c>
      <c r="G1190" t="n">
        <v>317.8</v>
      </c>
    </row>
    <row r="1191">
      <c r="A1191" t="n">
        <v>255</v>
      </c>
      <c r="B1191" t="inlineStr">
        <is>
          <t>Margarine</t>
        </is>
      </c>
      <c r="C1191" t="inlineStr">
        <is>
          <t>Dari Cream</t>
        </is>
      </c>
      <c r="D1191" t="inlineStr">
        <is>
          <t>grams</t>
        </is>
      </c>
      <c r="E1191" t="n">
        <v>2</v>
      </c>
      <c r="F1191" t="n">
        <v>130</v>
      </c>
      <c r="G1191" t="n">
        <v>65</v>
      </c>
    </row>
    <row r="1192">
      <c r="A1192" t="n">
        <v>255</v>
      </c>
      <c r="B1192" t="inlineStr">
        <is>
          <t>Margarine</t>
        </is>
      </c>
      <c r="C1192" t="inlineStr">
        <is>
          <t>Star Margarine</t>
        </is>
      </c>
      <c r="D1192" t="inlineStr">
        <is>
          <t>kilos</t>
        </is>
      </c>
      <c r="E1192" t="n">
        <v>0</v>
      </c>
      <c r="F1192" t="n">
        <v>0</v>
      </c>
      <c r="G1192" t="n">
        <v>0</v>
      </c>
    </row>
    <row r="1193">
      <c r="A1193" t="n">
        <v>255</v>
      </c>
      <c r="B1193" t="inlineStr">
        <is>
          <t>Margarine</t>
        </is>
      </c>
      <c r="C1193" t="inlineStr">
        <is>
          <t>Buttercup</t>
        </is>
      </c>
      <c r="D1193" t="inlineStr">
        <is>
          <t>grams</t>
        </is>
      </c>
      <c r="E1193" t="n">
        <v>1</v>
      </c>
      <c r="F1193" t="n">
        <v>47</v>
      </c>
      <c r="G1193" t="n">
        <v>47</v>
      </c>
    </row>
    <row r="1194">
      <c r="A1194" t="n">
        <v>255</v>
      </c>
      <c r="B1194" t="inlineStr">
        <is>
          <t>Margarine</t>
        </is>
      </c>
      <c r="C1194" t="inlineStr">
        <is>
          <t>Frito</t>
        </is>
      </c>
      <c r="D1194" t="inlineStr">
        <is>
          <t>grams</t>
        </is>
      </c>
      <c r="E1194" t="n">
        <v>9</v>
      </c>
      <c r="F1194" t="n">
        <v>441.8100000000001</v>
      </c>
      <c r="G1194" t="n">
        <v>49.09</v>
      </c>
    </row>
    <row r="1195">
      <c r="A1195" t="n">
        <v>695</v>
      </c>
      <c r="B1195" t="inlineStr">
        <is>
          <t>Marjoram</t>
        </is>
      </c>
      <c r="C1195" t="inlineStr">
        <is>
          <t>McCormick</t>
        </is>
      </c>
      <c r="D1195" t="inlineStr">
        <is>
          <t>grams</t>
        </is>
      </c>
      <c r="E1195" t="n">
        <v>2</v>
      </c>
      <c r="F1195" t="n">
        <v>114.2</v>
      </c>
      <c r="G1195" t="n">
        <v>57.1</v>
      </c>
    </row>
    <row r="1196">
      <c r="A1196" t="n">
        <v>696</v>
      </c>
      <c r="B1196" t="inlineStr">
        <is>
          <t>Marshmallow</t>
        </is>
      </c>
      <c r="C1196" t="inlineStr">
        <is>
          <t>Oishi - O-Puff Mashmallow - Chocolate</t>
        </is>
      </c>
      <c r="D1196" t="inlineStr">
        <is>
          <t>grams</t>
        </is>
      </c>
      <c r="E1196" t="n">
        <v>8</v>
      </c>
      <c r="F1196" t="n">
        <v>196.8</v>
      </c>
      <c r="G1196" t="n">
        <v>24.6</v>
      </c>
    </row>
    <row r="1197">
      <c r="A1197" t="n">
        <v>257</v>
      </c>
      <c r="B1197" t="inlineStr">
        <is>
          <t>Mayo Sandwich Spread</t>
        </is>
      </c>
      <c r="C1197" t="inlineStr">
        <is>
          <t>Mondelez - Cheez Whiz</t>
        </is>
      </c>
      <c r="D1197" t="inlineStr">
        <is>
          <t>grams</t>
        </is>
      </c>
      <c r="E1197" t="n">
        <v>13</v>
      </c>
      <c r="F1197" t="n">
        <v>154.7</v>
      </c>
      <c r="G1197" t="n">
        <v>11.9</v>
      </c>
    </row>
    <row r="1198">
      <c r="A1198" t="n">
        <v>697</v>
      </c>
      <c r="B1198" t="inlineStr">
        <is>
          <t>Mayonnaise</t>
        </is>
      </c>
      <c r="C1198" t="inlineStr">
        <is>
          <t>Lady's Choice - Real Mayonnaise</t>
        </is>
      </c>
      <c r="D1198" t="inlineStr">
        <is>
          <t>ml</t>
        </is>
      </c>
      <c r="E1198" t="n">
        <v>11</v>
      </c>
      <c r="F1198" t="n">
        <v>2533</v>
      </c>
      <c r="G1198" t="n">
        <v>230.2727272727273</v>
      </c>
    </row>
    <row r="1199">
      <c r="A1199" t="n">
        <v>697</v>
      </c>
      <c r="B1199" t="inlineStr">
        <is>
          <t>Mayonnaise</t>
        </is>
      </c>
      <c r="C1199" t="inlineStr">
        <is>
          <t>Best Foods - Wonder Mayo</t>
        </is>
      </c>
      <c r="D1199" t="inlineStr">
        <is>
          <t>ml</t>
        </is>
      </c>
      <c r="E1199" t="n">
        <v>10</v>
      </c>
      <c r="F1199" t="n">
        <v>4443.1</v>
      </c>
      <c r="G1199" t="n">
        <v>444.3100000000001</v>
      </c>
    </row>
    <row r="1200">
      <c r="A1200" t="n">
        <v>698</v>
      </c>
      <c r="B1200" t="inlineStr">
        <is>
          <t>Meal Box</t>
        </is>
      </c>
      <c r="C1200" t="inlineStr">
        <is>
          <t>I-box - LB2 CLEAR</t>
        </is>
      </c>
      <c r="D1200" t="inlineStr">
        <is>
          <t>pieces</t>
        </is>
      </c>
      <c r="E1200" t="n">
        <v>370</v>
      </c>
      <c r="F1200" t="n">
        <v>2712.1</v>
      </c>
      <c r="G1200" t="n">
        <v>7.33</v>
      </c>
    </row>
    <row r="1201">
      <c r="A1201" t="n">
        <v>698</v>
      </c>
      <c r="B1201" t="inlineStr">
        <is>
          <t>Meal Box</t>
        </is>
      </c>
      <c r="C1201" t="inlineStr">
        <is>
          <t>I-box - LB3 CLEAR</t>
        </is>
      </c>
      <c r="D1201" t="inlineStr">
        <is>
          <t>pieces</t>
        </is>
      </c>
      <c r="E1201" t="n">
        <v>250</v>
      </c>
      <c r="F1201" t="n">
        <v>1975</v>
      </c>
      <c r="G1201" t="n">
        <v>7.9</v>
      </c>
    </row>
    <row r="1202">
      <c r="A1202" t="n">
        <v>268</v>
      </c>
      <c r="B1202" t="inlineStr">
        <is>
          <t>Meat Loaf</t>
        </is>
      </c>
      <c r="C1202" t="inlineStr">
        <is>
          <t>CDO</t>
        </is>
      </c>
      <c r="D1202" t="inlineStr">
        <is>
          <t>grams</t>
        </is>
      </c>
      <c r="E1202" t="n">
        <v>4</v>
      </c>
      <c r="F1202" t="n">
        <v>124</v>
      </c>
      <c r="G1202" t="n">
        <v>31</v>
      </c>
    </row>
    <row r="1203">
      <c r="A1203" t="n">
        <v>268</v>
      </c>
      <c r="B1203" t="inlineStr">
        <is>
          <t>Meat Loaf</t>
        </is>
      </c>
      <c r="C1203" t="inlineStr">
        <is>
          <t>Century - Argentina</t>
        </is>
      </c>
      <c r="D1203" t="inlineStr">
        <is>
          <t>grams</t>
        </is>
      </c>
      <c r="E1203" t="n">
        <v>26</v>
      </c>
      <c r="F1203" t="n">
        <v>867.9</v>
      </c>
      <c r="G1203" t="n">
        <v>33.38076923076923</v>
      </c>
    </row>
    <row r="1204">
      <c r="A1204" t="n">
        <v>699</v>
      </c>
      <c r="B1204" t="inlineStr">
        <is>
          <t>Meat Tenderizer</t>
        </is>
      </c>
      <c r="C1204" t="inlineStr">
        <is>
          <t>McCormick</t>
        </is>
      </c>
      <c r="D1204" t="inlineStr">
        <is>
          <t>grams</t>
        </is>
      </c>
      <c r="E1204" t="n">
        <v>1</v>
      </c>
      <c r="F1204" t="n">
        <v>89</v>
      </c>
      <c r="G1204" t="n">
        <v>89</v>
      </c>
    </row>
    <row r="1205">
      <c r="A1205" t="n">
        <v>700</v>
      </c>
      <c r="B1205" t="inlineStr">
        <is>
          <t>Melon Cantaloupe</t>
        </is>
      </c>
      <c r="C1205" t="inlineStr"/>
      <c r="D1205" t="inlineStr">
        <is>
          <t>grams</t>
        </is>
      </c>
      <c r="E1205" t="n">
        <v>5</v>
      </c>
      <c r="F1205" t="n">
        <v>400</v>
      </c>
      <c r="G1205" t="n">
        <v>80</v>
      </c>
    </row>
    <row r="1206">
      <c r="A1206" t="n">
        <v>701</v>
      </c>
      <c r="B1206" t="inlineStr">
        <is>
          <t>Microwavable Conatiner</t>
        </is>
      </c>
      <c r="C1206" t="inlineStr">
        <is>
          <t>Trigem - 4 division</t>
        </is>
      </c>
      <c r="D1206" t="inlineStr">
        <is>
          <t>pieces</t>
        </is>
      </c>
      <c r="E1206" t="n">
        <v>130</v>
      </c>
      <c r="F1206" t="n">
        <v>1469.9</v>
      </c>
      <c r="G1206" t="n">
        <v>11.30692307692308</v>
      </c>
    </row>
    <row r="1207">
      <c r="A1207" t="n">
        <v>701</v>
      </c>
      <c r="B1207" t="inlineStr">
        <is>
          <t>Microwavable Conatiner</t>
        </is>
      </c>
      <c r="C1207" t="inlineStr">
        <is>
          <t>Fas Pack - Rectangular 500</t>
        </is>
      </c>
      <c r="D1207" t="inlineStr">
        <is>
          <t>pieces</t>
        </is>
      </c>
      <c r="E1207" t="n">
        <v>20</v>
      </c>
      <c r="F1207" t="n">
        <v>123.2</v>
      </c>
      <c r="G1207" t="n">
        <v>6.16</v>
      </c>
    </row>
    <row r="1208">
      <c r="A1208" t="n">
        <v>701</v>
      </c>
      <c r="B1208" t="inlineStr">
        <is>
          <t>Microwavable Conatiner</t>
        </is>
      </c>
      <c r="C1208" t="inlineStr">
        <is>
          <t>Belle - Rectangular 500ml</t>
        </is>
      </c>
      <c r="D1208" t="inlineStr">
        <is>
          <t>packs</t>
        </is>
      </c>
      <c r="E1208" t="n">
        <v>4</v>
      </c>
      <c r="F1208" t="n">
        <v>146</v>
      </c>
      <c r="G1208" t="n">
        <v>36.5</v>
      </c>
    </row>
    <row r="1209">
      <c r="A1209" t="n">
        <v>701</v>
      </c>
      <c r="B1209" t="inlineStr">
        <is>
          <t>Microwavable Conatiner</t>
        </is>
      </c>
      <c r="C1209" t="inlineStr">
        <is>
          <t>Bestbuy - Rectangular 500ml</t>
        </is>
      </c>
      <c r="D1209" t="inlineStr">
        <is>
          <t>pieces</t>
        </is>
      </c>
      <c r="E1209" t="n">
        <v>15</v>
      </c>
      <c r="F1209" t="n">
        <v>54.75</v>
      </c>
      <c r="G1209" t="n">
        <v>3.65</v>
      </c>
    </row>
    <row r="1210">
      <c r="A1210" t="n">
        <v>701</v>
      </c>
      <c r="B1210" t="inlineStr">
        <is>
          <t>Microwavable Conatiner</t>
        </is>
      </c>
      <c r="C1210" t="inlineStr">
        <is>
          <t>Calypso - Rectangular 750</t>
        </is>
      </c>
      <c r="D1210" t="inlineStr">
        <is>
          <t>pieces</t>
        </is>
      </c>
      <c r="E1210" t="n">
        <v>100</v>
      </c>
      <c r="F1210" t="n">
        <v>346</v>
      </c>
      <c r="G1210" t="n">
        <v>3.46</v>
      </c>
    </row>
    <row r="1211">
      <c r="A1211" t="n">
        <v>701</v>
      </c>
      <c r="B1211" t="inlineStr">
        <is>
          <t>Microwavable Conatiner</t>
        </is>
      </c>
      <c r="C1211" t="inlineStr">
        <is>
          <t>Belle - Round 10oz</t>
        </is>
      </c>
      <c r="D1211" t="inlineStr">
        <is>
          <t>pieces</t>
        </is>
      </c>
      <c r="E1211" t="n">
        <v>13</v>
      </c>
      <c r="F1211" t="n">
        <v>33.8</v>
      </c>
      <c r="G1211" t="n">
        <v>2.600000000000001</v>
      </c>
    </row>
    <row r="1212">
      <c r="A1212" t="n">
        <v>701</v>
      </c>
      <c r="B1212" t="inlineStr">
        <is>
          <t>Microwavable Conatiner</t>
        </is>
      </c>
      <c r="C1212" t="inlineStr">
        <is>
          <t>3D</t>
        </is>
      </c>
      <c r="D1212" t="inlineStr">
        <is>
          <t>pieces</t>
        </is>
      </c>
      <c r="E1212" t="n">
        <v>77</v>
      </c>
      <c r="F1212" t="n">
        <v>708.4</v>
      </c>
      <c r="G1212" t="n">
        <v>9.199999999999999</v>
      </c>
    </row>
    <row r="1213">
      <c r="A1213" t="n">
        <v>701</v>
      </c>
      <c r="B1213" t="inlineStr">
        <is>
          <t>Microwavable Conatiner</t>
        </is>
      </c>
      <c r="C1213" t="inlineStr">
        <is>
          <t>4D</t>
        </is>
      </c>
      <c r="D1213" t="inlineStr">
        <is>
          <t>pieces</t>
        </is>
      </c>
      <c r="E1213" t="n">
        <v>48</v>
      </c>
      <c r="F1213" t="n">
        <v>480</v>
      </c>
      <c r="G1213" t="n">
        <v>10</v>
      </c>
    </row>
    <row r="1214">
      <c r="A1214" t="n">
        <v>701</v>
      </c>
      <c r="B1214" t="inlineStr">
        <is>
          <t>Microwavable Conatiner</t>
        </is>
      </c>
      <c r="C1214" t="inlineStr">
        <is>
          <t>5D</t>
        </is>
      </c>
      <c r="D1214" t="inlineStr">
        <is>
          <t>pieces</t>
        </is>
      </c>
      <c r="E1214" t="n">
        <v>130</v>
      </c>
      <c r="F1214" t="n">
        <v>1326</v>
      </c>
      <c r="G1214" t="n">
        <v>10.2</v>
      </c>
    </row>
    <row r="1215">
      <c r="A1215" t="n">
        <v>701</v>
      </c>
      <c r="B1215" t="inlineStr">
        <is>
          <t>Microwavable Conatiner</t>
        </is>
      </c>
      <c r="C1215" t="inlineStr">
        <is>
          <t>Suy Sing - My Everyday - 30oz Plastic Round</t>
        </is>
      </c>
      <c r="D1215" t="inlineStr">
        <is>
          <t>pieces</t>
        </is>
      </c>
      <c r="E1215" t="n">
        <v>10</v>
      </c>
      <c r="F1215" t="n">
        <v>70</v>
      </c>
      <c r="G1215" t="n">
        <v>7</v>
      </c>
    </row>
    <row r="1216">
      <c r="A1216" t="n">
        <v>702</v>
      </c>
      <c r="B1216" t="inlineStr">
        <is>
          <t>Microwavable Container</t>
        </is>
      </c>
      <c r="C1216" t="inlineStr">
        <is>
          <t>Suy Sing - My Everyday - 500ml Plastic Rectanguar</t>
        </is>
      </c>
      <c r="D1216" t="inlineStr">
        <is>
          <t>pieces</t>
        </is>
      </c>
      <c r="E1216" t="n">
        <v>5</v>
      </c>
      <c r="F1216" t="n">
        <v>50</v>
      </c>
      <c r="G1216" t="n">
        <v>10</v>
      </c>
    </row>
    <row r="1217">
      <c r="A1217" t="n">
        <v>702</v>
      </c>
      <c r="B1217" t="inlineStr">
        <is>
          <t>Microwavable Container</t>
        </is>
      </c>
      <c r="C1217" t="inlineStr">
        <is>
          <t>Belle - RE500</t>
        </is>
      </c>
      <c r="D1217" t="inlineStr">
        <is>
          <t>pieces</t>
        </is>
      </c>
      <c r="E1217" t="n">
        <v>50</v>
      </c>
      <c r="F1217" t="n">
        <v>182.5</v>
      </c>
      <c r="G1217" t="n">
        <v>3.65</v>
      </c>
    </row>
    <row r="1218">
      <c r="A1218" t="n">
        <v>702</v>
      </c>
      <c r="B1218" t="inlineStr">
        <is>
          <t>Microwavable Container</t>
        </is>
      </c>
      <c r="C1218" t="inlineStr">
        <is>
          <t>Belle - RE750</t>
        </is>
      </c>
      <c r="D1218" t="inlineStr">
        <is>
          <t>pieces</t>
        </is>
      </c>
      <c r="E1218" t="n">
        <v>270</v>
      </c>
      <c r="F1218" t="n">
        <v>1291.5</v>
      </c>
      <c r="G1218" t="n">
        <v>4.783333333333333</v>
      </c>
    </row>
    <row r="1219">
      <c r="A1219" t="n">
        <v>702</v>
      </c>
      <c r="B1219" t="inlineStr">
        <is>
          <t>Microwavable Container</t>
        </is>
      </c>
      <c r="C1219" t="inlineStr">
        <is>
          <t>Belle - RO10</t>
        </is>
      </c>
      <c r="D1219" t="inlineStr">
        <is>
          <t>pieces</t>
        </is>
      </c>
      <c r="E1219" t="n">
        <v>561</v>
      </c>
      <c r="F1219" t="n">
        <v>1402.5</v>
      </c>
      <c r="G1219" t="n">
        <v>2.5</v>
      </c>
    </row>
    <row r="1220">
      <c r="A1220" t="n">
        <v>702</v>
      </c>
      <c r="B1220" t="inlineStr">
        <is>
          <t>Microwavable Container</t>
        </is>
      </c>
      <c r="C1220" t="inlineStr">
        <is>
          <t>Belle - RO16</t>
        </is>
      </c>
      <c r="D1220" t="inlineStr">
        <is>
          <t>pieces</t>
        </is>
      </c>
      <c r="E1220" t="n">
        <v>567</v>
      </c>
      <c r="F1220" t="n">
        <v>1678.32</v>
      </c>
      <c r="G1220" t="n">
        <v>2.96</v>
      </c>
    </row>
    <row r="1221">
      <c r="A1221" t="n">
        <v>703</v>
      </c>
      <c r="B1221" t="inlineStr">
        <is>
          <t>Miki</t>
        </is>
      </c>
      <c r="C1221" t="inlineStr"/>
      <c r="D1221" t="inlineStr">
        <is>
          <t>kilos</t>
        </is>
      </c>
      <c r="E1221" t="n">
        <v>6</v>
      </c>
      <c r="F1221" t="n">
        <v>216</v>
      </c>
      <c r="G1221" t="n">
        <v>36</v>
      </c>
    </row>
    <row r="1222">
      <c r="A1222" t="n">
        <v>704</v>
      </c>
      <c r="B1222" t="inlineStr">
        <is>
          <t>Milk - Fresh</t>
        </is>
      </c>
      <c r="C1222" t="inlineStr">
        <is>
          <t>Nestle - Fresh Milk</t>
        </is>
      </c>
      <c r="D1222" t="inlineStr">
        <is>
          <t>ml</t>
        </is>
      </c>
      <c r="E1222" t="n">
        <v>98</v>
      </c>
      <c r="F1222" t="n">
        <v>3724</v>
      </c>
      <c r="G1222" t="n">
        <v>38</v>
      </c>
    </row>
    <row r="1223">
      <c r="A1223" t="n">
        <v>704</v>
      </c>
      <c r="B1223" t="inlineStr">
        <is>
          <t>Milk - Fresh</t>
        </is>
      </c>
      <c r="C1223" t="inlineStr">
        <is>
          <t>Selecta</t>
        </is>
      </c>
      <c r="D1223" t="inlineStr">
        <is>
          <t>liters</t>
        </is>
      </c>
      <c r="E1223" t="n">
        <v>1</v>
      </c>
      <c r="F1223" t="n">
        <v>99</v>
      </c>
      <c r="G1223" t="n">
        <v>99</v>
      </c>
    </row>
    <row r="1224">
      <c r="A1224" t="n">
        <v>705</v>
      </c>
      <c r="B1224" t="inlineStr">
        <is>
          <t>Milk - Powdered</t>
        </is>
      </c>
      <c r="C1224" t="inlineStr">
        <is>
          <t>Birch Tree</t>
        </is>
      </c>
      <c r="D1224" t="inlineStr">
        <is>
          <t>grams</t>
        </is>
      </c>
      <c r="E1224" t="n">
        <v>34</v>
      </c>
      <c r="F1224" t="n">
        <v>438.6</v>
      </c>
      <c r="G1224" t="n">
        <v>12.9</v>
      </c>
    </row>
    <row r="1225">
      <c r="A1225" t="n">
        <v>705</v>
      </c>
      <c r="B1225" t="inlineStr">
        <is>
          <t>Milk - Powdered</t>
        </is>
      </c>
      <c r="C1225" t="inlineStr">
        <is>
          <t>Nestle - Bear Brand</t>
        </is>
      </c>
      <c r="D1225" t="inlineStr">
        <is>
          <t>grams</t>
        </is>
      </c>
      <c r="E1225" t="n">
        <v>330</v>
      </c>
      <c r="F1225" t="n">
        <v>3663</v>
      </c>
      <c r="G1225" t="n">
        <v>11.1</v>
      </c>
    </row>
    <row r="1226">
      <c r="A1226" t="n">
        <v>706</v>
      </c>
      <c r="B1226" t="inlineStr">
        <is>
          <t>Milk - Powdered (Choco)</t>
        </is>
      </c>
      <c r="C1226" t="inlineStr">
        <is>
          <t>Nestle - Bear Brand</t>
        </is>
      </c>
      <c r="D1226" t="inlineStr">
        <is>
          <t>grams</t>
        </is>
      </c>
      <c r="E1226" t="n">
        <v>2</v>
      </c>
      <c r="F1226" t="n">
        <v>22.2</v>
      </c>
      <c r="G1226" t="n">
        <v>11.1</v>
      </c>
    </row>
    <row r="1227">
      <c r="A1227" t="n">
        <v>707</v>
      </c>
      <c r="B1227" t="inlineStr">
        <is>
          <t>Milk- Sterelized</t>
        </is>
      </c>
      <c r="C1227" t="inlineStr">
        <is>
          <t>Nestle - Bear Brand</t>
        </is>
      </c>
      <c r="D1227" t="inlineStr">
        <is>
          <t>ml</t>
        </is>
      </c>
      <c r="E1227" t="n">
        <v>9</v>
      </c>
      <c r="F1227" t="n">
        <v>247.5</v>
      </c>
      <c r="G1227" t="n">
        <v>27.5</v>
      </c>
    </row>
    <row r="1228">
      <c r="A1228" t="n">
        <v>274</v>
      </c>
      <c r="B1228" t="inlineStr">
        <is>
          <t>Mineral Water</t>
        </is>
      </c>
      <c r="C1228" t="inlineStr">
        <is>
          <t>Asia Brewery - Summit</t>
        </is>
      </c>
      <c r="D1228" t="inlineStr">
        <is>
          <t>ml</t>
        </is>
      </c>
      <c r="E1228" t="n">
        <v>403</v>
      </c>
      <c r="F1228" t="n">
        <v>3545.48</v>
      </c>
      <c r="G1228" t="n">
        <v>8.797717121588089</v>
      </c>
    </row>
    <row r="1229">
      <c r="A1229" t="n">
        <v>274</v>
      </c>
      <c r="B1229" t="inlineStr">
        <is>
          <t>Mineral Water</t>
        </is>
      </c>
      <c r="C1229" t="inlineStr">
        <is>
          <t>Asia Brewery - Summit Still</t>
        </is>
      </c>
      <c r="D1229" t="inlineStr">
        <is>
          <t>ml</t>
        </is>
      </c>
      <c r="E1229" t="n">
        <v>49</v>
      </c>
      <c r="F1229" t="n">
        <v>1911</v>
      </c>
      <c r="G1229" t="n">
        <v>39</v>
      </c>
    </row>
    <row r="1230">
      <c r="A1230" t="n">
        <v>274</v>
      </c>
      <c r="B1230" t="inlineStr">
        <is>
          <t>Mineral Water</t>
        </is>
      </c>
      <c r="C1230" t="inlineStr">
        <is>
          <t>Acqua Panna</t>
        </is>
      </c>
      <c r="D1230" t="inlineStr">
        <is>
          <t>ml</t>
        </is>
      </c>
      <c r="E1230" t="n">
        <v>44</v>
      </c>
      <c r="F1230" t="n">
        <v>3969</v>
      </c>
      <c r="G1230" t="n">
        <v>90.20454545454545</v>
      </c>
    </row>
    <row r="1231">
      <c r="A1231" t="n">
        <v>274</v>
      </c>
      <c r="B1231" t="inlineStr">
        <is>
          <t>Mineral Water</t>
        </is>
      </c>
      <c r="C1231" t="inlineStr">
        <is>
          <t>Nature's Spring</t>
        </is>
      </c>
      <c r="D1231" t="inlineStr">
        <is>
          <t>ml</t>
        </is>
      </c>
      <c r="E1231" t="n">
        <v>663</v>
      </c>
      <c r="F1231" t="n">
        <v>5503.440000000001</v>
      </c>
      <c r="G1231" t="n">
        <v>8.30081447963801</v>
      </c>
    </row>
    <row r="1232">
      <c r="A1232" t="n">
        <v>274</v>
      </c>
      <c r="B1232" t="inlineStr">
        <is>
          <t>Mineral Water</t>
        </is>
      </c>
      <c r="C1232" t="inlineStr">
        <is>
          <t>Coca Cola - Wilkins</t>
        </is>
      </c>
      <c r="D1232" t="inlineStr">
        <is>
          <t>ml</t>
        </is>
      </c>
      <c r="E1232" t="n">
        <v>99</v>
      </c>
      <c r="F1232" t="n">
        <v>1031.58</v>
      </c>
      <c r="G1232" t="n">
        <v>10.42</v>
      </c>
    </row>
    <row r="1233">
      <c r="A1233" t="n">
        <v>274</v>
      </c>
      <c r="B1233" t="inlineStr">
        <is>
          <t>Mineral water</t>
        </is>
      </c>
      <c r="C1233" t="inlineStr">
        <is>
          <t>Nature's Spring</t>
        </is>
      </c>
      <c r="D1233" t="inlineStr">
        <is>
          <t>ml</t>
        </is>
      </c>
      <c r="E1233" t="n">
        <v>866</v>
      </c>
      <c r="F1233" t="n">
        <v>8573.4</v>
      </c>
      <c r="G1233" t="n">
        <v>9.9</v>
      </c>
    </row>
    <row r="1234">
      <c r="A1234" t="n">
        <v>274</v>
      </c>
      <c r="B1234" t="inlineStr">
        <is>
          <t>Mineral Water</t>
        </is>
      </c>
      <c r="C1234" t="inlineStr">
        <is>
          <t>Asia Brewery - Summit Still</t>
        </is>
      </c>
      <c r="D1234" t="inlineStr">
        <is>
          <t>liters</t>
        </is>
      </c>
      <c r="E1234" t="n">
        <v>2</v>
      </c>
      <c r="F1234" t="n">
        <v>150</v>
      </c>
      <c r="G1234" t="n">
        <v>75</v>
      </c>
    </row>
    <row r="1235">
      <c r="A1235" t="n">
        <v>279</v>
      </c>
      <c r="B1235" t="inlineStr">
        <is>
          <t>Misua</t>
        </is>
      </c>
      <c r="C1235" t="inlineStr">
        <is>
          <t>Excellent</t>
        </is>
      </c>
      <c r="D1235" t="inlineStr">
        <is>
          <t>grams</t>
        </is>
      </c>
      <c r="E1235" t="n">
        <v>8</v>
      </c>
      <c r="F1235" t="n">
        <v>188.8</v>
      </c>
      <c r="G1235" t="n">
        <v>23.6</v>
      </c>
    </row>
    <row r="1236">
      <c r="A1236" t="n">
        <v>279</v>
      </c>
      <c r="B1236" t="inlineStr">
        <is>
          <t>Misua</t>
        </is>
      </c>
      <c r="C1236" t="inlineStr">
        <is>
          <t>Excellent</t>
        </is>
      </c>
      <c r="D1236" t="inlineStr">
        <is>
          <t>kl</t>
        </is>
      </c>
      <c r="E1236" t="n">
        <v>1</v>
      </c>
      <c r="F1236" t="n">
        <v>236.7</v>
      </c>
      <c r="G1236" t="n">
        <v>236.7</v>
      </c>
    </row>
    <row r="1237">
      <c r="A1237" t="n">
        <v>279</v>
      </c>
      <c r="B1237" t="inlineStr">
        <is>
          <t>Misua</t>
        </is>
      </c>
      <c r="C1237" t="inlineStr">
        <is>
          <t>Pure Basics</t>
        </is>
      </c>
      <c r="D1237" t="inlineStr">
        <is>
          <t>grams</t>
        </is>
      </c>
      <c r="E1237" t="n">
        <v>4</v>
      </c>
      <c r="F1237" t="n">
        <v>80</v>
      </c>
      <c r="G1237" t="n">
        <v>20</v>
      </c>
    </row>
    <row r="1238">
      <c r="A1238" t="n">
        <v>279</v>
      </c>
      <c r="B1238" t="inlineStr">
        <is>
          <t>Misua</t>
        </is>
      </c>
      <c r="C1238" t="inlineStr">
        <is>
          <t>Unicorn</t>
        </is>
      </c>
      <c r="D1238" t="inlineStr">
        <is>
          <t>kilos</t>
        </is>
      </c>
      <c r="E1238" t="n">
        <v>2</v>
      </c>
      <c r="F1238" t="n">
        <v>250</v>
      </c>
      <c r="G1238" t="n">
        <v>125</v>
      </c>
    </row>
    <row r="1239">
      <c r="A1239" t="n">
        <v>279</v>
      </c>
      <c r="B1239" t="inlineStr">
        <is>
          <t>Misua</t>
        </is>
      </c>
      <c r="C1239" t="inlineStr">
        <is>
          <t>Edward Edit</t>
        </is>
      </c>
      <c r="D1239" t="inlineStr">
        <is>
          <t>kilos</t>
        </is>
      </c>
      <c r="E1239" t="n">
        <v>1</v>
      </c>
      <c r="F1239" t="n">
        <v>120</v>
      </c>
      <c r="G1239" t="n">
        <v>120</v>
      </c>
    </row>
    <row r="1240">
      <c r="A1240" t="n">
        <v>708</v>
      </c>
      <c r="B1240" t="inlineStr">
        <is>
          <t>Molo Wrapper</t>
        </is>
      </c>
      <c r="C1240" t="inlineStr">
        <is>
          <t>Dinks</t>
        </is>
      </c>
      <c r="D1240" t="inlineStr">
        <is>
          <t>grams</t>
        </is>
      </c>
      <c r="E1240" t="n">
        <v>3</v>
      </c>
      <c r="F1240" t="n">
        <v>150</v>
      </c>
      <c r="G1240" t="n">
        <v>50</v>
      </c>
    </row>
    <row r="1241">
      <c r="A1241" t="n">
        <v>283</v>
      </c>
      <c r="B1241" t="inlineStr">
        <is>
          <t>Monggo</t>
        </is>
      </c>
      <c r="C1241" t="inlineStr"/>
      <c r="D1241" t="inlineStr">
        <is>
          <t>kilos</t>
        </is>
      </c>
      <c r="E1241" t="n">
        <v>12</v>
      </c>
      <c r="F1241" t="n">
        <v>1185</v>
      </c>
      <c r="G1241" t="n">
        <v>98.75</v>
      </c>
    </row>
    <row r="1242">
      <c r="A1242" t="n">
        <v>283</v>
      </c>
      <c r="B1242" t="inlineStr">
        <is>
          <t>Monggo</t>
        </is>
      </c>
      <c r="C1242" t="inlineStr">
        <is>
          <t>JRS Vegetables and Sea Foods</t>
        </is>
      </c>
      <c r="D1242" t="inlineStr">
        <is>
          <t>kilos</t>
        </is>
      </c>
      <c r="E1242" t="n">
        <v>6</v>
      </c>
      <c r="F1242" t="n">
        <v>528</v>
      </c>
      <c r="G1242" t="n">
        <v>88</v>
      </c>
    </row>
    <row r="1243">
      <c r="A1243" t="n">
        <v>283</v>
      </c>
      <c r="B1243" t="inlineStr">
        <is>
          <t>Monggo</t>
        </is>
      </c>
      <c r="C1243" t="inlineStr">
        <is>
          <t>Wet Market</t>
        </is>
      </c>
      <c r="D1243" t="inlineStr">
        <is>
          <t>kilos</t>
        </is>
      </c>
      <c r="E1243" t="n">
        <v>7</v>
      </c>
      <c r="F1243" t="n">
        <v>700</v>
      </c>
      <c r="G1243" t="n">
        <v>100</v>
      </c>
    </row>
    <row r="1244">
      <c r="A1244" t="n">
        <v>284</v>
      </c>
      <c r="B1244" t="inlineStr">
        <is>
          <t>Mop Head</t>
        </is>
      </c>
      <c r="C1244" t="inlineStr">
        <is>
          <t>Universal</t>
        </is>
      </c>
      <c r="D1244" t="inlineStr">
        <is>
          <t>pieces</t>
        </is>
      </c>
      <c r="E1244" t="n">
        <v>12</v>
      </c>
      <c r="F1244" t="n">
        <v>1124.7</v>
      </c>
      <c r="G1244" t="n">
        <v>93.72500000000001</v>
      </c>
    </row>
    <row r="1245">
      <c r="A1245" t="n">
        <v>284</v>
      </c>
      <c r="B1245" t="inlineStr">
        <is>
          <t>Mop Head</t>
        </is>
      </c>
      <c r="C1245" t="inlineStr"/>
      <c r="D1245" t="inlineStr">
        <is>
          <t>pieces</t>
        </is>
      </c>
      <c r="E1245" t="n">
        <v>1</v>
      </c>
      <c r="F1245" t="n">
        <v>120</v>
      </c>
      <c r="G1245" t="n">
        <v>120</v>
      </c>
    </row>
    <row r="1246">
      <c r="A1246" t="n">
        <v>291</v>
      </c>
      <c r="B1246" t="inlineStr">
        <is>
          <t>Mushroom Pieces &amp; Stem</t>
        </is>
      </c>
      <c r="C1246" t="inlineStr">
        <is>
          <t>Jolly</t>
        </is>
      </c>
      <c r="D1246" t="inlineStr">
        <is>
          <t>grams</t>
        </is>
      </c>
      <c r="E1246" t="n">
        <v>15</v>
      </c>
      <c r="F1246" t="n">
        <v>690.3</v>
      </c>
      <c r="G1246" t="n">
        <v>46.02</v>
      </c>
    </row>
    <row r="1247">
      <c r="A1247" t="n">
        <v>291</v>
      </c>
      <c r="B1247" t="inlineStr">
        <is>
          <t>Mushroom Pieces &amp; Stem</t>
        </is>
      </c>
      <c r="C1247" t="inlineStr">
        <is>
          <t>Jolly</t>
        </is>
      </c>
      <c r="D1247" t="inlineStr">
        <is>
          <t>drained weight grams</t>
        </is>
      </c>
      <c r="E1247" t="n">
        <v>1</v>
      </c>
      <c r="F1247" t="n">
        <v>61</v>
      </c>
      <c r="G1247" t="n">
        <v>61</v>
      </c>
    </row>
    <row r="1248">
      <c r="A1248" t="n">
        <v>292</v>
      </c>
      <c r="B1248" t="inlineStr">
        <is>
          <t>Mushroom Whole</t>
        </is>
      </c>
      <c r="C1248" t="inlineStr">
        <is>
          <t>Jolly</t>
        </is>
      </c>
      <c r="D1248" t="inlineStr">
        <is>
          <t>drained weight grams</t>
        </is>
      </c>
      <c r="E1248" t="n">
        <v>10</v>
      </c>
      <c r="F1248" t="n">
        <v>638</v>
      </c>
      <c r="G1248" t="n">
        <v>63.8</v>
      </c>
    </row>
    <row r="1249">
      <c r="A1249" t="n">
        <v>709</v>
      </c>
      <c r="B1249" t="inlineStr">
        <is>
          <t>Mustard</t>
        </is>
      </c>
      <c r="C1249" t="inlineStr">
        <is>
          <t>McCormick</t>
        </is>
      </c>
      <c r="D1249" t="inlineStr">
        <is>
          <t>grams</t>
        </is>
      </c>
      <c r="E1249" t="n">
        <v>2</v>
      </c>
      <c r="F1249" t="n">
        <v>174.5</v>
      </c>
      <c r="G1249" t="n">
        <v>87.25</v>
      </c>
    </row>
    <row r="1250">
      <c r="A1250" t="n">
        <v>710</v>
      </c>
      <c r="B1250" t="inlineStr">
        <is>
          <t>Nata de Coco - Green</t>
        </is>
      </c>
      <c r="C1250" t="inlineStr">
        <is>
          <t>Fruit Delight</t>
        </is>
      </c>
      <c r="D1250" t="inlineStr">
        <is>
          <t>grams</t>
        </is>
      </c>
      <c r="E1250" t="n">
        <v>1</v>
      </c>
      <c r="F1250" t="n">
        <v>180</v>
      </c>
      <c r="G1250" t="n">
        <v>180</v>
      </c>
    </row>
    <row r="1251">
      <c r="A1251" t="n">
        <v>711</v>
      </c>
      <c r="B1251" t="inlineStr">
        <is>
          <t>Net Sponge</t>
        </is>
      </c>
      <c r="C1251" t="inlineStr">
        <is>
          <t>Scotch Brite</t>
        </is>
      </c>
      <c r="D1251" t="inlineStr">
        <is>
          <t>pieces</t>
        </is>
      </c>
      <c r="E1251" t="n">
        <v>6</v>
      </c>
      <c r="F1251" t="n">
        <v>298.5</v>
      </c>
      <c r="G1251" t="n">
        <v>49.75</v>
      </c>
    </row>
    <row r="1252">
      <c r="A1252" t="n">
        <v>712</v>
      </c>
      <c r="B1252" t="inlineStr">
        <is>
          <t>Niyog Kayod</t>
        </is>
      </c>
      <c r="C1252" t="inlineStr"/>
      <c r="D1252" t="inlineStr">
        <is>
          <t>kilos</t>
        </is>
      </c>
      <c r="E1252" t="n">
        <v>1</v>
      </c>
      <c r="F1252" t="n">
        <v>60</v>
      </c>
      <c r="G1252" t="n">
        <v>60</v>
      </c>
    </row>
    <row r="1253">
      <c r="A1253" t="n">
        <v>713</v>
      </c>
      <c r="B1253" t="inlineStr">
        <is>
          <t>Nutmeg</t>
        </is>
      </c>
      <c r="C1253" t="inlineStr">
        <is>
          <t>McCormick</t>
        </is>
      </c>
      <c r="D1253" t="inlineStr">
        <is>
          <t>grams</t>
        </is>
      </c>
      <c r="E1253" t="n">
        <v>3</v>
      </c>
      <c r="F1253" t="n">
        <v>355.5</v>
      </c>
      <c r="G1253" t="n">
        <v>118.5</v>
      </c>
    </row>
    <row r="1254">
      <c r="A1254" t="n">
        <v>714</v>
      </c>
      <c r="B1254" t="inlineStr">
        <is>
          <t>Okra</t>
        </is>
      </c>
      <c r="C1254" t="inlineStr"/>
      <c r="D1254" t="inlineStr">
        <is>
          <t>kilos</t>
        </is>
      </c>
      <c r="E1254" t="n">
        <v>4</v>
      </c>
      <c r="F1254" t="n">
        <v>260</v>
      </c>
      <c r="G1254" t="n">
        <v>65</v>
      </c>
    </row>
    <row r="1255">
      <c r="A1255" t="n">
        <v>714</v>
      </c>
      <c r="B1255" t="inlineStr">
        <is>
          <t>Okra</t>
        </is>
      </c>
      <c r="C1255" t="inlineStr">
        <is>
          <t>Louise Food and Beverages Trading</t>
        </is>
      </c>
      <c r="D1255" t="inlineStr">
        <is>
          <t>kilos</t>
        </is>
      </c>
      <c r="E1255" t="n">
        <v>1</v>
      </c>
      <c r="F1255" t="n">
        <v>60</v>
      </c>
      <c r="G1255" t="n">
        <v>60</v>
      </c>
    </row>
    <row r="1256">
      <c r="A1256" t="n">
        <v>715</v>
      </c>
      <c r="B1256" t="inlineStr">
        <is>
          <t>Olive Oil</t>
        </is>
      </c>
      <c r="C1256" t="inlineStr">
        <is>
          <t>Dona Elena</t>
        </is>
      </c>
      <c r="D1256" t="inlineStr">
        <is>
          <t>grams</t>
        </is>
      </c>
      <c r="E1256" t="n">
        <v>1</v>
      </c>
      <c r="F1256" t="n">
        <v>294</v>
      </c>
      <c r="G1256" t="n">
        <v>294</v>
      </c>
    </row>
    <row r="1257">
      <c r="A1257" t="n">
        <v>715</v>
      </c>
      <c r="B1257" t="inlineStr">
        <is>
          <t>Olive Oil</t>
        </is>
      </c>
      <c r="C1257" t="inlineStr">
        <is>
          <t>Dona Elena</t>
        </is>
      </c>
      <c r="D1257" t="inlineStr">
        <is>
          <t>ml</t>
        </is>
      </c>
      <c r="E1257" t="n">
        <v>1</v>
      </c>
      <c r="F1257" t="n">
        <v>534.75</v>
      </c>
      <c r="G1257" t="n">
        <v>534.75</v>
      </c>
    </row>
    <row r="1258">
      <c r="A1258" t="n">
        <v>715</v>
      </c>
      <c r="B1258" t="inlineStr">
        <is>
          <t>Olive Oil</t>
        </is>
      </c>
      <c r="C1258" t="inlineStr">
        <is>
          <t>Filippo Berio</t>
        </is>
      </c>
      <c r="D1258" t="inlineStr">
        <is>
          <t>ml</t>
        </is>
      </c>
      <c r="E1258" t="n">
        <v>1</v>
      </c>
      <c r="F1258" t="n">
        <v>244.5</v>
      </c>
      <c r="G1258" t="n">
        <v>244.5</v>
      </c>
    </row>
    <row r="1259">
      <c r="A1259" t="n">
        <v>301</v>
      </c>
      <c r="B1259" t="inlineStr">
        <is>
          <t>Olive Oil - Pure</t>
        </is>
      </c>
      <c r="C1259" t="inlineStr">
        <is>
          <t>Dona Elena</t>
        </is>
      </c>
      <c r="D1259" t="inlineStr">
        <is>
          <t>ml</t>
        </is>
      </c>
      <c r="E1259" t="n">
        <v>3</v>
      </c>
      <c r="F1259" t="n">
        <v>822.3000000000001</v>
      </c>
      <c r="G1259" t="n">
        <v>274.1</v>
      </c>
    </row>
    <row r="1260">
      <c r="A1260" t="n">
        <v>301</v>
      </c>
      <c r="B1260" t="inlineStr">
        <is>
          <t>Olive Oil - Pure</t>
        </is>
      </c>
      <c r="C1260" t="inlineStr">
        <is>
          <t>Dona Elena</t>
        </is>
      </c>
      <c r="D1260" t="inlineStr">
        <is>
          <t>grams</t>
        </is>
      </c>
      <c r="E1260" t="n">
        <v>4</v>
      </c>
      <c r="F1260" t="n">
        <v>1160</v>
      </c>
      <c r="G1260" t="n">
        <v>290</v>
      </c>
    </row>
    <row r="1261">
      <c r="A1261" t="n">
        <v>716</v>
      </c>
      <c r="B1261" t="inlineStr">
        <is>
          <t>Onion Leeks</t>
        </is>
      </c>
      <c r="C1261" t="inlineStr"/>
      <c r="D1261" t="inlineStr">
        <is>
          <t>kilos</t>
        </is>
      </c>
      <c r="E1261" t="n">
        <v>0</v>
      </c>
      <c r="F1261" t="n">
        <v>0</v>
      </c>
      <c r="G1261" t="n">
        <v>0</v>
      </c>
    </row>
    <row r="1262">
      <c r="A1262" t="n">
        <v>717</v>
      </c>
      <c r="B1262" t="inlineStr">
        <is>
          <t>Onion Powder</t>
        </is>
      </c>
      <c r="C1262" t="inlineStr">
        <is>
          <t>J&amp;Y</t>
        </is>
      </c>
      <c r="D1262" t="inlineStr">
        <is>
          <t>grams</t>
        </is>
      </c>
      <c r="E1262" t="n">
        <v>1</v>
      </c>
      <c r="F1262" t="n">
        <v>14.35</v>
      </c>
      <c r="G1262" t="n">
        <v>14.35</v>
      </c>
    </row>
    <row r="1263">
      <c r="A1263" t="n">
        <v>718</v>
      </c>
      <c r="B1263" t="inlineStr">
        <is>
          <t>Onion Red</t>
        </is>
      </c>
      <c r="C1263" t="inlineStr"/>
      <c r="D1263" t="inlineStr">
        <is>
          <t>kilos</t>
        </is>
      </c>
      <c r="E1263" t="n">
        <v>2</v>
      </c>
      <c r="F1263" t="n">
        <v>375</v>
      </c>
      <c r="G1263" t="n">
        <v>187.5</v>
      </c>
    </row>
    <row r="1264">
      <c r="A1264" t="n">
        <v>302</v>
      </c>
      <c r="B1264" t="inlineStr">
        <is>
          <t>Onion White</t>
        </is>
      </c>
      <c r="C1264" t="inlineStr">
        <is>
          <t>Hernan Logmao</t>
        </is>
      </c>
      <c r="D1264" t="inlineStr">
        <is>
          <t>kilos</t>
        </is>
      </c>
      <c r="E1264" t="n">
        <v>1</v>
      </c>
      <c r="F1264" t="n">
        <v>110</v>
      </c>
      <c r="G1264" t="n">
        <v>110</v>
      </c>
    </row>
    <row r="1265">
      <c r="A1265" t="n">
        <v>302</v>
      </c>
      <c r="B1265" t="inlineStr">
        <is>
          <t>Onion White</t>
        </is>
      </c>
      <c r="C1265" t="inlineStr"/>
      <c r="D1265" t="inlineStr">
        <is>
          <t>kilos</t>
        </is>
      </c>
      <c r="E1265" t="n">
        <v>4</v>
      </c>
      <c r="F1265" t="n">
        <v>450</v>
      </c>
      <c r="G1265" t="n">
        <v>112.5</v>
      </c>
    </row>
    <row r="1266">
      <c r="A1266" t="n">
        <v>719</v>
      </c>
      <c r="B1266" t="inlineStr">
        <is>
          <t>Orange Marmalade</t>
        </is>
      </c>
      <c r="C1266" t="inlineStr">
        <is>
          <t>Clara Ole</t>
        </is>
      </c>
      <c r="D1266" t="inlineStr">
        <is>
          <t>grams</t>
        </is>
      </c>
      <c r="E1266" t="n">
        <v>1</v>
      </c>
      <c r="F1266" t="n">
        <v>135</v>
      </c>
      <c r="G1266" t="n">
        <v>135</v>
      </c>
    </row>
    <row r="1267">
      <c r="A1267" t="n">
        <v>720</v>
      </c>
      <c r="B1267" t="inlineStr">
        <is>
          <t>Orange Ponkan</t>
        </is>
      </c>
      <c r="C1267" t="inlineStr"/>
      <c r="D1267" t="inlineStr">
        <is>
          <t>pieces</t>
        </is>
      </c>
      <c r="E1267" t="n">
        <v>8</v>
      </c>
      <c r="F1267" t="n">
        <v>360</v>
      </c>
      <c r="G1267" t="n">
        <v>45</v>
      </c>
    </row>
    <row r="1268">
      <c r="A1268" t="n">
        <v>721</v>
      </c>
      <c r="B1268" t="inlineStr">
        <is>
          <t>Oregano Leaves Whole</t>
        </is>
      </c>
      <c r="C1268" t="inlineStr">
        <is>
          <t>J&amp;Y</t>
        </is>
      </c>
      <c r="D1268" t="inlineStr">
        <is>
          <t>grams</t>
        </is>
      </c>
      <c r="E1268" t="n">
        <v>3</v>
      </c>
      <c r="F1268" t="n">
        <v>63.3</v>
      </c>
      <c r="G1268" t="n">
        <v>21.1</v>
      </c>
    </row>
    <row r="1269">
      <c r="A1269" t="n">
        <v>722</v>
      </c>
      <c r="B1269" t="inlineStr">
        <is>
          <t>Oxtripe</t>
        </is>
      </c>
      <c r="C1269" t="inlineStr">
        <is>
          <t>Frozen</t>
        </is>
      </c>
      <c r="D1269" t="inlineStr">
        <is>
          <t>kilos</t>
        </is>
      </c>
      <c r="E1269" t="n">
        <v>2</v>
      </c>
      <c r="F1269" t="n">
        <v>320</v>
      </c>
      <c r="G1269" t="n">
        <v>160</v>
      </c>
    </row>
    <row r="1270">
      <c r="A1270" t="n">
        <v>722</v>
      </c>
      <c r="B1270" t="inlineStr">
        <is>
          <t>Oxtripe</t>
        </is>
      </c>
      <c r="C1270" t="inlineStr">
        <is>
          <t>Francis Trebajo</t>
        </is>
      </c>
      <c r="D1270" t="inlineStr">
        <is>
          <t>kilos</t>
        </is>
      </c>
      <c r="E1270" t="n">
        <v>17</v>
      </c>
      <c r="F1270" t="n">
        <v>4080</v>
      </c>
      <c r="G1270" t="n">
        <v>240</v>
      </c>
    </row>
    <row r="1271">
      <c r="A1271" t="n">
        <v>306</v>
      </c>
      <c r="B1271" t="inlineStr">
        <is>
          <t>Oyster Sauce</t>
        </is>
      </c>
      <c r="C1271" t="inlineStr">
        <is>
          <t>Ticman</t>
        </is>
      </c>
      <c r="D1271" t="inlineStr">
        <is>
          <t>ml</t>
        </is>
      </c>
      <c r="E1271" t="n">
        <v>7</v>
      </c>
      <c r="F1271" t="n">
        <v>1393</v>
      </c>
      <c r="G1271" t="n">
        <v>199</v>
      </c>
    </row>
    <row r="1272">
      <c r="A1272" t="n">
        <v>306</v>
      </c>
      <c r="B1272" t="inlineStr">
        <is>
          <t>Oyster Sauce</t>
        </is>
      </c>
      <c r="C1272" t="inlineStr">
        <is>
          <t>Mama Sita's</t>
        </is>
      </c>
      <c r="D1272" t="inlineStr">
        <is>
          <t>grams</t>
        </is>
      </c>
      <c r="E1272" t="n">
        <v>2</v>
      </c>
      <c r="F1272" t="n">
        <v>289.6</v>
      </c>
      <c r="G1272" t="n">
        <v>144.8</v>
      </c>
    </row>
    <row r="1273">
      <c r="A1273" t="n">
        <v>306</v>
      </c>
      <c r="B1273" t="inlineStr">
        <is>
          <t>Oyster Sauce</t>
        </is>
      </c>
      <c r="C1273" t="inlineStr">
        <is>
          <t>Ticman</t>
        </is>
      </c>
      <c r="D1273" t="inlineStr">
        <is>
          <t>gal</t>
        </is>
      </c>
      <c r="E1273" t="n">
        <v>2</v>
      </c>
      <c r="F1273" t="n">
        <v>400</v>
      </c>
      <c r="G1273" t="n">
        <v>200</v>
      </c>
    </row>
    <row r="1274">
      <c r="A1274" t="n">
        <v>306</v>
      </c>
      <c r="B1274" t="inlineStr">
        <is>
          <t>Oyster Sauce</t>
        </is>
      </c>
      <c r="C1274" t="inlineStr">
        <is>
          <t>Gold Dragon</t>
        </is>
      </c>
      <c r="D1274" t="inlineStr">
        <is>
          <t>grams</t>
        </is>
      </c>
      <c r="E1274" t="n">
        <v>5</v>
      </c>
      <c r="F1274" t="n">
        <v>825</v>
      </c>
      <c r="G1274" t="n">
        <v>165</v>
      </c>
    </row>
    <row r="1275">
      <c r="A1275" t="n">
        <v>306</v>
      </c>
      <c r="B1275" t="inlineStr">
        <is>
          <t>Oyster Sauce</t>
        </is>
      </c>
      <c r="C1275" t="inlineStr">
        <is>
          <t>Mama Sita's</t>
        </is>
      </c>
      <c r="D1275" t="inlineStr">
        <is>
          <t>kilos</t>
        </is>
      </c>
      <c r="E1275" t="n">
        <v>1</v>
      </c>
      <c r="F1275" t="n">
        <v>721.7</v>
      </c>
      <c r="G1275" t="n">
        <v>721.7</v>
      </c>
    </row>
    <row r="1276">
      <c r="A1276" t="n">
        <v>723</v>
      </c>
      <c r="B1276" t="inlineStr">
        <is>
          <t>Pakwan</t>
        </is>
      </c>
      <c r="C1276" t="inlineStr"/>
      <c r="D1276" t="inlineStr">
        <is>
          <t>kilos</t>
        </is>
      </c>
      <c r="E1276" t="n">
        <v>2</v>
      </c>
      <c r="F1276" t="n">
        <v>500</v>
      </c>
      <c r="G1276" t="n">
        <v>250</v>
      </c>
    </row>
    <row r="1277">
      <c r="A1277" t="n">
        <v>723</v>
      </c>
      <c r="B1277" t="inlineStr">
        <is>
          <t>Pakwan</t>
        </is>
      </c>
      <c r="C1277" t="inlineStr"/>
      <c r="D1277" t="inlineStr">
        <is>
          <t>grams</t>
        </is>
      </c>
      <c r="E1277" t="n">
        <v>9</v>
      </c>
      <c r="F1277" t="n">
        <v>432</v>
      </c>
      <c r="G1277" t="n">
        <v>48</v>
      </c>
    </row>
    <row r="1278">
      <c r="A1278" t="n">
        <v>724</v>
      </c>
      <c r="B1278" t="inlineStr">
        <is>
          <t>Pakwan Yellow</t>
        </is>
      </c>
      <c r="C1278" t="inlineStr"/>
      <c r="D1278" t="inlineStr">
        <is>
          <t>grams</t>
        </is>
      </c>
      <c r="E1278" t="n">
        <v>1</v>
      </c>
      <c r="F1278" t="n">
        <v>80</v>
      </c>
      <c r="G1278" t="n">
        <v>80</v>
      </c>
    </row>
    <row r="1279">
      <c r="A1279" t="n">
        <v>307</v>
      </c>
      <c r="B1279" t="inlineStr">
        <is>
          <t>Palabok</t>
        </is>
      </c>
      <c r="C1279" t="inlineStr">
        <is>
          <t>Super Q</t>
        </is>
      </c>
      <c r="D1279" t="inlineStr">
        <is>
          <t>grams</t>
        </is>
      </c>
      <c r="E1279" t="n">
        <v>66</v>
      </c>
      <c r="F1279" t="n">
        <v>2813.9</v>
      </c>
      <c r="G1279" t="n">
        <v>42.63484848484848</v>
      </c>
    </row>
    <row r="1280">
      <c r="A1280" t="n">
        <v>725</v>
      </c>
      <c r="B1280" t="inlineStr">
        <is>
          <t>Pandan Extract</t>
        </is>
      </c>
      <c r="C1280" t="inlineStr">
        <is>
          <t>McCormick</t>
        </is>
      </c>
      <c r="D1280" t="inlineStr">
        <is>
          <t>ml</t>
        </is>
      </c>
      <c r="E1280" t="n">
        <v>3</v>
      </c>
      <c r="F1280" t="n">
        <v>126</v>
      </c>
      <c r="G1280" t="n">
        <v>42</v>
      </c>
    </row>
    <row r="1281">
      <c r="A1281" t="n">
        <v>726</v>
      </c>
      <c r="B1281" t="inlineStr">
        <is>
          <t>Pantyliner</t>
        </is>
      </c>
      <c r="C1281" t="inlineStr">
        <is>
          <t>Charmee</t>
        </is>
      </c>
      <c r="D1281" t="inlineStr">
        <is>
          <t>packs</t>
        </is>
      </c>
      <c r="E1281" t="n">
        <v>1</v>
      </c>
      <c r="F1281" t="n">
        <v>26.5</v>
      </c>
      <c r="G1281" t="n">
        <v>26.5</v>
      </c>
    </row>
    <row r="1282">
      <c r="A1282" t="n">
        <v>726</v>
      </c>
      <c r="B1282" t="inlineStr">
        <is>
          <t>Pantyliner</t>
        </is>
      </c>
      <c r="C1282" t="inlineStr">
        <is>
          <t>Sisters</t>
        </is>
      </c>
      <c r="D1282" t="inlineStr">
        <is>
          <t>packs</t>
        </is>
      </c>
      <c r="E1282" t="n">
        <v>3</v>
      </c>
      <c r="F1282" t="n">
        <v>51.23999999999999</v>
      </c>
      <c r="G1282" t="n">
        <v>17.08</v>
      </c>
    </row>
    <row r="1283">
      <c r="A1283" t="n">
        <v>726</v>
      </c>
      <c r="B1283" t="inlineStr">
        <is>
          <t>Pantyliner</t>
        </is>
      </c>
      <c r="C1283" t="inlineStr">
        <is>
          <t>Charmee</t>
        </is>
      </c>
      <c r="D1283" t="inlineStr">
        <is>
          <t>pieces</t>
        </is>
      </c>
      <c r="E1283" t="n">
        <v>50</v>
      </c>
      <c r="F1283" t="n">
        <v>134.5</v>
      </c>
      <c r="G1283" t="n">
        <v>2.69</v>
      </c>
    </row>
    <row r="1284">
      <c r="A1284" t="n">
        <v>727</v>
      </c>
      <c r="B1284" t="inlineStr">
        <is>
          <t>Panutsa</t>
        </is>
      </c>
      <c r="C1284" t="inlineStr">
        <is>
          <t>Ysanne Ktara Native Kakanin</t>
        </is>
      </c>
      <c r="D1284" t="inlineStr">
        <is>
          <t>pieces</t>
        </is>
      </c>
      <c r="E1284" t="n">
        <v>164</v>
      </c>
      <c r="F1284" t="n">
        <v>328</v>
      </c>
      <c r="G1284" t="n">
        <v>2</v>
      </c>
    </row>
    <row r="1285">
      <c r="A1285" t="n">
        <v>728</v>
      </c>
      <c r="B1285" t="inlineStr">
        <is>
          <t>Papaya</t>
        </is>
      </c>
      <c r="C1285" t="inlineStr"/>
      <c r="D1285" t="inlineStr">
        <is>
          <t>grams</t>
        </is>
      </c>
      <c r="E1285" t="n">
        <v>2</v>
      </c>
      <c r="F1285" t="n">
        <v>140</v>
      </c>
      <c r="G1285" t="n">
        <v>70</v>
      </c>
    </row>
    <row r="1286">
      <c r="A1286" t="n">
        <v>729</v>
      </c>
      <c r="B1286" t="inlineStr">
        <is>
          <t>Paper Box - 2 division</t>
        </is>
      </c>
      <c r="C1286" t="inlineStr">
        <is>
          <t>Wow</t>
        </is>
      </c>
      <c r="D1286" t="inlineStr">
        <is>
          <t>pieces</t>
        </is>
      </c>
      <c r="E1286" t="n">
        <v>3</v>
      </c>
      <c r="F1286" t="n">
        <v>750</v>
      </c>
      <c r="G1286" t="n">
        <v>250</v>
      </c>
    </row>
    <row r="1287">
      <c r="A1287" t="n">
        <v>729</v>
      </c>
      <c r="B1287" t="inlineStr">
        <is>
          <t>Paper Box - 2 division</t>
        </is>
      </c>
      <c r="C1287" t="inlineStr"/>
      <c r="D1287" t="inlineStr">
        <is>
          <t>pieces</t>
        </is>
      </c>
      <c r="E1287" t="n">
        <v>140</v>
      </c>
      <c r="F1287" t="n">
        <v>700</v>
      </c>
      <c r="G1287" t="n">
        <v>5</v>
      </c>
    </row>
    <row r="1288">
      <c r="A1288" t="n">
        <v>729</v>
      </c>
      <c r="B1288" t="inlineStr">
        <is>
          <t>Paper Box - 2 division</t>
        </is>
      </c>
      <c r="C1288" t="inlineStr">
        <is>
          <t>Orange Box</t>
        </is>
      </c>
      <c r="D1288" t="inlineStr">
        <is>
          <t>pieces</t>
        </is>
      </c>
      <c r="E1288" t="n">
        <v>109</v>
      </c>
      <c r="F1288" t="n">
        <v>468.7</v>
      </c>
      <c r="G1288" t="n">
        <v>4.3</v>
      </c>
    </row>
    <row r="1289">
      <c r="A1289" t="n">
        <v>730</v>
      </c>
      <c r="B1289" t="inlineStr">
        <is>
          <t>Paper Box - Microwavable</t>
        </is>
      </c>
      <c r="C1289" t="inlineStr">
        <is>
          <t>Orange Box</t>
        </is>
      </c>
      <c r="D1289" t="inlineStr">
        <is>
          <t>pieces</t>
        </is>
      </c>
      <c r="E1289" t="n">
        <v>44</v>
      </c>
      <c r="F1289" t="n">
        <v>255.2</v>
      </c>
      <c r="G1289" t="n">
        <v>5.8</v>
      </c>
    </row>
    <row r="1290">
      <c r="A1290" t="n">
        <v>731</v>
      </c>
      <c r="B1290" t="inlineStr">
        <is>
          <t>Paper Box - Silver (Single)</t>
        </is>
      </c>
      <c r="C1290" t="inlineStr"/>
      <c r="D1290" t="inlineStr">
        <is>
          <t>pieces</t>
        </is>
      </c>
      <c r="E1290" t="n">
        <v>39</v>
      </c>
      <c r="F1290" t="n">
        <v>343.2</v>
      </c>
      <c r="G1290" t="n">
        <v>8.800000000000001</v>
      </c>
    </row>
    <row r="1291">
      <c r="A1291" t="n">
        <v>732</v>
      </c>
      <c r="B1291" t="inlineStr">
        <is>
          <t>Paper Cups</t>
        </is>
      </c>
      <c r="C1291" t="inlineStr">
        <is>
          <t>Dixie</t>
        </is>
      </c>
      <c r="D1291" t="inlineStr">
        <is>
          <t>packs</t>
        </is>
      </c>
      <c r="E1291" t="n">
        <v>2</v>
      </c>
      <c r="F1291" t="n">
        <v>250</v>
      </c>
      <c r="G1291" t="n">
        <v>125</v>
      </c>
    </row>
    <row r="1292">
      <c r="A1292" t="n">
        <v>733</v>
      </c>
      <c r="B1292" t="inlineStr">
        <is>
          <t>Paper Cups - 12oz</t>
        </is>
      </c>
      <c r="C1292" t="inlineStr">
        <is>
          <t>Suy Sing - My Everyday</t>
        </is>
      </c>
      <c r="D1292" t="inlineStr">
        <is>
          <t>pieces</t>
        </is>
      </c>
      <c r="E1292" t="n">
        <v>75</v>
      </c>
      <c r="F1292" t="n">
        <v>129</v>
      </c>
      <c r="G1292" t="n">
        <v>1.72</v>
      </c>
    </row>
    <row r="1293">
      <c r="A1293" t="n">
        <v>733</v>
      </c>
      <c r="B1293" t="inlineStr">
        <is>
          <t>Paper Cups - 12oz</t>
        </is>
      </c>
      <c r="C1293" t="inlineStr">
        <is>
          <t>pack by 50s'</t>
        </is>
      </c>
      <c r="D1293" t="inlineStr">
        <is>
          <t>pieces</t>
        </is>
      </c>
      <c r="E1293" t="n">
        <v>9</v>
      </c>
      <c r="F1293" t="n">
        <v>900</v>
      </c>
      <c r="G1293" t="n">
        <v>100</v>
      </c>
    </row>
    <row r="1294">
      <c r="A1294" t="n">
        <v>734</v>
      </c>
      <c r="B1294" t="inlineStr">
        <is>
          <t>Paper Cups - 6.5oz</t>
        </is>
      </c>
      <c r="C1294" t="inlineStr">
        <is>
          <t>Suy Sing - My Everyday</t>
        </is>
      </c>
      <c r="D1294" t="inlineStr">
        <is>
          <t>pieces</t>
        </is>
      </c>
      <c r="E1294" t="n">
        <v>25</v>
      </c>
      <c r="F1294" t="n">
        <v>23.75</v>
      </c>
      <c r="G1294" t="n">
        <v>0.95</v>
      </c>
    </row>
    <row r="1295">
      <c r="A1295" t="n">
        <v>735</v>
      </c>
      <c r="B1295" t="inlineStr">
        <is>
          <t>Paper Cups - 8oz</t>
        </is>
      </c>
      <c r="C1295" t="inlineStr">
        <is>
          <t>Suy Sing - My Everyday</t>
        </is>
      </c>
      <c r="D1295" t="inlineStr">
        <is>
          <t>pieces</t>
        </is>
      </c>
      <c r="E1295" t="n">
        <v>275</v>
      </c>
      <c r="F1295" t="n">
        <v>313.5</v>
      </c>
      <c r="G1295" t="n">
        <v>1.14</v>
      </c>
    </row>
    <row r="1296">
      <c r="A1296" t="n">
        <v>735</v>
      </c>
      <c r="B1296" t="inlineStr">
        <is>
          <t>Paper Cups - 8oz</t>
        </is>
      </c>
      <c r="C1296" t="inlineStr">
        <is>
          <t>pack by 50s'</t>
        </is>
      </c>
      <c r="D1296" t="inlineStr">
        <is>
          <t>pieces</t>
        </is>
      </c>
      <c r="E1296" t="n">
        <v>709</v>
      </c>
      <c r="F1296" t="n">
        <v>709</v>
      </c>
      <c r="G1296" t="n">
        <v>1</v>
      </c>
    </row>
    <row r="1297">
      <c r="A1297" t="n">
        <v>735</v>
      </c>
      <c r="B1297" t="inlineStr">
        <is>
          <t>Paper Cups - 8oz</t>
        </is>
      </c>
      <c r="C1297" t="inlineStr"/>
      <c r="D1297" t="inlineStr">
        <is>
          <t>pieces</t>
        </is>
      </c>
      <c r="E1297" t="n">
        <v>2109</v>
      </c>
      <c r="F1297" t="n">
        <v>2519.14</v>
      </c>
      <c r="G1297" t="n">
        <v>1.194471313418682</v>
      </c>
    </row>
    <row r="1298">
      <c r="A1298" t="n">
        <v>735</v>
      </c>
      <c r="B1298" t="inlineStr">
        <is>
          <t>Paper Cups - 8oz</t>
        </is>
      </c>
      <c r="C1298" t="inlineStr">
        <is>
          <t>Carandang Merchandise</t>
        </is>
      </c>
      <c r="D1298" t="inlineStr">
        <is>
          <t>pieces</t>
        </is>
      </c>
      <c r="E1298" t="n">
        <v>11</v>
      </c>
      <c r="F1298" t="n">
        <v>770</v>
      </c>
      <c r="G1298" t="n">
        <v>70</v>
      </c>
    </row>
    <row r="1299">
      <c r="A1299" t="n">
        <v>736</v>
      </c>
      <c r="B1299" t="inlineStr">
        <is>
          <t>Paper Cups with Lid - 390cc</t>
        </is>
      </c>
      <c r="C1299" t="inlineStr">
        <is>
          <t>pack by 50s'</t>
        </is>
      </c>
      <c r="D1299" t="inlineStr">
        <is>
          <t>pieces</t>
        </is>
      </c>
      <c r="E1299" t="n">
        <v>202</v>
      </c>
      <c r="F1299" t="n">
        <v>1000</v>
      </c>
      <c r="G1299" t="n">
        <v>4.95049504950495</v>
      </c>
    </row>
    <row r="1300">
      <c r="A1300" t="n">
        <v>737</v>
      </c>
      <c r="B1300" t="inlineStr">
        <is>
          <t>Paper Cups with Lid - 520cc</t>
        </is>
      </c>
      <c r="C1300" t="inlineStr"/>
      <c r="D1300" t="inlineStr">
        <is>
          <t>packs</t>
        </is>
      </c>
      <c r="E1300" t="n">
        <v>126</v>
      </c>
      <c r="F1300" t="n">
        <v>471.24</v>
      </c>
      <c r="G1300" t="n">
        <v>3.74</v>
      </c>
    </row>
    <row r="1301">
      <c r="A1301" t="n">
        <v>738</v>
      </c>
      <c r="B1301" t="inlineStr">
        <is>
          <t>Paper Hotdog</t>
        </is>
      </c>
      <c r="C1301" t="inlineStr"/>
      <c r="D1301" t="inlineStr">
        <is>
          <t>pieces</t>
        </is>
      </c>
      <c r="E1301" t="n">
        <v>53</v>
      </c>
      <c r="F1301" t="n">
        <v>100.17</v>
      </c>
      <c r="G1301" t="n">
        <v>1.89</v>
      </c>
    </row>
    <row r="1302">
      <c r="A1302" t="n">
        <v>739</v>
      </c>
      <c r="B1302" t="inlineStr">
        <is>
          <t>Paper Plate</t>
        </is>
      </c>
      <c r="C1302" t="inlineStr">
        <is>
          <t>Carandang Merchandise</t>
        </is>
      </c>
      <c r="D1302" t="inlineStr">
        <is>
          <t>packs</t>
        </is>
      </c>
      <c r="E1302" t="n">
        <v>4</v>
      </c>
      <c r="F1302" t="n">
        <v>150</v>
      </c>
      <c r="G1302" t="n">
        <v>37.5</v>
      </c>
    </row>
    <row r="1303">
      <c r="A1303" t="n">
        <v>740</v>
      </c>
      <c r="B1303" t="inlineStr">
        <is>
          <t>Paper Plate - Small</t>
        </is>
      </c>
      <c r="C1303" t="inlineStr">
        <is>
          <t>Good News</t>
        </is>
      </c>
      <c r="D1303" t="inlineStr">
        <is>
          <t>pieces</t>
        </is>
      </c>
      <c r="E1303" t="n">
        <v>200</v>
      </c>
      <c r="F1303" t="n">
        <v>100</v>
      </c>
      <c r="G1303" t="n">
        <v>0.5</v>
      </c>
    </row>
    <row r="1304">
      <c r="A1304" t="n">
        <v>741</v>
      </c>
      <c r="B1304" t="inlineStr">
        <is>
          <t>Paper Plate (Round)</t>
        </is>
      </c>
      <c r="C1304" t="inlineStr"/>
      <c r="D1304" t="inlineStr">
        <is>
          <t>pieces</t>
        </is>
      </c>
      <c r="E1304" t="n">
        <v>250</v>
      </c>
      <c r="F1304" t="n">
        <v>290</v>
      </c>
      <c r="G1304" t="n">
        <v>1.16</v>
      </c>
    </row>
    <row r="1305">
      <c r="A1305" t="n">
        <v>742</v>
      </c>
      <c r="B1305" t="inlineStr">
        <is>
          <t>Paper Towel</t>
        </is>
      </c>
      <c r="C1305" t="inlineStr">
        <is>
          <t>Suy Sing - My Everyday</t>
        </is>
      </c>
      <c r="D1305" t="inlineStr">
        <is>
          <t>packs</t>
        </is>
      </c>
      <c r="E1305" t="n">
        <v>4</v>
      </c>
      <c r="F1305" t="n">
        <v>163.2</v>
      </c>
      <c r="G1305" t="n">
        <v>40.8</v>
      </c>
    </row>
    <row r="1306">
      <c r="A1306" t="n">
        <v>743</v>
      </c>
      <c r="B1306" t="inlineStr">
        <is>
          <t>Paprika Powder</t>
        </is>
      </c>
      <c r="C1306" t="inlineStr"/>
      <c r="D1306" t="inlineStr">
        <is>
          <t>grams</t>
        </is>
      </c>
      <c r="E1306" t="n">
        <v>1</v>
      </c>
      <c r="F1306" t="n">
        <v>45</v>
      </c>
      <c r="G1306" t="n">
        <v>45</v>
      </c>
    </row>
    <row r="1307">
      <c r="A1307" t="n">
        <v>744</v>
      </c>
      <c r="B1307" t="inlineStr">
        <is>
          <t>Parmesan Cheese</t>
        </is>
      </c>
      <c r="C1307" t="inlineStr">
        <is>
          <t>Coloma</t>
        </is>
      </c>
      <c r="D1307" t="inlineStr">
        <is>
          <t>grams</t>
        </is>
      </c>
      <c r="E1307" t="n">
        <v>0</v>
      </c>
      <c r="F1307" t="n">
        <v>0</v>
      </c>
      <c r="G1307" t="n">
        <v>0</v>
      </c>
    </row>
    <row r="1308">
      <c r="A1308" t="n">
        <v>745</v>
      </c>
      <c r="B1308" t="inlineStr">
        <is>
          <t>Pastillas Roll</t>
        </is>
      </c>
      <c r="C1308" t="inlineStr">
        <is>
          <t>Ysanne Ktara Native Kakanin</t>
        </is>
      </c>
      <c r="D1308" t="inlineStr">
        <is>
          <t>pieces</t>
        </is>
      </c>
      <c r="E1308" t="n">
        <v>25</v>
      </c>
      <c r="F1308" t="n">
        <v>125</v>
      </c>
      <c r="G1308" t="n">
        <v>5</v>
      </c>
    </row>
    <row r="1309">
      <c r="A1309" t="n">
        <v>746</v>
      </c>
      <c r="B1309" t="inlineStr">
        <is>
          <t>Patatas</t>
        </is>
      </c>
      <c r="C1309" t="inlineStr"/>
      <c r="D1309" t="inlineStr">
        <is>
          <t>kilos</t>
        </is>
      </c>
      <c r="E1309" t="n">
        <v>2</v>
      </c>
      <c r="F1309" t="n">
        <v>100</v>
      </c>
      <c r="G1309" t="n">
        <v>50</v>
      </c>
    </row>
    <row r="1310">
      <c r="A1310" t="n">
        <v>747</v>
      </c>
      <c r="B1310" t="inlineStr">
        <is>
          <t>Peach Halves</t>
        </is>
      </c>
      <c r="C1310" t="inlineStr">
        <is>
          <t>Jolly</t>
        </is>
      </c>
      <c r="D1310" t="inlineStr">
        <is>
          <t>grams</t>
        </is>
      </c>
      <c r="E1310" t="n">
        <v>1</v>
      </c>
      <c r="F1310" t="n">
        <v>113</v>
      </c>
      <c r="G1310" t="n">
        <v>113</v>
      </c>
    </row>
    <row r="1311">
      <c r="A1311" t="n">
        <v>747</v>
      </c>
      <c r="B1311" t="inlineStr">
        <is>
          <t>Peach Halves</t>
        </is>
      </c>
      <c r="C1311" t="inlineStr">
        <is>
          <t>Del Monte</t>
        </is>
      </c>
      <c r="D1311" t="inlineStr">
        <is>
          <t>grams</t>
        </is>
      </c>
      <c r="E1311" t="n">
        <v>1</v>
      </c>
      <c r="F1311" t="n">
        <v>139</v>
      </c>
      <c r="G1311" t="n">
        <v>139</v>
      </c>
    </row>
    <row r="1312">
      <c r="A1312" t="n">
        <v>310</v>
      </c>
      <c r="B1312" t="inlineStr">
        <is>
          <t>Peanut Butter</t>
        </is>
      </c>
      <c r="C1312" t="inlineStr">
        <is>
          <t>Baby</t>
        </is>
      </c>
      <c r="D1312" t="inlineStr">
        <is>
          <t>kilos</t>
        </is>
      </c>
      <c r="E1312" t="n">
        <v>2</v>
      </c>
      <c r="F1312" t="n">
        <v>360</v>
      </c>
      <c r="G1312" t="n">
        <v>180</v>
      </c>
    </row>
    <row r="1313">
      <c r="A1313" t="n">
        <v>310</v>
      </c>
      <c r="B1313" t="inlineStr">
        <is>
          <t>Peanut Butter</t>
        </is>
      </c>
      <c r="C1313" t="inlineStr">
        <is>
          <t>Lily's</t>
        </is>
      </c>
      <c r="D1313" t="inlineStr">
        <is>
          <t>grams</t>
        </is>
      </c>
      <c r="E1313" t="n">
        <v>1</v>
      </c>
      <c r="F1313" t="n">
        <v>221.3</v>
      </c>
      <c r="G1313" t="n">
        <v>221.3</v>
      </c>
    </row>
    <row r="1314">
      <c r="A1314" t="n">
        <v>310</v>
      </c>
      <c r="B1314" t="inlineStr">
        <is>
          <t>Peanut Butter</t>
        </is>
      </c>
      <c r="C1314" t="inlineStr">
        <is>
          <t>Baby</t>
        </is>
      </c>
      <c r="D1314" t="inlineStr">
        <is>
          <t>grams</t>
        </is>
      </c>
      <c r="E1314" t="n">
        <v>2</v>
      </c>
      <c r="F1314" t="n">
        <v>460</v>
      </c>
      <c r="G1314" t="n">
        <v>230</v>
      </c>
    </row>
    <row r="1315">
      <c r="A1315" t="n">
        <v>748</v>
      </c>
      <c r="B1315" t="inlineStr">
        <is>
          <t>Peanuts</t>
        </is>
      </c>
      <c r="C1315" t="inlineStr"/>
      <c r="D1315" t="inlineStr">
        <is>
          <t>packs</t>
        </is>
      </c>
      <c r="E1315" t="n">
        <v>130</v>
      </c>
      <c r="F1315" t="n">
        <v>780</v>
      </c>
      <c r="G1315" t="n">
        <v>6</v>
      </c>
    </row>
    <row r="1316">
      <c r="A1316" t="n">
        <v>748</v>
      </c>
      <c r="B1316" t="inlineStr">
        <is>
          <t>Peanuts</t>
        </is>
      </c>
      <c r="C1316" t="inlineStr">
        <is>
          <t>JBC - Happy</t>
        </is>
      </c>
      <c r="D1316" t="inlineStr">
        <is>
          <t>grams</t>
        </is>
      </c>
      <c r="E1316" t="n">
        <v>4</v>
      </c>
      <c r="F1316" t="n">
        <v>152</v>
      </c>
      <c r="G1316" t="n">
        <v>38</v>
      </c>
    </row>
    <row r="1317">
      <c r="A1317" t="n">
        <v>749</v>
      </c>
      <c r="B1317" t="inlineStr">
        <is>
          <t>Peanuts - Garlic</t>
        </is>
      </c>
      <c r="C1317" t="inlineStr">
        <is>
          <t>Growers</t>
        </is>
      </c>
      <c r="D1317" t="inlineStr">
        <is>
          <t>grams</t>
        </is>
      </c>
      <c r="E1317" t="n">
        <v>24</v>
      </c>
      <c r="F1317" t="n">
        <v>844.3199999999999</v>
      </c>
      <c r="G1317" t="n">
        <v>35.18</v>
      </c>
    </row>
    <row r="1318">
      <c r="A1318" t="n">
        <v>749</v>
      </c>
      <c r="B1318" t="inlineStr">
        <is>
          <t>Peanuts - Garlic</t>
        </is>
      </c>
      <c r="C1318" t="inlineStr">
        <is>
          <t>Wow Mani</t>
        </is>
      </c>
      <c r="D1318" t="inlineStr">
        <is>
          <t>grams</t>
        </is>
      </c>
      <c r="E1318" t="n">
        <v>1</v>
      </c>
      <c r="F1318" t="n">
        <v>234.75</v>
      </c>
      <c r="G1318" t="n">
        <v>234.75</v>
      </c>
    </row>
    <row r="1319">
      <c r="A1319" t="n">
        <v>750</v>
      </c>
      <c r="B1319" t="inlineStr">
        <is>
          <t>Peanuts (Big)</t>
        </is>
      </c>
      <c r="C1319" t="inlineStr">
        <is>
          <t>Mialendra Online Shop</t>
        </is>
      </c>
      <c r="D1319" t="inlineStr">
        <is>
          <t>jar</t>
        </is>
      </c>
      <c r="E1319" t="n">
        <v>17</v>
      </c>
      <c r="F1319" t="n">
        <v>2125</v>
      </c>
      <c r="G1319" t="n">
        <v>125</v>
      </c>
    </row>
    <row r="1320">
      <c r="A1320" t="n">
        <v>751</v>
      </c>
      <c r="B1320" t="inlineStr">
        <is>
          <t>Peanuts (Small)</t>
        </is>
      </c>
      <c r="C1320" t="inlineStr">
        <is>
          <t>Mialendra Online Shop</t>
        </is>
      </c>
      <c r="D1320" t="inlineStr">
        <is>
          <t>jar</t>
        </is>
      </c>
      <c r="E1320" t="n">
        <v>1</v>
      </c>
      <c r="F1320" t="n">
        <v>35</v>
      </c>
      <c r="G1320" t="n">
        <v>35</v>
      </c>
    </row>
    <row r="1321">
      <c r="A1321" t="n">
        <v>752</v>
      </c>
      <c r="B1321" t="inlineStr">
        <is>
          <t>Pechay Baguio</t>
        </is>
      </c>
      <c r="C1321" t="inlineStr"/>
      <c r="D1321" t="inlineStr">
        <is>
          <t>kilos</t>
        </is>
      </c>
      <c r="E1321" t="n">
        <v>3</v>
      </c>
      <c r="F1321" t="n">
        <v>225</v>
      </c>
      <c r="G1321" t="n">
        <v>75</v>
      </c>
    </row>
    <row r="1322">
      <c r="A1322" t="n">
        <v>753</v>
      </c>
      <c r="B1322" t="inlineStr">
        <is>
          <t>Pechay Native</t>
        </is>
      </c>
      <c r="C1322" t="inlineStr"/>
      <c r="D1322" t="inlineStr">
        <is>
          <t>kilos</t>
        </is>
      </c>
      <c r="E1322" t="n">
        <v>3</v>
      </c>
      <c r="F1322" t="n">
        <v>180</v>
      </c>
      <c r="G1322" t="n">
        <v>60</v>
      </c>
    </row>
    <row r="1323">
      <c r="A1323" t="n">
        <v>754</v>
      </c>
      <c r="B1323" t="inlineStr">
        <is>
          <t>Penne</t>
        </is>
      </c>
      <c r="C1323" t="inlineStr">
        <is>
          <t>Ideal</t>
        </is>
      </c>
      <c r="D1323" t="inlineStr">
        <is>
          <t>kilos</t>
        </is>
      </c>
      <c r="E1323" t="n">
        <v>3</v>
      </c>
      <c r="F1323" t="n">
        <v>230</v>
      </c>
      <c r="G1323" t="n">
        <v>76.66666666666667</v>
      </c>
    </row>
    <row r="1324">
      <c r="A1324" t="n">
        <v>754</v>
      </c>
      <c r="B1324" t="inlineStr">
        <is>
          <t>Penne</t>
        </is>
      </c>
      <c r="C1324" t="inlineStr">
        <is>
          <t>San Remo</t>
        </is>
      </c>
      <c r="D1324" t="inlineStr">
        <is>
          <t>kilos</t>
        </is>
      </c>
      <c r="E1324" t="n">
        <v>2</v>
      </c>
      <c r="F1324" t="n">
        <v>92</v>
      </c>
      <c r="G1324" t="n">
        <v>46</v>
      </c>
    </row>
    <row r="1325">
      <c r="A1325" t="n">
        <v>755</v>
      </c>
      <c r="B1325" t="inlineStr">
        <is>
          <t>Petchay</t>
        </is>
      </c>
      <c r="C1325" t="inlineStr"/>
      <c r="D1325" t="inlineStr">
        <is>
          <t>kilos</t>
        </is>
      </c>
      <c r="E1325" t="n">
        <v>4</v>
      </c>
      <c r="F1325" t="n">
        <v>240</v>
      </c>
      <c r="G1325" t="n">
        <v>60</v>
      </c>
    </row>
    <row r="1326">
      <c r="A1326" t="n">
        <v>756</v>
      </c>
      <c r="B1326" t="inlineStr">
        <is>
          <t>Pickle Relish</t>
        </is>
      </c>
      <c r="C1326" t="inlineStr">
        <is>
          <t>Ram</t>
        </is>
      </c>
      <c r="D1326" t="inlineStr">
        <is>
          <t>grams</t>
        </is>
      </c>
      <c r="E1326" t="n">
        <v>1</v>
      </c>
      <c r="F1326" t="n">
        <v>45</v>
      </c>
      <c r="G1326" t="n">
        <v>45</v>
      </c>
    </row>
    <row r="1327">
      <c r="A1327" t="n">
        <v>757</v>
      </c>
      <c r="B1327" t="inlineStr">
        <is>
          <t>Pickles</t>
        </is>
      </c>
      <c r="C1327" t="inlineStr">
        <is>
          <t>Ram</t>
        </is>
      </c>
      <c r="D1327" t="inlineStr">
        <is>
          <t>grams</t>
        </is>
      </c>
      <c r="E1327" t="n">
        <v>1</v>
      </c>
      <c r="F1327" t="n">
        <v>57.7</v>
      </c>
      <c r="G1327" t="n">
        <v>57.7</v>
      </c>
    </row>
    <row r="1328">
      <c r="A1328" t="n">
        <v>758</v>
      </c>
      <c r="B1328" t="inlineStr">
        <is>
          <t>Pili Nuts</t>
        </is>
      </c>
      <c r="C1328" t="inlineStr">
        <is>
          <t>Mialendra Online Shop</t>
        </is>
      </c>
      <c r="D1328" t="inlineStr">
        <is>
          <t>jar</t>
        </is>
      </c>
      <c r="E1328" t="n">
        <v>6</v>
      </c>
      <c r="F1328" t="n">
        <v>750</v>
      </c>
      <c r="G1328" t="n">
        <v>125</v>
      </c>
    </row>
    <row r="1329">
      <c r="A1329" t="n">
        <v>759</v>
      </c>
      <c r="B1329" t="inlineStr">
        <is>
          <t>Pineapple Jam</t>
        </is>
      </c>
      <c r="C1329" t="inlineStr">
        <is>
          <t>Clara Ole</t>
        </is>
      </c>
      <c r="D1329" t="inlineStr">
        <is>
          <t>grams</t>
        </is>
      </c>
      <c r="E1329" t="n">
        <v>1</v>
      </c>
      <c r="F1329" t="n">
        <v>135</v>
      </c>
      <c r="G1329" t="n">
        <v>135</v>
      </c>
    </row>
    <row r="1330">
      <c r="A1330" t="n">
        <v>320</v>
      </c>
      <c r="B1330" t="inlineStr">
        <is>
          <t>Pineapple Sliced</t>
        </is>
      </c>
      <c r="C1330" t="inlineStr">
        <is>
          <t>Del Monte</t>
        </is>
      </c>
      <c r="D1330" t="inlineStr">
        <is>
          <t>drained weight grams</t>
        </is>
      </c>
      <c r="E1330" t="n">
        <v>2</v>
      </c>
      <c r="F1330" t="n">
        <v>77</v>
      </c>
      <c r="G1330" t="n">
        <v>38.5</v>
      </c>
    </row>
    <row r="1331">
      <c r="A1331" t="n">
        <v>321</v>
      </c>
      <c r="B1331" t="inlineStr">
        <is>
          <t>Pineapple Tidbits</t>
        </is>
      </c>
      <c r="C1331" t="inlineStr">
        <is>
          <t>Del Monte</t>
        </is>
      </c>
      <c r="D1331" t="inlineStr">
        <is>
          <t>grams</t>
        </is>
      </c>
      <c r="E1331" t="n">
        <v>9</v>
      </c>
      <c r="F1331" t="n">
        <v>393</v>
      </c>
      <c r="G1331" t="n">
        <v>43.66666666666666</v>
      </c>
    </row>
    <row r="1332">
      <c r="A1332" t="n">
        <v>321</v>
      </c>
      <c r="B1332" t="inlineStr">
        <is>
          <t>Pineapple Tidbits</t>
        </is>
      </c>
      <c r="C1332" t="inlineStr">
        <is>
          <t>Del Monte</t>
        </is>
      </c>
      <c r="D1332" t="inlineStr">
        <is>
          <t>drained weight grams</t>
        </is>
      </c>
      <c r="E1332" t="n">
        <v>13</v>
      </c>
      <c r="F1332" t="n">
        <v>390.9</v>
      </c>
      <c r="G1332" t="n">
        <v>30.06923076923077</v>
      </c>
    </row>
    <row r="1333">
      <c r="A1333" t="n">
        <v>760</v>
      </c>
      <c r="B1333" t="inlineStr">
        <is>
          <t>Pinipig</t>
        </is>
      </c>
      <c r="C1333" t="inlineStr">
        <is>
          <t>JMRL</t>
        </is>
      </c>
      <c r="D1333" t="inlineStr">
        <is>
          <t>liters</t>
        </is>
      </c>
      <c r="E1333" t="n">
        <v>1</v>
      </c>
      <c r="F1333" t="n">
        <v>160</v>
      </c>
      <c r="G1333" t="n">
        <v>160</v>
      </c>
    </row>
    <row r="1334">
      <c r="A1334" t="n">
        <v>322</v>
      </c>
      <c r="B1334" t="inlineStr">
        <is>
          <t>Pink Salmon</t>
        </is>
      </c>
      <c r="C1334" t="inlineStr"/>
      <c r="D1334" t="inlineStr">
        <is>
          <t>kilos</t>
        </is>
      </c>
      <c r="E1334" t="n">
        <v>6</v>
      </c>
      <c r="F1334" t="n">
        <v>4000</v>
      </c>
      <c r="G1334" t="n">
        <v>666.6666666666666</v>
      </c>
    </row>
    <row r="1335">
      <c r="A1335" t="n">
        <v>761</v>
      </c>
      <c r="B1335" t="inlineStr">
        <is>
          <t>Pinto Beans</t>
        </is>
      </c>
      <c r="C1335" t="inlineStr">
        <is>
          <t>La Costera</t>
        </is>
      </c>
      <c r="D1335" t="inlineStr">
        <is>
          <t>grams</t>
        </is>
      </c>
      <c r="E1335" t="n">
        <v>2</v>
      </c>
      <c r="F1335" t="n">
        <v>296</v>
      </c>
      <c r="G1335" t="n">
        <v>148</v>
      </c>
    </row>
    <row r="1336">
      <c r="A1336" t="n">
        <v>762</v>
      </c>
      <c r="B1336" t="inlineStr">
        <is>
          <t>Pinya</t>
        </is>
      </c>
      <c r="C1336" t="inlineStr"/>
      <c r="D1336" t="inlineStr">
        <is>
          <t>kilos</t>
        </is>
      </c>
      <c r="E1336" t="n">
        <v>1</v>
      </c>
      <c r="F1336" t="n">
        <v>180</v>
      </c>
      <c r="G1336" t="n">
        <v>180</v>
      </c>
    </row>
    <row r="1337">
      <c r="A1337" t="n">
        <v>763</v>
      </c>
      <c r="B1337" t="inlineStr">
        <is>
          <t>Pipino</t>
        </is>
      </c>
      <c r="C1337" t="inlineStr"/>
      <c r="D1337" t="inlineStr">
        <is>
          <t>kilos</t>
        </is>
      </c>
      <c r="E1337" t="n">
        <v>1</v>
      </c>
      <c r="F1337" t="n">
        <v>100</v>
      </c>
      <c r="G1337" t="n">
        <v>100</v>
      </c>
    </row>
    <row r="1338">
      <c r="A1338" t="n">
        <v>763</v>
      </c>
      <c r="B1338" t="inlineStr">
        <is>
          <t>Pipino</t>
        </is>
      </c>
      <c r="C1338" t="inlineStr">
        <is>
          <t>Fresh</t>
        </is>
      </c>
      <c r="D1338" t="inlineStr">
        <is>
          <t>kilos</t>
        </is>
      </c>
      <c r="E1338" t="n">
        <v>1</v>
      </c>
      <c r="F1338" t="n">
        <v>80</v>
      </c>
      <c r="G1338" t="n">
        <v>80</v>
      </c>
    </row>
    <row r="1339">
      <c r="A1339" t="n">
        <v>764</v>
      </c>
      <c r="B1339" t="inlineStr">
        <is>
          <t>Pizza Seasoning</t>
        </is>
      </c>
      <c r="C1339" t="inlineStr">
        <is>
          <t>McCormick</t>
        </is>
      </c>
      <c r="D1339" t="inlineStr">
        <is>
          <t>grams</t>
        </is>
      </c>
      <c r="E1339" t="n">
        <v>1</v>
      </c>
      <c r="F1339" t="n">
        <v>72</v>
      </c>
      <c r="G1339" t="n">
        <v>72</v>
      </c>
    </row>
    <row r="1340">
      <c r="A1340" t="n">
        <v>765</v>
      </c>
      <c r="B1340" t="inlineStr">
        <is>
          <t>Plastic Cups</t>
        </is>
      </c>
      <c r="C1340" t="inlineStr">
        <is>
          <t>Carandang Merchandise - 16 0Z PP Clear Set</t>
        </is>
      </c>
      <c r="D1340" t="inlineStr">
        <is>
          <t>pieces</t>
        </is>
      </c>
      <c r="E1340" t="n">
        <v>1</v>
      </c>
      <c r="F1340" t="n">
        <v>264</v>
      </c>
      <c r="G1340" t="n">
        <v>264</v>
      </c>
    </row>
    <row r="1341">
      <c r="A1341" t="n">
        <v>765</v>
      </c>
      <c r="B1341" t="inlineStr">
        <is>
          <t>Plastic Cups</t>
        </is>
      </c>
      <c r="C1341" t="inlineStr">
        <is>
          <t>pack by 50's</t>
        </is>
      </c>
      <c r="D1341" t="inlineStr">
        <is>
          <t>pieces</t>
        </is>
      </c>
      <c r="E1341" t="n">
        <v>8</v>
      </c>
      <c r="F1341" t="n">
        <v>800</v>
      </c>
      <c r="G1341" t="n">
        <v>100</v>
      </c>
    </row>
    <row r="1342">
      <c r="A1342" t="n">
        <v>766</v>
      </c>
      <c r="B1342" t="inlineStr">
        <is>
          <t>Plastic Labo</t>
        </is>
      </c>
      <c r="C1342" t="inlineStr">
        <is>
          <t>Calypso - 8x11</t>
        </is>
      </c>
      <c r="D1342" t="inlineStr">
        <is>
          <t>pieces</t>
        </is>
      </c>
      <c r="E1342" t="n">
        <v>2</v>
      </c>
      <c r="F1342" t="n">
        <v>24</v>
      </c>
      <c r="G1342" t="n">
        <v>12</v>
      </c>
    </row>
    <row r="1343">
      <c r="A1343" t="n">
        <v>766</v>
      </c>
      <c r="B1343" t="inlineStr">
        <is>
          <t>Plastic Labo</t>
        </is>
      </c>
      <c r="C1343" t="inlineStr">
        <is>
          <t>Calypso - 8x11</t>
        </is>
      </c>
      <c r="D1343" t="inlineStr">
        <is>
          <t>packs</t>
        </is>
      </c>
      <c r="E1343" t="n">
        <v>2</v>
      </c>
      <c r="F1343" t="n">
        <v>185.4</v>
      </c>
      <c r="G1343" t="n">
        <v>92.7</v>
      </c>
    </row>
    <row r="1344">
      <c r="A1344" t="n">
        <v>766</v>
      </c>
      <c r="B1344" t="inlineStr">
        <is>
          <t>Plastic Labo</t>
        </is>
      </c>
      <c r="C1344" t="inlineStr">
        <is>
          <t>8x11</t>
        </is>
      </c>
      <c r="D1344" t="inlineStr">
        <is>
          <t>packs</t>
        </is>
      </c>
      <c r="E1344" t="n">
        <v>32</v>
      </c>
      <c r="F1344" t="n">
        <v>288.64</v>
      </c>
      <c r="G1344" t="n">
        <v>9.02</v>
      </c>
    </row>
    <row r="1345">
      <c r="A1345" t="n">
        <v>767</v>
      </c>
      <c r="B1345" t="inlineStr">
        <is>
          <t>Pork - BBQ on Stick</t>
        </is>
      </c>
      <c r="C1345" t="inlineStr">
        <is>
          <t>Richard/piece/</t>
        </is>
      </c>
      <c r="D1345" t="inlineStr">
        <is>
          <t>pieces</t>
        </is>
      </c>
      <c r="E1345" t="n">
        <v>50</v>
      </c>
      <c r="F1345" t="n">
        <v>1500</v>
      </c>
      <c r="G1345" t="n">
        <v>30</v>
      </c>
    </row>
    <row r="1346">
      <c r="A1346" t="n">
        <v>768</v>
      </c>
      <c r="B1346" t="inlineStr">
        <is>
          <t>Pork - Frozen Jowls</t>
        </is>
      </c>
      <c r="C1346" t="inlineStr"/>
      <c r="D1346" t="inlineStr">
        <is>
          <t>kilos</t>
        </is>
      </c>
      <c r="E1346" t="n">
        <v>14</v>
      </c>
      <c r="F1346" t="n">
        <v>3080</v>
      </c>
      <c r="G1346" t="n">
        <v>220</v>
      </c>
    </row>
    <row r="1347">
      <c r="A1347" t="n">
        <v>769</v>
      </c>
      <c r="B1347" t="inlineStr">
        <is>
          <t>Pork - Frozen Kasim</t>
        </is>
      </c>
      <c r="C1347" t="inlineStr"/>
      <c r="D1347" t="inlineStr">
        <is>
          <t>kilos</t>
        </is>
      </c>
      <c r="E1347" t="n">
        <v>87</v>
      </c>
      <c r="F1347" t="n">
        <v>23925</v>
      </c>
      <c r="G1347" t="n">
        <v>275</v>
      </c>
    </row>
    <row r="1348">
      <c r="A1348" t="n">
        <v>770</v>
      </c>
      <c r="B1348" t="inlineStr">
        <is>
          <t>Pork - Frozen Liempo</t>
        </is>
      </c>
      <c r="C1348" t="inlineStr"/>
      <c r="D1348" t="inlineStr">
        <is>
          <t>kilos</t>
        </is>
      </c>
      <c r="E1348" t="n">
        <v>11</v>
      </c>
      <c r="F1348" t="n">
        <v>3179</v>
      </c>
      <c r="G1348" t="n">
        <v>289</v>
      </c>
    </row>
    <row r="1349">
      <c r="A1349" t="n">
        <v>771</v>
      </c>
      <c r="B1349" t="inlineStr">
        <is>
          <t>Pork - Frozen Pata</t>
        </is>
      </c>
      <c r="C1349" t="inlineStr"/>
      <c r="D1349" t="inlineStr">
        <is>
          <t>kilos</t>
        </is>
      </c>
      <c r="E1349" t="n">
        <v>5</v>
      </c>
      <c r="F1349" t="n">
        <v>950</v>
      </c>
      <c r="G1349" t="n">
        <v>190</v>
      </c>
    </row>
    <row r="1350">
      <c r="A1350" t="n">
        <v>772</v>
      </c>
      <c r="B1350" t="inlineStr">
        <is>
          <t>Pork - Ground</t>
        </is>
      </c>
      <c r="C1350" t="inlineStr"/>
      <c r="D1350" t="inlineStr">
        <is>
          <t>grams</t>
        </is>
      </c>
      <c r="E1350" t="n">
        <v>10</v>
      </c>
      <c r="F1350" t="n">
        <v>3300</v>
      </c>
      <c r="G1350" t="n">
        <v>330</v>
      </c>
    </row>
    <row r="1351">
      <c r="A1351" t="n">
        <v>772</v>
      </c>
      <c r="B1351" t="inlineStr">
        <is>
          <t>Pork - Ground</t>
        </is>
      </c>
      <c r="C1351" t="inlineStr"/>
      <c r="D1351" t="inlineStr">
        <is>
          <t>kilos</t>
        </is>
      </c>
      <c r="E1351" t="n">
        <v>4</v>
      </c>
      <c r="F1351" t="n">
        <v>1200</v>
      </c>
      <c r="G1351" t="n">
        <v>300</v>
      </c>
    </row>
    <row r="1352">
      <c r="A1352" t="n">
        <v>773</v>
      </c>
      <c r="B1352" t="inlineStr">
        <is>
          <t>Pork - Jowls</t>
        </is>
      </c>
      <c r="C1352" t="inlineStr"/>
      <c r="D1352" t="inlineStr">
        <is>
          <t>kilos</t>
        </is>
      </c>
      <c r="E1352" t="n">
        <v>20</v>
      </c>
      <c r="F1352" t="n">
        <v>3500</v>
      </c>
      <c r="G1352" t="n">
        <v>175</v>
      </c>
    </row>
    <row r="1353">
      <c r="A1353" t="n">
        <v>774</v>
      </c>
      <c r="B1353" t="inlineStr">
        <is>
          <t>Pork - Kasim</t>
        </is>
      </c>
      <c r="C1353" t="inlineStr"/>
      <c r="D1353" t="inlineStr">
        <is>
          <t>kilos</t>
        </is>
      </c>
      <c r="E1353" t="n">
        <v>216</v>
      </c>
      <c r="F1353" t="n">
        <v>47257</v>
      </c>
      <c r="G1353" t="n">
        <v>218.7824074074074</v>
      </c>
    </row>
    <row r="1354">
      <c r="A1354" t="n">
        <v>774</v>
      </c>
      <c r="B1354" t="inlineStr">
        <is>
          <t>Pork - Kasim</t>
        </is>
      </c>
      <c r="C1354" t="inlineStr"/>
      <c r="D1354" t="inlineStr">
        <is>
          <t>grams</t>
        </is>
      </c>
      <c r="E1354" t="n">
        <v>47</v>
      </c>
      <c r="F1354" t="n">
        <v>15040</v>
      </c>
      <c r="G1354" t="n">
        <v>320</v>
      </c>
    </row>
    <row r="1355">
      <c r="A1355" t="n">
        <v>775</v>
      </c>
      <c r="B1355" t="inlineStr">
        <is>
          <t>Pork - Laman</t>
        </is>
      </c>
      <c r="C1355" t="inlineStr"/>
      <c r="D1355" t="inlineStr">
        <is>
          <t>grams</t>
        </is>
      </c>
      <c r="E1355" t="n">
        <v>17</v>
      </c>
      <c r="F1355" t="n">
        <v>5780</v>
      </c>
      <c r="G1355" t="n">
        <v>340</v>
      </c>
    </row>
    <row r="1356">
      <c r="A1356" t="n">
        <v>775</v>
      </c>
      <c r="B1356" t="inlineStr">
        <is>
          <t>Pork - Laman</t>
        </is>
      </c>
      <c r="C1356" t="inlineStr">
        <is>
          <t>Daisuke</t>
        </is>
      </c>
      <c r="D1356" t="inlineStr">
        <is>
          <t>kilos</t>
        </is>
      </c>
      <c r="E1356" t="n">
        <v>15</v>
      </c>
      <c r="F1356" t="n">
        <v>3525</v>
      </c>
      <c r="G1356" t="n">
        <v>235</v>
      </c>
    </row>
    <row r="1357">
      <c r="A1357" t="n">
        <v>776</v>
      </c>
      <c r="B1357" t="inlineStr">
        <is>
          <t>Pork - Liempo</t>
        </is>
      </c>
      <c r="C1357" t="inlineStr"/>
      <c r="D1357" t="inlineStr">
        <is>
          <t>kilos</t>
        </is>
      </c>
      <c r="E1357" t="n">
        <v>88</v>
      </c>
      <c r="F1357" t="n">
        <v>24082</v>
      </c>
      <c r="G1357" t="n">
        <v>273.6590909090909</v>
      </c>
    </row>
    <row r="1358">
      <c r="A1358" t="n">
        <v>776</v>
      </c>
      <c r="B1358" t="inlineStr">
        <is>
          <t>Pork - Liempo</t>
        </is>
      </c>
      <c r="C1358" t="inlineStr"/>
      <c r="D1358" t="inlineStr">
        <is>
          <t>grams</t>
        </is>
      </c>
      <c r="E1358" t="n">
        <v>16</v>
      </c>
      <c r="F1358" t="n">
        <v>6340</v>
      </c>
      <c r="G1358" t="n">
        <v>396.25</v>
      </c>
    </row>
    <row r="1359">
      <c r="A1359" t="n">
        <v>776</v>
      </c>
      <c r="B1359" t="inlineStr">
        <is>
          <t>Pork - Liempo</t>
        </is>
      </c>
      <c r="C1359" t="inlineStr">
        <is>
          <t>Daisuke</t>
        </is>
      </c>
      <c r="D1359" t="inlineStr">
        <is>
          <t>kilos</t>
        </is>
      </c>
      <c r="E1359" t="n">
        <v>25</v>
      </c>
      <c r="F1359" t="n">
        <v>7225</v>
      </c>
      <c r="G1359" t="n">
        <v>289</v>
      </c>
    </row>
    <row r="1360">
      <c r="A1360" t="n">
        <v>777</v>
      </c>
      <c r="B1360" t="inlineStr">
        <is>
          <t>Pork - Liver</t>
        </is>
      </c>
      <c r="C1360" t="inlineStr"/>
      <c r="D1360" t="inlineStr">
        <is>
          <t>grams</t>
        </is>
      </c>
      <c r="E1360" t="n">
        <v>10</v>
      </c>
      <c r="F1360" t="n">
        <v>1950</v>
      </c>
      <c r="G1360" t="n">
        <v>195</v>
      </c>
    </row>
    <row r="1361">
      <c r="A1361" t="n">
        <v>778</v>
      </c>
      <c r="B1361" t="inlineStr">
        <is>
          <t>Pork - Mask</t>
        </is>
      </c>
      <c r="C1361" t="inlineStr"/>
      <c r="D1361" t="inlineStr">
        <is>
          <t>grams</t>
        </is>
      </c>
      <c r="E1361" t="n">
        <v>10</v>
      </c>
      <c r="F1361" t="n">
        <v>2800</v>
      </c>
      <c r="G1361" t="n">
        <v>280</v>
      </c>
    </row>
    <row r="1362">
      <c r="A1362" t="n">
        <v>779</v>
      </c>
      <c r="B1362" t="inlineStr">
        <is>
          <t>Pork - Pata</t>
        </is>
      </c>
      <c r="C1362" t="inlineStr"/>
      <c r="D1362" t="inlineStr">
        <is>
          <t>kilos</t>
        </is>
      </c>
      <c r="E1362" t="n">
        <v>15</v>
      </c>
      <c r="F1362" t="n">
        <v>4650</v>
      </c>
      <c r="G1362" t="n">
        <v>310</v>
      </c>
    </row>
    <row r="1363">
      <c r="A1363" t="n">
        <v>780</v>
      </c>
      <c r="B1363" t="inlineStr">
        <is>
          <t>Pork - Porkchop</t>
        </is>
      </c>
      <c r="C1363" t="inlineStr"/>
      <c r="D1363" t="inlineStr">
        <is>
          <t>grams</t>
        </is>
      </c>
      <c r="E1363" t="n">
        <v>10</v>
      </c>
      <c r="F1363" t="n">
        <v>3400</v>
      </c>
      <c r="G1363" t="n">
        <v>340</v>
      </c>
    </row>
    <row r="1364">
      <c r="A1364" t="n">
        <v>781</v>
      </c>
      <c r="B1364" t="inlineStr">
        <is>
          <t>Pork Longanisa</t>
        </is>
      </c>
      <c r="C1364" t="inlineStr"/>
      <c r="D1364" t="inlineStr">
        <is>
          <t>grams</t>
        </is>
      </c>
      <c r="E1364" t="n">
        <v>1</v>
      </c>
      <c r="F1364" t="n">
        <v>140</v>
      </c>
      <c r="G1364" t="n">
        <v>140</v>
      </c>
    </row>
    <row r="1365">
      <c r="A1365" t="n">
        <v>781</v>
      </c>
      <c r="B1365" t="inlineStr">
        <is>
          <t>Pork Longanisa</t>
        </is>
      </c>
      <c r="C1365" t="inlineStr">
        <is>
          <t>pack/1000g</t>
        </is>
      </c>
      <c r="D1365" t="inlineStr">
        <is>
          <t>grams</t>
        </is>
      </c>
      <c r="E1365" t="n">
        <v>7</v>
      </c>
      <c r="F1365" t="n">
        <v>1680</v>
      </c>
      <c r="G1365" t="n">
        <v>240</v>
      </c>
    </row>
    <row r="1366">
      <c r="A1366" t="n">
        <v>334</v>
      </c>
      <c r="B1366" t="inlineStr">
        <is>
          <t>Pork Longganisa</t>
        </is>
      </c>
      <c r="C1366" t="inlineStr">
        <is>
          <t>CDO/pack/250grams</t>
        </is>
      </c>
      <c r="D1366" t="inlineStr">
        <is>
          <t>grams</t>
        </is>
      </c>
      <c r="E1366" t="n">
        <v>3</v>
      </c>
      <c r="F1366" t="n">
        <v>234</v>
      </c>
      <c r="G1366" t="n">
        <v>78</v>
      </c>
    </row>
    <row r="1367">
      <c r="A1367" t="n">
        <v>334</v>
      </c>
      <c r="B1367" t="inlineStr">
        <is>
          <t>Pork Longganisa</t>
        </is>
      </c>
      <c r="C1367" t="inlineStr">
        <is>
          <t>Daisuke</t>
        </is>
      </c>
      <c r="D1367" t="inlineStr">
        <is>
          <t>kilos</t>
        </is>
      </c>
      <c r="E1367" t="n">
        <v>3</v>
      </c>
      <c r="F1367" t="n">
        <v>495</v>
      </c>
      <c r="G1367" t="n">
        <v>165</v>
      </c>
    </row>
    <row r="1368">
      <c r="A1368" t="n">
        <v>337</v>
      </c>
      <c r="B1368" t="inlineStr">
        <is>
          <t>Potato</t>
        </is>
      </c>
      <c r="C1368" t="inlineStr"/>
      <c r="D1368" t="inlineStr">
        <is>
          <t>kilos</t>
        </is>
      </c>
      <c r="E1368" t="n">
        <v>2</v>
      </c>
      <c r="F1368" t="n">
        <v>240</v>
      </c>
      <c r="G1368" t="n">
        <v>120</v>
      </c>
    </row>
    <row r="1369">
      <c r="A1369" t="n">
        <v>337</v>
      </c>
      <c r="B1369" t="inlineStr">
        <is>
          <t>Potato</t>
        </is>
      </c>
      <c r="C1369" t="inlineStr">
        <is>
          <t>Fresh</t>
        </is>
      </c>
      <c r="D1369" t="inlineStr">
        <is>
          <t>kilos</t>
        </is>
      </c>
      <c r="E1369" t="n">
        <v>9</v>
      </c>
      <c r="F1369" t="n">
        <v>1420</v>
      </c>
      <c r="G1369" t="n">
        <v>157.7777777777778</v>
      </c>
    </row>
    <row r="1370">
      <c r="A1370" t="n">
        <v>337</v>
      </c>
      <c r="B1370" t="inlineStr">
        <is>
          <t>Potato</t>
        </is>
      </c>
      <c r="C1370" t="inlineStr">
        <is>
          <t>Hernan Logmao</t>
        </is>
      </c>
      <c r="D1370" t="inlineStr">
        <is>
          <t>kilos</t>
        </is>
      </c>
      <c r="E1370" t="n">
        <v>1</v>
      </c>
      <c r="F1370" t="n">
        <v>160</v>
      </c>
      <c r="G1370" t="n">
        <v>160</v>
      </c>
    </row>
    <row r="1371">
      <c r="A1371" t="n">
        <v>782</v>
      </c>
      <c r="B1371" t="inlineStr">
        <is>
          <t>Powdered Juice</t>
        </is>
      </c>
      <c r="C1371" t="inlineStr">
        <is>
          <t>Nestle - Houseblend</t>
        </is>
      </c>
      <c r="D1371" t="inlineStr">
        <is>
          <t>grams</t>
        </is>
      </c>
      <c r="E1371" t="n">
        <v>15</v>
      </c>
      <c r="F1371" t="n">
        <v>2531.25</v>
      </c>
      <c r="G1371" t="n">
        <v>168.75</v>
      </c>
    </row>
    <row r="1372">
      <c r="A1372" t="n">
        <v>782</v>
      </c>
      <c r="B1372" t="inlineStr">
        <is>
          <t>Powdered Juice</t>
        </is>
      </c>
      <c r="C1372" t="inlineStr">
        <is>
          <t>Nestle - Orange Juice</t>
        </is>
      </c>
      <c r="D1372" t="inlineStr">
        <is>
          <t>grams</t>
        </is>
      </c>
      <c r="E1372" t="n">
        <v>8</v>
      </c>
      <c r="F1372" t="n">
        <v>1298.56</v>
      </c>
      <c r="G1372" t="n">
        <v>162.32</v>
      </c>
    </row>
    <row r="1373">
      <c r="A1373" t="n">
        <v>782</v>
      </c>
      <c r="B1373" t="inlineStr">
        <is>
          <t>Powdered Juice</t>
        </is>
      </c>
      <c r="C1373" t="inlineStr">
        <is>
          <t>Nestle - Pineapple Juice</t>
        </is>
      </c>
      <c r="D1373" t="inlineStr">
        <is>
          <t>grams</t>
        </is>
      </c>
      <c r="E1373" t="n">
        <v>7</v>
      </c>
      <c r="F1373" t="n">
        <v>1136.24</v>
      </c>
      <c r="G1373" t="n">
        <v>162.32</v>
      </c>
    </row>
    <row r="1374">
      <c r="A1374" t="n">
        <v>782</v>
      </c>
      <c r="B1374" t="inlineStr">
        <is>
          <t>Powdered Juice</t>
        </is>
      </c>
      <c r="C1374" t="inlineStr">
        <is>
          <t>Nestle - Pink Lychee</t>
        </is>
      </c>
      <c r="D1374" t="inlineStr">
        <is>
          <t>grams</t>
        </is>
      </c>
      <c r="E1374" t="n">
        <v>11</v>
      </c>
      <c r="F1374" t="n">
        <v>1785.52</v>
      </c>
      <c r="G1374" t="n">
        <v>162.32</v>
      </c>
    </row>
    <row r="1375">
      <c r="A1375" t="n">
        <v>782</v>
      </c>
      <c r="B1375" t="inlineStr">
        <is>
          <t>Powdered Juice</t>
        </is>
      </c>
      <c r="C1375" t="inlineStr">
        <is>
          <t>Nestle - Strawberry</t>
        </is>
      </c>
      <c r="D1375" t="inlineStr">
        <is>
          <t>grams</t>
        </is>
      </c>
      <c r="E1375" t="n">
        <v>12</v>
      </c>
      <c r="F1375" t="n">
        <v>2015.4</v>
      </c>
      <c r="G1375" t="n">
        <v>167.95</v>
      </c>
    </row>
    <row r="1376">
      <c r="A1376" t="n">
        <v>783</v>
      </c>
      <c r="B1376" t="inlineStr">
        <is>
          <t>Powdered Juice - Dalandan</t>
        </is>
      </c>
      <c r="C1376" t="inlineStr">
        <is>
          <t>Mondelez - Tang</t>
        </is>
      </c>
      <c r="D1376" t="inlineStr">
        <is>
          <t>grams</t>
        </is>
      </c>
      <c r="E1376" t="n">
        <v>4</v>
      </c>
      <c r="F1376" t="n">
        <v>78</v>
      </c>
      <c r="G1376" t="n">
        <v>19.5</v>
      </c>
    </row>
    <row r="1377">
      <c r="A1377" t="n">
        <v>784</v>
      </c>
      <c r="B1377" t="inlineStr">
        <is>
          <t>Powdered Juice - Four Seasons</t>
        </is>
      </c>
      <c r="C1377" t="inlineStr">
        <is>
          <t>Mondelez - Tang</t>
        </is>
      </c>
      <c r="D1377" t="inlineStr">
        <is>
          <t>grams</t>
        </is>
      </c>
      <c r="E1377" t="n">
        <v>1</v>
      </c>
      <c r="F1377" t="n">
        <v>20.5</v>
      </c>
      <c r="G1377" t="n">
        <v>20.5</v>
      </c>
    </row>
    <row r="1378">
      <c r="A1378" t="n">
        <v>785</v>
      </c>
      <c r="B1378" t="inlineStr">
        <is>
          <t>Powdered Juice - Honey Lemon</t>
        </is>
      </c>
      <c r="C1378" t="inlineStr">
        <is>
          <t>Mondelez - Tang</t>
        </is>
      </c>
      <c r="D1378" t="inlineStr">
        <is>
          <t>grams</t>
        </is>
      </c>
      <c r="E1378" t="n">
        <v>56</v>
      </c>
      <c r="F1378" t="n">
        <v>1136.8</v>
      </c>
      <c r="G1378" t="n">
        <v>20.3</v>
      </c>
    </row>
    <row r="1379">
      <c r="A1379" t="n">
        <v>786</v>
      </c>
      <c r="B1379" t="inlineStr">
        <is>
          <t>Powdered Juice - Orange</t>
        </is>
      </c>
      <c r="C1379" t="inlineStr">
        <is>
          <t>Mondelez - Tang</t>
        </is>
      </c>
      <c r="D1379" t="inlineStr">
        <is>
          <t>grams</t>
        </is>
      </c>
      <c r="E1379" t="n">
        <v>32</v>
      </c>
      <c r="F1379" t="n">
        <v>608</v>
      </c>
      <c r="G1379" t="n">
        <v>19</v>
      </c>
    </row>
    <row r="1380">
      <c r="A1380" t="n">
        <v>787</v>
      </c>
      <c r="B1380" t="inlineStr">
        <is>
          <t>Powdered Juice - Pineapple</t>
        </is>
      </c>
      <c r="C1380" t="inlineStr">
        <is>
          <t>Mondelez - Tang</t>
        </is>
      </c>
      <c r="D1380" t="inlineStr">
        <is>
          <t>grams</t>
        </is>
      </c>
      <c r="E1380" t="n">
        <v>4</v>
      </c>
      <c r="F1380" t="n">
        <v>82</v>
      </c>
      <c r="G1380" t="n">
        <v>20.5</v>
      </c>
    </row>
    <row r="1381">
      <c r="A1381" t="n">
        <v>344</v>
      </c>
      <c r="B1381" t="inlineStr">
        <is>
          <t>Pusit Kalawang</t>
        </is>
      </c>
      <c r="C1381" t="inlineStr"/>
      <c r="D1381" t="inlineStr">
        <is>
          <t>kilos</t>
        </is>
      </c>
      <c r="E1381" t="n">
        <v>3</v>
      </c>
      <c r="F1381" t="n">
        <v>840</v>
      </c>
      <c r="G1381" t="n">
        <v>280</v>
      </c>
    </row>
    <row r="1382">
      <c r="A1382" t="n">
        <v>349</v>
      </c>
      <c r="B1382" t="inlineStr">
        <is>
          <t>Raisins</t>
        </is>
      </c>
      <c r="C1382" t="inlineStr">
        <is>
          <t>Sun Maid</t>
        </is>
      </c>
      <c r="D1382" t="inlineStr">
        <is>
          <t>grams</t>
        </is>
      </c>
      <c r="E1382" t="n">
        <v>3</v>
      </c>
      <c r="F1382" t="n">
        <v>153.3</v>
      </c>
      <c r="G1382" t="n">
        <v>51.1</v>
      </c>
    </row>
    <row r="1383">
      <c r="A1383" t="n">
        <v>349</v>
      </c>
      <c r="B1383" t="inlineStr">
        <is>
          <t>Raisins</t>
        </is>
      </c>
      <c r="C1383" t="inlineStr">
        <is>
          <t>Ram</t>
        </is>
      </c>
      <c r="D1383" t="inlineStr">
        <is>
          <t>grams</t>
        </is>
      </c>
      <c r="E1383" t="n">
        <v>11</v>
      </c>
      <c r="F1383" t="n">
        <v>537.2</v>
      </c>
      <c r="G1383" t="n">
        <v>48.83636363636364</v>
      </c>
    </row>
    <row r="1384">
      <c r="A1384" t="n">
        <v>349</v>
      </c>
      <c r="B1384" t="inlineStr">
        <is>
          <t>Raisins</t>
        </is>
      </c>
      <c r="C1384" t="inlineStr">
        <is>
          <t>Mother's Best</t>
        </is>
      </c>
      <c r="D1384" t="inlineStr">
        <is>
          <t>grams</t>
        </is>
      </c>
      <c r="E1384" t="n">
        <v>7</v>
      </c>
      <c r="F1384" t="n">
        <v>336</v>
      </c>
      <c r="G1384" t="n">
        <v>48</v>
      </c>
    </row>
    <row r="1385">
      <c r="A1385" t="n">
        <v>350</v>
      </c>
      <c r="B1385" t="inlineStr">
        <is>
          <t>Raw Sago</t>
        </is>
      </c>
      <c r="C1385" t="inlineStr"/>
      <c r="D1385" t="inlineStr">
        <is>
          <t>kilos</t>
        </is>
      </c>
      <c r="E1385" t="n">
        <v>1</v>
      </c>
      <c r="F1385" t="n">
        <v>125</v>
      </c>
      <c r="G1385" t="n">
        <v>125</v>
      </c>
    </row>
    <row r="1386">
      <c r="A1386" t="n">
        <v>788</v>
      </c>
      <c r="B1386" t="inlineStr">
        <is>
          <t>Razor blade</t>
        </is>
      </c>
      <c r="C1386" t="inlineStr">
        <is>
          <t>Gillette</t>
        </is>
      </c>
      <c r="D1386" t="inlineStr">
        <is>
          <t>pieces</t>
        </is>
      </c>
      <c r="E1386" t="n">
        <v>8</v>
      </c>
      <c r="F1386" t="n">
        <v>206.4</v>
      </c>
      <c r="G1386" t="n">
        <v>25.8</v>
      </c>
    </row>
    <row r="1387">
      <c r="A1387" t="n">
        <v>354</v>
      </c>
      <c r="B1387" t="inlineStr">
        <is>
          <t>Red Cane Vinegar</t>
        </is>
      </c>
      <c r="C1387" t="inlineStr"/>
      <c r="D1387" t="inlineStr">
        <is>
          <t>ml</t>
        </is>
      </c>
      <c r="E1387" t="n">
        <v>3</v>
      </c>
      <c r="F1387" t="n">
        <v>167.5</v>
      </c>
      <c r="G1387" t="n">
        <v>55.83333333333334</v>
      </c>
    </row>
    <row r="1388">
      <c r="A1388" t="n">
        <v>355</v>
      </c>
      <c r="B1388" t="inlineStr">
        <is>
          <t>Red Pimiento</t>
        </is>
      </c>
      <c r="C1388" t="inlineStr">
        <is>
          <t>Capri</t>
        </is>
      </c>
      <c r="D1388" t="inlineStr">
        <is>
          <t>grams</t>
        </is>
      </c>
      <c r="E1388" t="n">
        <v>1</v>
      </c>
      <c r="F1388" t="n">
        <v>139</v>
      </c>
      <c r="G1388" t="n">
        <v>139</v>
      </c>
    </row>
    <row r="1389">
      <c r="A1389" t="n">
        <v>789</v>
      </c>
      <c r="B1389" t="inlineStr">
        <is>
          <t>Red Rice</t>
        </is>
      </c>
      <c r="C1389" t="inlineStr">
        <is>
          <t>MBN</t>
        </is>
      </c>
      <c r="D1389" t="inlineStr">
        <is>
          <t>kilos</t>
        </is>
      </c>
      <c r="E1389" t="n">
        <v>1</v>
      </c>
      <c r="F1389" t="n">
        <v>1700</v>
      </c>
      <c r="G1389" t="n">
        <v>1700</v>
      </c>
    </row>
    <row r="1390">
      <c r="A1390" t="n">
        <v>790</v>
      </c>
      <c r="B1390" t="inlineStr">
        <is>
          <t>Red Wine</t>
        </is>
      </c>
      <c r="C1390" t="inlineStr">
        <is>
          <t>Carlo Rossi</t>
        </is>
      </c>
      <c r="D1390" t="inlineStr">
        <is>
          <t>ml</t>
        </is>
      </c>
      <c r="E1390" t="n">
        <v>1</v>
      </c>
      <c r="F1390" t="n">
        <v>343</v>
      </c>
      <c r="G1390" t="n">
        <v>343</v>
      </c>
    </row>
    <row r="1391">
      <c r="A1391" t="n">
        <v>790</v>
      </c>
      <c r="B1391" t="inlineStr">
        <is>
          <t>Red Wine</t>
        </is>
      </c>
      <c r="C1391" t="inlineStr">
        <is>
          <t>Carlo Rossi</t>
        </is>
      </c>
      <c r="D1391" t="inlineStr">
        <is>
          <t>liters</t>
        </is>
      </c>
      <c r="E1391" t="n">
        <v>1</v>
      </c>
      <c r="F1391" t="n">
        <v>301.5</v>
      </c>
      <c r="G1391" t="n">
        <v>301.5</v>
      </c>
    </row>
    <row r="1392">
      <c r="A1392" t="n">
        <v>357</v>
      </c>
      <c r="B1392" t="inlineStr">
        <is>
          <t>Rice</t>
        </is>
      </c>
      <c r="C1392" t="inlineStr">
        <is>
          <t>Premium</t>
        </is>
      </c>
      <c r="D1392" t="inlineStr">
        <is>
          <t>kilos</t>
        </is>
      </c>
      <c r="E1392" t="n">
        <v>150</v>
      </c>
      <c r="F1392" t="n">
        <v>7200</v>
      </c>
      <c r="G1392" t="n">
        <v>48</v>
      </c>
    </row>
    <row r="1393">
      <c r="A1393" t="n">
        <v>357</v>
      </c>
      <c r="B1393" t="inlineStr">
        <is>
          <t>Rice</t>
        </is>
      </c>
      <c r="C1393" t="inlineStr">
        <is>
          <t>Sinandomeng</t>
        </is>
      </c>
      <c r="D1393" t="inlineStr">
        <is>
          <t>sacks</t>
        </is>
      </c>
      <c r="E1393" t="n">
        <v>16</v>
      </c>
      <c r="F1393" t="n">
        <v>16800</v>
      </c>
      <c r="G1393" t="n">
        <v>1050</v>
      </c>
    </row>
    <row r="1394">
      <c r="A1394" t="n">
        <v>357</v>
      </c>
      <c r="B1394" t="inlineStr">
        <is>
          <t>Rice</t>
        </is>
      </c>
      <c r="C1394" t="inlineStr">
        <is>
          <t>MBN Rice</t>
        </is>
      </c>
      <c r="D1394" t="inlineStr">
        <is>
          <t>kilos</t>
        </is>
      </c>
      <c r="E1394" t="n">
        <v>6</v>
      </c>
      <c r="F1394" t="n">
        <v>7200</v>
      </c>
      <c r="G1394" t="n">
        <v>1200</v>
      </c>
    </row>
    <row r="1395">
      <c r="A1395" t="n">
        <v>357</v>
      </c>
      <c r="B1395" t="inlineStr">
        <is>
          <t>Rice</t>
        </is>
      </c>
      <c r="C1395" t="inlineStr">
        <is>
          <t>Super Alsa</t>
        </is>
      </c>
      <c r="D1395" t="inlineStr">
        <is>
          <t>kilos</t>
        </is>
      </c>
      <c r="E1395" t="n">
        <v>88</v>
      </c>
      <c r="F1395" t="n">
        <v>3836.8</v>
      </c>
      <c r="G1395" t="n">
        <v>43.6</v>
      </c>
    </row>
    <row r="1396">
      <c r="A1396" t="n">
        <v>357</v>
      </c>
      <c r="B1396" t="inlineStr">
        <is>
          <t>Rice</t>
        </is>
      </c>
      <c r="C1396" t="inlineStr">
        <is>
          <t>Edward Edit</t>
        </is>
      </c>
      <c r="D1396" t="inlineStr">
        <is>
          <t>kilos</t>
        </is>
      </c>
      <c r="E1396" t="n">
        <v>150</v>
      </c>
      <c r="F1396" t="n">
        <v>7200</v>
      </c>
      <c r="G1396" t="n">
        <v>48</v>
      </c>
    </row>
    <row r="1397">
      <c r="A1397" t="n">
        <v>357</v>
      </c>
      <c r="B1397" t="inlineStr">
        <is>
          <t>Rice</t>
        </is>
      </c>
      <c r="C1397" t="inlineStr">
        <is>
          <t>Golden Cup</t>
        </is>
      </c>
      <c r="D1397" t="inlineStr">
        <is>
          <t>kilos</t>
        </is>
      </c>
      <c r="E1397" t="n">
        <v>10</v>
      </c>
      <c r="F1397" t="n">
        <v>26000</v>
      </c>
      <c r="G1397" t="n">
        <v>2600</v>
      </c>
    </row>
    <row r="1398">
      <c r="A1398" t="n">
        <v>357</v>
      </c>
      <c r="B1398" t="inlineStr">
        <is>
          <t>Rice</t>
        </is>
      </c>
      <c r="C1398" t="inlineStr">
        <is>
          <t>Kohaku</t>
        </is>
      </c>
      <c r="D1398" t="inlineStr">
        <is>
          <t>kilos</t>
        </is>
      </c>
      <c r="E1398" t="n">
        <v>10</v>
      </c>
      <c r="F1398" t="n">
        <v>30000</v>
      </c>
      <c r="G1398" t="n">
        <v>3000</v>
      </c>
    </row>
    <row r="1399">
      <c r="A1399" t="n">
        <v>357</v>
      </c>
      <c r="B1399" t="inlineStr">
        <is>
          <t>Rice</t>
        </is>
      </c>
      <c r="C1399" t="inlineStr">
        <is>
          <t>Orchids</t>
        </is>
      </c>
      <c r="D1399" t="inlineStr">
        <is>
          <t>kilos</t>
        </is>
      </c>
      <c r="E1399" t="n">
        <v>35</v>
      </c>
      <c r="F1399" t="n">
        <v>44625</v>
      </c>
      <c r="G1399" t="n">
        <v>1275</v>
      </c>
    </row>
    <row r="1400">
      <c r="A1400" t="n">
        <v>791</v>
      </c>
      <c r="B1400" t="inlineStr">
        <is>
          <t>Rice Vinegar</t>
        </is>
      </c>
      <c r="C1400" t="inlineStr">
        <is>
          <t>Marukan</t>
        </is>
      </c>
      <c r="D1400" t="inlineStr">
        <is>
          <t>ml</t>
        </is>
      </c>
      <c r="E1400" t="n">
        <v>3</v>
      </c>
      <c r="F1400" t="n">
        <v>1095</v>
      </c>
      <c r="G1400" t="n">
        <v>365</v>
      </c>
    </row>
    <row r="1401">
      <c r="A1401" t="n">
        <v>792</v>
      </c>
      <c r="B1401" t="inlineStr">
        <is>
          <t>Rice Wrapper</t>
        </is>
      </c>
      <c r="C1401" t="inlineStr">
        <is>
          <t>Carandang Merchandise</t>
        </is>
      </c>
      <c r="D1401" t="inlineStr">
        <is>
          <t>bundle</t>
        </is>
      </c>
      <c r="E1401" t="n">
        <v>1</v>
      </c>
      <c r="F1401" t="n">
        <v>420</v>
      </c>
      <c r="G1401" t="n">
        <v>420</v>
      </c>
    </row>
    <row r="1402">
      <c r="A1402" t="n">
        <v>793</v>
      </c>
      <c r="B1402" t="inlineStr">
        <is>
          <t>Rice Wrapper - Large</t>
        </is>
      </c>
      <c r="C1402" t="inlineStr">
        <is>
          <t>(1000pcs per bundle)</t>
        </is>
      </c>
      <c r="D1402" t="inlineStr">
        <is>
          <t>bundle</t>
        </is>
      </c>
      <c r="E1402" t="n">
        <v>2</v>
      </c>
      <c r="F1402" t="n">
        <v>1100</v>
      </c>
      <c r="G1402" t="n">
        <v>550</v>
      </c>
    </row>
    <row r="1403">
      <c r="A1403" t="n">
        <v>794</v>
      </c>
      <c r="B1403" t="inlineStr">
        <is>
          <t>Rolled Oats</t>
        </is>
      </c>
      <c r="C1403" t="inlineStr"/>
      <c r="D1403" t="inlineStr">
        <is>
          <t>grams</t>
        </is>
      </c>
      <c r="E1403" t="n">
        <v>1</v>
      </c>
      <c r="F1403" t="n">
        <v>70.5</v>
      </c>
      <c r="G1403" t="n">
        <v>70.5</v>
      </c>
    </row>
    <row r="1404">
      <c r="A1404" t="n">
        <v>795</v>
      </c>
      <c r="B1404" t="inlineStr">
        <is>
          <t>RTD - Chocolate</t>
        </is>
      </c>
      <c r="C1404" t="inlineStr">
        <is>
          <t>Nestle - Chuckie</t>
        </is>
      </c>
      <c r="D1404" t="inlineStr">
        <is>
          <t>ml</t>
        </is>
      </c>
      <c r="E1404" t="n">
        <v>3</v>
      </c>
      <c r="F1404" t="n">
        <v>85.67999999999999</v>
      </c>
      <c r="G1404" t="n">
        <v>28.56</v>
      </c>
    </row>
    <row r="1405">
      <c r="A1405" t="n">
        <v>796</v>
      </c>
      <c r="B1405" t="inlineStr">
        <is>
          <t>RTD - Iced Tea</t>
        </is>
      </c>
      <c r="C1405" t="inlineStr">
        <is>
          <t>Universal Robina - C2 Solo Apple</t>
        </is>
      </c>
      <c r="D1405" t="inlineStr">
        <is>
          <t>ml</t>
        </is>
      </c>
      <c r="E1405" t="n">
        <v>16</v>
      </c>
      <c r="F1405" t="n">
        <v>199.84</v>
      </c>
      <c r="G1405" t="n">
        <v>12.49</v>
      </c>
    </row>
    <row r="1406">
      <c r="A1406" t="n">
        <v>796</v>
      </c>
      <c r="B1406" t="inlineStr">
        <is>
          <t>RTD - Iced Tea</t>
        </is>
      </c>
      <c r="C1406" t="inlineStr">
        <is>
          <t>Universal Robina - C2 Solo</t>
        </is>
      </c>
      <c r="D1406" t="inlineStr">
        <is>
          <t>ml</t>
        </is>
      </c>
      <c r="E1406" t="n">
        <v>65</v>
      </c>
      <c r="F1406" t="n">
        <v>811.85</v>
      </c>
      <c r="G1406" t="n">
        <v>12.49</v>
      </c>
    </row>
    <row r="1407">
      <c r="A1407" t="n">
        <v>796</v>
      </c>
      <c r="B1407" t="inlineStr">
        <is>
          <t>RTD - Iced Tea</t>
        </is>
      </c>
      <c r="C1407" t="inlineStr">
        <is>
          <t>Universal Robina - C2 Solo Lemon</t>
        </is>
      </c>
      <c r="D1407" t="inlineStr">
        <is>
          <t>ml</t>
        </is>
      </c>
      <c r="E1407" t="n">
        <v>18</v>
      </c>
      <c r="F1407" t="n">
        <v>225.72</v>
      </c>
      <c r="G1407" t="n">
        <v>12.54</v>
      </c>
    </row>
    <row r="1408">
      <c r="A1408" t="n">
        <v>797</v>
      </c>
      <c r="B1408" t="inlineStr">
        <is>
          <t>RTD - Juice</t>
        </is>
      </c>
      <c r="C1408" t="inlineStr">
        <is>
          <t>Coca-Cola - Minute Maid Fresh</t>
        </is>
      </c>
      <c r="D1408" t="inlineStr">
        <is>
          <t>ml</t>
        </is>
      </c>
      <c r="E1408" t="n">
        <v>57</v>
      </c>
      <c r="F1408" t="n">
        <v>813.2900000000001</v>
      </c>
      <c r="G1408" t="n">
        <v>14.26824561403509</v>
      </c>
    </row>
    <row r="1409">
      <c r="A1409" t="n">
        <v>797</v>
      </c>
      <c r="B1409" t="inlineStr">
        <is>
          <t>RTD - Juice</t>
        </is>
      </c>
      <c r="C1409" t="inlineStr">
        <is>
          <t>Coca-Cola - Minute Maid Mango</t>
        </is>
      </c>
      <c r="D1409" t="inlineStr">
        <is>
          <t>ml</t>
        </is>
      </c>
      <c r="E1409" t="n">
        <v>33</v>
      </c>
      <c r="F1409" t="n">
        <v>741.5799999999999</v>
      </c>
      <c r="G1409" t="n">
        <v>22.47212121212121</v>
      </c>
    </row>
    <row r="1410">
      <c r="A1410" t="n">
        <v>797</v>
      </c>
      <c r="B1410" t="inlineStr">
        <is>
          <t>RTD - Juice</t>
        </is>
      </c>
      <c r="C1410" t="inlineStr">
        <is>
          <t>Coca-Cola - Minute Maid Orange</t>
        </is>
      </c>
      <c r="D1410" t="inlineStr">
        <is>
          <t>ml</t>
        </is>
      </c>
      <c r="E1410" t="n">
        <v>27</v>
      </c>
      <c r="F1410" t="n">
        <v>697.41</v>
      </c>
      <c r="G1410" t="n">
        <v>25.83</v>
      </c>
    </row>
    <row r="1411">
      <c r="A1411" t="n">
        <v>797</v>
      </c>
      <c r="B1411" t="inlineStr">
        <is>
          <t>RTD - Juice</t>
        </is>
      </c>
      <c r="C1411" t="inlineStr">
        <is>
          <t>Mogu-Mogu Melon</t>
        </is>
      </c>
      <c r="D1411" t="inlineStr">
        <is>
          <t>ml</t>
        </is>
      </c>
      <c r="E1411" t="n">
        <v>24</v>
      </c>
      <c r="F1411" t="n">
        <v>1015.68</v>
      </c>
      <c r="G1411" t="n">
        <v>42.32</v>
      </c>
    </row>
    <row r="1412">
      <c r="A1412" t="n">
        <v>797</v>
      </c>
      <c r="B1412" t="inlineStr">
        <is>
          <t>RTD - Juice</t>
        </is>
      </c>
      <c r="C1412" t="inlineStr">
        <is>
          <t>Del Monte - Four Seasons</t>
        </is>
      </c>
      <c r="D1412" t="inlineStr">
        <is>
          <t>ml</t>
        </is>
      </c>
      <c r="E1412" t="n">
        <v>112</v>
      </c>
      <c r="F1412" t="n">
        <v>3258.85</v>
      </c>
      <c r="G1412" t="n">
        <v>29.096875</v>
      </c>
    </row>
    <row r="1413">
      <c r="A1413" t="n">
        <v>797</v>
      </c>
      <c r="B1413" t="inlineStr">
        <is>
          <t>RTD - Juice</t>
        </is>
      </c>
      <c r="C1413" t="inlineStr">
        <is>
          <t>Del Monte - Four Seasons</t>
        </is>
      </c>
      <c r="D1413" t="inlineStr">
        <is>
          <t>cans</t>
        </is>
      </c>
      <c r="E1413" t="n">
        <v>1</v>
      </c>
      <c r="F1413" t="n">
        <v>672.55</v>
      </c>
      <c r="G1413" t="n">
        <v>672.55</v>
      </c>
    </row>
    <row r="1414">
      <c r="A1414" t="n">
        <v>797</v>
      </c>
      <c r="B1414" t="inlineStr">
        <is>
          <t>RTD - Juice</t>
        </is>
      </c>
      <c r="C1414" t="inlineStr">
        <is>
          <t>Del Monte - Four Seasons</t>
        </is>
      </c>
      <c r="D1414" t="inlineStr">
        <is>
          <t>liters</t>
        </is>
      </c>
      <c r="E1414" t="n">
        <v>4</v>
      </c>
      <c r="F1414" t="n">
        <v>388.8</v>
      </c>
      <c r="G1414" t="n">
        <v>97.2</v>
      </c>
    </row>
    <row r="1415">
      <c r="A1415" t="n">
        <v>798</v>
      </c>
      <c r="B1415" t="inlineStr">
        <is>
          <t>RTD - Pineapple Juice</t>
        </is>
      </c>
      <c r="C1415" t="inlineStr">
        <is>
          <t>Del Monte</t>
        </is>
      </c>
      <c r="D1415" t="inlineStr">
        <is>
          <t>ml</t>
        </is>
      </c>
      <c r="E1415" t="n">
        <v>315</v>
      </c>
      <c r="F1415" t="n">
        <v>9316.32</v>
      </c>
      <c r="G1415" t="n">
        <v>29.57561904761905</v>
      </c>
    </row>
    <row r="1416">
      <c r="A1416" t="n">
        <v>798</v>
      </c>
      <c r="B1416" t="inlineStr">
        <is>
          <t>RTD - Pineapple Juice</t>
        </is>
      </c>
      <c r="C1416" t="inlineStr">
        <is>
          <t>Del Monte</t>
        </is>
      </c>
      <c r="D1416" t="inlineStr">
        <is>
          <t>pieces</t>
        </is>
      </c>
      <c r="E1416" t="n">
        <v>15</v>
      </c>
      <c r="F1416" t="n">
        <v>442.5</v>
      </c>
      <c r="G1416" t="n">
        <v>29.5</v>
      </c>
    </row>
    <row r="1417">
      <c r="A1417" t="n">
        <v>799</v>
      </c>
      <c r="B1417" t="inlineStr">
        <is>
          <t>RTD - Pineapple Juice with ACE</t>
        </is>
      </c>
      <c r="C1417" t="inlineStr">
        <is>
          <t>Del Monte</t>
        </is>
      </c>
      <c r="D1417" t="inlineStr">
        <is>
          <t>liters</t>
        </is>
      </c>
      <c r="E1417" t="n">
        <v>3</v>
      </c>
      <c r="F1417" t="n">
        <v>368.7</v>
      </c>
      <c r="G1417" t="n">
        <v>122.9</v>
      </c>
    </row>
    <row r="1418">
      <c r="A1418" t="n">
        <v>800</v>
      </c>
      <c r="B1418" t="inlineStr">
        <is>
          <t>RTD - Pineapple Orange Juice</t>
        </is>
      </c>
      <c r="C1418" t="inlineStr">
        <is>
          <t>Del Monte</t>
        </is>
      </c>
      <c r="D1418" t="inlineStr">
        <is>
          <t>liters</t>
        </is>
      </c>
      <c r="E1418" t="n">
        <v>1</v>
      </c>
      <c r="F1418" t="n">
        <v>97.2</v>
      </c>
      <c r="G1418" t="n">
        <v>97.2</v>
      </c>
    </row>
    <row r="1419">
      <c r="A1419" t="n">
        <v>801</v>
      </c>
      <c r="B1419" t="inlineStr">
        <is>
          <t>RTD - Strawberry Drink</t>
        </is>
      </c>
      <c r="C1419" t="inlineStr">
        <is>
          <t>Nutriboost</t>
        </is>
      </c>
      <c r="D1419" t="inlineStr">
        <is>
          <t>ml</t>
        </is>
      </c>
      <c r="E1419" t="n">
        <v>1</v>
      </c>
      <c r="F1419" t="n">
        <v>19.88</v>
      </c>
      <c r="G1419" t="n">
        <v>19.88</v>
      </c>
    </row>
    <row r="1420">
      <c r="A1420" t="n">
        <v>802</v>
      </c>
      <c r="B1420" t="inlineStr">
        <is>
          <t>Saba</t>
        </is>
      </c>
      <c r="C1420" t="inlineStr"/>
      <c r="D1420" t="inlineStr">
        <is>
          <t>pieces</t>
        </is>
      </c>
      <c r="E1420" t="n">
        <v>56</v>
      </c>
      <c r="F1420" t="n">
        <v>285.6</v>
      </c>
      <c r="G1420" t="n">
        <v>5.1</v>
      </c>
    </row>
    <row r="1421">
      <c r="A1421" t="n">
        <v>802</v>
      </c>
      <c r="B1421" t="inlineStr">
        <is>
          <t>Saba</t>
        </is>
      </c>
      <c r="C1421" t="inlineStr"/>
      <c r="D1421" t="inlineStr">
        <is>
          <t>kilos</t>
        </is>
      </c>
      <c r="E1421" t="n">
        <v>5</v>
      </c>
      <c r="F1421" t="n">
        <v>100</v>
      </c>
      <c r="G1421" t="n">
        <v>20</v>
      </c>
    </row>
    <row r="1422">
      <c r="A1422" t="n">
        <v>803</v>
      </c>
      <c r="B1422" t="inlineStr">
        <is>
          <t>Sage</t>
        </is>
      </c>
      <c r="C1422" t="inlineStr">
        <is>
          <t>McCormick</t>
        </is>
      </c>
      <c r="D1422" t="inlineStr">
        <is>
          <t>grams</t>
        </is>
      </c>
      <c r="E1422" t="n">
        <v>3</v>
      </c>
      <c r="F1422" t="n">
        <v>185.25</v>
      </c>
      <c r="G1422" t="n">
        <v>61.75</v>
      </c>
    </row>
    <row r="1423">
      <c r="A1423" t="n">
        <v>803</v>
      </c>
      <c r="B1423" t="inlineStr">
        <is>
          <t>Sage</t>
        </is>
      </c>
      <c r="C1423" t="inlineStr">
        <is>
          <t>Mc Cormick</t>
        </is>
      </c>
      <c r="D1423" t="inlineStr">
        <is>
          <t>grams</t>
        </is>
      </c>
      <c r="E1423" t="n">
        <v>0</v>
      </c>
      <c r="F1423" t="n">
        <v>0</v>
      </c>
      <c r="G1423" t="n">
        <v>0</v>
      </c>
    </row>
    <row r="1424">
      <c r="A1424" t="n">
        <v>804</v>
      </c>
      <c r="B1424" t="inlineStr">
        <is>
          <t>Sago</t>
        </is>
      </c>
      <c r="C1424" t="inlineStr">
        <is>
          <t>JRS Vegetables and Sea foods</t>
        </is>
      </c>
      <c r="D1424" t="inlineStr">
        <is>
          <t>kilos</t>
        </is>
      </c>
      <c r="E1424" t="n">
        <v>1</v>
      </c>
      <c r="F1424" t="n">
        <v>100</v>
      </c>
      <c r="G1424" t="n">
        <v>100</v>
      </c>
    </row>
    <row r="1425">
      <c r="A1425" t="n">
        <v>363</v>
      </c>
      <c r="B1425" t="inlineStr">
        <is>
          <t>Salabat</t>
        </is>
      </c>
      <c r="C1425" t="inlineStr">
        <is>
          <t>Ludy's</t>
        </is>
      </c>
      <c r="D1425" t="inlineStr">
        <is>
          <t>grams</t>
        </is>
      </c>
      <c r="E1425" t="n">
        <v>342</v>
      </c>
      <c r="F1425" t="n">
        <v>1364.58</v>
      </c>
      <c r="G1425" t="n">
        <v>3.99</v>
      </c>
    </row>
    <row r="1426">
      <c r="A1426" t="n">
        <v>805</v>
      </c>
      <c r="B1426" t="inlineStr">
        <is>
          <t>Salami</t>
        </is>
      </c>
      <c r="C1426" t="inlineStr">
        <is>
          <t>King Sue</t>
        </is>
      </c>
      <c r="D1426" t="inlineStr">
        <is>
          <t>grams</t>
        </is>
      </c>
      <c r="E1426" t="n">
        <v>1</v>
      </c>
      <c r="F1426" t="n">
        <v>83</v>
      </c>
      <c r="G1426" t="n">
        <v>83</v>
      </c>
    </row>
    <row r="1427">
      <c r="A1427" t="n">
        <v>806</v>
      </c>
      <c r="B1427" t="inlineStr">
        <is>
          <t>Salmon Head</t>
        </is>
      </c>
      <c r="C1427" t="inlineStr"/>
      <c r="D1427" t="inlineStr">
        <is>
          <t>kilos</t>
        </is>
      </c>
      <c r="E1427" t="n">
        <v>3</v>
      </c>
      <c r="F1427" t="n">
        <v>660</v>
      </c>
      <c r="G1427" t="n">
        <v>220</v>
      </c>
    </row>
    <row r="1428">
      <c r="A1428" t="n">
        <v>807</v>
      </c>
      <c r="B1428" t="inlineStr">
        <is>
          <t>Salsa</t>
        </is>
      </c>
      <c r="C1428" t="inlineStr">
        <is>
          <t>Tostitos - Chunky Salsa</t>
        </is>
      </c>
      <c r="D1428" t="inlineStr">
        <is>
          <t>grams</t>
        </is>
      </c>
      <c r="E1428" t="n">
        <v>0</v>
      </c>
      <c r="F1428" t="n">
        <v>0</v>
      </c>
      <c r="G1428" t="n">
        <v>0</v>
      </c>
    </row>
    <row r="1429">
      <c r="A1429" t="n">
        <v>364</v>
      </c>
      <c r="B1429" t="inlineStr">
        <is>
          <t>Salt</t>
        </is>
      </c>
      <c r="C1429" t="inlineStr">
        <is>
          <t>Crystal</t>
        </is>
      </c>
      <c r="D1429" t="inlineStr">
        <is>
          <t>kilos</t>
        </is>
      </c>
      <c r="E1429" t="n">
        <v>18</v>
      </c>
      <c r="F1429" t="n">
        <v>180</v>
      </c>
      <c r="G1429" t="n">
        <v>10</v>
      </c>
    </row>
    <row r="1430">
      <c r="A1430" t="n">
        <v>808</v>
      </c>
      <c r="B1430" t="inlineStr">
        <is>
          <t>Salt - Iodized</t>
        </is>
      </c>
      <c r="C1430" t="inlineStr">
        <is>
          <t>Fidel</t>
        </is>
      </c>
      <c r="D1430" t="inlineStr">
        <is>
          <t>grams</t>
        </is>
      </c>
      <c r="E1430" t="n">
        <v>5</v>
      </c>
      <c r="F1430" t="n">
        <v>75</v>
      </c>
      <c r="G1430" t="n">
        <v>15</v>
      </c>
    </row>
    <row r="1431">
      <c r="A1431" t="n">
        <v>808</v>
      </c>
      <c r="B1431" t="inlineStr">
        <is>
          <t>Salt - Iodized</t>
        </is>
      </c>
      <c r="C1431" t="inlineStr">
        <is>
          <t>Fidel</t>
        </is>
      </c>
      <c r="D1431" t="inlineStr">
        <is>
          <t>kilos</t>
        </is>
      </c>
      <c r="E1431" t="n">
        <v>23</v>
      </c>
      <c r="F1431" t="n">
        <v>799.9</v>
      </c>
      <c r="G1431" t="n">
        <v>34.77826086956522</v>
      </c>
    </row>
    <row r="1432">
      <c r="A1432" t="n">
        <v>808</v>
      </c>
      <c r="B1432" t="inlineStr">
        <is>
          <t>Salt - Iodized</t>
        </is>
      </c>
      <c r="C1432" t="inlineStr">
        <is>
          <t>Lasap</t>
        </is>
      </c>
      <c r="D1432" t="inlineStr">
        <is>
          <t>grams</t>
        </is>
      </c>
      <c r="E1432" t="n">
        <v>30</v>
      </c>
      <c r="F1432" t="n">
        <v>750</v>
      </c>
      <c r="G1432" t="n">
        <v>25</v>
      </c>
    </row>
    <row r="1433">
      <c r="A1433" t="n">
        <v>808</v>
      </c>
      <c r="B1433" t="inlineStr">
        <is>
          <t>Salt - Iodized</t>
        </is>
      </c>
      <c r="C1433" t="inlineStr">
        <is>
          <t>Lasap</t>
        </is>
      </c>
      <c r="D1433" t="inlineStr">
        <is>
          <t>kilos</t>
        </is>
      </c>
      <c r="E1433" t="n">
        <v>10</v>
      </c>
      <c r="F1433" t="n">
        <v>280</v>
      </c>
      <c r="G1433" t="n">
        <v>28</v>
      </c>
    </row>
    <row r="1434">
      <c r="A1434" t="n">
        <v>365</v>
      </c>
      <c r="B1434" t="inlineStr">
        <is>
          <t>Salt - Rock</t>
        </is>
      </c>
      <c r="C1434" t="inlineStr"/>
      <c r="D1434" t="inlineStr">
        <is>
          <t>kilos</t>
        </is>
      </c>
      <c r="E1434" t="n">
        <v>28</v>
      </c>
      <c r="F1434" t="n">
        <v>700</v>
      </c>
      <c r="G1434" t="n">
        <v>25</v>
      </c>
    </row>
    <row r="1435">
      <c r="A1435" t="n">
        <v>809</v>
      </c>
      <c r="B1435" t="inlineStr">
        <is>
          <t>Salted Egg</t>
        </is>
      </c>
      <c r="C1435" t="inlineStr">
        <is>
          <t>JRS Vegetables and Sea foods</t>
        </is>
      </c>
      <c r="D1435" t="inlineStr">
        <is>
          <t>pieces</t>
        </is>
      </c>
      <c r="E1435" t="n">
        <v>16</v>
      </c>
      <c r="F1435" t="n">
        <v>320</v>
      </c>
      <c r="G1435" t="n">
        <v>20</v>
      </c>
    </row>
    <row r="1436">
      <c r="A1436" t="n">
        <v>810</v>
      </c>
      <c r="B1436" t="inlineStr">
        <is>
          <t>Saluyot</t>
        </is>
      </c>
      <c r="C1436" t="inlineStr"/>
      <c r="D1436" t="inlineStr">
        <is>
          <t>kilos</t>
        </is>
      </c>
      <c r="E1436" t="n">
        <v>1</v>
      </c>
      <c r="F1436" t="n">
        <v>30</v>
      </c>
      <c r="G1436" t="n">
        <v>30</v>
      </c>
    </row>
    <row r="1437">
      <c r="A1437" t="n">
        <v>811</v>
      </c>
      <c r="B1437" t="inlineStr">
        <is>
          <t>Sandwich Bag</t>
        </is>
      </c>
      <c r="C1437" t="inlineStr">
        <is>
          <t>Cheers - box of 50's</t>
        </is>
      </c>
      <c r="D1437" t="inlineStr">
        <is>
          <t>box</t>
        </is>
      </c>
      <c r="E1437" t="n">
        <v>3</v>
      </c>
      <c r="F1437" t="n">
        <v>271.5</v>
      </c>
      <c r="G1437" t="n">
        <v>90.5</v>
      </c>
    </row>
    <row r="1438">
      <c r="A1438" t="n">
        <v>812</v>
      </c>
      <c r="B1438" t="inlineStr">
        <is>
          <t>Sanitary Pad</t>
        </is>
      </c>
      <c r="C1438" t="inlineStr">
        <is>
          <t>Charmee - All Night</t>
        </is>
      </c>
      <c r="D1438" t="inlineStr">
        <is>
          <t>pieces</t>
        </is>
      </c>
      <c r="E1438" t="n">
        <v>23</v>
      </c>
      <c r="F1438" t="n">
        <v>139.61</v>
      </c>
      <c r="G1438" t="n">
        <v>6.07</v>
      </c>
    </row>
    <row r="1439">
      <c r="A1439" t="n">
        <v>812</v>
      </c>
      <c r="B1439" t="inlineStr">
        <is>
          <t>Sanitary Pad</t>
        </is>
      </c>
      <c r="C1439" t="inlineStr">
        <is>
          <t>Modess</t>
        </is>
      </c>
      <c r="D1439" t="inlineStr">
        <is>
          <t>packs</t>
        </is>
      </c>
      <c r="E1439" t="n">
        <v>5</v>
      </c>
      <c r="F1439" t="n">
        <v>378.7</v>
      </c>
      <c r="G1439" t="n">
        <v>75.73999999999999</v>
      </c>
    </row>
    <row r="1440">
      <c r="A1440" t="n">
        <v>813</v>
      </c>
      <c r="B1440" t="inlineStr">
        <is>
          <t>Sanitary Pads</t>
        </is>
      </c>
      <c r="C1440" t="inlineStr">
        <is>
          <t>Modess - All Night</t>
        </is>
      </c>
      <c r="D1440" t="inlineStr">
        <is>
          <t>pieces</t>
        </is>
      </c>
      <c r="E1440" t="n">
        <v>16</v>
      </c>
      <c r="F1440" t="n">
        <v>204.8</v>
      </c>
      <c r="G1440" t="n">
        <v>12.8</v>
      </c>
    </row>
    <row r="1441">
      <c r="A1441" t="n">
        <v>814</v>
      </c>
      <c r="B1441" t="inlineStr">
        <is>
          <t>Sapsap</t>
        </is>
      </c>
      <c r="C1441" t="inlineStr"/>
      <c r="D1441" t="inlineStr">
        <is>
          <t>kilos</t>
        </is>
      </c>
      <c r="E1441" t="n">
        <v>1</v>
      </c>
      <c r="F1441" t="n">
        <v>320</v>
      </c>
      <c r="G1441" t="n">
        <v>320</v>
      </c>
    </row>
    <row r="1442">
      <c r="A1442" t="n">
        <v>815</v>
      </c>
      <c r="B1442" t="inlineStr">
        <is>
          <t>Sauce Cup - 30ml</t>
        </is>
      </c>
      <c r="C1442" t="inlineStr">
        <is>
          <t>Calypso - pack by 50's</t>
        </is>
      </c>
      <c r="D1442" t="inlineStr">
        <is>
          <t>pieces</t>
        </is>
      </c>
      <c r="E1442" t="n">
        <v>143</v>
      </c>
      <c r="F1442" t="n">
        <v>143</v>
      </c>
      <c r="G1442" t="n">
        <v>1</v>
      </c>
    </row>
    <row r="1443">
      <c r="A1443" t="n">
        <v>816</v>
      </c>
      <c r="B1443" t="inlineStr">
        <is>
          <t>Sauce Cup 1oz</t>
        </is>
      </c>
      <c r="C1443" t="inlineStr"/>
      <c r="D1443" t="inlineStr">
        <is>
          <t>pieces</t>
        </is>
      </c>
      <c r="E1443" t="n">
        <v>69</v>
      </c>
      <c r="F1443" t="n">
        <v>69</v>
      </c>
      <c r="G1443" t="n">
        <v>1</v>
      </c>
    </row>
    <row r="1444">
      <c r="A1444" t="n">
        <v>817</v>
      </c>
      <c r="B1444" t="inlineStr">
        <is>
          <t>Sauce Cup 4oz</t>
        </is>
      </c>
      <c r="C1444" t="inlineStr"/>
      <c r="D1444" t="inlineStr">
        <is>
          <t>pieces</t>
        </is>
      </c>
      <c r="E1444" t="n">
        <v>41</v>
      </c>
      <c r="F1444" t="n">
        <v>82</v>
      </c>
      <c r="G1444" t="n">
        <v>2</v>
      </c>
    </row>
    <row r="1445">
      <c r="A1445" t="n">
        <v>818</v>
      </c>
      <c r="B1445" t="inlineStr">
        <is>
          <t>Savor Classic</t>
        </is>
      </c>
      <c r="C1445" t="inlineStr">
        <is>
          <t>Nestle - Maggi</t>
        </is>
      </c>
      <c r="D1445" t="inlineStr">
        <is>
          <t>ml</t>
        </is>
      </c>
      <c r="E1445" t="n">
        <v>2</v>
      </c>
      <c r="F1445" t="n">
        <v>96</v>
      </c>
      <c r="G1445" t="n">
        <v>48</v>
      </c>
    </row>
    <row r="1446">
      <c r="A1446" t="n">
        <v>373</v>
      </c>
      <c r="B1446" t="inlineStr">
        <is>
          <t>Sayote</t>
        </is>
      </c>
      <c r="C1446" t="inlineStr"/>
      <c r="D1446" t="inlineStr">
        <is>
          <t>kilos</t>
        </is>
      </c>
      <c r="E1446" t="n">
        <v>30</v>
      </c>
      <c r="F1446" t="n">
        <v>990</v>
      </c>
      <c r="G1446" t="n">
        <v>33</v>
      </c>
    </row>
    <row r="1447">
      <c r="A1447" t="n">
        <v>373</v>
      </c>
      <c r="B1447" t="inlineStr">
        <is>
          <t>Sayote</t>
        </is>
      </c>
      <c r="C1447" t="inlineStr">
        <is>
          <t>Louise Food and Beverage Trading</t>
        </is>
      </c>
      <c r="D1447" t="inlineStr">
        <is>
          <t>kilos</t>
        </is>
      </c>
      <c r="E1447" t="n">
        <v>8</v>
      </c>
      <c r="F1447" t="n">
        <v>720</v>
      </c>
      <c r="G1447" t="n">
        <v>90</v>
      </c>
    </row>
    <row r="1448">
      <c r="A1448" t="n">
        <v>819</v>
      </c>
      <c r="B1448" t="inlineStr">
        <is>
          <t>Scrubbing Pad</t>
        </is>
      </c>
      <c r="C1448" t="inlineStr">
        <is>
          <t>Scotch Brite</t>
        </is>
      </c>
      <c r="D1448" t="inlineStr">
        <is>
          <t>pieces</t>
        </is>
      </c>
      <c r="E1448" t="n">
        <v>39</v>
      </c>
      <c r="F1448" t="n">
        <v>1124.45</v>
      </c>
      <c r="G1448" t="n">
        <v>28.83205128205128</v>
      </c>
    </row>
    <row r="1449">
      <c r="A1449" t="n">
        <v>820</v>
      </c>
      <c r="B1449" t="inlineStr">
        <is>
          <t>Seasoning Powder</t>
        </is>
      </c>
      <c r="C1449" t="inlineStr">
        <is>
          <t>Mc Cody</t>
        </is>
      </c>
      <c r="D1449" t="inlineStr">
        <is>
          <t>grams</t>
        </is>
      </c>
      <c r="E1449" t="n">
        <v>1</v>
      </c>
      <c r="F1449" t="n">
        <v>85.5</v>
      </c>
      <c r="G1449" t="n">
        <v>85.5</v>
      </c>
    </row>
    <row r="1450">
      <c r="A1450" t="n">
        <v>379</v>
      </c>
      <c r="B1450" t="inlineStr">
        <is>
          <t>Sesame Oil</t>
        </is>
      </c>
      <c r="C1450" t="inlineStr">
        <is>
          <t>Lee Kum Kee</t>
        </is>
      </c>
      <c r="D1450" t="inlineStr">
        <is>
          <t>ml</t>
        </is>
      </c>
      <c r="E1450" t="n">
        <v>0</v>
      </c>
      <c r="F1450" t="n">
        <v>0</v>
      </c>
      <c r="G1450" t="n">
        <v>0</v>
      </c>
    </row>
    <row r="1451">
      <c r="A1451" t="n">
        <v>379</v>
      </c>
      <c r="B1451" t="inlineStr">
        <is>
          <t>Sesame Oil</t>
        </is>
      </c>
      <c r="C1451" t="inlineStr">
        <is>
          <t>Good Life</t>
        </is>
      </c>
      <c r="D1451" t="inlineStr">
        <is>
          <t>ml</t>
        </is>
      </c>
      <c r="E1451" t="n">
        <v>1</v>
      </c>
      <c r="F1451" t="n">
        <v>155</v>
      </c>
      <c r="G1451" t="n">
        <v>155</v>
      </c>
    </row>
    <row r="1452">
      <c r="A1452" t="n">
        <v>821</v>
      </c>
      <c r="B1452" t="inlineStr">
        <is>
          <t>Sesame Seeds</t>
        </is>
      </c>
      <c r="C1452" t="inlineStr">
        <is>
          <t>Amparo's</t>
        </is>
      </c>
      <c r="D1452" t="inlineStr">
        <is>
          <t>grams</t>
        </is>
      </c>
      <c r="E1452" t="n">
        <v>1</v>
      </c>
      <c r="F1452" t="n">
        <v>25</v>
      </c>
      <c r="G1452" t="n">
        <v>25</v>
      </c>
    </row>
    <row r="1453">
      <c r="A1453" t="n">
        <v>821</v>
      </c>
      <c r="B1453" t="inlineStr">
        <is>
          <t>Sesame Seeds</t>
        </is>
      </c>
      <c r="C1453" t="inlineStr">
        <is>
          <t>Lipa Spices</t>
        </is>
      </c>
      <c r="D1453" t="inlineStr">
        <is>
          <t>kilos</t>
        </is>
      </c>
      <c r="E1453" t="n">
        <v>1</v>
      </c>
      <c r="F1453" t="n">
        <v>300</v>
      </c>
      <c r="G1453" t="n">
        <v>300</v>
      </c>
    </row>
    <row r="1454">
      <c r="A1454" t="n">
        <v>822</v>
      </c>
      <c r="B1454" t="inlineStr">
        <is>
          <t>Shampoo</t>
        </is>
      </c>
      <c r="C1454" t="inlineStr">
        <is>
          <t>Sunsilk</t>
        </is>
      </c>
      <c r="D1454" t="inlineStr">
        <is>
          <t>ml</t>
        </is>
      </c>
      <c r="E1454" t="n">
        <v>32</v>
      </c>
      <c r="F1454" t="n">
        <v>196.96</v>
      </c>
      <c r="G1454" t="n">
        <v>6.155</v>
      </c>
    </row>
    <row r="1455">
      <c r="A1455" t="n">
        <v>823</v>
      </c>
      <c r="B1455" t="inlineStr">
        <is>
          <t>Shiitake Mushroom</t>
        </is>
      </c>
      <c r="C1455" t="inlineStr">
        <is>
          <t>Sunbest</t>
        </is>
      </c>
      <c r="D1455" t="inlineStr">
        <is>
          <t>drained weight grams</t>
        </is>
      </c>
      <c r="E1455" t="n">
        <v>3</v>
      </c>
      <c r="F1455" t="n">
        <v>133.9</v>
      </c>
      <c r="G1455" t="n">
        <v>44.63333333333333</v>
      </c>
    </row>
    <row r="1456">
      <c r="A1456" t="n">
        <v>824</v>
      </c>
      <c r="B1456" t="inlineStr">
        <is>
          <t>Shiracha Catsup</t>
        </is>
      </c>
      <c r="C1456" t="inlineStr">
        <is>
          <t>Jufran</t>
        </is>
      </c>
      <c r="D1456" t="inlineStr">
        <is>
          <t>ml</t>
        </is>
      </c>
      <c r="E1456" t="n">
        <v>2</v>
      </c>
      <c r="F1456" t="n">
        <v>114.5</v>
      </c>
      <c r="G1456" t="n">
        <v>57.25</v>
      </c>
    </row>
    <row r="1457">
      <c r="A1457" t="n">
        <v>825</v>
      </c>
      <c r="B1457" t="inlineStr">
        <is>
          <t>Shrimp</t>
        </is>
      </c>
      <c r="C1457" t="inlineStr"/>
      <c r="D1457" t="inlineStr">
        <is>
          <t>kilos</t>
        </is>
      </c>
      <c r="E1457" t="n">
        <v>2</v>
      </c>
      <c r="F1457" t="n">
        <v>840</v>
      </c>
      <c r="G1457" t="n">
        <v>420</v>
      </c>
    </row>
    <row r="1458">
      <c r="A1458" t="n">
        <v>826</v>
      </c>
      <c r="B1458" t="inlineStr">
        <is>
          <t>Sibuyas</t>
        </is>
      </c>
      <c r="C1458" t="inlineStr"/>
      <c r="D1458" t="inlineStr">
        <is>
          <t>kilos</t>
        </is>
      </c>
      <c r="E1458" t="n">
        <v>0</v>
      </c>
      <c r="F1458" t="n">
        <v>0</v>
      </c>
      <c r="G1458" t="n">
        <v>0</v>
      </c>
    </row>
    <row r="1459">
      <c r="A1459" t="n">
        <v>827</v>
      </c>
      <c r="B1459" t="inlineStr">
        <is>
          <t>Sili Labuyo</t>
        </is>
      </c>
      <c r="C1459" t="inlineStr">
        <is>
          <t>HERNAN</t>
        </is>
      </c>
      <c r="D1459" t="inlineStr">
        <is>
          <t>kilos</t>
        </is>
      </c>
      <c r="E1459" t="n">
        <v>0</v>
      </c>
      <c r="F1459" t="n">
        <v>0</v>
      </c>
      <c r="G1459" t="n">
        <v>0</v>
      </c>
    </row>
    <row r="1460">
      <c r="A1460" t="n">
        <v>827</v>
      </c>
      <c r="B1460" t="inlineStr">
        <is>
          <t>Sili Labuyo</t>
        </is>
      </c>
      <c r="C1460" t="inlineStr"/>
      <c r="D1460" t="inlineStr">
        <is>
          <t>kilos</t>
        </is>
      </c>
      <c r="E1460" t="n">
        <v>2</v>
      </c>
      <c r="F1460" t="n">
        <v>1730</v>
      </c>
      <c r="G1460" t="n">
        <v>865</v>
      </c>
    </row>
    <row r="1461">
      <c r="A1461" t="n">
        <v>828</v>
      </c>
      <c r="B1461" t="inlineStr">
        <is>
          <t>Sili Sigang</t>
        </is>
      </c>
      <c r="C1461" t="inlineStr"/>
      <c r="D1461" t="inlineStr">
        <is>
          <t>kilos</t>
        </is>
      </c>
      <c r="E1461" t="n">
        <v>1</v>
      </c>
      <c r="F1461" t="n">
        <v>115</v>
      </c>
      <c r="G1461" t="n">
        <v>115</v>
      </c>
    </row>
    <row r="1462">
      <c r="A1462" t="n">
        <v>829</v>
      </c>
      <c r="B1462" t="inlineStr">
        <is>
          <t>Sinigang Mix sa Gabi</t>
        </is>
      </c>
      <c r="C1462" t="inlineStr">
        <is>
          <t>Nestle - Maggi</t>
        </is>
      </c>
      <c r="D1462" t="inlineStr">
        <is>
          <t>grams</t>
        </is>
      </c>
      <c r="E1462" t="n">
        <v>13</v>
      </c>
      <c r="F1462" t="n">
        <v>187.2</v>
      </c>
      <c r="G1462" t="n">
        <v>14.4</v>
      </c>
    </row>
    <row r="1463">
      <c r="A1463" t="n">
        <v>829</v>
      </c>
      <c r="B1463" t="inlineStr">
        <is>
          <t>Sinigang Mix sa Gabi</t>
        </is>
      </c>
      <c r="C1463" t="inlineStr">
        <is>
          <t>Unilever - Knorr</t>
        </is>
      </c>
      <c r="D1463" t="inlineStr">
        <is>
          <t>grams</t>
        </is>
      </c>
      <c r="E1463" t="n">
        <v>12</v>
      </c>
      <c r="F1463" t="n">
        <v>168</v>
      </c>
      <c r="G1463" t="n">
        <v>14</v>
      </c>
    </row>
    <row r="1464">
      <c r="A1464" t="n">
        <v>382</v>
      </c>
      <c r="B1464" t="inlineStr">
        <is>
          <t>Sinigang Mix sa Sampalok</t>
        </is>
      </c>
      <c r="C1464" t="inlineStr">
        <is>
          <t>Nestle - Maggi</t>
        </is>
      </c>
      <c r="D1464" t="inlineStr">
        <is>
          <t>grams</t>
        </is>
      </c>
      <c r="E1464" t="n">
        <v>54</v>
      </c>
      <c r="F1464" t="n">
        <v>1317.88</v>
      </c>
      <c r="G1464" t="n">
        <v>24.40518518518519</v>
      </c>
    </row>
    <row r="1465">
      <c r="A1465" t="n">
        <v>382</v>
      </c>
      <c r="B1465" t="inlineStr">
        <is>
          <t>Sinigang Mix sa Sampalok</t>
        </is>
      </c>
      <c r="C1465" t="inlineStr">
        <is>
          <t>Unilever - Knorr</t>
        </is>
      </c>
      <c r="D1465" t="inlineStr">
        <is>
          <t>grams</t>
        </is>
      </c>
      <c r="E1465" t="n">
        <v>60</v>
      </c>
      <c r="F1465" t="n">
        <v>1684.3</v>
      </c>
      <c r="G1465" t="n">
        <v>28.07166666666667</v>
      </c>
    </row>
    <row r="1466">
      <c r="A1466" t="n">
        <v>830</v>
      </c>
      <c r="B1466" t="inlineStr">
        <is>
          <t>Siomai - Pork</t>
        </is>
      </c>
      <c r="C1466" t="inlineStr">
        <is>
          <t>FC</t>
        </is>
      </c>
      <c r="D1466" t="inlineStr">
        <is>
          <t>kilos</t>
        </is>
      </c>
      <c r="E1466" t="n">
        <v>1</v>
      </c>
      <c r="F1466" t="n">
        <v>140</v>
      </c>
      <c r="G1466" t="n">
        <v>140</v>
      </c>
    </row>
    <row r="1467">
      <c r="A1467" t="n">
        <v>830</v>
      </c>
      <c r="B1467" t="inlineStr">
        <is>
          <t>Siomai - Pork</t>
        </is>
      </c>
      <c r="C1467" t="inlineStr"/>
      <c r="D1467" t="inlineStr">
        <is>
          <t>pieces</t>
        </is>
      </c>
      <c r="E1467" t="n">
        <v>4</v>
      </c>
      <c r="F1467" t="n">
        <v>1000</v>
      </c>
      <c r="G1467" t="n">
        <v>250</v>
      </c>
    </row>
    <row r="1468">
      <c r="A1468" t="n">
        <v>831</v>
      </c>
      <c r="B1468" t="inlineStr">
        <is>
          <t>Sitaw</t>
        </is>
      </c>
      <c r="C1468" t="inlineStr"/>
      <c r="D1468" t="inlineStr">
        <is>
          <t>grams</t>
        </is>
      </c>
      <c r="E1468" t="n">
        <v>10</v>
      </c>
      <c r="F1468" t="n">
        <v>400</v>
      </c>
      <c r="G1468" t="n">
        <v>40</v>
      </c>
    </row>
    <row r="1469">
      <c r="A1469" t="n">
        <v>832</v>
      </c>
      <c r="B1469" t="inlineStr">
        <is>
          <t>Skinless Longganisa</t>
        </is>
      </c>
      <c r="C1469" t="inlineStr">
        <is>
          <t>Gerabelle</t>
        </is>
      </c>
      <c r="D1469" t="inlineStr">
        <is>
          <t>grams</t>
        </is>
      </c>
      <c r="E1469" t="n">
        <v>5</v>
      </c>
      <c r="F1469" t="n">
        <v>350</v>
      </c>
      <c r="G1469" t="n">
        <v>70</v>
      </c>
    </row>
    <row r="1470">
      <c r="A1470" t="n">
        <v>832</v>
      </c>
      <c r="B1470" t="inlineStr">
        <is>
          <t>Skinless Longganisa</t>
        </is>
      </c>
      <c r="C1470" t="inlineStr">
        <is>
          <t>Chino's</t>
        </is>
      </c>
      <c r="D1470" t="inlineStr">
        <is>
          <t>grams</t>
        </is>
      </c>
      <c r="E1470" t="n">
        <v>1</v>
      </c>
      <c r="F1470" t="n">
        <v>285</v>
      </c>
      <c r="G1470" t="n">
        <v>285</v>
      </c>
    </row>
    <row r="1471">
      <c r="A1471" t="n">
        <v>832</v>
      </c>
      <c r="B1471" t="inlineStr">
        <is>
          <t>Skinless Longganisa</t>
        </is>
      </c>
      <c r="C1471" t="inlineStr">
        <is>
          <t>Daisuke</t>
        </is>
      </c>
      <c r="D1471" t="inlineStr">
        <is>
          <t>grams</t>
        </is>
      </c>
      <c r="E1471" t="n">
        <v>1</v>
      </c>
      <c r="F1471" t="n">
        <v>70</v>
      </c>
      <c r="G1471" t="n">
        <v>70</v>
      </c>
    </row>
    <row r="1472">
      <c r="A1472" t="n">
        <v>833</v>
      </c>
      <c r="B1472" t="inlineStr">
        <is>
          <t>Sliced Cheese</t>
        </is>
      </c>
      <c r="C1472" t="inlineStr">
        <is>
          <t>Danes</t>
        </is>
      </c>
      <c r="D1472" t="inlineStr">
        <is>
          <t>grams</t>
        </is>
      </c>
      <c r="E1472" t="n">
        <v>7</v>
      </c>
      <c r="F1472" t="n">
        <v>539</v>
      </c>
      <c r="G1472" t="n">
        <v>77</v>
      </c>
    </row>
    <row r="1473">
      <c r="A1473" t="n">
        <v>833</v>
      </c>
      <c r="B1473" t="inlineStr">
        <is>
          <t>Sliced Cheese</t>
        </is>
      </c>
      <c r="C1473" t="inlineStr">
        <is>
          <t>Mondelez - Eden</t>
        </is>
      </c>
      <c r="D1473" t="inlineStr">
        <is>
          <t>grams</t>
        </is>
      </c>
      <c r="E1473" t="n">
        <v>24</v>
      </c>
      <c r="F1473" t="n">
        <v>1560</v>
      </c>
      <c r="G1473" t="n">
        <v>65</v>
      </c>
    </row>
    <row r="1474">
      <c r="A1474" t="n">
        <v>834</v>
      </c>
      <c r="B1474" t="inlineStr">
        <is>
          <t>Snack</t>
        </is>
      </c>
      <c r="C1474" t="inlineStr">
        <is>
          <t>Oishi - Potato Chips</t>
        </is>
      </c>
      <c r="D1474" t="inlineStr">
        <is>
          <t>grams</t>
        </is>
      </c>
      <c r="E1474" t="n">
        <v>1</v>
      </c>
      <c r="F1474" t="n">
        <v>31.5</v>
      </c>
      <c r="G1474" t="n">
        <v>31.5</v>
      </c>
    </row>
    <row r="1475">
      <c r="A1475" t="n">
        <v>834</v>
      </c>
      <c r="B1475" t="inlineStr">
        <is>
          <t>Snack</t>
        </is>
      </c>
      <c r="C1475" t="inlineStr">
        <is>
          <t>Oishi - Potato Chips - Sweet and Spicy</t>
        </is>
      </c>
      <c r="D1475" t="inlineStr">
        <is>
          <t>grams</t>
        </is>
      </c>
      <c r="E1475" t="n">
        <v>30</v>
      </c>
      <c r="F1475" t="n">
        <v>920.4</v>
      </c>
      <c r="G1475" t="n">
        <v>30.68</v>
      </c>
    </row>
    <row r="1476">
      <c r="A1476" t="n">
        <v>834</v>
      </c>
      <c r="B1476" t="inlineStr">
        <is>
          <t>Snack</t>
        </is>
      </c>
      <c r="C1476" t="inlineStr">
        <is>
          <t>Oishi - Potato Fries - Cheese</t>
        </is>
      </c>
      <c r="D1476" t="inlineStr">
        <is>
          <t>grams</t>
        </is>
      </c>
      <c r="E1476" t="n">
        <v>50</v>
      </c>
      <c r="F1476" t="n">
        <v>684.5</v>
      </c>
      <c r="G1476" t="n">
        <v>13.69</v>
      </c>
    </row>
    <row r="1477">
      <c r="A1477" t="n">
        <v>834</v>
      </c>
      <c r="B1477" t="inlineStr">
        <is>
          <t>Snack</t>
        </is>
      </c>
      <c r="C1477" t="inlineStr">
        <is>
          <t>Oishi - Potato Fries - Ketchup</t>
        </is>
      </c>
      <c r="D1477" t="inlineStr">
        <is>
          <t>grams</t>
        </is>
      </c>
      <c r="E1477" t="n">
        <v>36</v>
      </c>
      <c r="F1477" t="n">
        <v>492.48</v>
      </c>
      <c r="G1477" t="n">
        <v>13.68</v>
      </c>
    </row>
    <row r="1478">
      <c r="A1478" t="n">
        <v>834</v>
      </c>
      <c r="B1478" t="inlineStr">
        <is>
          <t>Snack</t>
        </is>
      </c>
      <c r="C1478" t="inlineStr">
        <is>
          <t>Oishi - Potato Fries</t>
        </is>
      </c>
      <c r="D1478" t="inlineStr">
        <is>
          <t>grams</t>
        </is>
      </c>
      <c r="E1478" t="n">
        <v>7</v>
      </c>
      <c r="F1478" t="n">
        <v>95.75999999999999</v>
      </c>
      <c r="G1478" t="n">
        <v>13.68</v>
      </c>
    </row>
    <row r="1479">
      <c r="A1479" t="n">
        <v>835</v>
      </c>
      <c r="B1479" t="inlineStr">
        <is>
          <t>Snack Bar</t>
        </is>
      </c>
      <c r="C1479" t="inlineStr">
        <is>
          <t>Multirich - Choco Mucho - Cookies &amp; Cream</t>
        </is>
      </c>
      <c r="D1479" t="inlineStr">
        <is>
          <t>pieces</t>
        </is>
      </c>
      <c r="E1479" t="n">
        <v>19</v>
      </c>
      <c r="F1479" t="n">
        <v>147.63</v>
      </c>
      <c r="G1479" t="n">
        <v>7.77</v>
      </c>
    </row>
    <row r="1480">
      <c r="A1480" t="n">
        <v>835</v>
      </c>
      <c r="B1480" t="inlineStr">
        <is>
          <t>Snack Bar</t>
        </is>
      </c>
      <c r="C1480" t="inlineStr">
        <is>
          <t>Multirich - Choco Mucho - Dark Choco Caramel</t>
        </is>
      </c>
      <c r="D1480" t="inlineStr">
        <is>
          <t>pieces</t>
        </is>
      </c>
      <c r="E1480" t="n">
        <v>13</v>
      </c>
      <c r="F1480" t="n">
        <v>101.01</v>
      </c>
      <c r="G1480" t="n">
        <v>7.77</v>
      </c>
    </row>
    <row r="1481">
      <c r="A1481" t="n">
        <v>835</v>
      </c>
      <c r="B1481" t="inlineStr">
        <is>
          <t>Snack Bar</t>
        </is>
      </c>
      <c r="C1481" t="inlineStr">
        <is>
          <t>Multirich - Choco Mucho - Peanut Butter</t>
        </is>
      </c>
      <c r="D1481" t="inlineStr">
        <is>
          <t>pieces</t>
        </is>
      </c>
      <c r="E1481" t="n">
        <v>16</v>
      </c>
      <c r="F1481" t="n">
        <v>125.44</v>
      </c>
      <c r="G1481" t="n">
        <v>7.84</v>
      </c>
    </row>
    <row r="1482">
      <c r="A1482" t="n">
        <v>835</v>
      </c>
      <c r="B1482" t="inlineStr">
        <is>
          <t>Snack Bar</t>
        </is>
      </c>
      <c r="C1482" t="inlineStr">
        <is>
          <t>Mayora - Beng-Beng Choco Caramel</t>
        </is>
      </c>
      <c r="D1482" t="inlineStr">
        <is>
          <t>grams</t>
        </is>
      </c>
      <c r="E1482" t="n">
        <v>30</v>
      </c>
      <c r="F1482" t="n">
        <v>259.5</v>
      </c>
      <c r="G1482" t="n">
        <v>8.65</v>
      </c>
    </row>
    <row r="1483">
      <c r="A1483" t="n">
        <v>835</v>
      </c>
      <c r="B1483" t="inlineStr">
        <is>
          <t>Snack Bar</t>
        </is>
      </c>
      <c r="C1483" t="inlineStr">
        <is>
          <t>Jack n Jill - Cloud 9 Classic</t>
        </is>
      </c>
      <c r="D1483" t="inlineStr">
        <is>
          <t>grams</t>
        </is>
      </c>
      <c r="E1483" t="n">
        <v>51</v>
      </c>
      <c r="F1483" t="n">
        <v>462.18</v>
      </c>
      <c r="G1483" t="n">
        <v>9.062352941176471</v>
      </c>
    </row>
    <row r="1484">
      <c r="A1484" t="n">
        <v>835</v>
      </c>
      <c r="B1484" t="inlineStr">
        <is>
          <t>Snack Bar</t>
        </is>
      </c>
      <c r="C1484" t="inlineStr">
        <is>
          <t>Jack n Jill - Cloud 9 Overload</t>
        </is>
      </c>
      <c r="D1484" t="inlineStr">
        <is>
          <t>grams</t>
        </is>
      </c>
      <c r="E1484" t="n">
        <v>1</v>
      </c>
      <c r="F1484" t="n">
        <v>15.1</v>
      </c>
      <c r="G1484" t="n">
        <v>15.1</v>
      </c>
    </row>
    <row r="1485">
      <c r="A1485" t="n">
        <v>835</v>
      </c>
      <c r="B1485" t="inlineStr">
        <is>
          <t>Snack Bar</t>
        </is>
      </c>
      <c r="C1485" t="inlineStr">
        <is>
          <t>Jack n Jill - Cloud 9 Peanut Butter</t>
        </is>
      </c>
      <c r="D1485" t="inlineStr">
        <is>
          <t>grams</t>
        </is>
      </c>
      <c r="E1485" t="n">
        <v>36</v>
      </c>
      <c r="F1485" t="n">
        <v>599.4</v>
      </c>
      <c r="G1485" t="n">
        <v>16.65</v>
      </c>
    </row>
    <row r="1486">
      <c r="A1486" t="n">
        <v>835</v>
      </c>
      <c r="B1486" t="inlineStr">
        <is>
          <t>Snack Bar</t>
        </is>
      </c>
      <c r="C1486" t="inlineStr">
        <is>
          <t>Jack n Jill - Cloud 9 White</t>
        </is>
      </c>
      <c r="D1486" t="inlineStr">
        <is>
          <t>grams</t>
        </is>
      </c>
      <c r="E1486" t="n">
        <v>3</v>
      </c>
      <c r="F1486" t="n">
        <v>24.84</v>
      </c>
      <c r="G1486" t="n">
        <v>8.279999999999999</v>
      </c>
    </row>
    <row r="1487">
      <c r="A1487" t="n">
        <v>836</v>
      </c>
      <c r="B1487" t="inlineStr">
        <is>
          <t>Snacks</t>
        </is>
      </c>
      <c r="C1487" t="inlineStr">
        <is>
          <t>Oishi - Kirei</t>
        </is>
      </c>
      <c r="D1487" t="inlineStr">
        <is>
          <t>grams</t>
        </is>
      </c>
      <c r="E1487" t="n">
        <v>11</v>
      </c>
      <c r="F1487" t="n">
        <v>255.2</v>
      </c>
      <c r="G1487" t="n">
        <v>23.2</v>
      </c>
    </row>
    <row r="1488">
      <c r="A1488" t="n">
        <v>836</v>
      </c>
      <c r="B1488" t="inlineStr">
        <is>
          <t>Snacks</t>
        </is>
      </c>
      <c r="C1488" t="inlineStr">
        <is>
          <t>Oishi - Kirei 45g</t>
        </is>
      </c>
      <c r="D1488" t="inlineStr">
        <is>
          <t>grams</t>
        </is>
      </c>
      <c r="E1488" t="n">
        <v>60</v>
      </c>
      <c r="F1488" t="n">
        <v>1455</v>
      </c>
      <c r="G1488" t="n">
        <v>24.25</v>
      </c>
    </row>
    <row r="1489">
      <c r="A1489" t="n">
        <v>836</v>
      </c>
      <c r="B1489" t="inlineStr">
        <is>
          <t>Snacks</t>
        </is>
      </c>
      <c r="C1489" t="inlineStr">
        <is>
          <t>Jack n Jill - Magic Chips - Cheese (pcsx28grams)</t>
        </is>
      </c>
      <c r="D1489" t="inlineStr">
        <is>
          <t>pieces</t>
        </is>
      </c>
      <c r="E1489" t="n">
        <v>24</v>
      </c>
      <c r="F1489" t="n">
        <v>170.4</v>
      </c>
      <c r="G1489" t="n">
        <v>7.099999999999999</v>
      </c>
    </row>
    <row r="1490">
      <c r="A1490" t="n">
        <v>836</v>
      </c>
      <c r="B1490" t="inlineStr">
        <is>
          <t>Snacks</t>
        </is>
      </c>
      <c r="C1490" t="inlineStr">
        <is>
          <t>Jack n Jill - Magic Chips - Sourcream&amp;Onion/box (pcsx28grams)</t>
        </is>
      </c>
      <c r="D1490" t="inlineStr">
        <is>
          <t>pieces</t>
        </is>
      </c>
      <c r="E1490" t="n">
        <v>9</v>
      </c>
      <c r="F1490" t="n">
        <v>64.8</v>
      </c>
      <c r="G1490" t="n">
        <v>7.199999999999999</v>
      </c>
    </row>
    <row r="1491">
      <c r="A1491" t="n">
        <v>836</v>
      </c>
      <c r="B1491" t="inlineStr">
        <is>
          <t>Snacks</t>
        </is>
      </c>
      <c r="C1491" t="inlineStr">
        <is>
          <t>Jack n Jill - Mang Juan Chik'n Skin/70g</t>
        </is>
      </c>
      <c r="D1491" t="inlineStr">
        <is>
          <t>packs</t>
        </is>
      </c>
      <c r="E1491" t="n">
        <v>10</v>
      </c>
      <c r="F1491" t="n">
        <v>188</v>
      </c>
      <c r="G1491" t="n">
        <v>18.8</v>
      </c>
    </row>
    <row r="1492">
      <c r="A1492" t="n">
        <v>836</v>
      </c>
      <c r="B1492" t="inlineStr">
        <is>
          <t>Snacks</t>
        </is>
      </c>
      <c r="C1492" t="inlineStr">
        <is>
          <t>Jack n Jill - Mang Juan Sukang Paombong/bundle (18x90grams)</t>
        </is>
      </c>
      <c r="D1492" t="inlineStr">
        <is>
          <t>pieces</t>
        </is>
      </c>
      <c r="E1492" t="n">
        <v>33</v>
      </c>
      <c r="F1492" t="n">
        <v>715.4399999999999</v>
      </c>
      <c r="G1492" t="n">
        <v>21.68</v>
      </c>
    </row>
    <row r="1493">
      <c r="A1493" t="n">
        <v>836</v>
      </c>
      <c r="B1493" t="inlineStr">
        <is>
          <t>Snacks</t>
        </is>
      </c>
      <c r="C1493" t="inlineStr">
        <is>
          <t>Oishi - Marty's Cracklin' Chicken Inasal</t>
        </is>
      </c>
      <c r="D1493" t="inlineStr">
        <is>
          <t>grams</t>
        </is>
      </c>
      <c r="E1493" t="n">
        <v>30</v>
      </c>
      <c r="F1493" t="n">
        <v>579.6</v>
      </c>
      <c r="G1493" t="n">
        <v>19.32</v>
      </c>
    </row>
    <row r="1494">
      <c r="A1494" t="n">
        <v>836</v>
      </c>
      <c r="B1494" t="inlineStr">
        <is>
          <t>Snacks</t>
        </is>
      </c>
      <c r="C1494" t="inlineStr">
        <is>
          <t>Oishi - Marty's Cracklin' Spicy</t>
        </is>
      </c>
      <c r="D1494" t="inlineStr">
        <is>
          <t>grams</t>
        </is>
      </c>
      <c r="E1494" t="n">
        <v>39</v>
      </c>
      <c r="F1494" t="n">
        <v>799.28</v>
      </c>
      <c r="G1494" t="n">
        <v>20.49435897435897</v>
      </c>
    </row>
    <row r="1495">
      <c r="A1495" t="n">
        <v>836</v>
      </c>
      <c r="B1495" t="inlineStr">
        <is>
          <t>Snacks</t>
        </is>
      </c>
      <c r="C1495" t="inlineStr">
        <is>
          <t>Oishi - Miggos</t>
        </is>
      </c>
      <c r="D1495" t="inlineStr">
        <is>
          <t>grams</t>
        </is>
      </c>
      <c r="E1495" t="n">
        <v>24</v>
      </c>
      <c r="F1495" t="n">
        <v>538.8</v>
      </c>
      <c r="G1495" t="n">
        <v>22.45</v>
      </c>
    </row>
    <row r="1496">
      <c r="A1496" t="n">
        <v>836</v>
      </c>
      <c r="B1496" t="inlineStr">
        <is>
          <t>Snacks</t>
        </is>
      </c>
      <c r="C1496" t="inlineStr">
        <is>
          <t>Nutri Snack - Moby</t>
        </is>
      </c>
      <c r="D1496" t="inlineStr">
        <is>
          <t>pieces</t>
        </is>
      </c>
      <c r="E1496" t="n">
        <v>9</v>
      </c>
      <c r="F1496" t="n">
        <v>150.3</v>
      </c>
      <c r="G1496" t="n">
        <v>16.7</v>
      </c>
    </row>
    <row r="1497">
      <c r="A1497" t="n">
        <v>836</v>
      </c>
      <c r="B1497" t="inlineStr">
        <is>
          <t>Snacks</t>
        </is>
      </c>
      <c r="C1497" t="inlineStr">
        <is>
          <t>Monde - Mamon Classic</t>
        </is>
      </c>
      <c r="D1497" t="inlineStr">
        <is>
          <t>grams</t>
        </is>
      </c>
      <c r="E1497" t="n">
        <v>58</v>
      </c>
      <c r="F1497" t="n">
        <v>870</v>
      </c>
      <c r="G1497" t="n">
        <v>15</v>
      </c>
    </row>
    <row r="1498">
      <c r="A1498" t="n">
        <v>836</v>
      </c>
      <c r="B1498" t="inlineStr">
        <is>
          <t>Snacks</t>
        </is>
      </c>
      <c r="C1498" t="inlineStr">
        <is>
          <t>Jack n Jill - Mr. Chips Manamis Mais</t>
        </is>
      </c>
      <c r="D1498" t="inlineStr">
        <is>
          <t>grams</t>
        </is>
      </c>
      <c r="E1498" t="n">
        <v>47</v>
      </c>
      <c r="F1498" t="n">
        <v>796.65</v>
      </c>
      <c r="G1498" t="n">
        <v>16.95</v>
      </c>
    </row>
    <row r="1499">
      <c r="A1499" t="n">
        <v>836</v>
      </c>
      <c r="B1499" t="inlineStr">
        <is>
          <t>Snacks</t>
        </is>
      </c>
      <c r="C1499" t="inlineStr">
        <is>
          <t>Jack n Jill - Mr. Chips Cheese</t>
        </is>
      </c>
      <c r="D1499" t="inlineStr">
        <is>
          <t>grams</t>
        </is>
      </c>
      <c r="E1499" t="n">
        <v>69</v>
      </c>
      <c r="F1499" t="n">
        <v>1529.5</v>
      </c>
      <c r="G1499" t="n">
        <v>22.16666666666667</v>
      </c>
    </row>
    <row r="1500">
      <c r="A1500" t="n">
        <v>836</v>
      </c>
      <c r="B1500" t="inlineStr">
        <is>
          <t>Snacks</t>
        </is>
      </c>
      <c r="C1500" t="inlineStr">
        <is>
          <t>Jack n Jill - Nova</t>
        </is>
      </c>
      <c r="D1500" t="inlineStr">
        <is>
          <t>grams</t>
        </is>
      </c>
      <c r="E1500" t="n">
        <v>18</v>
      </c>
      <c r="F1500" t="n">
        <v>632.55</v>
      </c>
      <c r="G1500" t="n">
        <v>35.14166666666667</v>
      </c>
    </row>
    <row r="1501">
      <c r="A1501" t="n">
        <v>836</v>
      </c>
      <c r="B1501" t="inlineStr">
        <is>
          <t>Snacks</t>
        </is>
      </c>
      <c r="C1501" t="inlineStr">
        <is>
          <t>Jack n Jill - Nova Cheddar</t>
        </is>
      </c>
      <c r="D1501" t="inlineStr">
        <is>
          <t>grams</t>
        </is>
      </c>
      <c r="E1501" t="n">
        <v>250</v>
      </c>
      <c r="F1501" t="n">
        <v>8375</v>
      </c>
      <c r="G1501" t="n">
        <v>33.5</v>
      </c>
    </row>
    <row r="1502">
      <c r="A1502" t="n">
        <v>836</v>
      </c>
      <c r="B1502" t="inlineStr">
        <is>
          <t>Snacks</t>
        </is>
      </c>
      <c r="C1502" t="inlineStr">
        <is>
          <t>Nutri Snacks - Okejie Tempura</t>
        </is>
      </c>
      <c r="D1502" t="inlineStr">
        <is>
          <t>grams</t>
        </is>
      </c>
      <c r="E1502" t="n">
        <v>25</v>
      </c>
      <c r="F1502" t="n">
        <v>872.5</v>
      </c>
      <c r="G1502" t="n">
        <v>34.9</v>
      </c>
    </row>
    <row r="1503">
      <c r="A1503" t="n">
        <v>836</v>
      </c>
      <c r="B1503" t="inlineStr">
        <is>
          <t>Snacks</t>
        </is>
      </c>
      <c r="C1503" t="inlineStr">
        <is>
          <t>Oishi - Onion Rings</t>
        </is>
      </c>
      <c r="D1503" t="inlineStr">
        <is>
          <t>grams</t>
        </is>
      </c>
      <c r="E1503" t="n">
        <v>30</v>
      </c>
      <c r="F1503" t="n">
        <v>671.4</v>
      </c>
      <c r="G1503" t="n">
        <v>22.38</v>
      </c>
    </row>
    <row r="1504">
      <c r="A1504" t="n">
        <v>836</v>
      </c>
      <c r="B1504" t="inlineStr">
        <is>
          <t>Snacks</t>
        </is>
      </c>
      <c r="C1504" t="inlineStr">
        <is>
          <t>W.L. Foods - Panda 3D Biscuits</t>
        </is>
      </c>
      <c r="D1504" t="inlineStr">
        <is>
          <t>grams</t>
        </is>
      </c>
      <c r="E1504" t="n">
        <v>18</v>
      </c>
      <c r="F1504" t="n">
        <v>225.72</v>
      </c>
      <c r="G1504" t="n">
        <v>12.54</v>
      </c>
    </row>
    <row r="1505">
      <c r="A1505" t="n">
        <v>836</v>
      </c>
      <c r="B1505" t="inlineStr">
        <is>
          <t>Snacks</t>
        </is>
      </c>
      <c r="C1505" t="inlineStr">
        <is>
          <t>Oishi - Crispy Patata</t>
        </is>
      </c>
      <c r="D1505" t="inlineStr">
        <is>
          <t>grams</t>
        </is>
      </c>
      <c r="E1505" t="n">
        <v>11</v>
      </c>
      <c r="F1505" t="n">
        <v>253.45</v>
      </c>
      <c r="G1505" t="n">
        <v>23.04090909090909</v>
      </c>
    </row>
    <row r="1506">
      <c r="A1506" t="n">
        <v>836</v>
      </c>
      <c r="B1506" t="inlineStr">
        <is>
          <t>Snacks</t>
        </is>
      </c>
      <c r="C1506" t="inlineStr">
        <is>
          <t>Perrier</t>
        </is>
      </c>
      <c r="D1506" t="inlineStr">
        <is>
          <t>ml</t>
        </is>
      </c>
      <c r="E1506" t="n">
        <v>22</v>
      </c>
      <c r="F1506" t="n">
        <v>2115</v>
      </c>
      <c r="G1506" t="n">
        <v>96.13636363636364</v>
      </c>
    </row>
    <row r="1507">
      <c r="A1507" t="n">
        <v>836</v>
      </c>
      <c r="B1507" t="inlineStr">
        <is>
          <t>Snacks</t>
        </is>
      </c>
      <c r="C1507" t="inlineStr">
        <is>
          <t>Jack n Jill - Piattos</t>
        </is>
      </c>
      <c r="D1507" t="inlineStr">
        <is>
          <t>grams</t>
        </is>
      </c>
      <c r="E1507" t="n">
        <v>20</v>
      </c>
      <c r="F1507" t="n">
        <v>684</v>
      </c>
      <c r="G1507" t="n">
        <v>34.2</v>
      </c>
    </row>
    <row r="1508">
      <c r="A1508" t="n">
        <v>836</v>
      </c>
      <c r="B1508" t="inlineStr">
        <is>
          <t>Snacks</t>
        </is>
      </c>
      <c r="C1508" t="inlineStr">
        <is>
          <t>Jack n Jill - Pic-A BBQ Overload</t>
        </is>
      </c>
      <c r="D1508" t="inlineStr">
        <is>
          <t>grams</t>
        </is>
      </c>
      <c r="E1508" t="n">
        <v>18</v>
      </c>
      <c r="F1508" t="n">
        <v>1016.1</v>
      </c>
      <c r="G1508" t="n">
        <v>56.45</v>
      </c>
    </row>
    <row r="1509">
      <c r="A1509" t="n">
        <v>836</v>
      </c>
      <c r="B1509" t="inlineStr">
        <is>
          <t>Snacks</t>
        </is>
      </c>
      <c r="C1509" t="inlineStr">
        <is>
          <t>Oishi - Pillows Ube</t>
        </is>
      </c>
      <c r="D1509" t="inlineStr">
        <is>
          <t>grams</t>
        </is>
      </c>
      <c r="E1509" t="n">
        <v>3</v>
      </c>
      <c r="F1509" t="n">
        <v>120.3</v>
      </c>
      <c r="G1509" t="n">
        <v>40.1</v>
      </c>
    </row>
    <row r="1510">
      <c r="A1510" t="n">
        <v>836</v>
      </c>
      <c r="B1510" t="inlineStr">
        <is>
          <t>Snacks</t>
        </is>
      </c>
      <c r="C1510" t="inlineStr">
        <is>
          <t>Oishi - Pods Pea Snacks</t>
        </is>
      </c>
      <c r="D1510" t="inlineStr">
        <is>
          <t>grams</t>
        </is>
      </c>
      <c r="E1510" t="n">
        <v>450</v>
      </c>
      <c r="F1510" t="n">
        <v>7150</v>
      </c>
      <c r="G1510" t="n">
        <v>15.88888888888889</v>
      </c>
    </row>
    <row r="1511">
      <c r="A1511" t="n">
        <v>836</v>
      </c>
      <c r="B1511" t="inlineStr">
        <is>
          <t>Snacks</t>
        </is>
      </c>
      <c r="C1511" t="inlineStr">
        <is>
          <t>Lobster - Prawn Crackers</t>
        </is>
      </c>
      <c r="D1511" t="inlineStr">
        <is>
          <t>grams</t>
        </is>
      </c>
      <c r="E1511" t="n">
        <v>2</v>
      </c>
      <c r="F1511" t="n">
        <v>97.59999999999999</v>
      </c>
      <c r="G1511" t="n">
        <v>48.8</v>
      </c>
    </row>
    <row r="1512">
      <c r="A1512" t="n">
        <v>836</v>
      </c>
      <c r="B1512" t="inlineStr">
        <is>
          <t>Snacks</t>
        </is>
      </c>
      <c r="C1512" t="inlineStr">
        <is>
          <t>Besuto - Onion &amp; Garlic</t>
        </is>
      </c>
      <c r="D1512" t="inlineStr">
        <is>
          <t>grams</t>
        </is>
      </c>
      <c r="E1512" t="n">
        <v>2</v>
      </c>
      <c r="F1512" t="n">
        <v>130.5</v>
      </c>
      <c r="G1512" t="n">
        <v>65.25</v>
      </c>
    </row>
    <row r="1513">
      <c r="A1513" t="n">
        <v>836</v>
      </c>
      <c r="B1513" t="inlineStr">
        <is>
          <t>Snacks</t>
        </is>
      </c>
      <c r="C1513" t="inlineStr">
        <is>
          <t>Oishi - Prawn Crackers Spicy</t>
        </is>
      </c>
      <c r="D1513" t="inlineStr">
        <is>
          <t>grams</t>
        </is>
      </c>
      <c r="E1513" t="n">
        <v>100</v>
      </c>
      <c r="F1513" t="n">
        <v>603</v>
      </c>
      <c r="G1513" t="n">
        <v>6.03</v>
      </c>
    </row>
    <row r="1514">
      <c r="A1514" t="n">
        <v>836</v>
      </c>
      <c r="B1514" t="inlineStr">
        <is>
          <t>Snacks</t>
        </is>
      </c>
      <c r="C1514" t="inlineStr">
        <is>
          <t>Oishi - Pillows Choco</t>
        </is>
      </c>
      <c r="D1514" t="inlineStr">
        <is>
          <t>grams</t>
        </is>
      </c>
      <c r="E1514" t="n">
        <v>10</v>
      </c>
      <c r="F1514" t="n">
        <v>401</v>
      </c>
      <c r="G1514" t="n">
        <v>40.1</v>
      </c>
    </row>
    <row r="1515">
      <c r="A1515" t="n">
        <v>836</v>
      </c>
      <c r="B1515" t="inlineStr">
        <is>
          <t>Snacks</t>
        </is>
      </c>
      <c r="C1515" t="inlineStr">
        <is>
          <t>Jack n Jill - Pretzels Chocolate Mini</t>
        </is>
      </c>
      <c r="D1515" t="inlineStr">
        <is>
          <t>grams</t>
        </is>
      </c>
      <c r="E1515" t="n">
        <v>31</v>
      </c>
      <c r="F1515" t="n">
        <v>375.1</v>
      </c>
      <c r="G1515" t="n">
        <v>12.1</v>
      </c>
    </row>
    <row r="1516">
      <c r="A1516" t="n">
        <v>836</v>
      </c>
      <c r="B1516" t="inlineStr">
        <is>
          <t>Snacks</t>
        </is>
      </c>
      <c r="C1516" t="inlineStr">
        <is>
          <t>Stateline - Tomi Sweet Corn</t>
        </is>
      </c>
      <c r="D1516" t="inlineStr">
        <is>
          <t>grams</t>
        </is>
      </c>
      <c r="E1516" t="n">
        <v>50</v>
      </c>
      <c r="F1516" t="n">
        <v>1211.5</v>
      </c>
      <c r="G1516" t="n">
        <v>24.23</v>
      </c>
    </row>
    <row r="1517">
      <c r="A1517" t="n">
        <v>836</v>
      </c>
      <c r="B1517" t="inlineStr">
        <is>
          <t>Snacks</t>
        </is>
      </c>
      <c r="C1517" t="inlineStr">
        <is>
          <t>Oishi - Bread Pan Butter Toast</t>
        </is>
      </c>
      <c r="D1517" t="inlineStr">
        <is>
          <t>pieces</t>
        </is>
      </c>
      <c r="E1517" t="n">
        <v>81</v>
      </c>
      <c r="F1517" t="n">
        <v>907.1999999999999</v>
      </c>
      <c r="G1517" t="n">
        <v>11.2</v>
      </c>
    </row>
    <row r="1518">
      <c r="A1518" t="n">
        <v>836</v>
      </c>
      <c r="B1518" t="inlineStr">
        <is>
          <t>Snacks</t>
        </is>
      </c>
      <c r="C1518" t="inlineStr">
        <is>
          <t>Oishi - Bread Pan White Cheddar</t>
        </is>
      </c>
      <c r="D1518" t="inlineStr">
        <is>
          <t>pieces</t>
        </is>
      </c>
      <c r="E1518" t="n">
        <v>4</v>
      </c>
      <c r="F1518" t="n">
        <v>45.2</v>
      </c>
      <c r="G1518" t="n">
        <v>11.3</v>
      </c>
    </row>
    <row r="1519">
      <c r="A1519" t="n">
        <v>836</v>
      </c>
      <c r="B1519" t="inlineStr">
        <is>
          <t>Snacks</t>
        </is>
      </c>
      <c r="C1519" t="inlineStr">
        <is>
          <t>Nissin - Bread Stixx</t>
        </is>
      </c>
      <c r="D1519" t="inlineStr">
        <is>
          <t>grams</t>
        </is>
      </c>
      <c r="E1519" t="n">
        <v>360</v>
      </c>
      <c r="F1519" t="n">
        <v>12960</v>
      </c>
      <c r="G1519" t="n">
        <v>36</v>
      </c>
    </row>
    <row r="1520">
      <c r="A1520" t="n">
        <v>836</v>
      </c>
      <c r="B1520" t="inlineStr">
        <is>
          <t>Snacks</t>
        </is>
      </c>
      <c r="C1520" t="inlineStr">
        <is>
          <t>Oishi - Baconette Strips</t>
        </is>
      </c>
      <c r="D1520" t="inlineStr">
        <is>
          <t>grams</t>
        </is>
      </c>
      <c r="E1520" t="n">
        <v>40</v>
      </c>
      <c r="F1520" t="n">
        <v>990.2</v>
      </c>
      <c r="G1520" t="n">
        <v>24.755</v>
      </c>
    </row>
    <row r="1521">
      <c r="A1521" t="n">
        <v>836</v>
      </c>
      <c r="B1521" t="inlineStr">
        <is>
          <t>Snacks</t>
        </is>
      </c>
      <c r="C1521" t="inlineStr">
        <is>
          <t>WL Foods - Cheepee</t>
        </is>
      </c>
      <c r="D1521" t="inlineStr">
        <is>
          <t>pieces</t>
        </is>
      </c>
      <c r="E1521" t="n">
        <v>30</v>
      </c>
      <c r="F1521" t="n">
        <v>574.8</v>
      </c>
      <c r="G1521" t="n">
        <v>19.16</v>
      </c>
    </row>
    <row r="1522">
      <c r="A1522" t="n">
        <v>836</v>
      </c>
      <c r="B1522" t="inlineStr">
        <is>
          <t>Snacks</t>
        </is>
      </c>
      <c r="C1522" t="inlineStr">
        <is>
          <t>Nutri-Snack - Cheez-it Cheese</t>
        </is>
      </c>
      <c r="D1522" t="inlineStr">
        <is>
          <t>grams</t>
        </is>
      </c>
      <c r="E1522" t="n">
        <v>50</v>
      </c>
      <c r="F1522" t="n">
        <v>816.4999999999999</v>
      </c>
      <c r="G1522" t="n">
        <v>16.33</v>
      </c>
    </row>
    <row r="1523">
      <c r="A1523" t="n">
        <v>836</v>
      </c>
      <c r="B1523" t="inlineStr">
        <is>
          <t>Snacks</t>
        </is>
      </c>
      <c r="C1523" t="inlineStr">
        <is>
          <t>Jack n Jill - Chippy</t>
        </is>
      </c>
      <c r="D1523" t="inlineStr">
        <is>
          <t>grams</t>
        </is>
      </c>
      <c r="E1523" t="n">
        <v>35</v>
      </c>
      <c r="F1523" t="n">
        <v>883.75</v>
      </c>
      <c r="G1523" t="n">
        <v>25.25</v>
      </c>
    </row>
    <row r="1524">
      <c r="A1524" t="n">
        <v>836</v>
      </c>
      <c r="B1524" t="inlineStr">
        <is>
          <t>Snacks</t>
        </is>
      </c>
      <c r="C1524" t="inlineStr">
        <is>
          <t>Leslie's - Clover Chips - Cheese</t>
        </is>
      </c>
      <c r="D1524" t="inlineStr">
        <is>
          <t>grams</t>
        </is>
      </c>
      <c r="E1524" t="n">
        <v>105</v>
      </c>
      <c r="F1524" t="n">
        <v>742.35</v>
      </c>
      <c r="G1524" t="n">
        <v>7.07</v>
      </c>
    </row>
    <row r="1525">
      <c r="A1525" t="n">
        <v>836</v>
      </c>
      <c r="B1525" t="inlineStr">
        <is>
          <t>Snacks</t>
        </is>
      </c>
      <c r="C1525" t="inlineStr">
        <is>
          <t>Oishi - Cracklings</t>
        </is>
      </c>
      <c r="D1525" t="inlineStr">
        <is>
          <t>grams</t>
        </is>
      </c>
      <c r="E1525" t="n">
        <v>68</v>
      </c>
      <c r="F1525" t="n">
        <v>1067.8</v>
      </c>
      <c r="G1525" t="n">
        <v>15.70294117647059</v>
      </c>
    </row>
    <row r="1526">
      <c r="A1526" t="n">
        <v>836</v>
      </c>
      <c r="B1526" t="inlineStr">
        <is>
          <t>Snacks</t>
        </is>
      </c>
      <c r="C1526" t="inlineStr">
        <is>
          <t>Suncrest Food - Dowee Donut Choco</t>
        </is>
      </c>
      <c r="D1526" t="inlineStr">
        <is>
          <t>grams</t>
        </is>
      </c>
      <c r="E1526" t="n">
        <v>11</v>
      </c>
      <c r="F1526" t="n">
        <v>77</v>
      </c>
      <c r="G1526" t="n">
        <v>7</v>
      </c>
    </row>
    <row r="1527">
      <c r="A1527" t="n">
        <v>836</v>
      </c>
      <c r="B1527" t="inlineStr">
        <is>
          <t>Snacks</t>
        </is>
      </c>
      <c r="C1527" t="inlineStr">
        <is>
          <t>Oishi - Spicy Seafood Curls</t>
        </is>
      </c>
      <c r="D1527" t="inlineStr">
        <is>
          <t>grams</t>
        </is>
      </c>
      <c r="E1527" t="n">
        <v>7</v>
      </c>
      <c r="F1527" t="n">
        <v>157.15</v>
      </c>
      <c r="G1527" t="n">
        <v>22.45</v>
      </c>
    </row>
    <row r="1528">
      <c r="A1528" t="n">
        <v>836</v>
      </c>
      <c r="B1528" t="inlineStr">
        <is>
          <t>Snacks</t>
        </is>
      </c>
      <c r="C1528" t="inlineStr">
        <is>
          <t>Regent - Sweet Corn</t>
        </is>
      </c>
      <c r="D1528" t="inlineStr">
        <is>
          <t>grams</t>
        </is>
      </c>
      <c r="E1528" t="n">
        <v>17</v>
      </c>
      <c r="F1528" t="n">
        <v>267.24</v>
      </c>
      <c r="G1528" t="n">
        <v>15.72</v>
      </c>
    </row>
    <row r="1529">
      <c r="A1529" t="n">
        <v>836</v>
      </c>
      <c r="B1529" t="inlineStr">
        <is>
          <t>Snacks</t>
        </is>
      </c>
      <c r="C1529" t="inlineStr">
        <is>
          <t>Oishi - Tater Thins Cucumber Snacks</t>
        </is>
      </c>
      <c r="D1529" t="inlineStr">
        <is>
          <t>grams</t>
        </is>
      </c>
      <c r="E1529" t="n">
        <v>210</v>
      </c>
      <c r="F1529" t="n">
        <v>63106.5</v>
      </c>
      <c r="G1529" t="n">
        <v>300.5071428571429</v>
      </c>
    </row>
    <row r="1530">
      <c r="A1530" t="n">
        <v>836</v>
      </c>
      <c r="B1530" t="inlineStr">
        <is>
          <t>Snacks</t>
        </is>
      </c>
      <c r="C1530" t="inlineStr">
        <is>
          <t>WL Foods - Tattoos</t>
        </is>
      </c>
      <c r="D1530" t="inlineStr">
        <is>
          <t>grams</t>
        </is>
      </c>
      <c r="E1530" t="n">
        <v>53</v>
      </c>
      <c r="F1530" t="n">
        <v>1015.48</v>
      </c>
      <c r="G1530" t="n">
        <v>19.16</v>
      </c>
    </row>
    <row r="1531">
      <c r="A1531" t="n">
        <v>836</v>
      </c>
      <c r="B1531" t="inlineStr">
        <is>
          <t>Snacks</t>
        </is>
      </c>
      <c r="C1531" t="inlineStr">
        <is>
          <t>Regent - Tempura</t>
        </is>
      </c>
      <c r="D1531" t="inlineStr">
        <is>
          <t>grams</t>
        </is>
      </c>
      <c r="E1531" t="n">
        <v>38</v>
      </c>
      <c r="F1531" t="n">
        <v>769.0999999999999</v>
      </c>
      <c r="G1531" t="n">
        <v>20.23947368421052</v>
      </c>
    </row>
    <row r="1532">
      <c r="A1532" t="n">
        <v>836</v>
      </c>
      <c r="B1532" t="inlineStr">
        <is>
          <t>Snacks</t>
        </is>
      </c>
      <c r="C1532" t="inlineStr">
        <is>
          <t>Regent - Snacku</t>
        </is>
      </c>
      <c r="D1532" t="inlineStr">
        <is>
          <t>grams</t>
        </is>
      </c>
      <c r="E1532" t="n">
        <v>44</v>
      </c>
      <c r="F1532" t="n">
        <v>487.05</v>
      </c>
      <c r="G1532" t="n">
        <v>11.06931818181818</v>
      </c>
    </row>
    <row r="1533">
      <c r="A1533" t="n">
        <v>837</v>
      </c>
      <c r="B1533" t="inlineStr">
        <is>
          <t>Socks</t>
        </is>
      </c>
      <c r="C1533" t="inlineStr"/>
      <c r="D1533" t="inlineStr">
        <is>
          <t>pair</t>
        </is>
      </c>
      <c r="E1533" t="n">
        <v>65</v>
      </c>
      <c r="F1533" t="n">
        <v>780</v>
      </c>
      <c r="G1533" t="n">
        <v>12</v>
      </c>
    </row>
    <row r="1534">
      <c r="A1534" t="n">
        <v>838</v>
      </c>
      <c r="B1534" t="inlineStr">
        <is>
          <t>Softdrinks</t>
        </is>
      </c>
      <c r="C1534" t="inlineStr">
        <is>
          <t>Pepsi - Mountain Dew</t>
        </is>
      </c>
      <c r="D1534" t="inlineStr">
        <is>
          <t>ml</t>
        </is>
      </c>
      <c r="E1534" t="n">
        <v>38</v>
      </c>
      <c r="F1534" t="n">
        <v>911.5999999999999</v>
      </c>
      <c r="G1534" t="n">
        <v>23.98947368421052</v>
      </c>
    </row>
    <row r="1535">
      <c r="A1535" t="n">
        <v>838</v>
      </c>
      <c r="B1535" t="inlineStr">
        <is>
          <t>Softdrinks</t>
        </is>
      </c>
      <c r="C1535" t="inlineStr">
        <is>
          <t>Pepsi - Mountain Dew</t>
        </is>
      </c>
      <c r="D1535" t="inlineStr">
        <is>
          <t>pieces</t>
        </is>
      </c>
      <c r="E1535" t="n">
        <v>7</v>
      </c>
      <c r="F1535" t="n">
        <v>231</v>
      </c>
      <c r="G1535" t="n">
        <v>33</v>
      </c>
    </row>
    <row r="1536">
      <c r="A1536" t="n">
        <v>838</v>
      </c>
      <c r="B1536" t="inlineStr">
        <is>
          <t>Softdrinks</t>
        </is>
      </c>
      <c r="C1536" t="inlineStr">
        <is>
          <t>Pepsi - Mug Root Beer</t>
        </is>
      </c>
      <c r="D1536" t="inlineStr">
        <is>
          <t>ml</t>
        </is>
      </c>
      <c r="E1536" t="n">
        <v>24</v>
      </c>
      <c r="F1536" t="n">
        <v>721.6800000000001</v>
      </c>
      <c r="G1536" t="n">
        <v>30.07</v>
      </c>
    </row>
    <row r="1537">
      <c r="A1537" t="n">
        <v>838</v>
      </c>
      <c r="B1537" t="inlineStr">
        <is>
          <t>Softdrinks</t>
        </is>
      </c>
      <c r="C1537" t="inlineStr">
        <is>
          <t>Pepsi</t>
        </is>
      </c>
      <c r="D1537" t="inlineStr">
        <is>
          <t>ml</t>
        </is>
      </c>
      <c r="E1537" t="n">
        <v>22</v>
      </c>
      <c r="F1537" t="n">
        <v>717.2</v>
      </c>
      <c r="G1537" t="n">
        <v>32.6</v>
      </c>
    </row>
    <row r="1538">
      <c r="A1538" t="n">
        <v>838</v>
      </c>
      <c r="B1538" t="inlineStr">
        <is>
          <t>Softdrinks</t>
        </is>
      </c>
      <c r="C1538" t="inlineStr">
        <is>
          <t>ARC - Rite 'N Lite Cucumber</t>
        </is>
      </c>
      <c r="D1538" t="inlineStr">
        <is>
          <t>ml</t>
        </is>
      </c>
      <c r="E1538" t="n">
        <v>59</v>
      </c>
      <c r="F1538" t="n">
        <v>1455.12</v>
      </c>
      <c r="G1538" t="n">
        <v>24.66305084745763</v>
      </c>
    </row>
    <row r="1539">
      <c r="A1539" t="n">
        <v>838</v>
      </c>
      <c r="B1539" t="inlineStr">
        <is>
          <t>Softdrinks</t>
        </is>
      </c>
      <c r="C1539" t="inlineStr">
        <is>
          <t>ARC - Rite 'N Lite Lemon</t>
        </is>
      </c>
      <c r="D1539" t="inlineStr">
        <is>
          <t>ml</t>
        </is>
      </c>
      <c r="E1539" t="n">
        <v>64</v>
      </c>
      <c r="F1539" t="n">
        <v>1640.32</v>
      </c>
      <c r="G1539" t="n">
        <v>25.63</v>
      </c>
    </row>
    <row r="1540">
      <c r="A1540" t="n">
        <v>838</v>
      </c>
      <c r="B1540" t="inlineStr">
        <is>
          <t>Softdrinks</t>
        </is>
      </c>
      <c r="C1540" t="inlineStr">
        <is>
          <t>ARC - Rite 'N Lite Lemon and Lime</t>
        </is>
      </c>
      <c r="D1540" t="inlineStr">
        <is>
          <t>ml</t>
        </is>
      </c>
      <c r="E1540" t="n">
        <v>11</v>
      </c>
      <c r="F1540" t="n">
        <v>264</v>
      </c>
      <c r="G1540" t="n">
        <v>24</v>
      </c>
    </row>
    <row r="1541">
      <c r="A1541" t="n">
        <v>838</v>
      </c>
      <c r="B1541" t="inlineStr">
        <is>
          <t>Softdrinks</t>
        </is>
      </c>
      <c r="C1541" t="inlineStr">
        <is>
          <t>Coca-Cola - Regular (Liter)</t>
        </is>
      </c>
      <c r="D1541" t="inlineStr">
        <is>
          <t>liters</t>
        </is>
      </c>
      <c r="E1541" t="n">
        <v>89</v>
      </c>
      <c r="F1541" t="n">
        <v>5684</v>
      </c>
      <c r="G1541" t="n">
        <v>63.86516853932584</v>
      </c>
    </row>
    <row r="1542">
      <c r="A1542" t="n">
        <v>838</v>
      </c>
      <c r="B1542" t="inlineStr">
        <is>
          <t>Softdrinks</t>
        </is>
      </c>
      <c r="C1542" t="inlineStr">
        <is>
          <t>Coca-Cola - Zero (Mini can)</t>
        </is>
      </c>
      <c r="D1542" t="inlineStr">
        <is>
          <t>ml</t>
        </is>
      </c>
      <c r="E1542" t="n">
        <v>4</v>
      </c>
      <c r="F1542" t="n">
        <v>88.64</v>
      </c>
      <c r="G1542" t="n">
        <v>22.16</v>
      </c>
    </row>
    <row r="1543">
      <c r="A1543" t="n">
        <v>838</v>
      </c>
      <c r="B1543" t="inlineStr">
        <is>
          <t>Softdrinks</t>
        </is>
      </c>
      <c r="C1543" t="inlineStr">
        <is>
          <t>Coca-Cola - Regular (Mismo)</t>
        </is>
      </c>
      <c r="D1543" t="inlineStr">
        <is>
          <t>ml</t>
        </is>
      </c>
      <c r="E1543" t="n">
        <v>12</v>
      </c>
      <c r="F1543" t="n">
        <v>199.92</v>
      </c>
      <c r="G1543" t="n">
        <v>16.66</v>
      </c>
    </row>
    <row r="1544">
      <c r="A1544" t="n">
        <v>838</v>
      </c>
      <c r="B1544" t="inlineStr">
        <is>
          <t>Softdrinks</t>
        </is>
      </c>
      <c r="C1544" t="inlineStr">
        <is>
          <t>Coca-Cola - Regular (Can)</t>
        </is>
      </c>
      <c r="D1544" t="inlineStr">
        <is>
          <t>ml</t>
        </is>
      </c>
      <c r="E1544" t="n">
        <v>144</v>
      </c>
      <c r="F1544" t="n">
        <v>56603.3</v>
      </c>
      <c r="G1544" t="n">
        <v>393.0784722222222</v>
      </c>
    </row>
    <row r="1545">
      <c r="A1545" t="n">
        <v>838</v>
      </c>
      <c r="B1545" t="inlineStr">
        <is>
          <t>Softdrinks</t>
        </is>
      </c>
      <c r="C1545" t="inlineStr">
        <is>
          <t>Coca-Cola - Zero (Liter)</t>
        </is>
      </c>
      <c r="D1545" t="inlineStr">
        <is>
          <t>liters</t>
        </is>
      </c>
      <c r="E1545" t="n">
        <v>20</v>
      </c>
      <c r="F1545" t="n">
        <v>1370</v>
      </c>
      <c r="G1545" t="n">
        <v>68.5</v>
      </c>
    </row>
    <row r="1546">
      <c r="A1546" t="n">
        <v>838</v>
      </c>
      <c r="B1546" t="inlineStr">
        <is>
          <t>Softdrinks</t>
        </is>
      </c>
      <c r="C1546" t="inlineStr">
        <is>
          <t>Coca-Cola - Zero (Can)</t>
        </is>
      </c>
      <c r="D1546" t="inlineStr">
        <is>
          <t>ml</t>
        </is>
      </c>
      <c r="E1546" t="n">
        <v>141</v>
      </c>
      <c r="F1546" t="n">
        <v>4535.559999999999</v>
      </c>
      <c r="G1546" t="n">
        <v>32.16709219858156</v>
      </c>
    </row>
    <row r="1547">
      <c r="A1547" t="n">
        <v>838</v>
      </c>
      <c r="B1547" t="inlineStr">
        <is>
          <t>Softdrinks</t>
        </is>
      </c>
      <c r="C1547" t="inlineStr">
        <is>
          <t>Coca-Cola - Royal (Liter)</t>
        </is>
      </c>
      <c r="D1547" t="inlineStr">
        <is>
          <t>liters</t>
        </is>
      </c>
      <c r="E1547" t="n">
        <v>15</v>
      </c>
      <c r="F1547" t="n">
        <v>943</v>
      </c>
      <c r="G1547" t="n">
        <v>62.86666666666667</v>
      </c>
    </row>
    <row r="1548">
      <c r="A1548" t="n">
        <v>838</v>
      </c>
      <c r="B1548" t="inlineStr">
        <is>
          <t>Softdrinks</t>
        </is>
      </c>
      <c r="C1548" t="inlineStr">
        <is>
          <t>Coca-Cola - Royal (Mismo)</t>
        </is>
      </c>
      <c r="D1548" t="inlineStr">
        <is>
          <t>ml</t>
        </is>
      </c>
      <c r="E1548" t="n">
        <v>12</v>
      </c>
      <c r="F1548" t="n">
        <v>193.68</v>
      </c>
      <c r="G1548" t="n">
        <v>16.14</v>
      </c>
    </row>
    <row r="1549">
      <c r="A1549" t="n">
        <v>838</v>
      </c>
      <c r="B1549" t="inlineStr">
        <is>
          <t>Softdrinks</t>
        </is>
      </c>
      <c r="C1549" t="inlineStr">
        <is>
          <t>Coca-Cola - Royal (Can)</t>
        </is>
      </c>
      <c r="D1549" t="inlineStr">
        <is>
          <t>ml</t>
        </is>
      </c>
      <c r="E1549" t="n">
        <v>87</v>
      </c>
      <c r="F1549" t="n">
        <v>2727.95</v>
      </c>
      <c r="G1549" t="n">
        <v>31.35574712643678</v>
      </c>
    </row>
    <row r="1550">
      <c r="A1550" t="n">
        <v>838</v>
      </c>
      <c r="B1550" t="inlineStr">
        <is>
          <t>Softdrinks</t>
        </is>
      </c>
      <c r="C1550" t="inlineStr">
        <is>
          <t>Coca-Cola - Sprite (Liter)</t>
        </is>
      </c>
      <c r="D1550" t="inlineStr">
        <is>
          <t>liters</t>
        </is>
      </c>
      <c r="E1550" t="n">
        <v>13</v>
      </c>
      <c r="F1550" t="n">
        <v>817</v>
      </c>
      <c r="G1550" t="n">
        <v>62.84615384615385</v>
      </c>
    </row>
    <row r="1551">
      <c r="A1551" t="n">
        <v>838</v>
      </c>
      <c r="B1551" t="inlineStr">
        <is>
          <t>Softdrinks</t>
        </is>
      </c>
      <c r="C1551" t="inlineStr">
        <is>
          <t>Coca-Cola - Sprite (Mismo)</t>
        </is>
      </c>
      <c r="D1551" t="inlineStr">
        <is>
          <t>ml</t>
        </is>
      </c>
      <c r="E1551" t="n">
        <v>19</v>
      </c>
      <c r="F1551" t="n">
        <v>316.54</v>
      </c>
      <c r="G1551" t="n">
        <v>16.66</v>
      </c>
    </row>
    <row r="1552">
      <c r="A1552" t="n">
        <v>838</v>
      </c>
      <c r="B1552" t="inlineStr">
        <is>
          <t>Softdrinks</t>
        </is>
      </c>
      <c r="C1552" t="inlineStr">
        <is>
          <t>Coca-Cola - Sprite (Can)</t>
        </is>
      </c>
      <c r="D1552" t="inlineStr">
        <is>
          <t>ml</t>
        </is>
      </c>
      <c r="E1552" t="n">
        <v>80</v>
      </c>
      <c r="F1552" t="n">
        <v>2510.12</v>
      </c>
      <c r="G1552" t="n">
        <v>31.3765</v>
      </c>
    </row>
    <row r="1553">
      <c r="A1553" t="n">
        <v>384</v>
      </c>
      <c r="B1553" t="inlineStr">
        <is>
          <t>Sotanghon</t>
        </is>
      </c>
      <c r="C1553" t="inlineStr">
        <is>
          <t>Sapporo</t>
        </is>
      </c>
      <c r="D1553" t="inlineStr">
        <is>
          <t>kilos</t>
        </is>
      </c>
      <c r="E1553" t="n">
        <v>6</v>
      </c>
      <c r="F1553" t="n">
        <v>1860</v>
      </c>
      <c r="G1553" t="n">
        <v>310</v>
      </c>
    </row>
    <row r="1554">
      <c r="A1554" t="n">
        <v>384</v>
      </c>
      <c r="B1554" t="inlineStr">
        <is>
          <t>Sotanghon</t>
        </is>
      </c>
      <c r="C1554" t="inlineStr">
        <is>
          <t>Good Life</t>
        </is>
      </c>
      <c r="D1554" t="inlineStr">
        <is>
          <t>grams</t>
        </is>
      </c>
      <c r="E1554" t="n">
        <v>2</v>
      </c>
      <c r="F1554" t="n">
        <v>317.6</v>
      </c>
      <c r="G1554" t="n">
        <v>158.8</v>
      </c>
    </row>
    <row r="1555">
      <c r="A1555" t="n">
        <v>384</v>
      </c>
      <c r="B1555" t="inlineStr">
        <is>
          <t>Sotanghon</t>
        </is>
      </c>
      <c r="C1555" t="inlineStr">
        <is>
          <t>Relish</t>
        </is>
      </c>
      <c r="D1555" t="inlineStr">
        <is>
          <t>grams</t>
        </is>
      </c>
      <c r="E1555" t="n">
        <v>2</v>
      </c>
      <c r="F1555" t="n">
        <v>213</v>
      </c>
      <c r="G1555" t="n">
        <v>106.5</v>
      </c>
    </row>
    <row r="1556">
      <c r="A1556" t="n">
        <v>384</v>
      </c>
      <c r="B1556" t="inlineStr">
        <is>
          <t>Sotanghon</t>
        </is>
      </c>
      <c r="C1556" t="inlineStr">
        <is>
          <t>Good Life</t>
        </is>
      </c>
      <c r="D1556" t="inlineStr">
        <is>
          <t>ounces</t>
        </is>
      </c>
      <c r="E1556" t="n">
        <v>2</v>
      </c>
      <c r="F1556" t="n">
        <v>328</v>
      </c>
      <c r="G1556" t="n">
        <v>164</v>
      </c>
    </row>
    <row r="1557">
      <c r="A1557" t="n">
        <v>839</v>
      </c>
      <c r="B1557" t="inlineStr">
        <is>
          <t>Soup Mix</t>
        </is>
      </c>
      <c r="C1557" t="inlineStr">
        <is>
          <t>Knorr - Nido Oriental Soup</t>
        </is>
      </c>
      <c r="D1557" t="inlineStr">
        <is>
          <t>grams</t>
        </is>
      </c>
      <c r="E1557" t="n">
        <v>21</v>
      </c>
      <c r="F1557" t="n">
        <v>1315.6</v>
      </c>
      <c r="G1557" t="n">
        <v>62.64761904761905</v>
      </c>
    </row>
    <row r="1558">
      <c r="A1558" t="n">
        <v>390</v>
      </c>
      <c r="B1558" t="inlineStr">
        <is>
          <t>Soy Sauce</t>
        </is>
      </c>
      <c r="C1558" t="inlineStr">
        <is>
          <t>Ticman</t>
        </is>
      </c>
      <c r="D1558" t="inlineStr">
        <is>
          <t>ml</t>
        </is>
      </c>
      <c r="E1558" t="n">
        <v>52</v>
      </c>
      <c r="F1558" t="n">
        <v>3778</v>
      </c>
      <c r="G1558" t="n">
        <v>72.65384615384616</v>
      </c>
    </row>
    <row r="1559">
      <c r="A1559" t="n">
        <v>390</v>
      </c>
      <c r="B1559" t="inlineStr">
        <is>
          <t>Soy Sauce</t>
        </is>
      </c>
      <c r="C1559" t="inlineStr">
        <is>
          <t>Datu Puti</t>
        </is>
      </c>
      <c r="D1559" t="inlineStr">
        <is>
          <t>liters</t>
        </is>
      </c>
      <c r="E1559" t="n">
        <v>1</v>
      </c>
      <c r="F1559" t="n">
        <v>187.8</v>
      </c>
      <c r="G1559" t="n">
        <v>187.8</v>
      </c>
    </row>
    <row r="1560">
      <c r="A1560" t="n">
        <v>390</v>
      </c>
      <c r="B1560" t="inlineStr">
        <is>
          <t>Soy Sauce</t>
        </is>
      </c>
      <c r="C1560" t="inlineStr">
        <is>
          <t>Kings</t>
        </is>
      </c>
      <c r="D1560" t="inlineStr">
        <is>
          <t>ml</t>
        </is>
      </c>
      <c r="E1560" t="n">
        <v>1</v>
      </c>
      <c r="F1560" t="n">
        <v>80</v>
      </c>
      <c r="G1560" t="n">
        <v>80</v>
      </c>
    </row>
    <row r="1561">
      <c r="A1561" t="n">
        <v>390</v>
      </c>
      <c r="B1561" t="inlineStr">
        <is>
          <t>Soy Sauce</t>
        </is>
      </c>
      <c r="C1561" t="inlineStr">
        <is>
          <t>Kikkoman</t>
        </is>
      </c>
      <c r="D1561" t="inlineStr">
        <is>
          <t>liters</t>
        </is>
      </c>
      <c r="E1561" t="n">
        <v>1</v>
      </c>
      <c r="F1561" t="n">
        <v>370</v>
      </c>
      <c r="G1561" t="n">
        <v>370</v>
      </c>
    </row>
    <row r="1562">
      <c r="A1562" t="n">
        <v>390</v>
      </c>
      <c r="B1562" t="inlineStr">
        <is>
          <t>Soy sauce</t>
        </is>
      </c>
      <c r="C1562" t="inlineStr"/>
      <c r="D1562" t="inlineStr">
        <is>
          <t>ml</t>
        </is>
      </c>
      <c r="E1562" t="n">
        <v>1</v>
      </c>
      <c r="F1562" t="n">
        <v>11</v>
      </c>
      <c r="G1562" t="n">
        <v>11</v>
      </c>
    </row>
    <row r="1563">
      <c r="A1563" t="n">
        <v>390</v>
      </c>
      <c r="B1563" t="inlineStr">
        <is>
          <t>Soy Sauce</t>
        </is>
      </c>
      <c r="C1563" t="inlineStr">
        <is>
          <t>Jugirox</t>
        </is>
      </c>
      <c r="D1563" t="inlineStr">
        <is>
          <t>gal</t>
        </is>
      </c>
      <c r="E1563" t="n">
        <v>65</v>
      </c>
      <c r="F1563" t="n">
        <v>650</v>
      </c>
      <c r="G1563" t="n">
        <v>10</v>
      </c>
    </row>
    <row r="1564">
      <c r="A1564" t="n">
        <v>390</v>
      </c>
      <c r="B1564" t="inlineStr">
        <is>
          <t>Soy sauce</t>
        </is>
      </c>
      <c r="C1564" t="inlineStr">
        <is>
          <t>Ticman</t>
        </is>
      </c>
      <c r="D1564" t="inlineStr">
        <is>
          <t>gal</t>
        </is>
      </c>
      <c r="E1564" t="n">
        <v>1</v>
      </c>
      <c r="F1564" t="n">
        <v>73</v>
      </c>
      <c r="G1564" t="n">
        <v>73</v>
      </c>
    </row>
    <row r="1565">
      <c r="A1565" t="n">
        <v>390</v>
      </c>
      <c r="B1565" t="inlineStr">
        <is>
          <t>Soy Sauce</t>
        </is>
      </c>
      <c r="C1565" t="inlineStr">
        <is>
          <t>Kikkoman</t>
        </is>
      </c>
      <c r="D1565" t="inlineStr">
        <is>
          <t>ml</t>
        </is>
      </c>
      <c r="E1565" t="n">
        <v>1</v>
      </c>
      <c r="F1565" t="n">
        <v>198</v>
      </c>
      <c r="G1565" t="n">
        <v>198</v>
      </c>
    </row>
    <row r="1566">
      <c r="A1566" t="n">
        <v>390</v>
      </c>
      <c r="B1566" t="inlineStr">
        <is>
          <t>Soy Sauce</t>
        </is>
      </c>
      <c r="C1566" t="inlineStr">
        <is>
          <t>Silver Swan</t>
        </is>
      </c>
      <c r="D1566" t="inlineStr">
        <is>
          <t>gal</t>
        </is>
      </c>
      <c r="E1566" t="n">
        <v>14</v>
      </c>
      <c r="F1566" t="n">
        <v>2576</v>
      </c>
      <c r="G1566" t="n">
        <v>184</v>
      </c>
    </row>
    <row r="1567">
      <c r="A1567" t="n">
        <v>391</v>
      </c>
      <c r="B1567" t="inlineStr">
        <is>
          <t>Spaghetti</t>
        </is>
      </c>
      <c r="C1567" t="inlineStr">
        <is>
          <t>Ideal</t>
        </is>
      </c>
      <c r="D1567" t="inlineStr">
        <is>
          <t>grams</t>
        </is>
      </c>
      <c r="E1567" t="n">
        <v>3</v>
      </c>
      <c r="F1567" t="n">
        <v>213.6</v>
      </c>
      <c r="G1567" t="n">
        <v>71.2</v>
      </c>
    </row>
    <row r="1568">
      <c r="A1568" t="n">
        <v>391</v>
      </c>
      <c r="B1568" t="inlineStr">
        <is>
          <t>Spaghetti</t>
        </is>
      </c>
      <c r="C1568" t="inlineStr">
        <is>
          <t>Sunmac</t>
        </is>
      </c>
      <c r="D1568" t="inlineStr">
        <is>
          <t>grams</t>
        </is>
      </c>
      <c r="E1568" t="n">
        <v>19</v>
      </c>
      <c r="F1568" t="n">
        <v>1460</v>
      </c>
      <c r="G1568" t="n">
        <v>76.84210526315789</v>
      </c>
    </row>
    <row r="1569">
      <c r="A1569" t="n">
        <v>391</v>
      </c>
      <c r="B1569" t="inlineStr">
        <is>
          <t>Spaghetti</t>
        </is>
      </c>
      <c r="C1569" t="inlineStr">
        <is>
          <t>Del Monter</t>
        </is>
      </c>
      <c r="D1569" t="inlineStr">
        <is>
          <t>grams</t>
        </is>
      </c>
      <c r="E1569" t="n">
        <v>3</v>
      </c>
      <c r="F1569" t="n">
        <v>348</v>
      </c>
      <c r="G1569" t="n">
        <v>116</v>
      </c>
    </row>
    <row r="1570">
      <c r="A1570" t="n">
        <v>391</v>
      </c>
      <c r="B1570" t="inlineStr">
        <is>
          <t>Spaghetti</t>
        </is>
      </c>
      <c r="C1570" t="inlineStr">
        <is>
          <t>Sunmac</t>
        </is>
      </c>
      <c r="D1570" t="inlineStr">
        <is>
          <t>kilos</t>
        </is>
      </c>
      <c r="E1570" t="n">
        <v>12</v>
      </c>
      <c r="F1570" t="n">
        <v>900</v>
      </c>
      <c r="G1570" t="n">
        <v>75</v>
      </c>
    </row>
    <row r="1571">
      <c r="A1571" t="n">
        <v>391</v>
      </c>
      <c r="B1571" t="inlineStr">
        <is>
          <t>Spaghetti</t>
        </is>
      </c>
      <c r="C1571" t="inlineStr">
        <is>
          <t>Sunshine</t>
        </is>
      </c>
      <c r="D1571" t="inlineStr">
        <is>
          <t>grams</t>
        </is>
      </c>
      <c r="E1571" t="n">
        <v>1</v>
      </c>
      <c r="F1571" t="n">
        <v>78.56</v>
      </c>
      <c r="G1571" t="n">
        <v>78.56</v>
      </c>
    </row>
    <row r="1572">
      <c r="A1572" t="n">
        <v>840</v>
      </c>
      <c r="B1572" t="inlineStr">
        <is>
          <t>Spaghetti Box</t>
        </is>
      </c>
      <c r="C1572" t="inlineStr">
        <is>
          <t>Trigem</t>
        </is>
      </c>
      <c r="D1572" t="inlineStr">
        <is>
          <t>pieces</t>
        </is>
      </c>
      <c r="E1572" t="n">
        <v>457</v>
      </c>
      <c r="F1572" t="n">
        <v>1133.36</v>
      </c>
      <c r="G1572" t="n">
        <v>2.48</v>
      </c>
    </row>
    <row r="1573">
      <c r="A1573" t="n">
        <v>840</v>
      </c>
      <c r="B1573" t="inlineStr">
        <is>
          <t>Spaghetti Box</t>
        </is>
      </c>
      <c r="C1573" t="inlineStr"/>
      <c r="D1573" t="inlineStr">
        <is>
          <t>pieces</t>
        </is>
      </c>
      <c r="E1573" t="n">
        <v>28</v>
      </c>
      <c r="F1573" t="n">
        <v>112</v>
      </c>
      <c r="G1573" t="n">
        <v>4</v>
      </c>
    </row>
    <row r="1574">
      <c r="A1574" t="n">
        <v>841</v>
      </c>
      <c r="B1574" t="inlineStr">
        <is>
          <t>Spaghetti Bundle (Pasta+Sauce)</t>
        </is>
      </c>
      <c r="C1574" t="inlineStr">
        <is>
          <t>Del Monte</t>
        </is>
      </c>
      <c r="D1574" t="inlineStr">
        <is>
          <t>kilos</t>
        </is>
      </c>
      <c r="E1574" t="n">
        <v>4</v>
      </c>
      <c r="F1574" t="n">
        <v>559.6</v>
      </c>
      <c r="G1574" t="n">
        <v>139.9</v>
      </c>
    </row>
    <row r="1575">
      <c r="A1575" t="n">
        <v>842</v>
      </c>
      <c r="B1575" t="inlineStr">
        <is>
          <t>Spaghetti Sauce - Filipino Style</t>
        </is>
      </c>
      <c r="C1575" t="inlineStr">
        <is>
          <t>Del Monte/pack/900grams</t>
        </is>
      </c>
      <c r="D1575" t="inlineStr">
        <is>
          <t>grams</t>
        </is>
      </c>
      <c r="E1575" t="n">
        <v>11</v>
      </c>
      <c r="F1575" t="n">
        <v>1095.6</v>
      </c>
      <c r="G1575" t="n">
        <v>99.59999999999999</v>
      </c>
    </row>
    <row r="1576">
      <c r="A1576" t="n">
        <v>843</v>
      </c>
      <c r="B1576" t="inlineStr">
        <is>
          <t>Spaghetti Sauce Sweet Style</t>
        </is>
      </c>
      <c r="C1576" t="inlineStr">
        <is>
          <t>Royal</t>
        </is>
      </c>
      <c r="D1576" t="inlineStr">
        <is>
          <t>kilos</t>
        </is>
      </c>
      <c r="E1576" t="n">
        <v>1</v>
      </c>
      <c r="F1576" t="n">
        <v>60</v>
      </c>
      <c r="G1576" t="n">
        <v>60</v>
      </c>
    </row>
    <row r="1577">
      <c r="A1577" t="n">
        <v>844</v>
      </c>
      <c r="B1577" t="inlineStr">
        <is>
          <t>Spanish Paprika</t>
        </is>
      </c>
      <c r="C1577" t="inlineStr">
        <is>
          <t>McCormick</t>
        </is>
      </c>
      <c r="D1577" t="inlineStr">
        <is>
          <t>grams</t>
        </is>
      </c>
      <c r="E1577" t="n">
        <v>4</v>
      </c>
      <c r="F1577" t="n">
        <v>263.75</v>
      </c>
      <c r="G1577" t="n">
        <v>65.9375</v>
      </c>
    </row>
    <row r="1578">
      <c r="A1578" t="n">
        <v>845</v>
      </c>
      <c r="B1578" t="inlineStr">
        <is>
          <t>Spanish Paprika Singles</t>
        </is>
      </c>
      <c r="C1578" t="inlineStr">
        <is>
          <t>McCormick</t>
        </is>
      </c>
      <c r="D1578" t="inlineStr">
        <is>
          <t>pieces</t>
        </is>
      </c>
      <c r="E1578" t="n">
        <v>15</v>
      </c>
      <c r="F1578" t="n">
        <v>87</v>
      </c>
      <c r="G1578" t="n">
        <v>5.8</v>
      </c>
    </row>
    <row r="1579">
      <c r="A1579" t="n">
        <v>846</v>
      </c>
      <c r="B1579" t="inlineStr">
        <is>
          <t>Spiral Noodles</t>
        </is>
      </c>
      <c r="C1579" t="inlineStr">
        <is>
          <t>San Remo</t>
        </is>
      </c>
      <c r="D1579" t="inlineStr">
        <is>
          <t>grams</t>
        </is>
      </c>
      <c r="E1579" t="n">
        <v>2</v>
      </c>
      <c r="F1579" t="n">
        <v>144</v>
      </c>
      <c r="G1579" t="n">
        <v>72</v>
      </c>
    </row>
    <row r="1580">
      <c r="A1580" t="n">
        <v>393</v>
      </c>
      <c r="B1580" t="inlineStr">
        <is>
          <t>Sponge</t>
        </is>
      </c>
      <c r="C1580" t="inlineStr">
        <is>
          <t>Zim</t>
        </is>
      </c>
      <c r="D1580" t="inlineStr">
        <is>
          <t>pieces</t>
        </is>
      </c>
      <c r="E1580" t="n">
        <v>17</v>
      </c>
      <c r="F1580" t="n">
        <v>529.75</v>
      </c>
      <c r="G1580" t="n">
        <v>31.16176470588235</v>
      </c>
    </row>
    <row r="1581">
      <c r="A1581" t="n">
        <v>393</v>
      </c>
      <c r="B1581" t="inlineStr">
        <is>
          <t>Sponge</t>
        </is>
      </c>
      <c r="C1581" t="inlineStr">
        <is>
          <t>3M</t>
        </is>
      </c>
      <c r="D1581" t="inlineStr">
        <is>
          <t>pieces</t>
        </is>
      </c>
      <c r="E1581" t="n">
        <v>2</v>
      </c>
      <c r="F1581" t="n">
        <v>130</v>
      </c>
      <c r="G1581" t="n">
        <v>65</v>
      </c>
    </row>
    <row r="1582">
      <c r="A1582" t="n">
        <v>393</v>
      </c>
      <c r="B1582" t="inlineStr">
        <is>
          <t>Sponge</t>
        </is>
      </c>
      <c r="C1582" t="inlineStr"/>
      <c r="D1582" t="inlineStr">
        <is>
          <t>pieces</t>
        </is>
      </c>
      <c r="E1582" t="n">
        <v>6</v>
      </c>
      <c r="F1582" t="n">
        <v>114</v>
      </c>
      <c r="G1582" t="n">
        <v>19</v>
      </c>
    </row>
    <row r="1583">
      <c r="A1583" t="n">
        <v>393</v>
      </c>
      <c r="B1583" t="inlineStr">
        <is>
          <t>Sponge</t>
        </is>
      </c>
      <c r="C1583" t="inlineStr">
        <is>
          <t>Scotch Brite</t>
        </is>
      </c>
      <c r="D1583" t="inlineStr">
        <is>
          <t>pieces</t>
        </is>
      </c>
      <c r="E1583" t="n">
        <v>30</v>
      </c>
      <c r="F1583" t="n">
        <v>970.92</v>
      </c>
      <c r="G1583" t="n">
        <v>32.364</v>
      </c>
    </row>
    <row r="1584">
      <c r="A1584" t="n">
        <v>395</v>
      </c>
      <c r="B1584" t="inlineStr">
        <is>
          <t>Spread</t>
        </is>
      </c>
      <c r="C1584" t="inlineStr">
        <is>
          <t>Ladys Choice Bacon 27 ml</t>
        </is>
      </c>
      <c r="D1584" t="inlineStr">
        <is>
          <t>ml</t>
        </is>
      </c>
      <c r="E1584" t="n">
        <v>2</v>
      </c>
      <c r="F1584" t="n">
        <v>24.8</v>
      </c>
      <c r="G1584" t="n">
        <v>12.4</v>
      </c>
    </row>
    <row r="1585">
      <c r="A1585" t="n">
        <v>395</v>
      </c>
      <c r="B1585" t="inlineStr">
        <is>
          <t>Spread</t>
        </is>
      </c>
      <c r="C1585" t="inlineStr">
        <is>
          <t>Ladys Choice Chicken Spread 27ml</t>
        </is>
      </c>
      <c r="D1585" t="inlineStr">
        <is>
          <t>ml</t>
        </is>
      </c>
      <c r="E1585" t="n">
        <v>6</v>
      </c>
      <c r="F1585" t="n">
        <v>74.40000000000001</v>
      </c>
      <c r="G1585" t="n">
        <v>12.4</v>
      </c>
    </row>
    <row r="1586">
      <c r="A1586" t="n">
        <v>395</v>
      </c>
      <c r="B1586" t="inlineStr">
        <is>
          <t>Spread</t>
        </is>
      </c>
      <c r="C1586" t="inlineStr">
        <is>
          <t>Ladys Choice Ham Spread 27ml</t>
        </is>
      </c>
      <c r="D1586" t="inlineStr">
        <is>
          <t>ml</t>
        </is>
      </c>
      <c r="E1586" t="n">
        <v>1</v>
      </c>
      <c r="F1586" t="n">
        <v>12.4</v>
      </c>
      <c r="G1586" t="n">
        <v>12.4</v>
      </c>
    </row>
    <row r="1587">
      <c r="A1587" t="n">
        <v>395</v>
      </c>
      <c r="B1587" t="inlineStr">
        <is>
          <t>Spread</t>
        </is>
      </c>
      <c r="C1587" t="inlineStr">
        <is>
          <t>Mondelez - Cheeze Whiz Cheese</t>
        </is>
      </c>
      <c r="D1587" t="inlineStr">
        <is>
          <t>grams</t>
        </is>
      </c>
      <c r="E1587" t="n">
        <v>7</v>
      </c>
      <c r="F1587" t="n">
        <v>85.39999999999999</v>
      </c>
      <c r="G1587" t="n">
        <v>12.2</v>
      </c>
    </row>
    <row r="1588">
      <c r="A1588" t="n">
        <v>395</v>
      </c>
      <c r="B1588" t="inlineStr">
        <is>
          <t>Spread</t>
        </is>
      </c>
      <c r="C1588" t="inlineStr">
        <is>
          <t>Mondelez - Cheeze Whiz Pimento</t>
        </is>
      </c>
      <c r="D1588" t="inlineStr">
        <is>
          <t>grams</t>
        </is>
      </c>
      <c r="E1588" t="n">
        <v>5</v>
      </c>
      <c r="F1588" t="n">
        <v>61</v>
      </c>
      <c r="G1588" t="n">
        <v>12.2</v>
      </c>
    </row>
    <row r="1589">
      <c r="A1589" t="n">
        <v>847</v>
      </c>
      <c r="B1589" t="inlineStr">
        <is>
          <t>Springroll Wrapper</t>
        </is>
      </c>
      <c r="C1589" t="inlineStr">
        <is>
          <t>Fat and Thin</t>
        </is>
      </c>
      <c r="D1589" t="inlineStr">
        <is>
          <t>packs</t>
        </is>
      </c>
      <c r="E1589" t="n">
        <v>1</v>
      </c>
      <c r="F1589" t="n">
        <v>100</v>
      </c>
      <c r="G1589" t="n">
        <v>100</v>
      </c>
    </row>
    <row r="1590">
      <c r="A1590" t="n">
        <v>848</v>
      </c>
      <c r="B1590" t="inlineStr">
        <is>
          <t>Squid Balls</t>
        </is>
      </c>
      <c r="C1590" t="inlineStr">
        <is>
          <t>Shanghai</t>
        </is>
      </c>
      <c r="D1590" t="inlineStr">
        <is>
          <t>grams</t>
        </is>
      </c>
      <c r="E1590" t="n">
        <v>7</v>
      </c>
      <c r="F1590" t="n">
        <v>475</v>
      </c>
      <c r="G1590" t="n">
        <v>67.85714285714286</v>
      </c>
    </row>
    <row r="1591">
      <c r="A1591" t="n">
        <v>848</v>
      </c>
      <c r="B1591" t="inlineStr">
        <is>
          <t>Squid Balls</t>
        </is>
      </c>
      <c r="C1591" t="inlineStr">
        <is>
          <t>Shanghai</t>
        </is>
      </c>
      <c r="D1591" t="inlineStr">
        <is>
          <t>kilos</t>
        </is>
      </c>
      <c r="E1591" t="n">
        <v>5</v>
      </c>
      <c r="F1591" t="n">
        <v>600</v>
      </c>
      <c r="G1591" t="n">
        <v>120</v>
      </c>
    </row>
    <row r="1592">
      <c r="A1592" t="n">
        <v>848</v>
      </c>
      <c r="B1592" t="inlineStr">
        <is>
          <t>Squid Balls</t>
        </is>
      </c>
      <c r="C1592" t="inlineStr">
        <is>
          <t>Orion</t>
        </is>
      </c>
      <c r="D1592" t="inlineStr">
        <is>
          <t>kilos</t>
        </is>
      </c>
      <c r="E1592" t="n">
        <v>2</v>
      </c>
      <c r="F1592" t="n">
        <v>240</v>
      </c>
      <c r="G1592" t="n">
        <v>120</v>
      </c>
    </row>
    <row r="1593">
      <c r="A1593" t="n">
        <v>848</v>
      </c>
      <c r="B1593" t="inlineStr">
        <is>
          <t>Squid Balls</t>
        </is>
      </c>
      <c r="C1593" t="inlineStr">
        <is>
          <t>Daisuke</t>
        </is>
      </c>
      <c r="D1593" t="inlineStr">
        <is>
          <t>grams</t>
        </is>
      </c>
      <c r="E1593" t="n">
        <v>3</v>
      </c>
      <c r="F1593" t="n">
        <v>195</v>
      </c>
      <c r="G1593" t="n">
        <v>65</v>
      </c>
    </row>
    <row r="1594">
      <c r="A1594" t="n">
        <v>396</v>
      </c>
      <c r="B1594" t="inlineStr">
        <is>
          <t>Star Anise</t>
        </is>
      </c>
      <c r="C1594" t="inlineStr">
        <is>
          <t>McCormick</t>
        </is>
      </c>
      <c r="D1594" t="inlineStr">
        <is>
          <t>grams</t>
        </is>
      </c>
      <c r="E1594" t="n">
        <v>4</v>
      </c>
      <c r="F1594" t="n">
        <v>124</v>
      </c>
      <c r="G1594" t="n">
        <v>31</v>
      </c>
    </row>
    <row r="1595">
      <c r="A1595" t="n">
        <v>396</v>
      </c>
      <c r="B1595" t="inlineStr">
        <is>
          <t>Star Anise</t>
        </is>
      </c>
      <c r="C1595" t="inlineStr">
        <is>
          <t>Lipa Spices</t>
        </is>
      </c>
      <c r="D1595" t="inlineStr">
        <is>
          <t>kilos</t>
        </is>
      </c>
      <c r="E1595" t="n">
        <v>3</v>
      </c>
      <c r="F1595" t="n">
        <v>2260</v>
      </c>
      <c r="G1595" t="n">
        <v>753.3333333333334</v>
      </c>
    </row>
    <row r="1596">
      <c r="A1596" t="n">
        <v>396</v>
      </c>
      <c r="B1596" t="inlineStr">
        <is>
          <t>Star Anise</t>
        </is>
      </c>
      <c r="C1596" t="inlineStr">
        <is>
          <t>Amparo's</t>
        </is>
      </c>
      <c r="D1596" t="inlineStr">
        <is>
          <t>grams</t>
        </is>
      </c>
      <c r="E1596" t="n">
        <v>1</v>
      </c>
      <c r="F1596" t="n">
        <v>31</v>
      </c>
      <c r="G1596" t="n">
        <v>31</v>
      </c>
    </row>
    <row r="1597">
      <c r="A1597" t="n">
        <v>849</v>
      </c>
      <c r="B1597" t="inlineStr">
        <is>
          <t>Steak Sauce</t>
        </is>
      </c>
      <c r="C1597" t="inlineStr">
        <is>
          <t>A1</t>
        </is>
      </c>
      <c r="D1597" t="inlineStr">
        <is>
          <t>grams</t>
        </is>
      </c>
      <c r="E1597" t="n">
        <v>1</v>
      </c>
      <c r="F1597" t="n">
        <v>202</v>
      </c>
      <c r="G1597" t="n">
        <v>202</v>
      </c>
    </row>
    <row r="1598">
      <c r="A1598" t="n">
        <v>850</v>
      </c>
      <c r="B1598" t="inlineStr">
        <is>
          <t>Steel wool</t>
        </is>
      </c>
      <c r="C1598" t="inlineStr">
        <is>
          <t>Cleans-Up</t>
        </is>
      </c>
      <c r="D1598" t="inlineStr">
        <is>
          <t>pieces</t>
        </is>
      </c>
      <c r="E1598" t="n">
        <v>6</v>
      </c>
      <c r="F1598" t="n">
        <v>180</v>
      </c>
      <c r="G1598" t="n">
        <v>30</v>
      </c>
    </row>
    <row r="1599">
      <c r="A1599" t="n">
        <v>850</v>
      </c>
      <c r="B1599" t="inlineStr">
        <is>
          <t>Steel wool</t>
        </is>
      </c>
      <c r="C1599" t="inlineStr">
        <is>
          <t>Scotch Brite</t>
        </is>
      </c>
      <c r="D1599" t="inlineStr">
        <is>
          <t>pieces</t>
        </is>
      </c>
      <c r="E1599" t="n">
        <v>5</v>
      </c>
      <c r="F1599" t="n">
        <v>205</v>
      </c>
      <c r="G1599" t="n">
        <v>41</v>
      </c>
    </row>
    <row r="1600">
      <c r="A1600" t="n">
        <v>851</v>
      </c>
      <c r="B1600" t="inlineStr">
        <is>
          <t>Stirrer</t>
        </is>
      </c>
      <c r="C1600" t="inlineStr"/>
      <c r="D1600" t="inlineStr">
        <is>
          <t>packs</t>
        </is>
      </c>
      <c r="E1600" t="n">
        <v>5</v>
      </c>
      <c r="F1600" t="n">
        <v>66.25</v>
      </c>
      <c r="G1600" t="n">
        <v>13.25</v>
      </c>
    </row>
    <row r="1601">
      <c r="A1601" t="n">
        <v>852</v>
      </c>
      <c r="B1601" t="inlineStr">
        <is>
          <t>Strawberry Jam</t>
        </is>
      </c>
      <c r="C1601" t="inlineStr">
        <is>
          <t>Clara Ole</t>
        </is>
      </c>
      <c r="D1601" t="inlineStr">
        <is>
          <t>grams</t>
        </is>
      </c>
      <c r="E1601" t="n">
        <v>1</v>
      </c>
      <c r="F1601" t="n">
        <v>150</v>
      </c>
      <c r="G1601" t="n">
        <v>150</v>
      </c>
    </row>
    <row r="1602">
      <c r="A1602" t="n">
        <v>853</v>
      </c>
      <c r="B1602" t="inlineStr">
        <is>
          <t>Strippler</t>
        </is>
      </c>
      <c r="C1602" t="inlineStr">
        <is>
          <t>Durabrite</t>
        </is>
      </c>
      <c r="D1602" t="inlineStr">
        <is>
          <t>pieces</t>
        </is>
      </c>
      <c r="E1602" t="n">
        <v>3</v>
      </c>
      <c r="F1602" t="n">
        <v>75</v>
      </c>
      <c r="G1602" t="n">
        <v>25</v>
      </c>
    </row>
    <row r="1603">
      <c r="A1603" t="n">
        <v>401</v>
      </c>
      <c r="B1603" t="inlineStr">
        <is>
          <t>Sugar - Brown</t>
        </is>
      </c>
      <c r="C1603" t="inlineStr">
        <is>
          <t>Hermano</t>
        </is>
      </c>
      <c r="D1603" t="inlineStr">
        <is>
          <t>kilos</t>
        </is>
      </c>
      <c r="E1603" t="n">
        <v>108</v>
      </c>
      <c r="F1603" t="n">
        <v>8882.900000000001</v>
      </c>
      <c r="G1603" t="n">
        <v>82.24907407407409</v>
      </c>
    </row>
    <row r="1604">
      <c r="A1604" t="n">
        <v>401</v>
      </c>
      <c r="B1604" t="inlineStr">
        <is>
          <t>Sugar - Brown</t>
        </is>
      </c>
      <c r="C1604" t="inlineStr">
        <is>
          <t>Hermano</t>
        </is>
      </c>
      <c r="D1604" t="inlineStr">
        <is>
          <t>grams</t>
        </is>
      </c>
      <c r="E1604" t="n">
        <v>53</v>
      </c>
      <c r="F1604" t="n">
        <v>2268.4</v>
      </c>
      <c r="G1604" t="n">
        <v>42.79999999999999</v>
      </c>
    </row>
    <row r="1605">
      <c r="A1605" t="n">
        <v>401</v>
      </c>
      <c r="B1605" t="inlineStr">
        <is>
          <t>Sugar - Brown</t>
        </is>
      </c>
      <c r="C1605" t="inlineStr">
        <is>
          <t>Orsomco</t>
        </is>
      </c>
      <c r="D1605" t="inlineStr">
        <is>
          <t>kilos</t>
        </is>
      </c>
      <c r="E1605" t="n">
        <v>36</v>
      </c>
      <c r="F1605" t="n">
        <v>2448</v>
      </c>
      <c r="G1605" t="n">
        <v>68</v>
      </c>
    </row>
    <row r="1606">
      <c r="A1606" t="n">
        <v>401</v>
      </c>
      <c r="B1606" t="inlineStr">
        <is>
          <t>Sugar - Brown</t>
        </is>
      </c>
      <c r="C1606" t="inlineStr"/>
      <c r="D1606" t="inlineStr">
        <is>
          <t>kilos</t>
        </is>
      </c>
      <c r="E1606" t="n">
        <v>18</v>
      </c>
      <c r="F1606" t="n">
        <v>1368</v>
      </c>
      <c r="G1606" t="n">
        <v>76</v>
      </c>
    </row>
    <row r="1607">
      <c r="A1607" t="n">
        <v>854</v>
      </c>
      <c r="B1607" t="inlineStr">
        <is>
          <t>Sugar - Sachet</t>
        </is>
      </c>
      <c r="C1607" t="inlineStr">
        <is>
          <t>Equal</t>
        </is>
      </c>
      <c r="D1607" t="inlineStr">
        <is>
          <t>grams</t>
        </is>
      </c>
      <c r="E1607" t="n">
        <v>5</v>
      </c>
      <c r="F1607" t="n">
        <v>110</v>
      </c>
      <c r="G1607" t="n">
        <v>22</v>
      </c>
    </row>
    <row r="1608">
      <c r="A1608" t="n">
        <v>854</v>
      </c>
      <c r="B1608" t="inlineStr">
        <is>
          <t>Sugar - Sachet</t>
        </is>
      </c>
      <c r="C1608" t="inlineStr">
        <is>
          <t>Splenda</t>
        </is>
      </c>
      <c r="D1608" t="inlineStr">
        <is>
          <t>pieces</t>
        </is>
      </c>
      <c r="E1608" t="n">
        <v>19</v>
      </c>
      <c r="F1608" t="n">
        <v>690</v>
      </c>
      <c r="G1608" t="n">
        <v>36.31578947368421</v>
      </c>
    </row>
    <row r="1609">
      <c r="A1609" t="n">
        <v>854</v>
      </c>
      <c r="B1609" t="inlineStr">
        <is>
          <t>Sugar - Sachet</t>
        </is>
      </c>
      <c r="C1609" t="inlineStr">
        <is>
          <t>Golden Harvest</t>
        </is>
      </c>
      <c r="D1609" t="inlineStr">
        <is>
          <t>grams</t>
        </is>
      </c>
      <c r="E1609" t="n">
        <v>1001</v>
      </c>
      <c r="F1609" t="n">
        <v>1641.3</v>
      </c>
      <c r="G1609" t="n">
        <v>1.639660339660339</v>
      </c>
    </row>
    <row r="1610">
      <c r="A1610" t="n">
        <v>854</v>
      </c>
      <c r="B1610" t="inlineStr">
        <is>
          <t>Sugar - Sachet</t>
        </is>
      </c>
      <c r="C1610" t="inlineStr">
        <is>
          <t>Depot</t>
        </is>
      </c>
      <c r="D1610" t="inlineStr">
        <is>
          <t>grams</t>
        </is>
      </c>
      <c r="E1610" t="n">
        <v>1500</v>
      </c>
      <c r="F1610" t="n">
        <v>1590</v>
      </c>
      <c r="G1610" t="n">
        <v>1.06</v>
      </c>
    </row>
    <row r="1611">
      <c r="A1611" t="n">
        <v>404</v>
      </c>
      <c r="B1611" t="inlineStr">
        <is>
          <t>Sugar - Washed</t>
        </is>
      </c>
      <c r="C1611" t="inlineStr">
        <is>
          <t>Hermano</t>
        </is>
      </c>
      <c r="D1611" t="inlineStr">
        <is>
          <t>kilos</t>
        </is>
      </c>
      <c r="E1611" t="n">
        <v>5</v>
      </c>
      <c r="F1611" t="n">
        <v>431</v>
      </c>
      <c r="G1611" t="n">
        <v>86.2</v>
      </c>
    </row>
    <row r="1612">
      <c r="A1612" t="n">
        <v>404</v>
      </c>
      <c r="B1612" t="inlineStr">
        <is>
          <t>Sugar - Washed</t>
        </is>
      </c>
      <c r="C1612" t="inlineStr">
        <is>
          <t>Carandang Merchandise</t>
        </is>
      </c>
      <c r="D1612" t="inlineStr">
        <is>
          <t>kilos</t>
        </is>
      </c>
      <c r="E1612" t="n">
        <v>24</v>
      </c>
      <c r="F1612" t="n">
        <v>1440</v>
      </c>
      <c r="G1612" t="n">
        <v>60</v>
      </c>
    </row>
    <row r="1613">
      <c r="A1613" t="n">
        <v>405</v>
      </c>
      <c r="B1613" t="inlineStr">
        <is>
          <t>Sugar - White</t>
        </is>
      </c>
      <c r="C1613" t="inlineStr">
        <is>
          <t>Hermano</t>
        </is>
      </c>
      <c r="D1613" t="inlineStr">
        <is>
          <t>kilos</t>
        </is>
      </c>
      <c r="E1613" t="n">
        <v>54</v>
      </c>
      <c r="F1613" t="n">
        <v>4936.1</v>
      </c>
      <c r="G1613" t="n">
        <v>91.40925925925927</v>
      </c>
    </row>
    <row r="1614">
      <c r="A1614" t="n">
        <v>405</v>
      </c>
      <c r="B1614" t="inlineStr">
        <is>
          <t>Sugar - White</t>
        </is>
      </c>
      <c r="C1614" t="inlineStr">
        <is>
          <t>Busco</t>
        </is>
      </c>
      <c r="D1614" t="inlineStr">
        <is>
          <t>kilos</t>
        </is>
      </c>
      <c r="E1614" t="n">
        <v>16</v>
      </c>
      <c r="F1614" t="n">
        <v>1440</v>
      </c>
      <c r="G1614" t="n">
        <v>90</v>
      </c>
    </row>
    <row r="1615">
      <c r="A1615" t="n">
        <v>405</v>
      </c>
      <c r="B1615" t="inlineStr">
        <is>
          <t>Sugar - White</t>
        </is>
      </c>
      <c r="C1615" t="inlineStr">
        <is>
          <t>Carandang Merchandise</t>
        </is>
      </c>
      <c r="D1615" t="inlineStr">
        <is>
          <t>kilos</t>
        </is>
      </c>
      <c r="E1615" t="n">
        <v>22</v>
      </c>
      <c r="F1615" t="n">
        <v>1496</v>
      </c>
      <c r="G1615" t="n">
        <v>68</v>
      </c>
    </row>
    <row r="1616">
      <c r="A1616" t="n">
        <v>405</v>
      </c>
      <c r="B1616" t="inlineStr">
        <is>
          <t>Sugar - White</t>
        </is>
      </c>
      <c r="C1616" t="inlineStr">
        <is>
          <t>Suy Sing - My Everyday</t>
        </is>
      </c>
      <c r="D1616" t="inlineStr">
        <is>
          <t>grams</t>
        </is>
      </c>
      <c r="E1616" t="n">
        <v>200</v>
      </c>
      <c r="F1616" t="n">
        <v>264</v>
      </c>
      <c r="G1616" t="n">
        <v>1.32</v>
      </c>
    </row>
    <row r="1617">
      <c r="A1617" t="n">
        <v>405</v>
      </c>
      <c r="B1617" t="inlineStr">
        <is>
          <t>Sugar - White</t>
        </is>
      </c>
      <c r="C1617" t="inlineStr"/>
      <c r="D1617" t="inlineStr">
        <is>
          <t>kilos</t>
        </is>
      </c>
      <c r="E1617" t="n">
        <v>18</v>
      </c>
      <c r="F1617" t="n">
        <v>1404</v>
      </c>
      <c r="G1617" t="n">
        <v>78</v>
      </c>
    </row>
    <row r="1618">
      <c r="A1618" t="n">
        <v>855</v>
      </c>
      <c r="B1618" t="inlineStr">
        <is>
          <t>Sundried Pesto</t>
        </is>
      </c>
      <c r="C1618" t="inlineStr">
        <is>
          <t>Filippo Berio</t>
        </is>
      </c>
      <c r="D1618" t="inlineStr">
        <is>
          <t>grams</t>
        </is>
      </c>
      <c r="E1618" t="n">
        <v>1</v>
      </c>
      <c r="F1618" t="n">
        <v>179</v>
      </c>
      <c r="G1618" t="n">
        <v>179</v>
      </c>
    </row>
    <row r="1619">
      <c r="A1619" t="n">
        <v>856</v>
      </c>
      <c r="B1619" t="inlineStr">
        <is>
          <t>Sweet Chilli Sauce</t>
        </is>
      </c>
      <c r="C1619" t="inlineStr">
        <is>
          <t>UFC</t>
        </is>
      </c>
      <c r="D1619" t="inlineStr">
        <is>
          <t>grams</t>
        </is>
      </c>
      <c r="E1619" t="n">
        <v>2</v>
      </c>
      <c r="F1619" t="n">
        <v>80</v>
      </c>
      <c r="G1619" t="n">
        <v>40</v>
      </c>
    </row>
    <row r="1620">
      <c r="A1620" t="n">
        <v>857</v>
      </c>
      <c r="B1620" t="inlineStr">
        <is>
          <t>Sweet Ham</t>
        </is>
      </c>
      <c r="C1620" t="inlineStr">
        <is>
          <t>Vida</t>
        </is>
      </c>
      <c r="D1620" t="inlineStr">
        <is>
          <t>grams</t>
        </is>
      </c>
      <c r="E1620" t="n">
        <v>2</v>
      </c>
      <c r="F1620" t="n">
        <v>96.90000000000001</v>
      </c>
      <c r="G1620" t="n">
        <v>48.45</v>
      </c>
    </row>
    <row r="1621">
      <c r="A1621" t="n">
        <v>407</v>
      </c>
      <c r="B1621" t="inlineStr">
        <is>
          <t>Table napkin</t>
        </is>
      </c>
      <c r="C1621" t="inlineStr">
        <is>
          <t>Jade</t>
        </is>
      </c>
      <c r="D1621" t="inlineStr">
        <is>
          <t>packs</t>
        </is>
      </c>
      <c r="E1621" t="n">
        <v>1</v>
      </c>
      <c r="F1621" t="n">
        <v>90</v>
      </c>
      <c r="G1621" t="n">
        <v>90</v>
      </c>
    </row>
    <row r="1622">
      <c r="A1622" t="n">
        <v>407</v>
      </c>
      <c r="B1622" t="inlineStr">
        <is>
          <t>Table napkin</t>
        </is>
      </c>
      <c r="C1622" t="inlineStr">
        <is>
          <t>Suy Sing - My Everyday</t>
        </is>
      </c>
      <c r="D1622" t="inlineStr">
        <is>
          <t>packs</t>
        </is>
      </c>
      <c r="E1622" t="n">
        <v>4</v>
      </c>
      <c r="F1622" t="n">
        <v>214.4</v>
      </c>
      <c r="G1622" t="n">
        <v>53.6</v>
      </c>
    </row>
    <row r="1623">
      <c r="A1623" t="n">
        <v>858</v>
      </c>
      <c r="B1623" t="inlineStr">
        <is>
          <t>Tablea</t>
        </is>
      </c>
      <c r="C1623" t="inlineStr">
        <is>
          <t>Batangas Tablea</t>
        </is>
      </c>
      <c r="D1623" t="inlineStr">
        <is>
          <t>grams</t>
        </is>
      </c>
      <c r="E1623" t="n">
        <v>1</v>
      </c>
      <c r="F1623" t="n">
        <v>154.5</v>
      </c>
      <c r="G1623" t="n">
        <v>154.5</v>
      </c>
    </row>
    <row r="1624">
      <c r="A1624" t="n">
        <v>859</v>
      </c>
      <c r="B1624" t="inlineStr">
        <is>
          <t>Taco Seasoning</t>
        </is>
      </c>
      <c r="C1624" t="inlineStr">
        <is>
          <t>McCormick</t>
        </is>
      </c>
      <c r="D1624" t="inlineStr">
        <is>
          <t>grams</t>
        </is>
      </c>
      <c r="E1624" t="n">
        <v>2</v>
      </c>
      <c r="F1624" t="n">
        <v>142.5</v>
      </c>
      <c r="G1624" t="n">
        <v>71.25</v>
      </c>
    </row>
    <row r="1625">
      <c r="A1625" t="n">
        <v>860</v>
      </c>
      <c r="B1625" t="inlineStr">
        <is>
          <t>Talong</t>
        </is>
      </c>
      <c r="C1625" t="inlineStr"/>
      <c r="D1625" t="inlineStr">
        <is>
          <t>kilos</t>
        </is>
      </c>
      <c r="E1625" t="n">
        <v>9</v>
      </c>
      <c r="F1625" t="n">
        <v>650</v>
      </c>
      <c r="G1625" t="n">
        <v>72.22222222222223</v>
      </c>
    </row>
    <row r="1626">
      <c r="A1626" t="n">
        <v>861</v>
      </c>
      <c r="B1626" t="inlineStr">
        <is>
          <t>Tambakol</t>
        </is>
      </c>
      <c r="C1626" t="inlineStr"/>
      <c r="D1626" t="inlineStr">
        <is>
          <t>kilos</t>
        </is>
      </c>
      <c r="E1626" t="n">
        <v>1</v>
      </c>
      <c r="F1626" t="n">
        <v>270</v>
      </c>
      <c r="G1626" t="n">
        <v>270</v>
      </c>
    </row>
    <row r="1627">
      <c r="A1627" t="n">
        <v>862</v>
      </c>
      <c r="B1627" t="inlineStr">
        <is>
          <t>Tanglad</t>
        </is>
      </c>
      <c r="C1627" t="inlineStr"/>
      <c r="D1627" t="inlineStr">
        <is>
          <t>kilos</t>
        </is>
      </c>
      <c r="E1627" t="n">
        <v>11</v>
      </c>
      <c r="F1627" t="n">
        <v>82.5</v>
      </c>
      <c r="G1627" t="n">
        <v>7.5</v>
      </c>
    </row>
    <row r="1628">
      <c r="A1628" t="n">
        <v>862</v>
      </c>
      <c r="B1628" t="inlineStr">
        <is>
          <t>Tanglad</t>
        </is>
      </c>
      <c r="C1628" t="inlineStr"/>
      <c r="D1628" t="inlineStr">
        <is>
          <t>bundle</t>
        </is>
      </c>
      <c r="E1628" t="n">
        <v>0</v>
      </c>
      <c r="F1628" t="n">
        <v>0</v>
      </c>
      <c r="G1628" t="n">
        <v>0</v>
      </c>
    </row>
    <row r="1629">
      <c r="A1629" t="n">
        <v>862</v>
      </c>
      <c r="B1629" t="inlineStr">
        <is>
          <t>Tanglad</t>
        </is>
      </c>
      <c r="C1629" t="inlineStr">
        <is>
          <t>Hernan Logmao</t>
        </is>
      </c>
      <c r="D1629" t="inlineStr">
        <is>
          <t>kilos</t>
        </is>
      </c>
      <c r="E1629" t="n">
        <v>1</v>
      </c>
      <c r="F1629" t="n">
        <v>160</v>
      </c>
      <c r="G1629" t="n">
        <v>160</v>
      </c>
    </row>
    <row r="1630">
      <c r="A1630" t="n">
        <v>409</v>
      </c>
      <c r="B1630" t="inlineStr">
        <is>
          <t>Tanigue</t>
        </is>
      </c>
      <c r="C1630" t="inlineStr"/>
      <c r="D1630" t="inlineStr">
        <is>
          <t>kilos</t>
        </is>
      </c>
      <c r="E1630" t="n">
        <v>3</v>
      </c>
      <c r="F1630" t="n">
        <v>1260</v>
      </c>
      <c r="G1630" t="n">
        <v>420</v>
      </c>
    </row>
    <row r="1631">
      <c r="A1631" t="n">
        <v>863</v>
      </c>
      <c r="B1631" t="inlineStr">
        <is>
          <t>Tarragon</t>
        </is>
      </c>
      <c r="C1631" t="inlineStr">
        <is>
          <t>McCormick</t>
        </is>
      </c>
      <c r="D1631" t="inlineStr">
        <is>
          <t>grams</t>
        </is>
      </c>
      <c r="E1631" t="n">
        <v>2</v>
      </c>
      <c r="F1631" t="n">
        <v>120</v>
      </c>
      <c r="G1631" t="n">
        <v>60</v>
      </c>
    </row>
    <row r="1632">
      <c r="A1632" t="n">
        <v>864</v>
      </c>
      <c r="B1632" t="inlineStr">
        <is>
          <t>Tea</t>
        </is>
      </c>
      <c r="C1632" t="inlineStr">
        <is>
          <t>Twinings - English Breakfast</t>
        </is>
      </c>
      <c r="D1632" t="inlineStr">
        <is>
          <t>pieces</t>
        </is>
      </c>
      <c r="E1632" t="n">
        <v>21</v>
      </c>
      <c r="F1632" t="n">
        <v>315</v>
      </c>
      <c r="G1632" t="n">
        <v>15</v>
      </c>
    </row>
    <row r="1633">
      <c r="A1633" t="n">
        <v>864</v>
      </c>
      <c r="B1633" t="inlineStr">
        <is>
          <t>Tea</t>
        </is>
      </c>
      <c r="C1633" t="inlineStr">
        <is>
          <t>Twinings - Peppermint</t>
        </is>
      </c>
      <c r="D1633" t="inlineStr">
        <is>
          <t>pieces</t>
        </is>
      </c>
      <c r="E1633" t="n">
        <v>6</v>
      </c>
      <c r="F1633" t="n">
        <v>90</v>
      </c>
      <c r="G1633" t="n">
        <v>15</v>
      </c>
    </row>
    <row r="1634">
      <c r="A1634" t="n">
        <v>865</v>
      </c>
      <c r="B1634" t="inlineStr">
        <is>
          <t>Tea - Green Tea</t>
        </is>
      </c>
      <c r="C1634" t="inlineStr">
        <is>
          <t>Pepsi - Lipton</t>
        </is>
      </c>
      <c r="D1634" t="inlineStr">
        <is>
          <t>grams</t>
        </is>
      </c>
      <c r="E1634" t="n">
        <v>173</v>
      </c>
      <c r="F1634" t="n">
        <v>1016.37</v>
      </c>
      <c r="G1634" t="n">
        <v>5.874971098265896</v>
      </c>
    </row>
    <row r="1635">
      <c r="A1635" t="n">
        <v>866</v>
      </c>
      <c r="B1635" t="inlineStr">
        <is>
          <t>Tea - Yellow Label</t>
        </is>
      </c>
      <c r="C1635" t="inlineStr">
        <is>
          <t>Pepsi - Lipton</t>
        </is>
      </c>
      <c r="D1635" t="inlineStr">
        <is>
          <t>grams</t>
        </is>
      </c>
      <c r="E1635" t="n">
        <v>325</v>
      </c>
      <c r="F1635" t="n">
        <v>2710.07</v>
      </c>
      <c r="G1635" t="n">
        <v>8.338676923076923</v>
      </c>
    </row>
    <row r="1636">
      <c r="A1636" t="n">
        <v>867</v>
      </c>
      <c r="B1636" t="inlineStr">
        <is>
          <t>Tempura Batter Mix</t>
        </is>
      </c>
      <c r="C1636" t="inlineStr">
        <is>
          <t>Showa</t>
        </is>
      </c>
      <c r="D1636" t="inlineStr">
        <is>
          <t>grams</t>
        </is>
      </c>
      <c r="E1636" t="n">
        <v>1</v>
      </c>
      <c r="F1636" t="n">
        <v>220</v>
      </c>
      <c r="G1636" t="n">
        <v>220</v>
      </c>
    </row>
    <row r="1637">
      <c r="A1637" t="n">
        <v>413</v>
      </c>
      <c r="B1637" t="inlineStr">
        <is>
          <t>Tenga Daga</t>
        </is>
      </c>
      <c r="C1637" t="inlineStr">
        <is>
          <t>Edward Edit</t>
        </is>
      </c>
      <c r="D1637" t="inlineStr">
        <is>
          <t>grams</t>
        </is>
      </c>
      <c r="E1637" t="n">
        <v>2</v>
      </c>
      <c r="F1637" t="n">
        <v>160</v>
      </c>
      <c r="G1637" t="n">
        <v>80</v>
      </c>
    </row>
    <row r="1638">
      <c r="A1638" t="n">
        <v>868</v>
      </c>
      <c r="B1638" t="inlineStr">
        <is>
          <t>Teriyaki Sauce</t>
        </is>
      </c>
      <c r="C1638" t="inlineStr">
        <is>
          <t>Kikkoman</t>
        </is>
      </c>
      <c r="D1638" t="inlineStr">
        <is>
          <t>liters</t>
        </is>
      </c>
      <c r="E1638" t="n">
        <v>2</v>
      </c>
      <c r="F1638" t="n">
        <v>604</v>
      </c>
      <c r="G1638" t="n">
        <v>302</v>
      </c>
    </row>
    <row r="1639">
      <c r="A1639" t="n">
        <v>869</v>
      </c>
      <c r="B1639" t="inlineStr">
        <is>
          <t>Tetrapack - Apple Juice</t>
        </is>
      </c>
      <c r="C1639" t="inlineStr">
        <is>
          <t>ZEST-O Big 250</t>
        </is>
      </c>
      <c r="D1639" t="inlineStr">
        <is>
          <t>ml</t>
        </is>
      </c>
      <c r="E1639" t="n">
        <v>20</v>
      </c>
      <c r="F1639" t="n">
        <v>177.2</v>
      </c>
      <c r="G1639" t="n">
        <v>8.859999999999999</v>
      </c>
    </row>
    <row r="1640">
      <c r="A1640" t="n">
        <v>870</v>
      </c>
      <c r="B1640" t="inlineStr">
        <is>
          <t>Tetrapack - Mango Juice</t>
        </is>
      </c>
      <c r="C1640" t="inlineStr">
        <is>
          <t>ZEST-O Big 250</t>
        </is>
      </c>
      <c r="D1640" t="inlineStr">
        <is>
          <t>ml</t>
        </is>
      </c>
      <c r="E1640" t="n">
        <v>20</v>
      </c>
      <c r="F1640" t="n">
        <v>194.8</v>
      </c>
      <c r="G1640" t="n">
        <v>9.74</v>
      </c>
    </row>
    <row r="1641">
      <c r="A1641" t="n">
        <v>871</v>
      </c>
      <c r="B1641" t="inlineStr">
        <is>
          <t>Tetrapack - Orange Juice</t>
        </is>
      </c>
      <c r="C1641" t="inlineStr">
        <is>
          <t>ZEST-O Big 250</t>
        </is>
      </c>
      <c r="D1641" t="inlineStr">
        <is>
          <t>ml</t>
        </is>
      </c>
      <c r="E1641" t="n">
        <v>20</v>
      </c>
      <c r="F1641" t="n">
        <v>177.2</v>
      </c>
      <c r="G1641" t="n">
        <v>8.859999999999999</v>
      </c>
    </row>
    <row r="1642">
      <c r="A1642" t="n">
        <v>872</v>
      </c>
      <c r="B1642" t="inlineStr">
        <is>
          <t>Thyme</t>
        </is>
      </c>
      <c r="C1642" t="inlineStr">
        <is>
          <t>McCormick</t>
        </is>
      </c>
      <c r="D1642" t="inlineStr">
        <is>
          <t>grams</t>
        </is>
      </c>
      <c r="E1642" t="n">
        <v>3</v>
      </c>
      <c r="F1642" t="n">
        <v>190</v>
      </c>
      <c r="G1642" t="n">
        <v>63.33333333333334</v>
      </c>
    </row>
    <row r="1643">
      <c r="A1643" t="n">
        <v>872</v>
      </c>
      <c r="B1643" t="inlineStr">
        <is>
          <t>Thyme</t>
        </is>
      </c>
      <c r="C1643" t="inlineStr">
        <is>
          <t>J&amp;Y</t>
        </is>
      </c>
      <c r="D1643" t="inlineStr">
        <is>
          <t>grams</t>
        </is>
      </c>
      <c r="E1643" t="n">
        <v>3</v>
      </c>
      <c r="F1643" t="n">
        <v>29.1</v>
      </c>
      <c r="G1643" t="n">
        <v>9.699999999999999</v>
      </c>
    </row>
    <row r="1644">
      <c r="A1644" t="n">
        <v>414</v>
      </c>
      <c r="B1644" t="inlineStr">
        <is>
          <t>Tilapia</t>
        </is>
      </c>
      <c r="C1644" t="inlineStr"/>
      <c r="D1644" t="inlineStr">
        <is>
          <t>kilos</t>
        </is>
      </c>
      <c r="E1644" t="n">
        <v>22</v>
      </c>
      <c r="F1644" t="n">
        <v>3460</v>
      </c>
      <c r="G1644" t="n">
        <v>157.2727272727273</v>
      </c>
    </row>
    <row r="1645">
      <c r="A1645" t="n">
        <v>417</v>
      </c>
      <c r="B1645" t="inlineStr">
        <is>
          <t>Tissue</t>
        </is>
      </c>
      <c r="C1645" t="inlineStr">
        <is>
          <t>Edward Edit</t>
        </is>
      </c>
      <c r="D1645" t="inlineStr">
        <is>
          <t>packs</t>
        </is>
      </c>
      <c r="E1645" t="n">
        <v>32</v>
      </c>
      <c r="F1645" t="n">
        <v>395.52</v>
      </c>
      <c r="G1645" t="n">
        <v>12.36</v>
      </c>
    </row>
    <row r="1646">
      <c r="A1646" t="n">
        <v>417</v>
      </c>
      <c r="B1646" t="inlineStr">
        <is>
          <t>Tissue</t>
        </is>
      </c>
      <c r="C1646" t="inlineStr">
        <is>
          <t>Harmony</t>
        </is>
      </c>
      <c r="D1646" t="inlineStr">
        <is>
          <t>packs</t>
        </is>
      </c>
      <c r="E1646" t="n">
        <v>3</v>
      </c>
      <c r="F1646" t="n">
        <v>180</v>
      </c>
      <c r="G1646" t="n">
        <v>60</v>
      </c>
    </row>
    <row r="1647">
      <c r="A1647" t="n">
        <v>417</v>
      </c>
      <c r="B1647" t="inlineStr">
        <is>
          <t>Tissue</t>
        </is>
      </c>
      <c r="C1647" t="inlineStr">
        <is>
          <t>Femme</t>
        </is>
      </c>
      <c r="D1647" t="inlineStr">
        <is>
          <t>packs</t>
        </is>
      </c>
      <c r="E1647" t="n">
        <v>4</v>
      </c>
      <c r="F1647" t="n">
        <v>60.8</v>
      </c>
      <c r="G1647" t="n">
        <v>15.2</v>
      </c>
    </row>
    <row r="1648">
      <c r="A1648" t="n">
        <v>873</v>
      </c>
      <c r="B1648" t="inlineStr">
        <is>
          <t>Tissue - Quarterly Fold</t>
        </is>
      </c>
      <c r="C1648" t="inlineStr"/>
      <c r="D1648" t="inlineStr">
        <is>
          <t>packs</t>
        </is>
      </c>
      <c r="E1648" t="n">
        <v>1</v>
      </c>
      <c r="F1648" t="n">
        <v>100</v>
      </c>
      <c r="G1648" t="n">
        <v>100</v>
      </c>
    </row>
    <row r="1649">
      <c r="A1649" t="n">
        <v>874</v>
      </c>
      <c r="B1649" t="inlineStr">
        <is>
          <t>Tocino - Chicken</t>
        </is>
      </c>
      <c r="C1649" t="inlineStr">
        <is>
          <t>CDO</t>
        </is>
      </c>
      <c r="D1649" t="inlineStr">
        <is>
          <t>grams</t>
        </is>
      </c>
      <c r="E1649" t="n">
        <v>2</v>
      </c>
      <c r="F1649" t="n">
        <v>150</v>
      </c>
      <c r="G1649" t="n">
        <v>75</v>
      </c>
    </row>
    <row r="1650">
      <c r="A1650" t="n">
        <v>875</v>
      </c>
      <c r="B1650" t="inlineStr">
        <is>
          <t>Tocino - Pork</t>
        </is>
      </c>
      <c r="C1650" t="inlineStr">
        <is>
          <t>CDO</t>
        </is>
      </c>
      <c r="D1650" t="inlineStr">
        <is>
          <t>grams</t>
        </is>
      </c>
      <c r="E1650" t="n">
        <v>20</v>
      </c>
      <c r="F1650" t="n">
        <v>2438.45</v>
      </c>
      <c r="G1650" t="n">
        <v>121.9225</v>
      </c>
    </row>
    <row r="1651">
      <c r="A1651" t="n">
        <v>875</v>
      </c>
      <c r="B1651" t="inlineStr">
        <is>
          <t>Tocino - Pork</t>
        </is>
      </c>
      <c r="C1651" t="inlineStr">
        <is>
          <t>Joshua</t>
        </is>
      </c>
      <c r="D1651" t="inlineStr">
        <is>
          <t>kilos</t>
        </is>
      </c>
      <c r="E1651" t="n">
        <v>1</v>
      </c>
      <c r="F1651" t="n">
        <v>240</v>
      </c>
      <c r="G1651" t="n">
        <v>240</v>
      </c>
    </row>
    <row r="1652">
      <c r="A1652" t="n">
        <v>876</v>
      </c>
      <c r="B1652" t="inlineStr">
        <is>
          <t>Tofu</t>
        </is>
      </c>
      <c r="C1652" t="inlineStr"/>
      <c r="D1652" t="inlineStr">
        <is>
          <t>pieces</t>
        </is>
      </c>
      <c r="E1652" t="n">
        <v>8</v>
      </c>
      <c r="F1652" t="n">
        <v>360</v>
      </c>
      <c r="G1652" t="n">
        <v>45</v>
      </c>
    </row>
    <row r="1653">
      <c r="A1653" t="n">
        <v>876</v>
      </c>
      <c r="B1653" t="inlineStr">
        <is>
          <t>Tofu</t>
        </is>
      </c>
      <c r="C1653" t="inlineStr">
        <is>
          <t>Kem Kang</t>
        </is>
      </c>
      <c r="D1653" t="inlineStr">
        <is>
          <t>grams</t>
        </is>
      </c>
      <c r="E1653" t="n">
        <v>1</v>
      </c>
      <c r="F1653" t="n">
        <v>50</v>
      </c>
      <c r="G1653" t="n">
        <v>50</v>
      </c>
    </row>
    <row r="1654">
      <c r="A1654" t="n">
        <v>877</v>
      </c>
      <c r="B1654" t="inlineStr">
        <is>
          <t>Togue</t>
        </is>
      </c>
      <c r="C1654" t="inlineStr"/>
      <c r="D1654" t="inlineStr">
        <is>
          <t>kilos</t>
        </is>
      </c>
      <c r="E1654" t="n">
        <v>1</v>
      </c>
      <c r="F1654" t="n">
        <v>40</v>
      </c>
      <c r="G1654" t="n">
        <v>40</v>
      </c>
    </row>
    <row r="1655">
      <c r="A1655" t="n">
        <v>878</v>
      </c>
      <c r="B1655" t="inlineStr">
        <is>
          <t>Tomato</t>
        </is>
      </c>
      <c r="C1655" t="inlineStr"/>
      <c r="D1655" t="inlineStr">
        <is>
          <t>grams</t>
        </is>
      </c>
      <c r="E1655" t="n">
        <v>5</v>
      </c>
      <c r="F1655" t="n">
        <v>900</v>
      </c>
      <c r="G1655" t="n">
        <v>180</v>
      </c>
    </row>
    <row r="1656">
      <c r="A1656" t="n">
        <v>879</v>
      </c>
      <c r="B1656" t="inlineStr">
        <is>
          <t>Tomato Ketchup</t>
        </is>
      </c>
      <c r="C1656" t="inlineStr">
        <is>
          <t>UFC</t>
        </is>
      </c>
      <c r="D1656" t="inlineStr">
        <is>
          <t>grams</t>
        </is>
      </c>
      <c r="E1656" t="n">
        <v>87</v>
      </c>
      <c r="F1656" t="n">
        <v>300.15</v>
      </c>
      <c r="G1656" t="n">
        <v>3.45</v>
      </c>
    </row>
    <row r="1657">
      <c r="A1657" t="n">
        <v>421</v>
      </c>
      <c r="B1657" t="inlineStr">
        <is>
          <t>Tomato Paste</t>
        </is>
      </c>
      <c r="C1657" t="inlineStr">
        <is>
          <t>Del Monte</t>
        </is>
      </c>
      <c r="D1657" t="inlineStr">
        <is>
          <t>grams</t>
        </is>
      </c>
      <c r="E1657" t="n">
        <v>100</v>
      </c>
      <c r="F1657" t="n">
        <v>2325.78</v>
      </c>
      <c r="G1657" t="n">
        <v>23.2578</v>
      </c>
    </row>
    <row r="1658">
      <c r="A1658" t="n">
        <v>422</v>
      </c>
      <c r="B1658" t="inlineStr">
        <is>
          <t>Tomato Sauce</t>
        </is>
      </c>
      <c r="C1658" t="inlineStr">
        <is>
          <t>Ticman</t>
        </is>
      </c>
      <c r="D1658" t="inlineStr">
        <is>
          <t>ml</t>
        </is>
      </c>
      <c r="E1658" t="n">
        <v>14</v>
      </c>
      <c r="F1658" t="n">
        <v>1890</v>
      </c>
      <c r="G1658" t="n">
        <v>135</v>
      </c>
    </row>
    <row r="1659">
      <c r="A1659" t="n">
        <v>422</v>
      </c>
      <c r="B1659" t="inlineStr">
        <is>
          <t>Tomato Sauce</t>
        </is>
      </c>
      <c r="C1659" t="inlineStr">
        <is>
          <t>Ticman</t>
        </is>
      </c>
      <c r="D1659" t="inlineStr">
        <is>
          <t>kilos</t>
        </is>
      </c>
      <c r="E1659" t="n">
        <v>1</v>
      </c>
      <c r="F1659" t="n">
        <v>135</v>
      </c>
      <c r="G1659" t="n">
        <v>135</v>
      </c>
    </row>
    <row r="1660">
      <c r="A1660" t="n">
        <v>880</v>
      </c>
      <c r="B1660" t="inlineStr">
        <is>
          <t>Tomato Sauce - Filipino Style</t>
        </is>
      </c>
      <c r="C1660" t="inlineStr">
        <is>
          <t>Del Monte</t>
        </is>
      </c>
      <c r="D1660" t="inlineStr">
        <is>
          <t>grams</t>
        </is>
      </c>
      <c r="E1660" t="n">
        <v>1</v>
      </c>
      <c r="F1660" t="n">
        <v>84.2</v>
      </c>
      <c r="G1660" t="n">
        <v>84.2</v>
      </c>
    </row>
    <row r="1661">
      <c r="A1661" t="n">
        <v>881</v>
      </c>
      <c r="B1661" t="inlineStr">
        <is>
          <t>Tomato Sauce - Original Style</t>
        </is>
      </c>
      <c r="C1661" t="inlineStr">
        <is>
          <t>Del Monte</t>
        </is>
      </c>
      <c r="D1661" t="inlineStr">
        <is>
          <t>grams</t>
        </is>
      </c>
      <c r="E1661" t="n">
        <v>5</v>
      </c>
      <c r="F1661" t="n">
        <v>414</v>
      </c>
      <c r="G1661" t="n">
        <v>82.8</v>
      </c>
    </row>
    <row r="1662">
      <c r="A1662" t="n">
        <v>424</v>
      </c>
      <c r="B1662" t="inlineStr">
        <is>
          <t>Toothbrush</t>
        </is>
      </c>
      <c r="C1662" t="inlineStr">
        <is>
          <t>Colgate</t>
        </is>
      </c>
      <c r="D1662" t="inlineStr">
        <is>
          <t>pieces</t>
        </is>
      </c>
      <c r="E1662" t="n">
        <v>34</v>
      </c>
      <c r="F1662" t="n">
        <v>725.48</v>
      </c>
      <c r="G1662" t="n">
        <v>21.33764705882353</v>
      </c>
    </row>
    <row r="1663">
      <c r="A1663" t="n">
        <v>425</v>
      </c>
      <c r="B1663" t="inlineStr">
        <is>
          <t>Toothpaste</t>
        </is>
      </c>
      <c r="C1663" t="inlineStr">
        <is>
          <t>Colgate</t>
        </is>
      </c>
      <c r="D1663" t="inlineStr">
        <is>
          <t>ml</t>
        </is>
      </c>
      <c r="E1663" t="n">
        <v>24</v>
      </c>
      <c r="F1663" t="n">
        <v>216</v>
      </c>
      <c r="G1663" t="n">
        <v>9</v>
      </c>
    </row>
    <row r="1664">
      <c r="A1664" t="n">
        <v>425</v>
      </c>
      <c r="B1664" t="inlineStr">
        <is>
          <t>Toothpaste</t>
        </is>
      </c>
      <c r="C1664" t="inlineStr">
        <is>
          <t>Close-Up - Twin pack</t>
        </is>
      </c>
      <c r="D1664" t="inlineStr">
        <is>
          <t>ml</t>
        </is>
      </c>
      <c r="E1664" t="n">
        <v>2</v>
      </c>
      <c r="F1664" t="n">
        <v>16</v>
      </c>
      <c r="G1664" t="n">
        <v>8</v>
      </c>
    </row>
    <row r="1665">
      <c r="A1665" t="n">
        <v>425</v>
      </c>
      <c r="B1665" t="inlineStr">
        <is>
          <t>Toothpaste</t>
        </is>
      </c>
      <c r="C1665" t="inlineStr">
        <is>
          <t>Colgate</t>
        </is>
      </c>
      <c r="D1665" t="inlineStr">
        <is>
          <t>pieces</t>
        </is>
      </c>
      <c r="E1665" t="n">
        <v>9</v>
      </c>
      <c r="F1665" t="n">
        <v>72</v>
      </c>
      <c r="G1665" t="n">
        <v>8</v>
      </c>
    </row>
    <row r="1666">
      <c r="A1666" t="n">
        <v>425</v>
      </c>
      <c r="B1666" t="inlineStr">
        <is>
          <t>Toothpaste</t>
        </is>
      </c>
      <c r="C1666" t="inlineStr">
        <is>
          <t>Close-Up</t>
        </is>
      </c>
      <c r="D1666" t="inlineStr">
        <is>
          <t>pieces</t>
        </is>
      </c>
      <c r="E1666" t="n">
        <v>12</v>
      </c>
      <c r="F1666" t="n">
        <v>96</v>
      </c>
      <c r="G1666" t="n">
        <v>8</v>
      </c>
    </row>
    <row r="1667">
      <c r="A1667" t="n">
        <v>426</v>
      </c>
      <c r="B1667" t="inlineStr">
        <is>
          <t>Toothpick</t>
        </is>
      </c>
      <c r="C1667" t="inlineStr"/>
      <c r="D1667" t="inlineStr">
        <is>
          <t>packs</t>
        </is>
      </c>
      <c r="E1667" t="n">
        <v>3</v>
      </c>
      <c r="F1667" t="n">
        <v>75</v>
      </c>
      <c r="G1667" t="n">
        <v>25</v>
      </c>
    </row>
    <row r="1668">
      <c r="A1668" t="n">
        <v>426</v>
      </c>
      <c r="B1668" t="inlineStr">
        <is>
          <t>Toothpick</t>
        </is>
      </c>
      <c r="C1668" t="inlineStr">
        <is>
          <t>Tiger</t>
        </is>
      </c>
      <c r="D1668" t="inlineStr">
        <is>
          <t>box</t>
        </is>
      </c>
      <c r="E1668" t="n">
        <v>31</v>
      </c>
      <c r="F1668" t="n">
        <v>465</v>
      </c>
      <c r="G1668" t="n">
        <v>15</v>
      </c>
    </row>
    <row r="1669">
      <c r="A1669" t="n">
        <v>426</v>
      </c>
      <c r="B1669" t="inlineStr">
        <is>
          <t>Toothpick</t>
        </is>
      </c>
      <c r="C1669" t="inlineStr">
        <is>
          <t>Uncle John's</t>
        </is>
      </c>
      <c r="D1669" t="inlineStr">
        <is>
          <t>packs</t>
        </is>
      </c>
      <c r="E1669" t="n">
        <v>3</v>
      </c>
      <c r="F1669" t="n">
        <v>45</v>
      </c>
      <c r="G1669" t="n">
        <v>15</v>
      </c>
    </row>
    <row r="1670">
      <c r="A1670" t="n">
        <v>882</v>
      </c>
      <c r="B1670" t="inlineStr">
        <is>
          <t>Trash Bag</t>
        </is>
      </c>
      <c r="C1670" t="inlineStr">
        <is>
          <t>Suy Sing - My Everyday</t>
        </is>
      </c>
      <c r="D1670" t="inlineStr">
        <is>
          <t>pieces</t>
        </is>
      </c>
      <c r="E1670" t="n">
        <v>7</v>
      </c>
      <c r="F1670" t="n">
        <v>355.6</v>
      </c>
      <c r="G1670" t="n">
        <v>50.8</v>
      </c>
    </row>
    <row r="1671">
      <c r="A1671" t="n">
        <v>430</v>
      </c>
      <c r="B1671" t="inlineStr">
        <is>
          <t>Trash Bag Black</t>
        </is>
      </c>
      <c r="C1671" t="inlineStr">
        <is>
          <t>Superb</t>
        </is>
      </c>
      <c r="D1671" t="inlineStr">
        <is>
          <t>pieces</t>
        </is>
      </c>
      <c r="E1671" t="n">
        <v>100</v>
      </c>
      <c r="F1671" t="n">
        <v>600</v>
      </c>
      <c r="G1671" t="n">
        <v>6</v>
      </c>
    </row>
    <row r="1672">
      <c r="A1672" t="n">
        <v>430</v>
      </c>
      <c r="B1672" t="inlineStr">
        <is>
          <t>Trash Bag Black</t>
        </is>
      </c>
      <c r="C1672" t="inlineStr">
        <is>
          <t>Suy Sing - My Everyday</t>
        </is>
      </c>
      <c r="D1672" t="inlineStr">
        <is>
          <t>roll</t>
        </is>
      </c>
      <c r="E1672" t="n">
        <v>16</v>
      </c>
      <c r="F1672" t="n">
        <v>1007.52</v>
      </c>
      <c r="G1672" t="n">
        <v>62.97</v>
      </c>
    </row>
    <row r="1673">
      <c r="A1673" t="n">
        <v>883</v>
      </c>
      <c r="B1673" t="inlineStr">
        <is>
          <t>Trash Bag White</t>
        </is>
      </c>
      <c r="C1673" t="inlineStr">
        <is>
          <t>Wow</t>
        </is>
      </c>
      <c r="D1673" t="inlineStr">
        <is>
          <t>pieces</t>
        </is>
      </c>
      <c r="E1673" t="n">
        <v>113</v>
      </c>
      <c r="F1673" t="n">
        <v>678</v>
      </c>
      <c r="G1673" t="n">
        <v>6</v>
      </c>
    </row>
    <row r="1674">
      <c r="A1674" t="n">
        <v>883</v>
      </c>
      <c r="B1674" t="inlineStr">
        <is>
          <t>Trash Bag White</t>
        </is>
      </c>
      <c r="C1674" t="inlineStr"/>
      <c r="D1674" t="inlineStr">
        <is>
          <t>pieces</t>
        </is>
      </c>
      <c r="E1674" t="n">
        <v>41</v>
      </c>
      <c r="F1674" t="n">
        <v>287</v>
      </c>
      <c r="G1674" t="n">
        <v>7</v>
      </c>
    </row>
    <row r="1675">
      <c r="A1675" t="n">
        <v>884</v>
      </c>
      <c r="B1675" t="inlineStr">
        <is>
          <t>Trash Bag White - XL</t>
        </is>
      </c>
      <c r="C1675" t="inlineStr">
        <is>
          <t>Suy Sing - My Everyday</t>
        </is>
      </c>
      <c r="D1675" t="inlineStr">
        <is>
          <t>roll</t>
        </is>
      </c>
      <c r="E1675" t="n">
        <v>30</v>
      </c>
      <c r="F1675" t="n">
        <v>1524.3</v>
      </c>
      <c r="G1675" t="n">
        <v>50.81000000000001</v>
      </c>
    </row>
    <row r="1676">
      <c r="A1676" t="n">
        <v>885</v>
      </c>
      <c r="B1676" t="inlineStr">
        <is>
          <t>Tuna</t>
        </is>
      </c>
      <c r="C1676" t="inlineStr"/>
      <c r="D1676" t="inlineStr">
        <is>
          <t>kilos</t>
        </is>
      </c>
      <c r="E1676" t="n">
        <v>2</v>
      </c>
      <c r="F1676" t="n">
        <v>900</v>
      </c>
      <c r="G1676" t="n">
        <v>450</v>
      </c>
    </row>
    <row r="1677">
      <c r="A1677" t="n">
        <v>885</v>
      </c>
      <c r="B1677" t="inlineStr">
        <is>
          <t>Tuna</t>
        </is>
      </c>
      <c r="C1677" t="inlineStr">
        <is>
          <t>(9 slices/kl)</t>
        </is>
      </c>
      <c r="D1677" t="inlineStr">
        <is>
          <t>kilos</t>
        </is>
      </c>
      <c r="E1677" t="n">
        <v>2</v>
      </c>
      <c r="F1677" t="n">
        <v>920</v>
      </c>
      <c r="G1677" t="n">
        <v>460</v>
      </c>
    </row>
    <row r="1678">
      <c r="A1678" t="n">
        <v>886</v>
      </c>
      <c r="B1678" t="inlineStr">
        <is>
          <t>Turmeric Powder</t>
        </is>
      </c>
      <c r="C1678" t="inlineStr">
        <is>
          <t>McCormick</t>
        </is>
      </c>
      <c r="D1678" t="inlineStr">
        <is>
          <t>grams</t>
        </is>
      </c>
      <c r="E1678" t="n">
        <v>1</v>
      </c>
      <c r="F1678" t="n">
        <v>78</v>
      </c>
      <c r="G1678" t="n">
        <v>78</v>
      </c>
    </row>
    <row r="1679">
      <c r="A1679" t="n">
        <v>886</v>
      </c>
      <c r="B1679" t="inlineStr">
        <is>
          <t>Turmeric Powder</t>
        </is>
      </c>
      <c r="C1679" t="inlineStr">
        <is>
          <t>J&amp;Y</t>
        </is>
      </c>
      <c r="D1679" t="inlineStr">
        <is>
          <t>grams</t>
        </is>
      </c>
      <c r="E1679" t="n">
        <v>5</v>
      </c>
      <c r="F1679" t="n">
        <v>64.75</v>
      </c>
      <c r="G1679" t="n">
        <v>12.95</v>
      </c>
    </row>
    <row r="1680">
      <c r="A1680" t="n">
        <v>887</v>
      </c>
      <c r="B1680" t="inlineStr">
        <is>
          <t>Tuyo</t>
        </is>
      </c>
      <c r="C1680" t="inlineStr"/>
      <c r="D1680" t="inlineStr">
        <is>
          <t>kilos</t>
        </is>
      </c>
      <c r="E1680" t="n">
        <v>1</v>
      </c>
      <c r="F1680" t="n">
        <v>240</v>
      </c>
      <c r="G1680" t="n">
        <v>240</v>
      </c>
    </row>
    <row r="1681">
      <c r="A1681" t="n">
        <v>888</v>
      </c>
      <c r="B1681" t="inlineStr">
        <is>
          <t>Vanilla Essence</t>
        </is>
      </c>
      <c r="C1681" t="inlineStr">
        <is>
          <t>McCormick</t>
        </is>
      </c>
      <c r="D1681" t="inlineStr">
        <is>
          <t>ml</t>
        </is>
      </c>
      <c r="E1681" t="n">
        <v>1</v>
      </c>
      <c r="F1681" t="n">
        <v>44</v>
      </c>
      <c r="G1681" t="n">
        <v>44</v>
      </c>
    </row>
    <row r="1682">
      <c r="A1682" t="n">
        <v>888</v>
      </c>
      <c r="B1682" t="inlineStr">
        <is>
          <t>Vanilla Essence</t>
        </is>
      </c>
      <c r="C1682" t="inlineStr">
        <is>
          <t>Green Leaves</t>
        </is>
      </c>
      <c r="D1682" t="inlineStr">
        <is>
          <t>ml</t>
        </is>
      </c>
      <c r="E1682" t="n">
        <v>2</v>
      </c>
      <c r="F1682" t="n">
        <v>92</v>
      </c>
      <c r="G1682" t="n">
        <v>46</v>
      </c>
    </row>
    <row r="1683">
      <c r="A1683" t="n">
        <v>888</v>
      </c>
      <c r="B1683" t="inlineStr">
        <is>
          <t>Vanilla Essence</t>
        </is>
      </c>
      <c r="C1683" t="inlineStr">
        <is>
          <t>Mr.Brown</t>
        </is>
      </c>
      <c r="D1683" t="inlineStr">
        <is>
          <t>ml</t>
        </is>
      </c>
      <c r="E1683" t="n">
        <v>1</v>
      </c>
      <c r="F1683" t="n">
        <v>55</v>
      </c>
      <c r="G1683" t="n">
        <v>55</v>
      </c>
    </row>
    <row r="1684">
      <c r="A1684" t="n">
        <v>439</v>
      </c>
      <c r="B1684" t="inlineStr">
        <is>
          <t>Vienna Sausage</t>
        </is>
      </c>
      <c r="C1684" t="inlineStr">
        <is>
          <t>Century - Argentina</t>
        </is>
      </c>
      <c r="D1684" t="inlineStr">
        <is>
          <t>grams</t>
        </is>
      </c>
      <c r="E1684" t="n">
        <v>7</v>
      </c>
      <c r="F1684" t="n">
        <v>357</v>
      </c>
      <c r="G1684" t="n">
        <v>51</v>
      </c>
    </row>
    <row r="1685">
      <c r="A1685" t="n">
        <v>439</v>
      </c>
      <c r="B1685" t="inlineStr">
        <is>
          <t>Vienna Sausage</t>
        </is>
      </c>
      <c r="C1685" t="inlineStr">
        <is>
          <t>Purefoods</t>
        </is>
      </c>
      <c r="D1685" t="inlineStr">
        <is>
          <t>grams</t>
        </is>
      </c>
      <c r="E1685" t="n">
        <v>2</v>
      </c>
      <c r="F1685" t="n">
        <v>113.5</v>
      </c>
      <c r="G1685" t="n">
        <v>56.75</v>
      </c>
    </row>
    <row r="1686">
      <c r="A1686" t="n">
        <v>440</v>
      </c>
      <c r="B1686" t="inlineStr">
        <is>
          <t>Vinegar</t>
        </is>
      </c>
      <c r="C1686" t="inlineStr">
        <is>
          <t>Ticman</t>
        </is>
      </c>
      <c r="D1686" t="inlineStr">
        <is>
          <t>ml</t>
        </is>
      </c>
      <c r="E1686" t="n">
        <v>44</v>
      </c>
      <c r="F1686" t="n">
        <v>3030</v>
      </c>
      <c r="G1686" t="n">
        <v>68.86363636363636</v>
      </c>
    </row>
    <row r="1687">
      <c r="A1687" t="n">
        <v>440</v>
      </c>
      <c r="B1687" t="inlineStr">
        <is>
          <t>Vinegar</t>
        </is>
      </c>
      <c r="C1687" t="inlineStr">
        <is>
          <t>Ticman</t>
        </is>
      </c>
      <c r="D1687" t="inlineStr">
        <is>
          <t>liters</t>
        </is>
      </c>
      <c r="E1687" t="n">
        <v>1</v>
      </c>
      <c r="F1687" t="n">
        <v>70</v>
      </c>
      <c r="G1687" t="n">
        <v>70</v>
      </c>
    </row>
    <row r="1688">
      <c r="A1688" t="n">
        <v>440</v>
      </c>
      <c r="B1688" t="inlineStr">
        <is>
          <t>Vinegar</t>
        </is>
      </c>
      <c r="C1688" t="inlineStr">
        <is>
          <t>NutriAsia - Datu Puti</t>
        </is>
      </c>
      <c r="D1688" t="inlineStr">
        <is>
          <t>gal</t>
        </is>
      </c>
      <c r="E1688" t="n">
        <v>8</v>
      </c>
      <c r="F1688" t="n">
        <v>1245.6</v>
      </c>
      <c r="G1688" t="n">
        <v>155.7</v>
      </c>
    </row>
    <row r="1689">
      <c r="A1689" t="n">
        <v>440</v>
      </c>
      <c r="B1689" t="inlineStr">
        <is>
          <t>Vinegar</t>
        </is>
      </c>
      <c r="C1689" t="inlineStr">
        <is>
          <t>Jugirox</t>
        </is>
      </c>
      <c r="D1689" t="inlineStr">
        <is>
          <t>gal</t>
        </is>
      </c>
      <c r="E1689" t="n">
        <v>7</v>
      </c>
      <c r="F1689" t="n">
        <v>455</v>
      </c>
      <c r="G1689" t="n">
        <v>65</v>
      </c>
    </row>
    <row r="1690">
      <c r="A1690" t="n">
        <v>440</v>
      </c>
      <c r="B1690" t="inlineStr">
        <is>
          <t>Vinegar</t>
        </is>
      </c>
      <c r="C1690" t="inlineStr">
        <is>
          <t>NutriAsia - Silver Swan</t>
        </is>
      </c>
      <c r="D1690" t="inlineStr">
        <is>
          <t>liters</t>
        </is>
      </c>
      <c r="E1690" t="n">
        <v>1</v>
      </c>
      <c r="F1690" t="n">
        <v>41.5</v>
      </c>
      <c r="G1690" t="n">
        <v>41.5</v>
      </c>
    </row>
    <row r="1691">
      <c r="A1691" t="n">
        <v>440</v>
      </c>
      <c r="B1691" t="inlineStr">
        <is>
          <t>Vinegar</t>
        </is>
      </c>
      <c r="C1691" t="inlineStr">
        <is>
          <t>NutriAsia - Datu Puti</t>
        </is>
      </c>
      <c r="D1691" t="inlineStr">
        <is>
          <t>liters</t>
        </is>
      </c>
      <c r="E1691" t="n">
        <v>1</v>
      </c>
      <c r="F1691" t="n">
        <v>41.5</v>
      </c>
      <c r="G1691" t="n">
        <v>41.5</v>
      </c>
    </row>
    <row r="1692">
      <c r="A1692" t="n">
        <v>889</v>
      </c>
      <c r="B1692" t="inlineStr">
        <is>
          <t>Vista Coconut Powder</t>
        </is>
      </c>
      <c r="C1692" t="inlineStr">
        <is>
          <t>Vista</t>
        </is>
      </c>
      <c r="D1692" t="inlineStr">
        <is>
          <t>grams</t>
        </is>
      </c>
      <c r="E1692" t="n">
        <v>15</v>
      </c>
      <c r="F1692" t="n">
        <v>473.25</v>
      </c>
      <c r="G1692" t="n">
        <v>31.55</v>
      </c>
    </row>
    <row r="1693">
      <c r="A1693" t="n">
        <v>890</v>
      </c>
      <c r="B1693" t="inlineStr">
        <is>
          <t>Wafer</t>
        </is>
      </c>
      <c r="C1693" t="inlineStr">
        <is>
          <t>Nabati - Richeese Cheese Wafer</t>
        </is>
      </c>
      <c r="D1693" t="inlineStr">
        <is>
          <t>grams</t>
        </is>
      </c>
      <c r="E1693" t="n">
        <v>24</v>
      </c>
      <c r="F1693" t="n">
        <v>259.2</v>
      </c>
      <c r="G1693" t="n">
        <v>10.8</v>
      </c>
    </row>
    <row r="1694">
      <c r="A1694" t="n">
        <v>890</v>
      </c>
      <c r="B1694" t="inlineStr">
        <is>
          <t>Wafer</t>
        </is>
      </c>
      <c r="C1694" t="inlineStr">
        <is>
          <t>Mayora - Wafello Coconut Crème</t>
        </is>
      </c>
      <c r="D1694" t="inlineStr">
        <is>
          <t>grams</t>
        </is>
      </c>
      <c r="E1694" t="n">
        <v>24</v>
      </c>
      <c r="F1694" t="n">
        <v>381.12</v>
      </c>
      <c r="G1694" t="n">
        <v>15.88</v>
      </c>
    </row>
    <row r="1695">
      <c r="A1695" t="n">
        <v>890</v>
      </c>
      <c r="B1695" t="inlineStr">
        <is>
          <t>Wafer</t>
        </is>
      </c>
      <c r="C1695" t="inlineStr">
        <is>
          <t>Mayora - Cal Cheese</t>
        </is>
      </c>
      <c r="D1695" t="inlineStr">
        <is>
          <t>grams</t>
        </is>
      </c>
      <c r="E1695" t="n">
        <v>32</v>
      </c>
      <c r="F1695" t="n">
        <v>208</v>
      </c>
      <c r="G1695" t="n">
        <v>6.5</v>
      </c>
    </row>
    <row r="1696">
      <c r="A1696" t="n">
        <v>890</v>
      </c>
      <c r="B1696" t="inlineStr">
        <is>
          <t>Wafer</t>
        </is>
      </c>
      <c r="C1696" t="inlineStr">
        <is>
          <t>Nissin - Wafer Double Chocolate</t>
        </is>
      </c>
      <c r="D1696" t="inlineStr">
        <is>
          <t>grams</t>
        </is>
      </c>
      <c r="E1696" t="n">
        <v>24</v>
      </c>
      <c r="F1696" t="n">
        <v>312</v>
      </c>
      <c r="G1696" t="n">
        <v>13</v>
      </c>
    </row>
    <row r="1697">
      <c r="A1697" t="n">
        <v>891</v>
      </c>
      <c r="B1697" t="inlineStr">
        <is>
          <t>Walnuts</t>
        </is>
      </c>
      <c r="C1697" t="inlineStr">
        <is>
          <t>Crown Food</t>
        </is>
      </c>
      <c r="D1697" t="inlineStr">
        <is>
          <t>grams</t>
        </is>
      </c>
      <c r="E1697" t="n">
        <v>1</v>
      </c>
      <c r="F1697" t="n">
        <v>165</v>
      </c>
      <c r="G1697" t="n">
        <v>165</v>
      </c>
    </row>
    <row r="1698">
      <c r="A1698" t="n">
        <v>892</v>
      </c>
      <c r="B1698" t="inlineStr">
        <is>
          <t>Water Chestnut</t>
        </is>
      </c>
      <c r="C1698" t="inlineStr">
        <is>
          <t>Sunbest</t>
        </is>
      </c>
      <c r="D1698" t="inlineStr">
        <is>
          <t>grams</t>
        </is>
      </c>
      <c r="E1698" t="n">
        <v>1</v>
      </c>
      <c r="F1698" t="n">
        <v>93.59999999999999</v>
      </c>
      <c r="G1698" t="n">
        <v>93.59999999999999</v>
      </c>
    </row>
    <row r="1699">
      <c r="A1699" t="n">
        <v>893</v>
      </c>
      <c r="B1699" t="inlineStr">
        <is>
          <t>Wax</t>
        </is>
      </c>
      <c r="C1699" t="inlineStr">
        <is>
          <t>Easy Heat</t>
        </is>
      </c>
      <c r="D1699" t="inlineStr">
        <is>
          <t>tin</t>
        </is>
      </c>
      <c r="E1699" t="n">
        <v>1</v>
      </c>
      <c r="F1699" t="n">
        <v>732</v>
      </c>
      <c r="G1699" t="n">
        <v>732</v>
      </c>
    </row>
    <row r="1700">
      <c r="A1700" t="n">
        <v>894</v>
      </c>
      <c r="B1700" t="inlineStr">
        <is>
          <t>Wax Paper</t>
        </is>
      </c>
      <c r="C1700" t="inlineStr">
        <is>
          <t>Croco</t>
        </is>
      </c>
      <c r="D1700" t="inlineStr">
        <is>
          <t>roll</t>
        </is>
      </c>
      <c r="E1700" t="n">
        <v>1</v>
      </c>
      <c r="F1700" t="n">
        <v>520</v>
      </c>
      <c r="G1700" t="n">
        <v>520</v>
      </c>
    </row>
    <row r="1701">
      <c r="A1701" t="n">
        <v>895</v>
      </c>
      <c r="B1701" t="inlineStr">
        <is>
          <t>White Bread</t>
        </is>
      </c>
      <c r="C1701" t="inlineStr">
        <is>
          <t>Gardenia</t>
        </is>
      </c>
      <c r="D1701" t="inlineStr">
        <is>
          <t>grams</t>
        </is>
      </c>
      <c r="E1701" t="n">
        <v>4</v>
      </c>
      <c r="F1701" t="n">
        <v>340</v>
      </c>
      <c r="G1701" t="n">
        <v>85</v>
      </c>
    </row>
    <row r="1702">
      <c r="A1702" t="n">
        <v>896</v>
      </c>
      <c r="B1702" t="inlineStr">
        <is>
          <t>White Jumbo Paper Bag</t>
        </is>
      </c>
      <c r="C1702" t="inlineStr">
        <is>
          <t>Carandang Merchandise</t>
        </is>
      </c>
      <c r="D1702" t="inlineStr">
        <is>
          <t>pieces</t>
        </is>
      </c>
      <c r="E1702" t="n">
        <v>33</v>
      </c>
      <c r="F1702" t="n">
        <v>88.44000000000001</v>
      </c>
      <c r="G1702" t="n">
        <v>2.68</v>
      </c>
    </row>
    <row r="1703">
      <c r="A1703" t="n">
        <v>897</v>
      </c>
      <c r="B1703" t="inlineStr">
        <is>
          <t>Whole Kernel Corn</t>
        </is>
      </c>
      <c r="C1703" t="inlineStr">
        <is>
          <t>Jolly</t>
        </is>
      </c>
      <c r="D1703" t="inlineStr">
        <is>
          <t>drained weight grams</t>
        </is>
      </c>
      <c r="E1703" t="n">
        <v>10</v>
      </c>
      <c r="F1703" t="n">
        <v>439</v>
      </c>
      <c r="G1703" t="n">
        <v>43.9</v>
      </c>
    </row>
    <row r="1704">
      <c r="A1704" t="n">
        <v>897</v>
      </c>
      <c r="B1704" t="inlineStr">
        <is>
          <t>Whole Kernel Corn</t>
        </is>
      </c>
      <c r="C1704" t="inlineStr">
        <is>
          <t>Jolly</t>
        </is>
      </c>
      <c r="D1704" t="inlineStr">
        <is>
          <t>grams</t>
        </is>
      </c>
      <c r="E1704" t="n">
        <v>6</v>
      </c>
      <c r="F1704" t="n">
        <v>253.8</v>
      </c>
      <c r="G1704" t="n">
        <v>42.3</v>
      </c>
    </row>
    <row r="1705">
      <c r="A1705" t="n">
        <v>898</v>
      </c>
      <c r="B1705" t="inlineStr">
        <is>
          <t>Whole Mushroom</t>
        </is>
      </c>
      <c r="C1705" t="inlineStr">
        <is>
          <t>Jolly</t>
        </is>
      </c>
      <c r="D1705" t="inlineStr">
        <is>
          <t>grams</t>
        </is>
      </c>
      <c r="E1705" t="n">
        <v>5</v>
      </c>
      <c r="F1705" t="n">
        <v>304</v>
      </c>
      <c r="G1705" t="n">
        <v>60.8</v>
      </c>
    </row>
    <row r="1706">
      <c r="A1706" t="n">
        <v>899</v>
      </c>
      <c r="B1706" t="inlineStr">
        <is>
          <t>Whole Young Corn</t>
        </is>
      </c>
      <c r="C1706" t="inlineStr">
        <is>
          <t>Mega Prime</t>
        </is>
      </c>
      <c r="D1706" t="inlineStr">
        <is>
          <t>drained weight grams</t>
        </is>
      </c>
      <c r="E1706" t="n">
        <v>14</v>
      </c>
      <c r="F1706" t="n">
        <v>952</v>
      </c>
      <c r="G1706" t="n">
        <v>68</v>
      </c>
    </row>
    <row r="1707">
      <c r="A1707" t="n">
        <v>446</v>
      </c>
      <c r="B1707" t="inlineStr">
        <is>
          <t>Wooden Fork</t>
        </is>
      </c>
      <c r="C1707" t="inlineStr"/>
      <c r="D1707" t="inlineStr">
        <is>
          <t>pieces</t>
        </is>
      </c>
      <c r="E1707" t="n">
        <v>2577</v>
      </c>
      <c r="F1707" t="n">
        <v>5360.16</v>
      </c>
      <c r="G1707" t="n">
        <v>2.08</v>
      </c>
    </row>
    <row r="1708">
      <c r="A1708" t="n">
        <v>446</v>
      </c>
      <c r="B1708" t="inlineStr">
        <is>
          <t>Wooden Fork</t>
        </is>
      </c>
      <c r="C1708" t="inlineStr">
        <is>
          <t>Versa - pack by 25s'</t>
        </is>
      </c>
      <c r="D1708" t="inlineStr">
        <is>
          <t>packs</t>
        </is>
      </c>
      <c r="E1708" t="n">
        <v>3</v>
      </c>
      <c r="F1708" t="n">
        <v>66</v>
      </c>
      <c r="G1708" t="n">
        <v>22</v>
      </c>
    </row>
    <row r="1709">
      <c r="A1709" t="n">
        <v>446</v>
      </c>
      <c r="B1709" t="inlineStr">
        <is>
          <t>Wooden Fork</t>
        </is>
      </c>
      <c r="C1709" t="inlineStr">
        <is>
          <t>Bio Pack - pack by 25s'</t>
        </is>
      </c>
      <c r="D1709" t="inlineStr">
        <is>
          <t>packs</t>
        </is>
      </c>
      <c r="E1709" t="n">
        <v>3</v>
      </c>
      <c r="F1709" t="n">
        <v>66</v>
      </c>
      <c r="G1709" t="n">
        <v>22</v>
      </c>
    </row>
    <row r="1710">
      <c r="A1710" t="n">
        <v>446</v>
      </c>
      <c r="B1710" t="inlineStr">
        <is>
          <t>Wooden Fork</t>
        </is>
      </c>
      <c r="C1710" t="inlineStr">
        <is>
          <t>Carandang Merchandise</t>
        </is>
      </c>
      <c r="D1710" t="inlineStr">
        <is>
          <t>packs</t>
        </is>
      </c>
      <c r="E1710" t="n">
        <v>6</v>
      </c>
      <c r="F1710" t="n">
        <v>132</v>
      </c>
      <c r="G1710" t="n">
        <v>22</v>
      </c>
    </row>
    <row r="1711">
      <c r="A1711" t="n">
        <v>446</v>
      </c>
      <c r="B1711" t="inlineStr">
        <is>
          <t>Wooden Fork</t>
        </is>
      </c>
      <c r="C1711" t="inlineStr"/>
      <c r="D1711" t="inlineStr">
        <is>
          <t>packs</t>
        </is>
      </c>
      <c r="E1711" t="n">
        <v>100</v>
      </c>
      <c r="F1711" t="n">
        <v>100</v>
      </c>
      <c r="G1711" t="n">
        <v>1</v>
      </c>
    </row>
    <row r="1712">
      <c r="A1712" t="n">
        <v>900</v>
      </c>
      <c r="B1712" t="inlineStr">
        <is>
          <t>Wooden Fruitfork</t>
        </is>
      </c>
      <c r="C1712" t="inlineStr"/>
      <c r="D1712" t="inlineStr">
        <is>
          <t>pieces</t>
        </is>
      </c>
      <c r="E1712" t="n">
        <v>2</v>
      </c>
      <c r="F1712" t="n">
        <v>100</v>
      </c>
      <c r="G1712" t="n">
        <v>50</v>
      </c>
    </row>
    <row r="1713">
      <c r="A1713" t="n">
        <v>901</v>
      </c>
      <c r="B1713" t="inlineStr">
        <is>
          <t>Wooden Knife</t>
        </is>
      </c>
      <c r="C1713" t="inlineStr"/>
      <c r="D1713" t="inlineStr">
        <is>
          <t>pieces</t>
        </is>
      </c>
      <c r="E1713" t="n">
        <v>1</v>
      </c>
      <c r="F1713" t="n">
        <v>27</v>
      </c>
      <c r="G1713" t="n">
        <v>27</v>
      </c>
    </row>
    <row r="1714">
      <c r="A1714" t="n">
        <v>447</v>
      </c>
      <c r="B1714" t="inlineStr">
        <is>
          <t>Wooden Spoon</t>
        </is>
      </c>
      <c r="C1714" t="inlineStr">
        <is>
          <t>Versa</t>
        </is>
      </c>
      <c r="D1714" t="inlineStr">
        <is>
          <t>packs</t>
        </is>
      </c>
      <c r="E1714" t="n">
        <v>3</v>
      </c>
      <c r="F1714" t="n">
        <v>90</v>
      </c>
      <c r="G1714" t="n">
        <v>30</v>
      </c>
    </row>
    <row r="1715">
      <c r="A1715" t="n">
        <v>447</v>
      </c>
      <c r="B1715" t="inlineStr">
        <is>
          <t>Wooden Spoon</t>
        </is>
      </c>
      <c r="C1715" t="inlineStr"/>
      <c r="D1715" t="inlineStr">
        <is>
          <t>pieces</t>
        </is>
      </c>
      <c r="E1715" t="n">
        <v>2724</v>
      </c>
      <c r="F1715" t="n">
        <v>5592.88</v>
      </c>
      <c r="G1715" t="n">
        <v>2.053186490455213</v>
      </c>
    </row>
    <row r="1716">
      <c r="A1716" t="n">
        <v>447</v>
      </c>
      <c r="B1716" t="inlineStr">
        <is>
          <t>Wooden Spoon</t>
        </is>
      </c>
      <c r="C1716" t="inlineStr">
        <is>
          <t>Versa - pack by 25s'</t>
        </is>
      </c>
      <c r="D1716" t="inlineStr">
        <is>
          <t>packs</t>
        </is>
      </c>
      <c r="E1716" t="n">
        <v>8</v>
      </c>
      <c r="F1716" t="n">
        <v>176</v>
      </c>
      <c r="G1716" t="n">
        <v>22</v>
      </c>
    </row>
    <row r="1717">
      <c r="A1717" t="n">
        <v>447</v>
      </c>
      <c r="B1717" t="inlineStr">
        <is>
          <t>Wooden Spoon</t>
        </is>
      </c>
      <c r="C1717" t="inlineStr">
        <is>
          <t>Carandang Merchandise</t>
        </is>
      </c>
      <c r="D1717" t="inlineStr">
        <is>
          <t>packs</t>
        </is>
      </c>
      <c r="E1717" t="n">
        <v>25</v>
      </c>
      <c r="F1717" t="n">
        <v>550</v>
      </c>
      <c r="G1717" t="n">
        <v>22</v>
      </c>
    </row>
    <row r="1718">
      <c r="A1718" t="n">
        <v>447</v>
      </c>
      <c r="B1718" t="inlineStr">
        <is>
          <t>Wooden Spoon</t>
        </is>
      </c>
      <c r="C1718" t="inlineStr"/>
      <c r="D1718" t="inlineStr">
        <is>
          <t>packs</t>
        </is>
      </c>
      <c r="E1718" t="n">
        <v>14</v>
      </c>
      <c r="F1718" t="n">
        <v>14</v>
      </c>
      <c r="G1718" t="n">
        <v>1</v>
      </c>
    </row>
    <row r="1719">
      <c r="A1719" t="n">
        <v>902</v>
      </c>
      <c r="B1719" t="inlineStr">
        <is>
          <t>Wooden Stirrer</t>
        </is>
      </c>
      <c r="C1719" t="inlineStr">
        <is>
          <t>Mr Bamboo - pack by 100's</t>
        </is>
      </c>
      <c r="D1719" t="inlineStr">
        <is>
          <t>packs</t>
        </is>
      </c>
      <c r="E1719" t="n">
        <v>4</v>
      </c>
      <c r="F1719" t="n">
        <v>100</v>
      </c>
      <c r="G1719" t="n">
        <v>25</v>
      </c>
    </row>
    <row r="1720">
      <c r="A1720" t="n">
        <v>903</v>
      </c>
      <c r="B1720" t="inlineStr">
        <is>
          <t>Worcestershire Sauce</t>
        </is>
      </c>
      <c r="C1720" t="inlineStr">
        <is>
          <t>Lea &amp; Perrins</t>
        </is>
      </c>
      <c r="D1720" t="inlineStr">
        <is>
          <t>grams</t>
        </is>
      </c>
      <c r="E1720" t="n">
        <v>2</v>
      </c>
      <c r="F1720" t="n">
        <v>337.5</v>
      </c>
      <c r="G1720" t="n">
        <v>168.75</v>
      </c>
    </row>
    <row r="1721">
      <c r="A1721" t="n">
        <v>448</v>
      </c>
      <c r="B1721" t="inlineStr">
        <is>
          <t>Worcestireshire Sauce</t>
        </is>
      </c>
      <c r="C1721" t="inlineStr">
        <is>
          <t>Lea &amp; Perrins</t>
        </is>
      </c>
      <c r="D1721" t="inlineStr">
        <is>
          <t>grams</t>
        </is>
      </c>
      <c r="E1721" t="n">
        <v>1</v>
      </c>
      <c r="F1721" t="n">
        <v>76</v>
      </c>
      <c r="G1721" t="n">
        <v>76</v>
      </c>
    </row>
    <row r="1722">
      <c r="A1722" t="n">
        <v>904</v>
      </c>
      <c r="B1722" t="inlineStr">
        <is>
          <t>Yellow Watermelon</t>
        </is>
      </c>
      <c r="C1722" t="inlineStr"/>
      <c r="D1722" t="inlineStr">
        <is>
          <t>pieces</t>
        </is>
      </c>
      <c r="E1722" t="n">
        <v>1</v>
      </c>
      <c r="F1722" t="n">
        <v>120</v>
      </c>
      <c r="G1722" t="n">
        <v>120</v>
      </c>
    </row>
    <row r="1723">
      <c r="A1723" t="n">
        <v>905</v>
      </c>
      <c r="B1723" t="inlineStr">
        <is>
          <t>Yema</t>
        </is>
      </c>
      <c r="C1723" t="inlineStr">
        <is>
          <t>Ysanne Ktara Native Kakanin</t>
        </is>
      </c>
      <c r="D1723" t="inlineStr">
        <is>
          <t>pieces</t>
        </is>
      </c>
      <c r="E1723" t="n">
        <v>21</v>
      </c>
      <c r="F1723" t="n">
        <v>105</v>
      </c>
      <c r="G1723" t="n">
        <v>5</v>
      </c>
    </row>
    <row r="1724">
      <c r="A1724" t="inlineStr"/>
      <c r="B1724" t="inlineStr"/>
      <c r="C1724" t="inlineStr"/>
      <c r="D1724" t="inlineStr"/>
      <c r="E1724" t="n">
        <v>0</v>
      </c>
      <c r="F1724" t="n">
        <v>0</v>
      </c>
      <c r="G17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LLFSI Gemson</dc:creator>
  <dcterms:created xsi:type="dcterms:W3CDTF">2026-01-24T06:34:15Z</dcterms:created>
  <dcterms:modified xsi:type="dcterms:W3CDTF">2026-01-26T07:50:43Z</dcterms:modified>
  <cp:lastModifiedBy>Mark Andal</cp:lastModifiedBy>
</cp:coreProperties>
</file>