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LFSI Gemson\Desktop\"/>
    </mc:Choice>
  </mc:AlternateContent>
  <xr:revisionPtr revIDLastSave="0" documentId="13_ncr:1_{F7FB4C37-F7AE-4B7D-BB12-7D0FFE37074C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Raw" sheetId="3" r:id="rId1"/>
    <sheet name="Process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3" l="1"/>
  <c r="F593" i="2"/>
  <c r="U2706" i="3"/>
  <c r="S2706" i="3"/>
  <c r="T2706" i="3" s="1"/>
  <c r="U2705" i="3"/>
  <c r="S2705" i="3"/>
  <c r="T2705" i="3" s="1"/>
  <c r="U2704" i="3"/>
  <c r="S2704" i="3"/>
  <c r="T2704" i="3" s="1"/>
  <c r="U2703" i="3"/>
  <c r="T2703" i="3"/>
  <c r="S2703" i="3"/>
  <c r="U2702" i="3"/>
  <c r="S2702" i="3"/>
  <c r="T2702" i="3" s="1"/>
  <c r="U2701" i="3"/>
  <c r="S2701" i="3"/>
  <c r="T2701" i="3" s="1"/>
  <c r="U2700" i="3"/>
  <c r="S2700" i="3"/>
  <c r="T2700" i="3" s="1"/>
  <c r="U2699" i="3"/>
  <c r="S2699" i="3"/>
  <c r="T2699" i="3" s="1"/>
  <c r="U2698" i="3"/>
  <c r="S2698" i="3"/>
  <c r="T2698" i="3" s="1"/>
  <c r="U2697" i="3"/>
  <c r="S2697" i="3"/>
  <c r="T2697" i="3" s="1"/>
  <c r="U2696" i="3"/>
  <c r="T2696" i="3"/>
  <c r="S2696" i="3"/>
  <c r="U2695" i="3"/>
  <c r="T2695" i="3"/>
  <c r="S2695" i="3"/>
  <c r="U2694" i="3"/>
  <c r="S2694" i="3"/>
  <c r="T2694" i="3" s="1"/>
  <c r="U2693" i="3"/>
  <c r="S2693" i="3"/>
  <c r="T2693" i="3" s="1"/>
  <c r="U2692" i="3"/>
  <c r="S2692" i="3"/>
  <c r="T2692" i="3" s="1"/>
  <c r="U2691" i="3"/>
  <c r="S2691" i="3"/>
  <c r="T2691" i="3" s="1"/>
  <c r="U2690" i="3"/>
  <c r="S2690" i="3"/>
  <c r="T2690" i="3" s="1"/>
  <c r="U2689" i="3"/>
  <c r="S2689" i="3"/>
  <c r="T2689" i="3" s="1"/>
  <c r="U2688" i="3"/>
  <c r="T2688" i="3"/>
  <c r="S2688" i="3"/>
  <c r="U2687" i="3"/>
  <c r="T2687" i="3"/>
  <c r="S2687" i="3"/>
  <c r="U2686" i="3"/>
  <c r="S2686" i="3"/>
  <c r="T2686" i="3" s="1"/>
  <c r="U2685" i="3"/>
  <c r="S2685" i="3"/>
  <c r="T2685" i="3" s="1"/>
  <c r="U2684" i="3"/>
  <c r="S2684" i="3"/>
  <c r="T2684" i="3" s="1"/>
  <c r="U2683" i="3"/>
  <c r="S2683" i="3"/>
  <c r="T2683" i="3" s="1"/>
  <c r="U2682" i="3"/>
  <c r="S2682" i="3"/>
  <c r="T2682" i="3" s="1"/>
  <c r="U2681" i="3"/>
  <c r="S2681" i="3"/>
  <c r="T2681" i="3" s="1"/>
  <c r="U2680" i="3"/>
  <c r="S2680" i="3"/>
  <c r="T2680" i="3" s="1"/>
  <c r="U2679" i="3"/>
  <c r="T2679" i="3"/>
  <c r="S2679" i="3"/>
  <c r="U2678" i="3"/>
  <c r="T2678" i="3"/>
  <c r="S2678" i="3"/>
  <c r="U2677" i="3"/>
  <c r="S2677" i="3"/>
  <c r="T2677" i="3" s="1"/>
  <c r="U2676" i="3"/>
  <c r="S2676" i="3"/>
  <c r="T2676" i="3" s="1"/>
  <c r="U2675" i="3"/>
  <c r="S2675" i="3"/>
  <c r="T2675" i="3" s="1"/>
  <c r="U2674" i="3"/>
  <c r="S2674" i="3"/>
  <c r="T2674" i="3" s="1"/>
  <c r="U2673" i="3"/>
  <c r="S2673" i="3"/>
  <c r="T2673" i="3" s="1"/>
  <c r="U2672" i="3"/>
  <c r="T2672" i="3"/>
  <c r="S2672" i="3"/>
  <c r="U2671" i="3"/>
  <c r="S2671" i="3"/>
  <c r="T2671" i="3" s="1"/>
  <c r="U2670" i="3"/>
  <c r="S2670" i="3"/>
  <c r="T2670" i="3" s="1"/>
  <c r="U2669" i="3"/>
  <c r="S2669" i="3"/>
  <c r="T2669" i="3" s="1"/>
  <c r="U2668" i="3"/>
  <c r="S2668" i="3"/>
  <c r="T2668" i="3" s="1"/>
  <c r="U2667" i="3"/>
  <c r="S2667" i="3"/>
  <c r="T2667" i="3" s="1"/>
  <c r="U2666" i="3"/>
  <c r="S2666" i="3"/>
  <c r="T2666" i="3" s="1"/>
  <c r="U2665" i="3"/>
  <c r="S2665" i="3"/>
  <c r="T2665" i="3" s="1"/>
  <c r="U2664" i="3"/>
  <c r="T2664" i="3"/>
  <c r="S2664" i="3"/>
  <c r="U2663" i="3"/>
  <c r="T2663" i="3"/>
  <c r="S2663" i="3"/>
  <c r="U2662" i="3"/>
  <c r="T2662" i="3"/>
  <c r="S2662" i="3"/>
  <c r="U2661" i="3"/>
  <c r="S2661" i="3"/>
  <c r="T2661" i="3" s="1"/>
  <c r="U2660" i="3"/>
  <c r="S2660" i="3"/>
  <c r="T2660" i="3" s="1"/>
  <c r="U2659" i="3"/>
  <c r="S2659" i="3"/>
  <c r="T2659" i="3" s="1"/>
  <c r="U2658" i="3"/>
  <c r="S2658" i="3"/>
  <c r="T2658" i="3" s="1"/>
  <c r="U2657" i="3"/>
  <c r="S2657" i="3"/>
  <c r="T2657" i="3" s="1"/>
  <c r="U2656" i="3"/>
  <c r="T2656" i="3"/>
  <c r="S2656" i="3"/>
  <c r="U2655" i="3"/>
  <c r="S2655" i="3"/>
  <c r="T2655" i="3" s="1"/>
  <c r="U2654" i="3"/>
  <c r="S2654" i="3"/>
  <c r="T2654" i="3" s="1"/>
  <c r="U2653" i="3"/>
  <c r="S2653" i="3"/>
  <c r="T2653" i="3" s="1"/>
  <c r="U2652" i="3"/>
  <c r="S2652" i="3"/>
  <c r="T2652" i="3" s="1"/>
  <c r="U2651" i="3"/>
  <c r="S2651" i="3"/>
  <c r="T2651" i="3" s="1"/>
  <c r="U2650" i="3"/>
  <c r="S2650" i="3"/>
  <c r="T2650" i="3" s="1"/>
  <c r="U2649" i="3"/>
  <c r="S2649" i="3"/>
  <c r="T2649" i="3" s="1"/>
  <c r="U2648" i="3"/>
  <c r="T2648" i="3"/>
  <c r="S2648" i="3"/>
  <c r="U2647" i="3"/>
  <c r="T2647" i="3"/>
  <c r="S2647" i="3"/>
  <c r="U2646" i="3"/>
  <c r="T2646" i="3"/>
  <c r="S2646" i="3"/>
  <c r="U2645" i="3"/>
  <c r="S2645" i="3"/>
  <c r="T2645" i="3" s="1"/>
  <c r="U2644" i="3"/>
  <c r="S2644" i="3"/>
  <c r="T2644" i="3" s="1"/>
  <c r="U2643" i="3"/>
  <c r="S2643" i="3"/>
  <c r="T2643" i="3" s="1"/>
  <c r="U2642" i="3"/>
  <c r="S2642" i="3"/>
  <c r="T2642" i="3" s="1"/>
  <c r="U2641" i="3"/>
  <c r="S2641" i="3"/>
  <c r="T2641" i="3" s="1"/>
  <c r="U2640" i="3"/>
  <c r="T2640" i="3"/>
  <c r="S2640" i="3"/>
  <c r="U2639" i="3"/>
  <c r="S2639" i="3"/>
  <c r="T2639" i="3" s="1"/>
  <c r="U2638" i="3"/>
  <c r="S2638" i="3"/>
  <c r="T2638" i="3" s="1"/>
  <c r="U2637" i="3"/>
  <c r="S2637" i="3"/>
  <c r="T2637" i="3" s="1"/>
  <c r="U2636" i="3"/>
  <c r="S2636" i="3"/>
  <c r="T2636" i="3" s="1"/>
  <c r="U2635" i="3"/>
  <c r="S2635" i="3"/>
  <c r="T2635" i="3" s="1"/>
  <c r="U2634" i="3"/>
  <c r="S2634" i="3"/>
  <c r="T2634" i="3" s="1"/>
  <c r="U2633" i="3"/>
  <c r="S2633" i="3"/>
  <c r="T2633" i="3" s="1"/>
  <c r="U2632" i="3"/>
  <c r="T2632" i="3"/>
  <c r="S2632" i="3"/>
  <c r="U2631" i="3"/>
  <c r="T2631" i="3"/>
  <c r="S2631" i="3"/>
  <c r="U2630" i="3"/>
  <c r="T2630" i="3"/>
  <c r="S2630" i="3"/>
  <c r="U2629" i="3"/>
  <c r="S2629" i="3"/>
  <c r="T2629" i="3" s="1"/>
  <c r="U2628" i="3"/>
  <c r="S2628" i="3"/>
  <c r="T2628" i="3" s="1"/>
  <c r="U2627" i="3"/>
  <c r="S2627" i="3"/>
  <c r="T2627" i="3" s="1"/>
  <c r="U2626" i="3"/>
  <c r="S2626" i="3"/>
  <c r="T2626" i="3" s="1"/>
  <c r="U2625" i="3"/>
  <c r="S2625" i="3"/>
  <c r="T2625" i="3" s="1"/>
  <c r="U2624" i="3"/>
  <c r="T2624" i="3"/>
  <c r="S2624" i="3"/>
  <c r="U2623" i="3"/>
  <c r="S2623" i="3"/>
  <c r="T2623" i="3" s="1"/>
  <c r="U2622" i="3"/>
  <c r="S2622" i="3"/>
  <c r="T2622" i="3" s="1"/>
  <c r="U2621" i="3"/>
  <c r="S2621" i="3"/>
  <c r="T2621" i="3" s="1"/>
  <c r="U2620" i="3"/>
  <c r="S2620" i="3"/>
  <c r="T2620" i="3" s="1"/>
  <c r="U2619" i="3"/>
  <c r="S2619" i="3"/>
  <c r="T2619" i="3" s="1"/>
  <c r="U2618" i="3"/>
  <c r="S2618" i="3"/>
  <c r="T2618" i="3" s="1"/>
  <c r="U2617" i="3"/>
  <c r="S2617" i="3"/>
  <c r="T2617" i="3" s="1"/>
  <c r="U2616" i="3"/>
  <c r="T2616" i="3"/>
  <c r="S2616" i="3"/>
  <c r="U2615" i="3"/>
  <c r="T2615" i="3"/>
  <c r="S2615" i="3"/>
  <c r="U2614" i="3"/>
  <c r="T2614" i="3"/>
  <c r="S2614" i="3"/>
  <c r="U2613" i="3"/>
  <c r="S2613" i="3"/>
  <c r="T2613" i="3" s="1"/>
  <c r="U2612" i="3"/>
  <c r="S2612" i="3"/>
  <c r="T2612" i="3" s="1"/>
  <c r="U2611" i="3"/>
  <c r="S2611" i="3"/>
  <c r="T2611" i="3" s="1"/>
  <c r="U2610" i="3"/>
  <c r="S2610" i="3"/>
  <c r="T2610" i="3" s="1"/>
  <c r="U2609" i="3"/>
  <c r="S2609" i="3"/>
  <c r="T2609" i="3" s="1"/>
  <c r="U2608" i="3"/>
  <c r="T2608" i="3"/>
  <c r="S2608" i="3"/>
  <c r="U2607" i="3"/>
  <c r="S2607" i="3"/>
  <c r="T2607" i="3" s="1"/>
  <c r="U2606" i="3"/>
  <c r="S2606" i="3"/>
  <c r="T2606" i="3" s="1"/>
  <c r="U2605" i="3"/>
  <c r="S2605" i="3"/>
  <c r="T2605" i="3" s="1"/>
  <c r="U2604" i="3"/>
  <c r="S2604" i="3"/>
  <c r="T2604" i="3" s="1"/>
  <c r="U2603" i="3"/>
  <c r="S2603" i="3"/>
  <c r="T2603" i="3" s="1"/>
  <c r="U2602" i="3"/>
  <c r="S2602" i="3"/>
  <c r="T2602" i="3" s="1"/>
  <c r="U2601" i="3"/>
  <c r="S2601" i="3"/>
  <c r="T2601" i="3" s="1"/>
  <c r="U2600" i="3"/>
  <c r="T2600" i="3"/>
  <c r="S2600" i="3"/>
  <c r="U2599" i="3"/>
  <c r="T2599" i="3"/>
  <c r="S2599" i="3"/>
  <c r="U2598" i="3"/>
  <c r="T2598" i="3"/>
  <c r="S2598" i="3"/>
  <c r="U2597" i="3"/>
  <c r="S2597" i="3"/>
  <c r="T2597" i="3" s="1"/>
  <c r="U2596" i="3"/>
  <c r="S2596" i="3"/>
  <c r="T2596" i="3" s="1"/>
  <c r="U2595" i="3"/>
  <c r="S2595" i="3"/>
  <c r="T2595" i="3" s="1"/>
  <c r="U2594" i="3"/>
  <c r="S2594" i="3"/>
  <c r="T2594" i="3" s="1"/>
  <c r="U2593" i="3"/>
  <c r="S2593" i="3"/>
  <c r="T2593" i="3" s="1"/>
  <c r="U2592" i="3"/>
  <c r="T2592" i="3"/>
  <c r="S2592" i="3"/>
  <c r="U2591" i="3"/>
  <c r="S2591" i="3"/>
  <c r="T2591" i="3" s="1"/>
  <c r="U2590" i="3"/>
  <c r="S2590" i="3"/>
  <c r="T2590" i="3" s="1"/>
  <c r="U2589" i="3"/>
  <c r="S2589" i="3"/>
  <c r="T2589" i="3" s="1"/>
  <c r="U2588" i="3"/>
  <c r="S2588" i="3"/>
  <c r="T2588" i="3" s="1"/>
  <c r="U2587" i="3"/>
  <c r="S2587" i="3"/>
  <c r="T2587" i="3" s="1"/>
  <c r="U2586" i="3"/>
  <c r="S2586" i="3"/>
  <c r="T2586" i="3" s="1"/>
  <c r="U2585" i="3"/>
  <c r="S2585" i="3"/>
  <c r="T2585" i="3" s="1"/>
  <c r="U2584" i="3"/>
  <c r="T2584" i="3"/>
  <c r="S2584" i="3"/>
  <c r="U2583" i="3"/>
  <c r="T2583" i="3"/>
  <c r="S2583" i="3"/>
  <c r="U2582" i="3"/>
  <c r="T2582" i="3"/>
  <c r="S2582" i="3"/>
  <c r="U2581" i="3"/>
  <c r="S2581" i="3"/>
  <c r="T2581" i="3" s="1"/>
  <c r="U2580" i="3"/>
  <c r="S2580" i="3"/>
  <c r="T2580" i="3" s="1"/>
  <c r="U2579" i="3"/>
  <c r="S2579" i="3"/>
  <c r="T2579" i="3" s="1"/>
  <c r="U2578" i="3"/>
  <c r="S2578" i="3"/>
  <c r="T2578" i="3" s="1"/>
  <c r="U2577" i="3"/>
  <c r="S2577" i="3"/>
  <c r="T2577" i="3" s="1"/>
  <c r="U2576" i="3"/>
  <c r="T2576" i="3"/>
  <c r="S2576" i="3"/>
  <c r="U2575" i="3"/>
  <c r="S2575" i="3"/>
  <c r="T2575" i="3" s="1"/>
  <c r="U2574" i="3"/>
  <c r="S2574" i="3"/>
  <c r="T2574" i="3" s="1"/>
  <c r="U2573" i="3"/>
  <c r="S2573" i="3"/>
  <c r="T2573" i="3" s="1"/>
  <c r="U2572" i="3"/>
  <c r="T2572" i="3"/>
  <c r="S2572" i="3"/>
  <c r="U2571" i="3"/>
  <c r="S2571" i="3"/>
  <c r="T2571" i="3" s="1"/>
  <c r="U2570" i="3"/>
  <c r="S2570" i="3"/>
  <c r="T2570" i="3" s="1"/>
  <c r="U2569" i="3"/>
  <c r="S2569" i="3"/>
  <c r="T2569" i="3" s="1"/>
  <c r="U2568" i="3"/>
  <c r="S2568" i="3"/>
  <c r="T2568" i="3" s="1"/>
  <c r="U2567" i="3"/>
  <c r="S2567" i="3"/>
  <c r="T2567" i="3" s="1"/>
  <c r="U2566" i="3"/>
  <c r="S2566" i="3"/>
  <c r="T2566" i="3" s="1"/>
  <c r="U2565" i="3"/>
  <c r="S2565" i="3"/>
  <c r="T2565" i="3" s="1"/>
  <c r="U2564" i="3"/>
  <c r="T2564" i="3"/>
  <c r="S2564" i="3"/>
  <c r="U2563" i="3"/>
  <c r="S2563" i="3"/>
  <c r="T2563" i="3" s="1"/>
  <c r="U2562" i="3"/>
  <c r="S2562" i="3"/>
  <c r="T2562" i="3" s="1"/>
  <c r="U2561" i="3"/>
  <c r="S2561" i="3"/>
  <c r="T2561" i="3" s="1"/>
  <c r="U2560" i="3"/>
  <c r="T2560" i="3"/>
  <c r="S2560" i="3"/>
  <c r="U2559" i="3"/>
  <c r="S2559" i="3"/>
  <c r="T2559" i="3" s="1"/>
  <c r="U2558" i="3"/>
  <c r="S2558" i="3"/>
  <c r="T2558" i="3" s="1"/>
  <c r="U2557" i="3"/>
  <c r="S2557" i="3"/>
  <c r="T2557" i="3" s="1"/>
  <c r="U2556" i="3"/>
  <c r="S2556" i="3"/>
  <c r="T2556" i="3" s="1"/>
  <c r="U2555" i="3"/>
  <c r="S2555" i="3"/>
  <c r="T2555" i="3" s="1"/>
  <c r="U2554" i="3"/>
  <c r="S2554" i="3"/>
  <c r="T2554" i="3" s="1"/>
  <c r="U2553" i="3"/>
  <c r="S2553" i="3"/>
  <c r="T2553" i="3" s="1"/>
  <c r="U2552" i="3"/>
  <c r="T2552" i="3"/>
  <c r="S2552" i="3"/>
  <c r="U2551" i="3"/>
  <c r="T2551" i="3"/>
  <c r="S2551" i="3"/>
  <c r="U2550" i="3"/>
  <c r="S2550" i="3"/>
  <c r="T2550" i="3" s="1"/>
  <c r="U2549" i="3"/>
  <c r="S2549" i="3"/>
  <c r="T2549" i="3" s="1"/>
  <c r="U2548" i="3"/>
  <c r="S2548" i="3"/>
  <c r="T2548" i="3" s="1"/>
  <c r="U2547" i="3"/>
  <c r="S2547" i="3"/>
  <c r="T2547" i="3" s="1"/>
  <c r="U2546" i="3"/>
  <c r="S2546" i="3"/>
  <c r="T2546" i="3" s="1"/>
  <c r="U2545" i="3"/>
  <c r="S2545" i="3"/>
  <c r="T2545" i="3" s="1"/>
  <c r="U2544" i="3"/>
  <c r="T2544" i="3"/>
  <c r="S2544" i="3"/>
  <c r="U2543" i="3"/>
  <c r="T2543" i="3"/>
  <c r="S2543" i="3"/>
  <c r="U2542" i="3"/>
  <c r="T2542" i="3"/>
  <c r="S2542" i="3"/>
  <c r="U2541" i="3"/>
  <c r="S2541" i="3"/>
  <c r="T2541" i="3" s="1"/>
  <c r="U2540" i="3"/>
  <c r="S2540" i="3"/>
  <c r="T2540" i="3" s="1"/>
  <c r="U2539" i="3"/>
  <c r="S2539" i="3"/>
  <c r="T2539" i="3" s="1"/>
  <c r="U2538" i="3"/>
  <c r="S2538" i="3"/>
  <c r="T2538" i="3" s="1"/>
  <c r="U2537" i="3"/>
  <c r="S2537" i="3"/>
  <c r="T2537" i="3" s="1"/>
  <c r="U2536" i="3"/>
  <c r="T2536" i="3"/>
  <c r="S2536" i="3"/>
  <c r="U2535" i="3"/>
  <c r="T2535" i="3"/>
  <c r="S2535" i="3"/>
  <c r="U2534" i="3"/>
  <c r="T2534" i="3"/>
  <c r="S2534" i="3"/>
  <c r="U2533" i="3"/>
  <c r="T2533" i="3"/>
  <c r="S2533" i="3"/>
  <c r="U2532" i="3"/>
  <c r="S2532" i="3"/>
  <c r="T2532" i="3" s="1"/>
  <c r="U2531" i="3"/>
  <c r="S2531" i="3"/>
  <c r="T2531" i="3" s="1"/>
  <c r="U2530" i="3"/>
  <c r="S2530" i="3"/>
  <c r="T2530" i="3" s="1"/>
  <c r="U2529" i="3"/>
  <c r="S2529" i="3"/>
  <c r="T2529" i="3" s="1"/>
  <c r="U2528" i="3"/>
  <c r="S2528" i="3"/>
  <c r="T2528" i="3" s="1"/>
  <c r="U2527" i="3"/>
  <c r="T2527" i="3"/>
  <c r="S2527" i="3"/>
  <c r="U2526" i="3"/>
  <c r="T2526" i="3"/>
  <c r="S2526" i="3"/>
  <c r="U2525" i="3"/>
  <c r="T2525" i="3"/>
  <c r="S2525" i="3"/>
  <c r="U2524" i="3"/>
  <c r="T2524" i="3"/>
  <c r="S2524" i="3"/>
  <c r="U2523" i="3"/>
  <c r="S2523" i="3"/>
  <c r="T2523" i="3" s="1"/>
  <c r="U2522" i="3"/>
  <c r="S2522" i="3"/>
  <c r="T2522" i="3" s="1"/>
  <c r="U2521" i="3"/>
  <c r="S2521" i="3"/>
  <c r="T2521" i="3" s="1"/>
  <c r="U2520" i="3"/>
  <c r="S2520" i="3"/>
  <c r="T2520" i="3" s="1"/>
  <c r="U2519" i="3"/>
  <c r="S2519" i="3"/>
  <c r="T2519" i="3" s="1"/>
  <c r="U2518" i="3"/>
  <c r="T2518" i="3"/>
  <c r="S2518" i="3"/>
  <c r="U2517" i="3"/>
  <c r="T2517" i="3"/>
  <c r="S2517" i="3"/>
  <c r="U2516" i="3"/>
  <c r="T2516" i="3"/>
  <c r="S2516" i="3"/>
  <c r="U2515" i="3"/>
  <c r="S2515" i="3"/>
  <c r="T2515" i="3" s="1"/>
  <c r="U2514" i="3"/>
  <c r="S2514" i="3"/>
  <c r="T2514" i="3" s="1"/>
  <c r="U2513" i="3"/>
  <c r="S2513" i="3"/>
  <c r="T2513" i="3" s="1"/>
  <c r="U2512" i="3"/>
  <c r="S2512" i="3"/>
  <c r="T2512" i="3" s="1"/>
  <c r="U2511" i="3"/>
  <c r="S2511" i="3"/>
  <c r="T2511" i="3" s="1"/>
  <c r="U2510" i="3"/>
  <c r="S2510" i="3"/>
  <c r="T2510" i="3" s="1"/>
  <c r="U2509" i="3"/>
  <c r="T2509" i="3"/>
  <c r="S2509" i="3"/>
  <c r="U2508" i="3"/>
  <c r="T2508" i="3"/>
  <c r="S2508" i="3"/>
  <c r="U2507" i="3"/>
  <c r="S2507" i="3"/>
  <c r="T2507" i="3" s="1"/>
  <c r="U2506" i="3"/>
  <c r="S2506" i="3"/>
  <c r="T2506" i="3" s="1"/>
  <c r="U2505" i="3"/>
  <c r="S2505" i="3"/>
  <c r="T2505" i="3" s="1"/>
  <c r="U2504" i="3"/>
  <c r="S2504" i="3"/>
  <c r="T2504" i="3" s="1"/>
  <c r="U2503" i="3"/>
  <c r="S2503" i="3"/>
  <c r="T2503" i="3" s="1"/>
  <c r="U2502" i="3"/>
  <c r="S2502" i="3"/>
  <c r="T2502" i="3" s="1"/>
  <c r="U2501" i="3"/>
  <c r="S2501" i="3"/>
  <c r="T2501" i="3" s="1"/>
  <c r="U2500" i="3"/>
  <c r="T2500" i="3"/>
  <c r="S2500" i="3"/>
  <c r="U2499" i="3"/>
  <c r="S2499" i="3"/>
  <c r="T2499" i="3" s="1"/>
  <c r="U2498" i="3"/>
  <c r="S2498" i="3"/>
  <c r="T2498" i="3" s="1"/>
  <c r="U2497" i="3"/>
  <c r="S2497" i="3"/>
  <c r="T2497" i="3" s="1"/>
  <c r="U2496" i="3"/>
  <c r="T2496" i="3"/>
  <c r="S2496" i="3"/>
  <c r="U2495" i="3"/>
  <c r="S2495" i="3"/>
  <c r="T2495" i="3" s="1"/>
  <c r="U2494" i="3"/>
  <c r="S2494" i="3"/>
  <c r="T2494" i="3" s="1"/>
  <c r="U2493" i="3"/>
  <c r="S2493" i="3"/>
  <c r="T2493" i="3" s="1"/>
  <c r="U2492" i="3"/>
  <c r="S2492" i="3"/>
  <c r="T2492" i="3" s="1"/>
  <c r="U2491" i="3"/>
  <c r="S2491" i="3"/>
  <c r="T2491" i="3" s="1"/>
  <c r="U2490" i="3"/>
  <c r="S2490" i="3"/>
  <c r="T2490" i="3" s="1"/>
  <c r="U2489" i="3"/>
  <c r="S2489" i="3"/>
  <c r="T2489" i="3" s="1"/>
  <c r="U2488" i="3"/>
  <c r="T2488" i="3"/>
  <c r="S2488" i="3"/>
  <c r="U2487" i="3"/>
  <c r="T2487" i="3"/>
  <c r="S2487" i="3"/>
  <c r="U2486" i="3"/>
  <c r="S2486" i="3"/>
  <c r="T2486" i="3" s="1"/>
  <c r="U2485" i="3"/>
  <c r="S2485" i="3"/>
  <c r="T2485" i="3" s="1"/>
  <c r="U2484" i="3"/>
  <c r="S2484" i="3"/>
  <c r="T2484" i="3" s="1"/>
  <c r="U2483" i="3"/>
  <c r="S2483" i="3"/>
  <c r="T2483" i="3" s="1"/>
  <c r="U2482" i="3"/>
  <c r="S2482" i="3"/>
  <c r="T2482" i="3" s="1"/>
  <c r="U2481" i="3"/>
  <c r="S2481" i="3"/>
  <c r="T2481" i="3" s="1"/>
  <c r="U2480" i="3"/>
  <c r="T2480" i="3"/>
  <c r="S2480" i="3"/>
  <c r="U2479" i="3"/>
  <c r="T2479" i="3"/>
  <c r="S2479" i="3"/>
  <c r="U2478" i="3"/>
  <c r="T2478" i="3"/>
  <c r="S2478" i="3"/>
  <c r="U2477" i="3"/>
  <c r="S2477" i="3"/>
  <c r="T2477" i="3" s="1"/>
  <c r="U2476" i="3"/>
  <c r="S2476" i="3"/>
  <c r="T2476" i="3" s="1"/>
  <c r="U2475" i="3"/>
  <c r="S2475" i="3"/>
  <c r="T2475" i="3" s="1"/>
  <c r="U2474" i="3"/>
  <c r="S2474" i="3"/>
  <c r="T2474" i="3" s="1"/>
  <c r="U2473" i="3"/>
  <c r="S2473" i="3"/>
  <c r="T2473" i="3" s="1"/>
  <c r="U2472" i="3"/>
  <c r="T2472" i="3"/>
  <c r="S2472" i="3"/>
  <c r="U2471" i="3"/>
  <c r="T2471" i="3"/>
  <c r="S2471" i="3"/>
  <c r="U2470" i="3"/>
  <c r="T2470" i="3"/>
  <c r="S2470" i="3"/>
  <c r="U2469" i="3"/>
  <c r="T2469" i="3"/>
  <c r="S2469" i="3"/>
  <c r="U2468" i="3"/>
  <c r="S2468" i="3"/>
  <c r="T2468" i="3" s="1"/>
  <c r="U2467" i="3"/>
  <c r="S2467" i="3"/>
  <c r="T2467" i="3" s="1"/>
  <c r="U2466" i="3"/>
  <c r="S2466" i="3"/>
  <c r="T2466" i="3" s="1"/>
  <c r="U2465" i="3"/>
  <c r="S2465" i="3"/>
  <c r="T2465" i="3" s="1"/>
  <c r="U2464" i="3"/>
  <c r="S2464" i="3"/>
  <c r="T2464" i="3" s="1"/>
  <c r="U2463" i="3"/>
  <c r="T2463" i="3"/>
  <c r="S2463" i="3"/>
  <c r="U2462" i="3"/>
  <c r="T2462" i="3"/>
  <c r="S2462" i="3"/>
  <c r="U2461" i="3"/>
  <c r="T2461" i="3"/>
  <c r="S2461" i="3"/>
  <c r="U2460" i="3"/>
  <c r="T2460" i="3"/>
  <c r="S2460" i="3"/>
  <c r="U2459" i="3"/>
  <c r="S2459" i="3"/>
  <c r="T2459" i="3" s="1"/>
  <c r="U2458" i="3"/>
  <c r="S2458" i="3"/>
  <c r="T2458" i="3" s="1"/>
  <c r="U2457" i="3"/>
  <c r="S2457" i="3"/>
  <c r="T2457" i="3" s="1"/>
  <c r="U2456" i="3"/>
  <c r="S2456" i="3"/>
  <c r="T2456" i="3" s="1"/>
  <c r="U2455" i="3"/>
  <c r="S2455" i="3"/>
  <c r="T2455" i="3" s="1"/>
  <c r="U2454" i="3"/>
  <c r="T2454" i="3"/>
  <c r="S2454" i="3"/>
  <c r="U2453" i="3"/>
  <c r="T2453" i="3"/>
  <c r="S2453" i="3"/>
  <c r="U2452" i="3"/>
  <c r="T2452" i="3"/>
  <c r="S2452" i="3"/>
  <c r="U2451" i="3"/>
  <c r="S2451" i="3"/>
  <c r="T2451" i="3" s="1"/>
  <c r="U2450" i="3"/>
  <c r="S2450" i="3"/>
  <c r="T2450" i="3" s="1"/>
  <c r="U2449" i="3"/>
  <c r="S2449" i="3"/>
  <c r="T2449" i="3" s="1"/>
  <c r="U2448" i="3"/>
  <c r="S2448" i="3"/>
  <c r="T2448" i="3" s="1"/>
  <c r="U2447" i="3"/>
  <c r="S2447" i="3"/>
  <c r="T2447" i="3" s="1"/>
  <c r="U2446" i="3"/>
  <c r="S2446" i="3"/>
  <c r="T2446" i="3" s="1"/>
  <c r="U2445" i="3"/>
  <c r="T2445" i="3"/>
  <c r="S2445" i="3"/>
  <c r="U2444" i="3"/>
  <c r="T2444" i="3"/>
  <c r="S2444" i="3"/>
  <c r="U2443" i="3"/>
  <c r="S2443" i="3"/>
  <c r="T2443" i="3" s="1"/>
  <c r="U2442" i="3"/>
  <c r="S2442" i="3"/>
  <c r="T2442" i="3" s="1"/>
  <c r="U2441" i="3"/>
  <c r="S2441" i="3"/>
  <c r="T2441" i="3" s="1"/>
  <c r="U2440" i="3"/>
  <c r="S2440" i="3"/>
  <c r="T2440" i="3" s="1"/>
  <c r="U2439" i="3"/>
  <c r="S2439" i="3"/>
  <c r="T2439" i="3" s="1"/>
  <c r="U2438" i="3"/>
  <c r="S2438" i="3"/>
  <c r="T2438" i="3" s="1"/>
  <c r="U2437" i="3"/>
  <c r="S2437" i="3"/>
  <c r="T2437" i="3" s="1"/>
  <c r="U2436" i="3"/>
  <c r="T2436" i="3"/>
  <c r="S2436" i="3"/>
  <c r="U2435" i="3"/>
  <c r="S2435" i="3"/>
  <c r="T2435" i="3" s="1"/>
  <c r="U2434" i="3"/>
  <c r="S2434" i="3"/>
  <c r="T2434" i="3" s="1"/>
  <c r="U2433" i="3"/>
  <c r="S2433" i="3"/>
  <c r="T2433" i="3" s="1"/>
  <c r="U2432" i="3"/>
  <c r="T2432" i="3"/>
  <c r="S2432" i="3"/>
  <c r="U2431" i="3"/>
  <c r="S2431" i="3"/>
  <c r="T2431" i="3" s="1"/>
  <c r="U2430" i="3"/>
  <c r="S2430" i="3"/>
  <c r="T2430" i="3" s="1"/>
  <c r="U2429" i="3"/>
  <c r="S2429" i="3"/>
  <c r="T2429" i="3" s="1"/>
  <c r="U2428" i="3"/>
  <c r="S2428" i="3"/>
  <c r="T2428" i="3" s="1"/>
  <c r="U2427" i="3"/>
  <c r="S2427" i="3"/>
  <c r="T2427" i="3" s="1"/>
  <c r="U2426" i="3"/>
  <c r="S2426" i="3"/>
  <c r="T2426" i="3" s="1"/>
  <c r="U2425" i="3"/>
  <c r="S2425" i="3"/>
  <c r="T2425" i="3" s="1"/>
  <c r="U2424" i="3"/>
  <c r="T2424" i="3"/>
  <c r="S2424" i="3"/>
  <c r="U2423" i="3"/>
  <c r="T2423" i="3"/>
  <c r="S2423" i="3"/>
  <c r="U2422" i="3"/>
  <c r="S2422" i="3"/>
  <c r="T2422" i="3" s="1"/>
  <c r="U2421" i="3"/>
  <c r="S2421" i="3"/>
  <c r="T2421" i="3" s="1"/>
  <c r="U2420" i="3"/>
  <c r="S2420" i="3"/>
  <c r="T2420" i="3" s="1"/>
  <c r="U2419" i="3"/>
  <c r="S2419" i="3"/>
  <c r="T2419" i="3" s="1"/>
  <c r="U2418" i="3"/>
  <c r="S2418" i="3"/>
  <c r="T2418" i="3" s="1"/>
  <c r="U2417" i="3"/>
  <c r="S2417" i="3"/>
  <c r="T2417" i="3" s="1"/>
  <c r="U2416" i="3"/>
  <c r="T2416" i="3"/>
  <c r="S2416" i="3"/>
  <c r="U2415" i="3"/>
  <c r="T2415" i="3"/>
  <c r="S2415" i="3"/>
  <c r="U2414" i="3"/>
  <c r="T2414" i="3"/>
  <c r="S2414" i="3"/>
  <c r="U2413" i="3"/>
  <c r="S2413" i="3"/>
  <c r="T2413" i="3" s="1"/>
  <c r="U2412" i="3"/>
  <c r="S2412" i="3"/>
  <c r="T2412" i="3" s="1"/>
  <c r="U2411" i="3"/>
  <c r="S2411" i="3"/>
  <c r="T2411" i="3" s="1"/>
  <c r="U2410" i="3"/>
  <c r="S2410" i="3"/>
  <c r="T2410" i="3" s="1"/>
  <c r="U2409" i="3"/>
  <c r="S2409" i="3"/>
  <c r="T2409" i="3" s="1"/>
  <c r="U2408" i="3"/>
  <c r="T2408" i="3"/>
  <c r="S2408" i="3"/>
  <c r="U2407" i="3"/>
  <c r="T2407" i="3"/>
  <c r="S2407" i="3"/>
  <c r="U2406" i="3"/>
  <c r="T2406" i="3"/>
  <c r="S2406" i="3"/>
  <c r="U2405" i="3"/>
  <c r="T2405" i="3"/>
  <c r="S2405" i="3"/>
  <c r="U2404" i="3"/>
  <c r="S2404" i="3"/>
  <c r="T2404" i="3" s="1"/>
  <c r="U2403" i="3"/>
  <c r="S2403" i="3"/>
  <c r="T2403" i="3" s="1"/>
  <c r="U2402" i="3"/>
  <c r="S2402" i="3"/>
  <c r="T2402" i="3" s="1"/>
  <c r="U2401" i="3"/>
  <c r="S2401" i="3"/>
  <c r="T2401" i="3" s="1"/>
  <c r="U2400" i="3"/>
  <c r="S2400" i="3"/>
  <c r="T2400" i="3" s="1"/>
  <c r="U2399" i="3"/>
  <c r="T2399" i="3"/>
  <c r="S2399" i="3"/>
  <c r="U2398" i="3"/>
  <c r="T2398" i="3"/>
  <c r="S2398" i="3"/>
  <c r="U2397" i="3"/>
  <c r="T2397" i="3"/>
  <c r="S2397" i="3"/>
  <c r="U2396" i="3"/>
  <c r="T2396" i="3"/>
  <c r="S2396" i="3"/>
  <c r="U2395" i="3"/>
  <c r="S2395" i="3"/>
  <c r="T2395" i="3" s="1"/>
  <c r="U2394" i="3"/>
  <c r="S2394" i="3"/>
  <c r="T2394" i="3" s="1"/>
  <c r="U2393" i="3"/>
  <c r="S2393" i="3"/>
  <c r="T2393" i="3" s="1"/>
  <c r="U2392" i="3"/>
  <c r="S2392" i="3"/>
  <c r="T2392" i="3" s="1"/>
  <c r="U2391" i="3"/>
  <c r="S2391" i="3"/>
  <c r="T2391" i="3" s="1"/>
  <c r="U2390" i="3"/>
  <c r="T2390" i="3"/>
  <c r="S2390" i="3"/>
  <c r="U2389" i="3"/>
  <c r="T2389" i="3"/>
  <c r="S2389" i="3"/>
  <c r="U2388" i="3"/>
  <c r="T2388" i="3"/>
  <c r="S2388" i="3"/>
  <c r="U2387" i="3"/>
  <c r="S2387" i="3"/>
  <c r="T2387" i="3" s="1"/>
  <c r="U2386" i="3"/>
  <c r="S2386" i="3"/>
  <c r="T2386" i="3" s="1"/>
  <c r="U2385" i="3"/>
  <c r="S2385" i="3"/>
  <c r="T2385" i="3" s="1"/>
  <c r="U2384" i="3"/>
  <c r="S2384" i="3"/>
  <c r="T2384" i="3" s="1"/>
  <c r="U2383" i="3"/>
  <c r="S2383" i="3"/>
  <c r="T2383" i="3" s="1"/>
  <c r="U2382" i="3"/>
  <c r="S2382" i="3"/>
  <c r="T2382" i="3" s="1"/>
  <c r="U2381" i="3"/>
  <c r="T2381" i="3"/>
  <c r="S2381" i="3"/>
  <c r="U2380" i="3"/>
  <c r="T2380" i="3"/>
  <c r="S2380" i="3"/>
  <c r="U2379" i="3"/>
  <c r="S2379" i="3"/>
  <c r="T2379" i="3" s="1"/>
  <c r="U2378" i="3"/>
  <c r="S2378" i="3"/>
  <c r="T2378" i="3" s="1"/>
  <c r="U2377" i="3"/>
  <c r="S2377" i="3"/>
  <c r="T2377" i="3" s="1"/>
  <c r="U2376" i="3"/>
  <c r="S2376" i="3"/>
  <c r="T2376" i="3" s="1"/>
  <c r="U2375" i="3"/>
  <c r="S2375" i="3"/>
  <c r="T2375" i="3" s="1"/>
  <c r="U2374" i="3"/>
  <c r="S2374" i="3"/>
  <c r="T2374" i="3" s="1"/>
  <c r="U2373" i="3"/>
  <c r="S2373" i="3"/>
  <c r="T2373" i="3" s="1"/>
  <c r="U2372" i="3"/>
  <c r="T2372" i="3"/>
  <c r="S2372" i="3"/>
  <c r="U2371" i="3"/>
  <c r="S2371" i="3"/>
  <c r="T2371" i="3" s="1"/>
  <c r="U2370" i="3"/>
  <c r="S2370" i="3"/>
  <c r="T2370" i="3" s="1"/>
  <c r="U2369" i="3"/>
  <c r="S2369" i="3"/>
  <c r="T2369" i="3" s="1"/>
  <c r="U2368" i="3"/>
  <c r="T2368" i="3"/>
  <c r="S2368" i="3"/>
  <c r="U2367" i="3"/>
  <c r="S2367" i="3"/>
  <c r="T2367" i="3" s="1"/>
  <c r="U2366" i="3"/>
  <c r="S2366" i="3"/>
  <c r="T2366" i="3" s="1"/>
  <c r="U2365" i="3"/>
  <c r="S2365" i="3"/>
  <c r="T2365" i="3" s="1"/>
  <c r="U2364" i="3"/>
  <c r="S2364" i="3"/>
  <c r="T2364" i="3" s="1"/>
  <c r="U2363" i="3"/>
  <c r="S2363" i="3"/>
  <c r="T2363" i="3" s="1"/>
  <c r="U2362" i="3"/>
  <c r="S2362" i="3"/>
  <c r="T2362" i="3" s="1"/>
  <c r="U2361" i="3"/>
  <c r="S2361" i="3"/>
  <c r="T2361" i="3" s="1"/>
  <c r="U2360" i="3"/>
  <c r="T2360" i="3"/>
  <c r="S2360" i="3"/>
  <c r="U2359" i="3"/>
  <c r="T2359" i="3"/>
  <c r="S2359" i="3"/>
  <c r="U2358" i="3"/>
  <c r="S2358" i="3"/>
  <c r="T2358" i="3" s="1"/>
  <c r="U2357" i="3"/>
  <c r="S2357" i="3"/>
  <c r="T2357" i="3" s="1"/>
  <c r="U2356" i="3"/>
  <c r="S2356" i="3"/>
  <c r="T2356" i="3" s="1"/>
  <c r="U2355" i="3"/>
  <c r="S2355" i="3"/>
  <c r="T2355" i="3" s="1"/>
  <c r="U2354" i="3"/>
  <c r="S2354" i="3"/>
  <c r="T2354" i="3" s="1"/>
  <c r="U2353" i="3"/>
  <c r="S2353" i="3"/>
  <c r="T2353" i="3" s="1"/>
  <c r="U2352" i="3"/>
  <c r="T2352" i="3"/>
  <c r="S2352" i="3"/>
  <c r="U2351" i="3"/>
  <c r="T2351" i="3"/>
  <c r="S2351" i="3"/>
  <c r="U2350" i="3"/>
  <c r="T2350" i="3"/>
  <c r="S2350" i="3"/>
  <c r="U2349" i="3"/>
  <c r="S2349" i="3"/>
  <c r="T2349" i="3" s="1"/>
  <c r="U2348" i="3"/>
  <c r="S2348" i="3"/>
  <c r="T2348" i="3" s="1"/>
  <c r="U2347" i="3"/>
  <c r="S2347" i="3"/>
  <c r="T2347" i="3" s="1"/>
  <c r="U2346" i="3"/>
  <c r="S2346" i="3"/>
  <c r="T2346" i="3" s="1"/>
  <c r="U2345" i="3"/>
  <c r="S2345" i="3"/>
  <c r="T2345" i="3" s="1"/>
  <c r="U2344" i="3"/>
  <c r="T2344" i="3"/>
  <c r="S2344" i="3"/>
  <c r="U2343" i="3"/>
  <c r="T2343" i="3"/>
  <c r="S2343" i="3"/>
  <c r="U2342" i="3"/>
  <c r="T2342" i="3"/>
  <c r="S2342" i="3"/>
  <c r="U2341" i="3"/>
  <c r="T2341" i="3"/>
  <c r="S2341" i="3"/>
  <c r="U2340" i="3"/>
  <c r="S2340" i="3"/>
  <c r="T2340" i="3" s="1"/>
  <c r="U2339" i="3"/>
  <c r="S2339" i="3"/>
  <c r="T2339" i="3" s="1"/>
  <c r="U2338" i="3"/>
  <c r="S2338" i="3"/>
  <c r="T2338" i="3" s="1"/>
  <c r="U2337" i="3"/>
  <c r="S2337" i="3"/>
  <c r="T2337" i="3" s="1"/>
  <c r="U2336" i="3"/>
  <c r="S2336" i="3"/>
  <c r="T2336" i="3" s="1"/>
  <c r="U2335" i="3"/>
  <c r="T2335" i="3"/>
  <c r="S2335" i="3"/>
  <c r="U2334" i="3"/>
  <c r="T2334" i="3"/>
  <c r="S2334" i="3"/>
  <c r="U2333" i="3"/>
  <c r="T2333" i="3"/>
  <c r="S2333" i="3"/>
  <c r="U2332" i="3"/>
  <c r="T2332" i="3"/>
  <c r="S2332" i="3"/>
  <c r="U2331" i="3"/>
  <c r="S2331" i="3"/>
  <c r="T2331" i="3" s="1"/>
  <c r="U2330" i="3"/>
  <c r="S2330" i="3"/>
  <c r="T2330" i="3" s="1"/>
  <c r="U2329" i="3"/>
  <c r="S2329" i="3"/>
  <c r="T2329" i="3" s="1"/>
  <c r="U2328" i="3"/>
  <c r="S2328" i="3"/>
  <c r="T2328" i="3" s="1"/>
  <c r="U2327" i="3"/>
  <c r="S2327" i="3"/>
  <c r="T2327" i="3" s="1"/>
  <c r="U2326" i="3"/>
  <c r="T2326" i="3"/>
  <c r="S2326" i="3"/>
  <c r="U2325" i="3"/>
  <c r="T2325" i="3"/>
  <c r="S2325" i="3"/>
  <c r="U2324" i="3"/>
  <c r="T2324" i="3"/>
  <c r="S2324" i="3"/>
  <c r="U2323" i="3"/>
  <c r="S2323" i="3"/>
  <c r="T2323" i="3" s="1"/>
  <c r="U2322" i="3"/>
  <c r="S2322" i="3"/>
  <c r="T2322" i="3" s="1"/>
  <c r="U2321" i="3"/>
  <c r="S2321" i="3"/>
  <c r="T2321" i="3" s="1"/>
  <c r="U2320" i="3"/>
  <c r="S2320" i="3"/>
  <c r="T2320" i="3" s="1"/>
  <c r="U2319" i="3"/>
  <c r="S2319" i="3"/>
  <c r="T2319" i="3" s="1"/>
  <c r="U2318" i="3"/>
  <c r="S2318" i="3"/>
  <c r="T2318" i="3" s="1"/>
  <c r="U2317" i="3"/>
  <c r="T2317" i="3"/>
  <c r="S2317" i="3"/>
  <c r="U2316" i="3"/>
  <c r="T2316" i="3"/>
  <c r="S2316" i="3"/>
  <c r="U2315" i="3"/>
  <c r="S2315" i="3"/>
  <c r="T2315" i="3" s="1"/>
  <c r="U2314" i="3"/>
  <c r="S2314" i="3"/>
  <c r="T2314" i="3" s="1"/>
  <c r="U2313" i="3"/>
  <c r="S2313" i="3"/>
  <c r="T2313" i="3" s="1"/>
  <c r="U2312" i="3"/>
  <c r="S2312" i="3"/>
  <c r="T2312" i="3" s="1"/>
  <c r="U2311" i="3"/>
  <c r="S2311" i="3"/>
  <c r="T2311" i="3" s="1"/>
  <c r="U2310" i="3"/>
  <c r="S2310" i="3"/>
  <c r="T2310" i="3" s="1"/>
  <c r="U2309" i="3"/>
  <c r="S2309" i="3"/>
  <c r="T2309" i="3" s="1"/>
  <c r="U2308" i="3"/>
  <c r="T2308" i="3"/>
  <c r="S2308" i="3"/>
  <c r="U2307" i="3"/>
  <c r="S2307" i="3"/>
  <c r="T2307" i="3" s="1"/>
  <c r="U2306" i="3"/>
  <c r="S2306" i="3"/>
  <c r="T2306" i="3" s="1"/>
  <c r="U2305" i="3"/>
  <c r="S2305" i="3"/>
  <c r="T2305" i="3" s="1"/>
  <c r="U2304" i="3"/>
  <c r="T2304" i="3"/>
  <c r="S2304" i="3"/>
  <c r="U2303" i="3"/>
  <c r="S2303" i="3"/>
  <c r="T2303" i="3" s="1"/>
  <c r="U1643" i="3"/>
  <c r="S1643" i="3"/>
  <c r="T1643" i="3" s="1"/>
  <c r="U1642" i="3"/>
  <c r="S1642" i="3"/>
  <c r="T1642" i="3" s="1"/>
  <c r="U1641" i="3"/>
  <c r="S1641" i="3"/>
  <c r="T1641" i="3" s="1"/>
  <c r="U1640" i="3"/>
  <c r="S1640" i="3"/>
  <c r="T1640" i="3" s="1"/>
  <c r="U1639" i="3"/>
  <c r="S1639" i="3"/>
  <c r="T1639" i="3" s="1"/>
  <c r="U1638" i="3"/>
  <c r="S1638" i="3"/>
  <c r="T1638" i="3" s="1"/>
  <c r="U1637" i="3"/>
  <c r="T1637" i="3"/>
  <c r="S1637" i="3"/>
  <c r="U1636" i="3"/>
  <c r="T1636" i="3"/>
  <c r="S1636" i="3"/>
  <c r="U1635" i="3"/>
  <c r="S1635" i="3"/>
  <c r="T1635" i="3" s="1"/>
  <c r="U1634" i="3"/>
  <c r="S1634" i="3"/>
  <c r="T1634" i="3" s="1"/>
  <c r="U1633" i="3"/>
  <c r="S1633" i="3"/>
  <c r="T1633" i="3" s="1"/>
  <c r="U1632" i="3"/>
  <c r="S1632" i="3"/>
  <c r="T1632" i="3" s="1"/>
  <c r="U1631" i="3"/>
  <c r="S1631" i="3"/>
  <c r="T1631" i="3" s="1"/>
  <c r="U1630" i="3"/>
  <c r="S1630" i="3"/>
  <c r="T1630" i="3" s="1"/>
  <c r="U1629" i="3"/>
  <c r="T1629" i="3"/>
  <c r="S1629" i="3"/>
  <c r="U1628" i="3"/>
  <c r="T1628" i="3"/>
  <c r="S1628" i="3"/>
  <c r="U1627" i="3"/>
  <c r="T1627" i="3"/>
  <c r="S1627" i="3"/>
  <c r="U1626" i="3"/>
  <c r="S1626" i="3"/>
  <c r="T1626" i="3" s="1"/>
  <c r="U1625" i="3"/>
  <c r="S1625" i="3"/>
  <c r="T1625" i="3" s="1"/>
  <c r="U1624" i="3"/>
  <c r="S1624" i="3"/>
  <c r="T1624" i="3" s="1"/>
  <c r="U1623" i="3"/>
  <c r="S1623" i="3"/>
  <c r="T1623" i="3" s="1"/>
  <c r="U1622" i="3"/>
  <c r="S1622" i="3"/>
  <c r="T1622" i="3" s="1"/>
  <c r="U1621" i="3"/>
  <c r="T1621" i="3"/>
  <c r="S1621" i="3"/>
  <c r="U1620" i="3"/>
  <c r="T1620" i="3"/>
  <c r="S1620" i="3"/>
  <c r="U1619" i="3"/>
  <c r="T1619" i="3"/>
  <c r="S1619" i="3"/>
  <c r="U1618" i="3"/>
  <c r="T1618" i="3"/>
  <c r="S1618" i="3"/>
  <c r="U1617" i="3"/>
  <c r="S1617" i="3"/>
  <c r="T1617" i="3" s="1"/>
  <c r="U1616" i="3"/>
  <c r="S1616" i="3"/>
  <c r="T1616" i="3" s="1"/>
  <c r="U1615" i="3"/>
  <c r="S1615" i="3"/>
  <c r="T1615" i="3" s="1"/>
  <c r="U1614" i="3"/>
  <c r="S1614" i="3"/>
  <c r="T1614" i="3" s="1"/>
  <c r="U1613" i="3"/>
  <c r="S1613" i="3"/>
  <c r="T1613" i="3" s="1"/>
  <c r="U1612" i="3"/>
  <c r="T1612" i="3"/>
  <c r="S1612" i="3"/>
  <c r="U1611" i="3"/>
  <c r="T1611" i="3"/>
  <c r="S1611" i="3"/>
  <c r="U1610" i="3"/>
  <c r="T1610" i="3"/>
  <c r="S1610" i="3"/>
  <c r="U1609" i="3"/>
  <c r="T1609" i="3"/>
  <c r="S1609" i="3"/>
  <c r="U1608" i="3"/>
  <c r="S1608" i="3"/>
  <c r="T1608" i="3" s="1"/>
  <c r="U1607" i="3"/>
  <c r="S1607" i="3"/>
  <c r="T1607" i="3" s="1"/>
  <c r="U1606" i="3"/>
  <c r="S1606" i="3"/>
  <c r="T1606" i="3" s="1"/>
  <c r="U1605" i="3"/>
  <c r="S1605" i="3"/>
  <c r="T1605" i="3" s="1"/>
  <c r="U1604" i="3"/>
  <c r="S1604" i="3"/>
  <c r="T1604" i="3" s="1"/>
  <c r="U1603" i="3"/>
  <c r="T1603" i="3"/>
  <c r="S1603" i="3"/>
  <c r="U1602" i="3"/>
  <c r="T1602" i="3"/>
  <c r="S1602" i="3"/>
  <c r="U1601" i="3"/>
  <c r="T1601" i="3"/>
  <c r="S1601" i="3"/>
  <c r="U1600" i="3"/>
  <c r="S1600" i="3"/>
  <c r="T1600" i="3" s="1"/>
  <c r="U1599" i="3"/>
  <c r="S1599" i="3"/>
  <c r="T1599" i="3" s="1"/>
  <c r="U1598" i="3"/>
  <c r="S1598" i="3"/>
  <c r="T1598" i="3" s="1"/>
  <c r="U1597" i="3"/>
  <c r="S1597" i="3"/>
  <c r="T1597" i="3" s="1"/>
  <c r="U1596" i="3"/>
  <c r="S1596" i="3"/>
  <c r="T1596" i="3" s="1"/>
  <c r="U1595" i="3"/>
  <c r="S1595" i="3"/>
  <c r="T1595" i="3" s="1"/>
  <c r="U1594" i="3"/>
  <c r="T1594" i="3"/>
  <c r="S1594" i="3"/>
  <c r="U1593" i="3"/>
  <c r="T1593" i="3"/>
  <c r="S1593" i="3"/>
  <c r="U1592" i="3"/>
  <c r="S1592" i="3"/>
  <c r="T1592" i="3" s="1"/>
  <c r="U1591" i="3"/>
  <c r="S1591" i="3"/>
  <c r="T1591" i="3" s="1"/>
  <c r="U1590" i="3"/>
  <c r="S1590" i="3"/>
  <c r="T1590" i="3" s="1"/>
  <c r="U1589" i="3"/>
  <c r="S1589" i="3"/>
  <c r="T1589" i="3" s="1"/>
  <c r="U1588" i="3"/>
  <c r="T1588" i="3"/>
  <c r="S1588" i="3"/>
  <c r="U1587" i="3"/>
  <c r="T1587" i="3"/>
  <c r="S1587" i="3"/>
  <c r="U1586" i="3"/>
  <c r="S1586" i="3"/>
  <c r="T1586" i="3" s="1"/>
  <c r="U1585" i="3"/>
  <c r="S1585" i="3"/>
  <c r="T1585" i="3" s="1"/>
  <c r="U1584" i="3"/>
  <c r="S1584" i="3"/>
  <c r="T1584" i="3" s="1"/>
  <c r="U1583" i="3"/>
  <c r="S1583" i="3"/>
  <c r="T1583" i="3" s="1"/>
  <c r="U1582" i="3"/>
  <c r="S1582" i="3"/>
  <c r="T1582" i="3" s="1"/>
  <c r="U1581" i="3"/>
  <c r="T1581" i="3"/>
  <c r="S1581" i="3"/>
  <c r="U1580" i="3"/>
  <c r="S1580" i="3"/>
  <c r="T1580" i="3" s="1"/>
  <c r="U1579" i="3"/>
  <c r="S1579" i="3"/>
  <c r="T1579" i="3" s="1"/>
  <c r="U1578" i="3"/>
  <c r="T1578" i="3"/>
  <c r="S1578" i="3"/>
  <c r="U1577" i="3"/>
  <c r="T1577" i="3"/>
  <c r="S1577" i="3"/>
  <c r="U1576" i="3"/>
  <c r="S1576" i="3"/>
  <c r="T1576" i="3" s="1"/>
  <c r="U1575" i="3"/>
  <c r="S1575" i="3"/>
  <c r="T1575" i="3" s="1"/>
  <c r="U1574" i="3"/>
  <c r="S1574" i="3"/>
  <c r="T1574" i="3" s="1"/>
  <c r="U1573" i="3"/>
  <c r="S1573" i="3"/>
  <c r="T1573" i="3" s="1"/>
  <c r="U1572" i="3"/>
  <c r="T1572" i="3"/>
  <c r="S1572" i="3"/>
  <c r="U1571" i="3"/>
  <c r="T1571" i="3"/>
  <c r="S1571" i="3"/>
  <c r="U1570" i="3"/>
  <c r="S1570" i="3"/>
  <c r="T1570" i="3" s="1"/>
  <c r="U1569" i="3"/>
  <c r="S1569" i="3"/>
  <c r="T1569" i="3" s="1"/>
  <c r="U1568" i="3"/>
  <c r="S1568" i="3"/>
  <c r="T1568" i="3" s="1"/>
  <c r="U1567" i="3"/>
  <c r="S1567" i="3"/>
  <c r="T1567" i="3" s="1"/>
  <c r="U1566" i="3"/>
  <c r="S1566" i="3"/>
  <c r="T1566" i="3" s="1"/>
  <c r="U1565" i="3"/>
  <c r="T1565" i="3"/>
  <c r="S1565" i="3"/>
  <c r="U1564" i="3"/>
  <c r="S1564" i="3"/>
  <c r="T1564" i="3" s="1"/>
  <c r="U1563" i="3"/>
  <c r="S1563" i="3"/>
  <c r="T1563" i="3" s="1"/>
  <c r="U1562" i="3"/>
  <c r="T1562" i="3"/>
  <c r="S1562" i="3"/>
  <c r="U1561" i="3"/>
  <c r="T1561" i="3"/>
  <c r="S1561" i="3"/>
  <c r="U1560" i="3"/>
  <c r="S1560" i="3"/>
  <c r="T1560" i="3" s="1"/>
  <c r="U1559" i="3"/>
  <c r="S1559" i="3"/>
  <c r="T1559" i="3" s="1"/>
  <c r="U1558" i="3"/>
  <c r="S1558" i="3"/>
  <c r="T1558" i="3" s="1"/>
  <c r="U1557" i="3"/>
  <c r="S1557" i="3"/>
  <c r="T1557" i="3" s="1"/>
  <c r="U1556" i="3"/>
  <c r="T1556" i="3"/>
  <c r="S1556" i="3"/>
  <c r="U1555" i="3"/>
  <c r="T1555" i="3"/>
  <c r="S1555" i="3"/>
  <c r="U1554" i="3"/>
  <c r="S1554" i="3"/>
  <c r="T1554" i="3" s="1"/>
  <c r="U1553" i="3"/>
  <c r="S1553" i="3"/>
  <c r="T1553" i="3" s="1"/>
  <c r="U1552" i="3"/>
  <c r="S1552" i="3"/>
  <c r="T1552" i="3" s="1"/>
  <c r="U1551" i="3"/>
  <c r="S1551" i="3"/>
  <c r="T1551" i="3" s="1"/>
  <c r="U1550" i="3"/>
  <c r="S1550" i="3"/>
  <c r="T1550" i="3" s="1"/>
  <c r="U1549" i="3"/>
  <c r="T1549" i="3"/>
  <c r="S1549" i="3"/>
  <c r="U1548" i="3"/>
  <c r="S1548" i="3"/>
  <c r="T1548" i="3" s="1"/>
  <c r="U1547" i="3"/>
  <c r="S1547" i="3"/>
  <c r="T1547" i="3" s="1"/>
  <c r="U1546" i="3"/>
  <c r="T1546" i="3"/>
  <c r="S1546" i="3"/>
  <c r="U1545" i="3"/>
  <c r="T1545" i="3"/>
  <c r="S1545" i="3"/>
  <c r="U1544" i="3"/>
  <c r="S1544" i="3"/>
  <c r="T1544" i="3" s="1"/>
  <c r="U1543" i="3"/>
  <c r="S1543" i="3"/>
  <c r="T1543" i="3" s="1"/>
  <c r="U1542" i="3"/>
  <c r="S1542" i="3"/>
  <c r="T1542" i="3" s="1"/>
  <c r="U1541" i="3"/>
  <c r="S1541" i="3"/>
  <c r="T1541" i="3" s="1"/>
  <c r="U1540" i="3"/>
  <c r="T1540" i="3"/>
  <c r="S1540" i="3"/>
  <c r="U1539" i="3"/>
  <c r="T1539" i="3"/>
  <c r="S1539" i="3"/>
  <c r="U1538" i="3"/>
  <c r="S1538" i="3"/>
  <c r="T1538" i="3" s="1"/>
  <c r="U1537" i="3"/>
  <c r="S1537" i="3"/>
  <c r="T1537" i="3" s="1"/>
  <c r="U1536" i="3"/>
  <c r="S1536" i="3"/>
  <c r="T1536" i="3" s="1"/>
  <c r="U1535" i="3"/>
  <c r="S1535" i="3"/>
  <c r="T1535" i="3" s="1"/>
  <c r="U1534" i="3"/>
  <c r="S1534" i="3"/>
  <c r="T1534" i="3" s="1"/>
  <c r="U1533" i="3"/>
  <c r="T1533" i="3"/>
  <c r="S1533" i="3"/>
  <c r="U1532" i="3"/>
  <c r="S1532" i="3"/>
  <c r="T1532" i="3" s="1"/>
  <c r="U1531" i="3"/>
  <c r="S1531" i="3"/>
  <c r="T1531" i="3" s="1"/>
  <c r="U1530" i="3"/>
  <c r="T1530" i="3"/>
  <c r="S1530" i="3"/>
  <c r="U1529" i="3"/>
  <c r="T1529" i="3"/>
  <c r="S1529" i="3"/>
  <c r="U1528" i="3"/>
  <c r="S1528" i="3"/>
  <c r="T1528" i="3" s="1"/>
  <c r="U1527" i="3"/>
  <c r="S1527" i="3"/>
  <c r="T1527" i="3" s="1"/>
  <c r="U1526" i="3"/>
  <c r="S1526" i="3"/>
  <c r="T1526" i="3" s="1"/>
  <c r="U1525" i="3"/>
  <c r="S1525" i="3"/>
  <c r="T1525" i="3" s="1"/>
  <c r="U1524" i="3"/>
  <c r="T1524" i="3"/>
  <c r="S1524" i="3"/>
  <c r="U1523" i="3"/>
  <c r="T1523" i="3"/>
  <c r="S1523" i="3"/>
  <c r="U1522" i="3"/>
  <c r="S1522" i="3"/>
  <c r="T1522" i="3" s="1"/>
  <c r="U1521" i="3"/>
  <c r="S1521" i="3"/>
  <c r="T1521" i="3" s="1"/>
  <c r="U1520" i="3"/>
  <c r="S1520" i="3"/>
  <c r="T1520" i="3" s="1"/>
  <c r="U1519" i="3"/>
  <c r="S1519" i="3"/>
  <c r="T1519" i="3" s="1"/>
  <c r="U1518" i="3"/>
  <c r="S1518" i="3"/>
  <c r="T1518" i="3" s="1"/>
  <c r="U1517" i="3"/>
  <c r="T1517" i="3"/>
  <c r="S1517" i="3"/>
  <c r="U1516" i="3"/>
  <c r="S1516" i="3"/>
  <c r="T1516" i="3" s="1"/>
  <c r="U1515" i="3"/>
  <c r="S1515" i="3"/>
  <c r="T1515" i="3" s="1"/>
  <c r="U1514" i="3"/>
  <c r="T1514" i="3"/>
  <c r="S1514" i="3"/>
  <c r="U1513" i="3"/>
  <c r="T1513" i="3"/>
  <c r="S1513" i="3"/>
  <c r="U1512" i="3"/>
  <c r="S1512" i="3"/>
  <c r="T1512" i="3" s="1"/>
  <c r="U1511" i="3"/>
  <c r="S1511" i="3"/>
  <c r="T1511" i="3" s="1"/>
  <c r="U1510" i="3"/>
  <c r="S1510" i="3"/>
  <c r="T1510" i="3" s="1"/>
  <c r="U1509" i="3"/>
  <c r="S1509" i="3"/>
  <c r="T1509" i="3" s="1"/>
  <c r="U1508" i="3"/>
  <c r="T1508" i="3"/>
  <c r="S1508" i="3"/>
  <c r="U1507" i="3"/>
  <c r="T1507" i="3"/>
  <c r="S1507" i="3"/>
  <c r="U1506" i="3"/>
  <c r="S1506" i="3"/>
  <c r="T1506" i="3" s="1"/>
  <c r="U1505" i="3"/>
  <c r="S1505" i="3"/>
  <c r="T1505" i="3" s="1"/>
  <c r="U1504" i="3"/>
  <c r="S1504" i="3"/>
  <c r="T1504" i="3" s="1"/>
  <c r="U1503" i="3"/>
  <c r="S1503" i="3"/>
  <c r="T1503" i="3" s="1"/>
  <c r="U1502" i="3"/>
  <c r="S1502" i="3"/>
  <c r="T1502" i="3" s="1"/>
  <c r="U1501" i="3"/>
  <c r="T1501" i="3"/>
  <c r="S1501" i="3"/>
  <c r="U1500" i="3"/>
  <c r="S1500" i="3"/>
  <c r="T1500" i="3" s="1"/>
  <c r="U1499" i="3"/>
  <c r="S1499" i="3"/>
  <c r="T1499" i="3" s="1"/>
  <c r="U1498" i="3"/>
  <c r="T1498" i="3"/>
  <c r="S1498" i="3"/>
  <c r="U1497" i="3"/>
  <c r="T1497" i="3"/>
  <c r="S1497" i="3"/>
  <c r="U1496" i="3"/>
  <c r="S1496" i="3"/>
  <c r="T1496" i="3" s="1"/>
  <c r="U1495" i="3"/>
  <c r="S1495" i="3"/>
  <c r="T1495" i="3" s="1"/>
  <c r="U1494" i="3"/>
  <c r="S1494" i="3"/>
  <c r="T1494" i="3" s="1"/>
  <c r="U1493" i="3"/>
  <c r="S1493" i="3"/>
  <c r="T1493" i="3" s="1"/>
  <c r="U1492" i="3"/>
  <c r="T1492" i="3"/>
  <c r="S1492" i="3"/>
  <c r="U1491" i="3"/>
  <c r="T1491" i="3"/>
  <c r="S1491" i="3"/>
  <c r="U1490" i="3"/>
  <c r="S1490" i="3"/>
  <c r="T1490" i="3" s="1"/>
  <c r="U1489" i="3"/>
  <c r="S1489" i="3"/>
  <c r="T1489" i="3" s="1"/>
  <c r="U1488" i="3"/>
  <c r="S1488" i="3"/>
  <c r="T1488" i="3" s="1"/>
  <c r="U1487" i="3"/>
  <c r="S1487" i="3"/>
  <c r="T1487" i="3" s="1"/>
  <c r="U1486" i="3"/>
  <c r="S1486" i="3"/>
  <c r="T1486" i="3" s="1"/>
  <c r="U1485" i="3"/>
  <c r="T1485" i="3"/>
  <c r="S1485" i="3"/>
  <c r="U1484" i="3"/>
  <c r="S1484" i="3"/>
  <c r="T1484" i="3" s="1"/>
  <c r="U1483" i="3"/>
  <c r="S1483" i="3"/>
  <c r="T1483" i="3" s="1"/>
  <c r="U1482" i="3"/>
  <c r="T1482" i="3"/>
  <c r="S1482" i="3"/>
  <c r="U1481" i="3"/>
  <c r="T1481" i="3"/>
  <c r="S1481" i="3"/>
  <c r="U1480" i="3"/>
  <c r="S1480" i="3"/>
  <c r="T1480" i="3" s="1"/>
  <c r="U1479" i="3"/>
  <c r="S1479" i="3"/>
  <c r="T1479" i="3" s="1"/>
  <c r="U1478" i="3"/>
  <c r="S1478" i="3"/>
  <c r="T1478" i="3" s="1"/>
  <c r="U1477" i="3"/>
  <c r="S1477" i="3"/>
  <c r="T1477" i="3" s="1"/>
  <c r="U1476" i="3"/>
  <c r="T1476" i="3"/>
  <c r="S1476" i="3"/>
  <c r="U1475" i="3"/>
  <c r="T1475" i="3"/>
  <c r="S1475" i="3"/>
  <c r="U1474" i="3"/>
  <c r="S1474" i="3"/>
  <c r="T1474" i="3" s="1"/>
  <c r="U1473" i="3"/>
  <c r="S1473" i="3"/>
  <c r="T1473" i="3" s="1"/>
  <c r="U1472" i="3"/>
  <c r="S1472" i="3"/>
  <c r="T1472" i="3" s="1"/>
  <c r="U1471" i="3"/>
  <c r="S1471" i="3"/>
  <c r="T1471" i="3" s="1"/>
  <c r="U1470" i="3"/>
  <c r="S1470" i="3"/>
  <c r="T1470" i="3" s="1"/>
  <c r="U1469" i="3"/>
  <c r="T1469" i="3"/>
  <c r="S1469" i="3"/>
  <c r="U1468" i="3"/>
  <c r="S1468" i="3"/>
  <c r="T1468" i="3" s="1"/>
  <c r="U1467" i="3"/>
  <c r="S1467" i="3"/>
  <c r="T1467" i="3" s="1"/>
  <c r="U1466" i="3"/>
  <c r="T1466" i="3"/>
  <c r="S1466" i="3"/>
  <c r="U1465" i="3"/>
  <c r="T1465" i="3"/>
  <c r="S1465" i="3"/>
  <c r="U1464" i="3"/>
  <c r="S1464" i="3"/>
  <c r="T1464" i="3" s="1"/>
  <c r="U1463" i="3"/>
  <c r="S1463" i="3"/>
  <c r="T1463" i="3" s="1"/>
  <c r="U1462" i="3"/>
  <c r="S1462" i="3"/>
  <c r="T1462" i="3" s="1"/>
  <c r="U1461" i="3"/>
  <c r="S1461" i="3"/>
  <c r="T1461" i="3" s="1"/>
  <c r="U1460" i="3"/>
  <c r="T1460" i="3"/>
  <c r="S1460" i="3"/>
  <c r="U1459" i="3"/>
  <c r="T1459" i="3"/>
  <c r="S1459" i="3"/>
  <c r="U1458" i="3"/>
  <c r="S1458" i="3"/>
  <c r="T1458" i="3" s="1"/>
  <c r="U1457" i="3"/>
  <c r="S1457" i="3"/>
  <c r="T1457" i="3" s="1"/>
  <c r="U1456" i="3"/>
  <c r="S1456" i="3"/>
  <c r="T1456" i="3" s="1"/>
  <c r="U1455" i="3"/>
  <c r="S1455" i="3"/>
  <c r="T1455" i="3" s="1"/>
  <c r="U1454" i="3"/>
  <c r="S1454" i="3"/>
  <c r="T1454" i="3" s="1"/>
  <c r="U1453" i="3"/>
  <c r="T1453" i="3"/>
  <c r="S1453" i="3"/>
  <c r="U1452" i="3"/>
  <c r="S1452" i="3"/>
  <c r="T1452" i="3" s="1"/>
  <c r="U1451" i="3"/>
  <c r="S1451" i="3"/>
  <c r="T1451" i="3" s="1"/>
  <c r="U1450" i="3"/>
  <c r="T1450" i="3"/>
  <c r="S1450" i="3"/>
  <c r="U1449" i="3"/>
  <c r="T1449" i="3"/>
  <c r="S1449" i="3"/>
  <c r="U1448" i="3"/>
  <c r="S1448" i="3"/>
  <c r="T1448" i="3" s="1"/>
  <c r="U1447" i="3"/>
  <c r="S1447" i="3"/>
  <c r="T1447" i="3" s="1"/>
  <c r="U1446" i="3"/>
  <c r="S1446" i="3"/>
  <c r="T1446" i="3" s="1"/>
  <c r="U1445" i="3"/>
  <c r="S1445" i="3"/>
  <c r="T1445" i="3" s="1"/>
  <c r="U1444" i="3"/>
  <c r="T1444" i="3"/>
  <c r="S1444" i="3"/>
  <c r="U1443" i="3"/>
  <c r="T1443" i="3"/>
  <c r="S1443" i="3"/>
  <c r="U1442" i="3"/>
  <c r="S1442" i="3"/>
  <c r="T1442" i="3" s="1"/>
  <c r="U1441" i="3"/>
  <c r="S1441" i="3"/>
  <c r="T1441" i="3" s="1"/>
  <c r="U1440" i="3"/>
  <c r="S1440" i="3"/>
  <c r="T1440" i="3" s="1"/>
  <c r="U1439" i="3"/>
  <c r="S1439" i="3"/>
  <c r="T1439" i="3" s="1"/>
  <c r="U1438" i="3"/>
  <c r="S1438" i="3"/>
  <c r="T1438" i="3" s="1"/>
  <c r="U1437" i="3"/>
  <c r="T1437" i="3"/>
  <c r="S1437" i="3"/>
  <c r="U1436" i="3"/>
  <c r="S1436" i="3"/>
  <c r="T1436" i="3" s="1"/>
  <c r="U1435" i="3"/>
  <c r="S1435" i="3"/>
  <c r="T1435" i="3" s="1"/>
  <c r="U1434" i="3"/>
  <c r="T1434" i="3"/>
  <c r="S1434" i="3"/>
  <c r="U1433" i="3"/>
  <c r="T1433" i="3"/>
  <c r="S1433" i="3"/>
  <c r="U1432" i="3"/>
  <c r="S1432" i="3"/>
  <c r="T1432" i="3" s="1"/>
  <c r="U1431" i="3"/>
  <c r="S1431" i="3"/>
  <c r="T1431" i="3" s="1"/>
  <c r="U1430" i="3"/>
  <c r="S1430" i="3"/>
  <c r="T1430" i="3" s="1"/>
  <c r="U1429" i="3"/>
  <c r="S1429" i="3"/>
  <c r="T1429" i="3" s="1"/>
  <c r="U1428" i="3"/>
  <c r="T1428" i="3"/>
  <c r="S1428" i="3"/>
  <c r="U1427" i="3"/>
  <c r="T1427" i="3"/>
  <c r="S1427" i="3"/>
  <c r="U1426" i="3"/>
  <c r="S1426" i="3"/>
  <c r="T1426" i="3" s="1"/>
  <c r="U1425" i="3"/>
  <c r="S1425" i="3"/>
  <c r="T1425" i="3" s="1"/>
  <c r="U1424" i="3"/>
  <c r="S1424" i="3"/>
  <c r="T1424" i="3" s="1"/>
  <c r="U1423" i="3"/>
  <c r="S1423" i="3"/>
  <c r="T1423" i="3" s="1"/>
  <c r="U1422" i="3"/>
  <c r="S1422" i="3"/>
  <c r="T1422" i="3" s="1"/>
  <c r="U1421" i="3"/>
  <c r="T1421" i="3"/>
  <c r="S1421" i="3"/>
  <c r="U1420" i="3"/>
  <c r="S1420" i="3"/>
  <c r="T1420" i="3" s="1"/>
  <c r="U1419" i="3"/>
  <c r="S1419" i="3"/>
  <c r="T1419" i="3" s="1"/>
  <c r="U1418" i="3"/>
  <c r="T1418" i="3"/>
  <c r="S1418" i="3"/>
  <c r="U1417" i="3"/>
  <c r="T1417" i="3"/>
  <c r="S1417" i="3"/>
  <c r="U1416" i="3"/>
  <c r="S1416" i="3"/>
  <c r="T1416" i="3" s="1"/>
  <c r="U1415" i="3"/>
  <c r="S1415" i="3"/>
  <c r="T1415" i="3" s="1"/>
  <c r="U1414" i="3"/>
  <c r="S1414" i="3"/>
  <c r="T1414" i="3" s="1"/>
  <c r="U1413" i="3"/>
  <c r="S1413" i="3"/>
  <c r="T1413" i="3" s="1"/>
  <c r="U1412" i="3"/>
  <c r="T1412" i="3"/>
  <c r="S1412" i="3"/>
  <c r="U1411" i="3"/>
  <c r="S1411" i="3"/>
  <c r="T1411" i="3" s="1"/>
  <c r="U1410" i="3"/>
  <c r="S1410" i="3"/>
  <c r="T1410" i="3" s="1"/>
  <c r="U1409" i="3"/>
  <c r="S1409" i="3"/>
  <c r="T1409" i="3" s="1"/>
  <c r="U1408" i="3"/>
  <c r="S1408" i="3"/>
  <c r="T1408" i="3" s="1"/>
  <c r="U1407" i="3"/>
  <c r="S1407" i="3"/>
  <c r="T1407" i="3" s="1"/>
  <c r="U1406" i="3"/>
  <c r="S1406" i="3"/>
  <c r="T1406" i="3" s="1"/>
  <c r="U1405" i="3"/>
  <c r="S1405" i="3"/>
  <c r="T1405" i="3" s="1"/>
  <c r="U1404" i="3"/>
  <c r="T1404" i="3"/>
  <c r="S1404" i="3"/>
  <c r="U1403" i="3"/>
  <c r="T1403" i="3"/>
  <c r="S1403" i="3"/>
  <c r="U1402" i="3"/>
  <c r="T1402" i="3"/>
  <c r="S1402" i="3"/>
  <c r="U1401" i="3"/>
  <c r="S1401" i="3"/>
  <c r="T1401" i="3" s="1"/>
  <c r="U1400" i="3"/>
  <c r="S1400" i="3"/>
  <c r="T1400" i="3" s="1"/>
  <c r="U1399" i="3"/>
  <c r="T1399" i="3"/>
  <c r="S1399" i="3"/>
  <c r="U1398" i="3"/>
  <c r="S1398" i="3"/>
  <c r="T1398" i="3" s="1"/>
  <c r="U1397" i="3"/>
  <c r="S1397" i="3"/>
  <c r="T1397" i="3" s="1"/>
  <c r="U1396" i="3"/>
  <c r="T1396" i="3"/>
  <c r="S1396" i="3"/>
  <c r="U1395" i="3"/>
  <c r="T1395" i="3"/>
  <c r="S1395" i="3"/>
  <c r="U1394" i="3"/>
  <c r="T1394" i="3"/>
  <c r="S1394" i="3"/>
  <c r="U1393" i="3"/>
  <c r="T1393" i="3"/>
  <c r="S1393" i="3"/>
  <c r="U1392" i="3"/>
  <c r="S1392" i="3"/>
  <c r="T1392" i="3" s="1"/>
  <c r="U1391" i="3"/>
  <c r="T1391" i="3"/>
  <c r="S1391" i="3"/>
  <c r="U1390" i="3"/>
  <c r="S1390" i="3"/>
  <c r="T1390" i="3" s="1"/>
  <c r="U1389" i="3"/>
  <c r="S1389" i="3"/>
  <c r="T1389" i="3" s="1"/>
  <c r="U1388" i="3"/>
  <c r="S1388" i="3"/>
  <c r="T1388" i="3" s="1"/>
  <c r="U1387" i="3"/>
  <c r="T1387" i="3"/>
  <c r="S1387" i="3"/>
  <c r="U1386" i="3"/>
  <c r="T1386" i="3"/>
  <c r="S1386" i="3"/>
  <c r="U1385" i="3"/>
  <c r="T1385" i="3"/>
  <c r="S1385" i="3"/>
  <c r="U1384" i="3"/>
  <c r="S1384" i="3"/>
  <c r="T1384" i="3" s="1"/>
  <c r="U1383" i="3"/>
  <c r="T1383" i="3"/>
  <c r="S1383" i="3"/>
  <c r="U1382" i="3"/>
  <c r="S1382" i="3"/>
  <c r="T1382" i="3" s="1"/>
  <c r="U1381" i="3"/>
  <c r="S1381" i="3"/>
  <c r="T1381" i="3" s="1"/>
  <c r="U1380" i="3"/>
  <c r="S1380" i="3"/>
  <c r="T1380" i="3" s="1"/>
  <c r="U1379" i="3"/>
  <c r="S1379" i="3"/>
  <c r="T1379" i="3" s="1"/>
  <c r="U1378" i="3"/>
  <c r="T1378" i="3"/>
  <c r="S1378" i="3"/>
  <c r="U1377" i="3"/>
  <c r="T1377" i="3"/>
  <c r="S1377" i="3"/>
  <c r="U1376" i="3"/>
  <c r="S1376" i="3"/>
  <c r="T1376" i="3" s="1"/>
  <c r="U1375" i="3"/>
  <c r="T1375" i="3"/>
  <c r="S1375" i="3"/>
  <c r="U1374" i="3"/>
  <c r="S1374" i="3"/>
  <c r="T1374" i="3" s="1"/>
  <c r="U1373" i="3"/>
  <c r="S1373" i="3"/>
  <c r="T1373" i="3" s="1"/>
  <c r="U1372" i="3"/>
  <c r="S1372" i="3"/>
  <c r="T1372" i="3" s="1"/>
  <c r="U1371" i="3"/>
  <c r="S1371" i="3"/>
  <c r="T1371" i="3" s="1"/>
  <c r="U1370" i="3"/>
  <c r="S1370" i="3"/>
  <c r="T1370" i="3" s="1"/>
  <c r="U1369" i="3"/>
  <c r="S1369" i="3"/>
  <c r="T1369" i="3" s="1"/>
  <c r="U1368" i="3"/>
  <c r="S1368" i="3"/>
  <c r="T1368" i="3" s="1"/>
  <c r="U1367" i="3"/>
  <c r="S1367" i="3"/>
  <c r="T1367" i="3" s="1"/>
  <c r="U1366" i="3"/>
  <c r="S1366" i="3"/>
  <c r="T1366" i="3" s="1"/>
  <c r="U1365" i="3"/>
  <c r="S1365" i="3"/>
  <c r="T1365" i="3" s="1"/>
  <c r="U1364" i="3"/>
  <c r="S1364" i="3"/>
  <c r="T1364" i="3" s="1"/>
  <c r="U1363" i="3"/>
  <c r="S1363" i="3"/>
  <c r="T1363" i="3" s="1"/>
  <c r="U1362" i="3"/>
  <c r="T1362" i="3"/>
  <c r="S1362" i="3"/>
  <c r="U1361" i="3"/>
  <c r="S1361" i="3"/>
  <c r="T1361" i="3" s="1"/>
  <c r="U1360" i="3"/>
  <c r="T1360" i="3"/>
  <c r="S1360" i="3"/>
  <c r="U1359" i="3"/>
  <c r="S1359" i="3"/>
  <c r="T1359" i="3" s="1"/>
  <c r="U1358" i="3"/>
  <c r="T1358" i="3"/>
  <c r="S1358" i="3"/>
  <c r="U1357" i="3"/>
  <c r="S1357" i="3"/>
  <c r="T1357" i="3" s="1"/>
  <c r="U1356" i="3"/>
  <c r="T1356" i="3"/>
  <c r="S1356" i="3"/>
  <c r="U1355" i="3"/>
  <c r="S1355" i="3"/>
  <c r="T1355" i="3" s="1"/>
  <c r="U1354" i="3"/>
  <c r="S1354" i="3"/>
  <c r="T1354" i="3" s="1"/>
  <c r="U1353" i="3"/>
  <c r="S1353" i="3"/>
  <c r="T1353" i="3" s="1"/>
  <c r="U1352" i="3"/>
  <c r="S1352" i="3"/>
  <c r="T1352" i="3" s="1"/>
  <c r="U1351" i="3"/>
  <c r="S1351" i="3"/>
  <c r="T1351" i="3" s="1"/>
  <c r="U1350" i="3"/>
  <c r="S1350" i="3"/>
  <c r="T1350" i="3" s="1"/>
  <c r="U1349" i="3"/>
  <c r="S1349" i="3"/>
  <c r="T1349" i="3" s="1"/>
  <c r="U1348" i="3"/>
  <c r="S1348" i="3"/>
  <c r="T1348" i="3" s="1"/>
  <c r="U1347" i="3"/>
  <c r="S1347" i="3"/>
  <c r="T1347" i="3" s="1"/>
  <c r="U1346" i="3"/>
  <c r="T1346" i="3"/>
  <c r="S1346" i="3"/>
  <c r="U1345" i="3"/>
  <c r="S1345" i="3"/>
  <c r="T1345" i="3" s="1"/>
  <c r="U1344" i="3"/>
  <c r="T1344" i="3"/>
  <c r="S1344" i="3"/>
  <c r="U1343" i="3"/>
  <c r="S1343" i="3"/>
  <c r="T1343" i="3" s="1"/>
  <c r="U1342" i="3"/>
  <c r="T1342" i="3"/>
  <c r="S1342" i="3"/>
  <c r="U1341" i="3"/>
  <c r="S1341" i="3"/>
  <c r="T1341" i="3" s="1"/>
  <c r="U1340" i="3"/>
  <c r="T1340" i="3"/>
  <c r="S1340" i="3"/>
  <c r="U1339" i="3"/>
  <c r="S1339" i="3"/>
  <c r="T1339" i="3" s="1"/>
  <c r="U1338" i="3"/>
  <c r="S1338" i="3"/>
  <c r="T1338" i="3" s="1"/>
  <c r="U1337" i="3"/>
  <c r="S1337" i="3"/>
  <c r="T1337" i="3" s="1"/>
  <c r="U1336" i="3"/>
  <c r="S1336" i="3"/>
  <c r="T1336" i="3" s="1"/>
  <c r="U1335" i="3"/>
  <c r="S1335" i="3"/>
  <c r="T1335" i="3" s="1"/>
  <c r="U1334" i="3"/>
  <c r="S1334" i="3"/>
  <c r="T1334" i="3" s="1"/>
  <c r="U1333" i="3"/>
  <c r="S1333" i="3"/>
  <c r="T1333" i="3" s="1"/>
  <c r="U1332" i="3"/>
  <c r="S1332" i="3"/>
  <c r="T1332" i="3" s="1"/>
  <c r="U1331" i="3"/>
  <c r="S1331" i="3"/>
  <c r="T1331" i="3" s="1"/>
  <c r="U1330" i="3"/>
  <c r="T1330" i="3"/>
  <c r="S1330" i="3"/>
  <c r="U1329" i="3"/>
  <c r="S1329" i="3"/>
  <c r="T1329" i="3" s="1"/>
  <c r="U1328" i="3"/>
  <c r="T1328" i="3"/>
  <c r="S1328" i="3"/>
  <c r="U1327" i="3"/>
  <c r="S1327" i="3"/>
  <c r="T1327" i="3" s="1"/>
  <c r="U1326" i="3"/>
  <c r="T1326" i="3"/>
  <c r="S1326" i="3"/>
  <c r="U1325" i="3"/>
  <c r="S1325" i="3"/>
  <c r="T1325" i="3" s="1"/>
  <c r="U1324" i="3"/>
  <c r="T1324" i="3"/>
  <c r="S1324" i="3"/>
  <c r="U1323" i="3"/>
  <c r="S1323" i="3"/>
  <c r="T1323" i="3" s="1"/>
  <c r="U1322" i="3"/>
  <c r="S1322" i="3"/>
  <c r="T1322" i="3" s="1"/>
  <c r="U1321" i="3"/>
  <c r="S1321" i="3"/>
  <c r="T1321" i="3" s="1"/>
  <c r="U1320" i="3"/>
  <c r="S1320" i="3"/>
  <c r="T1320" i="3" s="1"/>
  <c r="U1319" i="3"/>
  <c r="S1319" i="3"/>
  <c r="T1319" i="3" s="1"/>
  <c r="U1318" i="3"/>
  <c r="S1318" i="3"/>
  <c r="T1318" i="3" s="1"/>
  <c r="U1317" i="3"/>
  <c r="S1317" i="3"/>
  <c r="T1317" i="3" s="1"/>
  <c r="U1316" i="3"/>
  <c r="S1316" i="3"/>
  <c r="T1316" i="3" s="1"/>
  <c r="U1315" i="3"/>
  <c r="S1315" i="3"/>
  <c r="T1315" i="3" s="1"/>
  <c r="U1314" i="3"/>
  <c r="T1314" i="3"/>
  <c r="S1314" i="3"/>
  <c r="U1313" i="3"/>
  <c r="S1313" i="3"/>
  <c r="T1313" i="3" s="1"/>
  <c r="U1312" i="3"/>
  <c r="T1312" i="3"/>
  <c r="S1312" i="3"/>
  <c r="U1311" i="3"/>
  <c r="S1311" i="3"/>
  <c r="T1311" i="3" s="1"/>
  <c r="U1310" i="3"/>
  <c r="T1310" i="3"/>
  <c r="S1310" i="3"/>
  <c r="U1309" i="3"/>
  <c r="S1309" i="3"/>
  <c r="T1309" i="3" s="1"/>
  <c r="U1308" i="3"/>
  <c r="T1308" i="3"/>
  <c r="S1308" i="3"/>
  <c r="U1307" i="3"/>
  <c r="S1307" i="3"/>
  <c r="T1307" i="3" s="1"/>
  <c r="U1306" i="3"/>
  <c r="S1306" i="3"/>
  <c r="T1306" i="3" s="1"/>
  <c r="U1305" i="3"/>
  <c r="S1305" i="3"/>
  <c r="T1305" i="3" s="1"/>
  <c r="U1304" i="3"/>
  <c r="S1304" i="3"/>
  <c r="T1304" i="3" s="1"/>
  <c r="U1303" i="3"/>
  <c r="S1303" i="3"/>
  <c r="T1303" i="3" s="1"/>
  <c r="U1302" i="3"/>
  <c r="S1302" i="3"/>
  <c r="T1302" i="3" s="1"/>
  <c r="U1301" i="3"/>
  <c r="S1301" i="3"/>
  <c r="T1301" i="3" s="1"/>
  <c r="U1300" i="3"/>
  <c r="S1300" i="3"/>
  <c r="T1300" i="3" s="1"/>
  <c r="U1299" i="3"/>
  <c r="S1299" i="3"/>
  <c r="T1299" i="3" s="1"/>
  <c r="U1298" i="3"/>
  <c r="T1298" i="3"/>
  <c r="S1298" i="3"/>
  <c r="U1297" i="3"/>
  <c r="S1297" i="3"/>
  <c r="T1297" i="3" s="1"/>
  <c r="U1296" i="3"/>
  <c r="T1296" i="3"/>
  <c r="S1296" i="3"/>
  <c r="U1295" i="3"/>
  <c r="S1295" i="3"/>
  <c r="T1295" i="3" s="1"/>
  <c r="U1294" i="3"/>
  <c r="T1294" i="3"/>
  <c r="S1294" i="3"/>
  <c r="U1293" i="3"/>
  <c r="S1293" i="3"/>
  <c r="T1293" i="3" s="1"/>
  <c r="U1292" i="3"/>
  <c r="T1292" i="3"/>
  <c r="S1292" i="3"/>
  <c r="U1291" i="3"/>
  <c r="S1291" i="3"/>
  <c r="T1291" i="3" s="1"/>
  <c r="U1290" i="3"/>
  <c r="S1290" i="3"/>
  <c r="T1290" i="3" s="1"/>
  <c r="U1289" i="3"/>
  <c r="S1289" i="3"/>
  <c r="T1289" i="3" s="1"/>
  <c r="U1288" i="3"/>
  <c r="S1288" i="3"/>
  <c r="T1288" i="3" s="1"/>
  <c r="U1287" i="3"/>
  <c r="S1287" i="3"/>
  <c r="T1287" i="3" s="1"/>
  <c r="U1286" i="3"/>
  <c r="S1286" i="3"/>
  <c r="T1286" i="3" s="1"/>
  <c r="U1285" i="3"/>
  <c r="S1285" i="3"/>
  <c r="T1285" i="3" s="1"/>
  <c r="U1284" i="3"/>
  <c r="S1284" i="3"/>
  <c r="T1284" i="3" s="1"/>
  <c r="U1283" i="3"/>
  <c r="S1283" i="3"/>
  <c r="T1283" i="3" s="1"/>
  <c r="U1282" i="3"/>
  <c r="T1282" i="3"/>
  <c r="S1282" i="3"/>
  <c r="U1281" i="3"/>
  <c r="S1281" i="3"/>
  <c r="T1281" i="3" s="1"/>
  <c r="U1280" i="3"/>
  <c r="T1280" i="3"/>
  <c r="S1280" i="3"/>
  <c r="U1279" i="3"/>
  <c r="S1279" i="3"/>
  <c r="T1279" i="3" s="1"/>
  <c r="U1278" i="3"/>
  <c r="T1278" i="3"/>
  <c r="S1278" i="3"/>
  <c r="U1277" i="3"/>
  <c r="S1277" i="3"/>
  <c r="T1277" i="3" s="1"/>
  <c r="U1276" i="3"/>
  <c r="T1276" i="3"/>
  <c r="S1276" i="3"/>
  <c r="U1275" i="3"/>
  <c r="S1275" i="3"/>
  <c r="T1275" i="3" s="1"/>
  <c r="U1274" i="3"/>
  <c r="S1274" i="3"/>
  <c r="T1274" i="3" s="1"/>
  <c r="U1273" i="3"/>
  <c r="S1273" i="3"/>
  <c r="T1273" i="3" s="1"/>
  <c r="U1272" i="3"/>
  <c r="S1272" i="3"/>
  <c r="T1272" i="3" s="1"/>
  <c r="U1271" i="3"/>
  <c r="S1271" i="3"/>
  <c r="T1271" i="3" s="1"/>
  <c r="U1270" i="3"/>
  <c r="S1270" i="3"/>
  <c r="T1270" i="3" s="1"/>
  <c r="U1269" i="3"/>
  <c r="S1269" i="3"/>
  <c r="T1269" i="3" s="1"/>
  <c r="U1268" i="3"/>
  <c r="S1268" i="3"/>
  <c r="T1268" i="3" s="1"/>
  <c r="U1267" i="3"/>
  <c r="S1267" i="3"/>
  <c r="T1267" i="3" s="1"/>
  <c r="U1266" i="3"/>
  <c r="T1266" i="3"/>
  <c r="S1266" i="3"/>
  <c r="U1265" i="3"/>
  <c r="S1265" i="3"/>
  <c r="T1265" i="3" s="1"/>
  <c r="U1264" i="3"/>
  <c r="T1264" i="3"/>
  <c r="S1264" i="3"/>
  <c r="U1263" i="3"/>
  <c r="S1263" i="3"/>
  <c r="T1263" i="3" s="1"/>
  <c r="U1262" i="3"/>
  <c r="T1262" i="3"/>
  <c r="S1262" i="3"/>
  <c r="U1261" i="3"/>
  <c r="S1261" i="3"/>
  <c r="T1261" i="3" s="1"/>
  <c r="U1260" i="3"/>
  <c r="T1260" i="3"/>
  <c r="S1260" i="3"/>
  <c r="U1259" i="3"/>
  <c r="S1259" i="3"/>
  <c r="T1259" i="3" s="1"/>
  <c r="U1258" i="3"/>
  <c r="S1258" i="3"/>
  <c r="T1258" i="3" s="1"/>
  <c r="U1257" i="3"/>
  <c r="S1257" i="3"/>
  <c r="T1257" i="3" s="1"/>
  <c r="U1256" i="3"/>
  <c r="S1256" i="3"/>
  <c r="T1256" i="3" s="1"/>
  <c r="U1255" i="3"/>
  <c r="S1255" i="3"/>
  <c r="T1255" i="3" s="1"/>
  <c r="U1254" i="3"/>
  <c r="S1254" i="3"/>
  <c r="T1254" i="3" s="1"/>
  <c r="U1253" i="3"/>
  <c r="S1253" i="3"/>
  <c r="T1253" i="3" s="1"/>
  <c r="U1252" i="3"/>
  <c r="S1252" i="3"/>
  <c r="T1252" i="3" s="1"/>
  <c r="U1251" i="3"/>
  <c r="S1251" i="3"/>
  <c r="T1251" i="3" s="1"/>
  <c r="U1250" i="3"/>
  <c r="T1250" i="3"/>
  <c r="S1250" i="3"/>
  <c r="U1249" i="3"/>
  <c r="S1249" i="3"/>
  <c r="T1249" i="3" s="1"/>
  <c r="U1248" i="3"/>
  <c r="T1248" i="3"/>
  <c r="S1248" i="3"/>
  <c r="U1247" i="3"/>
  <c r="S1247" i="3"/>
  <c r="T1247" i="3" s="1"/>
  <c r="U1246" i="3"/>
  <c r="T1246" i="3"/>
  <c r="S1246" i="3"/>
  <c r="U1245" i="3"/>
  <c r="S1245" i="3"/>
  <c r="T1245" i="3" s="1"/>
  <c r="U1244" i="3"/>
  <c r="T1244" i="3"/>
  <c r="S1244" i="3"/>
  <c r="U1243" i="3"/>
  <c r="S1243" i="3"/>
  <c r="T1243" i="3" s="1"/>
  <c r="U1242" i="3"/>
  <c r="S1242" i="3"/>
  <c r="T1242" i="3" s="1"/>
  <c r="U1241" i="3"/>
  <c r="S1241" i="3"/>
  <c r="T1241" i="3" s="1"/>
  <c r="U1240" i="3"/>
  <c r="S1240" i="3"/>
  <c r="T1240" i="3" s="1"/>
  <c r="U1239" i="3"/>
  <c r="S1239" i="3"/>
  <c r="T1239" i="3" s="1"/>
  <c r="U1238" i="3"/>
  <c r="S1238" i="3"/>
  <c r="T1238" i="3" s="1"/>
  <c r="U1237" i="3"/>
  <c r="S1237" i="3"/>
  <c r="T1237" i="3" s="1"/>
  <c r="U1236" i="3"/>
  <c r="S1236" i="3"/>
  <c r="T1236" i="3" s="1"/>
  <c r="U1235" i="3"/>
  <c r="S1235" i="3"/>
  <c r="T1235" i="3" s="1"/>
  <c r="U1234" i="3"/>
  <c r="T1234" i="3"/>
  <c r="S1234" i="3"/>
  <c r="U1233" i="3"/>
  <c r="S1233" i="3"/>
  <c r="T1233" i="3" s="1"/>
  <c r="U1232" i="3"/>
  <c r="T1232" i="3"/>
  <c r="S1232" i="3"/>
  <c r="U1231" i="3"/>
  <c r="S1231" i="3"/>
  <c r="T1231" i="3" s="1"/>
  <c r="U1230" i="3"/>
  <c r="T1230" i="3"/>
  <c r="S1230" i="3"/>
  <c r="U1229" i="3"/>
  <c r="S1229" i="3"/>
  <c r="T1229" i="3" s="1"/>
  <c r="U1228" i="3"/>
  <c r="T1228" i="3"/>
  <c r="S1228" i="3"/>
  <c r="U1227" i="3"/>
  <c r="S1227" i="3"/>
  <c r="T1227" i="3" s="1"/>
  <c r="U1226" i="3"/>
  <c r="S1226" i="3"/>
  <c r="T1226" i="3" s="1"/>
  <c r="U1225" i="3"/>
  <c r="S1225" i="3"/>
  <c r="T1225" i="3" s="1"/>
  <c r="U1224" i="3"/>
  <c r="S1224" i="3"/>
  <c r="T1224" i="3" s="1"/>
  <c r="U1223" i="3"/>
  <c r="S1223" i="3"/>
  <c r="T1223" i="3" s="1"/>
  <c r="U1222" i="3"/>
  <c r="S1222" i="3"/>
  <c r="T1222" i="3" s="1"/>
  <c r="U1221" i="3"/>
  <c r="S1221" i="3"/>
  <c r="T1221" i="3" s="1"/>
  <c r="U1220" i="3"/>
  <c r="S1220" i="3"/>
  <c r="T1220" i="3" s="1"/>
  <c r="U1219" i="3"/>
  <c r="S1219" i="3"/>
  <c r="T1219" i="3" s="1"/>
  <c r="U1218" i="3"/>
  <c r="T1218" i="3"/>
  <c r="S1218" i="3"/>
  <c r="U1217" i="3"/>
  <c r="S1217" i="3"/>
  <c r="T1217" i="3" s="1"/>
  <c r="U1216" i="3"/>
  <c r="T1216" i="3"/>
  <c r="S1216" i="3"/>
  <c r="U1215" i="3"/>
  <c r="S1215" i="3"/>
  <c r="T1215" i="3" s="1"/>
  <c r="U1214" i="3"/>
  <c r="T1214" i="3"/>
  <c r="S1214" i="3"/>
  <c r="U1213" i="3"/>
  <c r="S1213" i="3"/>
  <c r="T1213" i="3" s="1"/>
  <c r="U1212" i="3"/>
  <c r="T1212" i="3"/>
  <c r="S1212" i="3"/>
  <c r="U1211" i="3"/>
  <c r="S1211" i="3"/>
  <c r="T1211" i="3" s="1"/>
  <c r="U1210" i="3"/>
  <c r="S1210" i="3"/>
  <c r="T1210" i="3" s="1"/>
  <c r="U1209" i="3"/>
  <c r="S1209" i="3"/>
  <c r="T1209" i="3" s="1"/>
  <c r="U1208" i="3"/>
  <c r="S1208" i="3"/>
  <c r="T1208" i="3" s="1"/>
  <c r="U1207" i="3"/>
  <c r="S1207" i="3"/>
  <c r="T1207" i="3" s="1"/>
  <c r="U1206" i="3"/>
  <c r="S1206" i="3"/>
  <c r="T1206" i="3" s="1"/>
  <c r="U1205" i="3"/>
  <c r="S1205" i="3"/>
  <c r="T1205" i="3" s="1"/>
  <c r="U1204" i="3"/>
  <c r="S1204" i="3"/>
  <c r="T1204" i="3" s="1"/>
  <c r="U1203" i="3"/>
  <c r="S1203" i="3"/>
  <c r="T1203" i="3" s="1"/>
  <c r="U1202" i="3"/>
  <c r="T1202" i="3"/>
  <c r="S1202" i="3"/>
  <c r="U1201" i="3"/>
  <c r="S1201" i="3"/>
  <c r="T1201" i="3" s="1"/>
  <c r="U1200" i="3"/>
  <c r="T1200" i="3"/>
  <c r="S1200" i="3"/>
  <c r="U1199" i="3"/>
  <c r="S1199" i="3"/>
  <c r="T1199" i="3" s="1"/>
  <c r="U1198" i="3"/>
  <c r="T1198" i="3"/>
  <c r="S1198" i="3"/>
  <c r="U1197" i="3"/>
  <c r="S1197" i="3"/>
  <c r="T1197" i="3" s="1"/>
  <c r="U1196" i="3"/>
  <c r="T1196" i="3"/>
  <c r="S1196" i="3"/>
  <c r="U1195" i="3"/>
  <c r="S1195" i="3"/>
  <c r="T1195" i="3" s="1"/>
  <c r="U1194" i="3"/>
  <c r="S1194" i="3"/>
  <c r="T1194" i="3" s="1"/>
  <c r="U1193" i="3"/>
  <c r="S1193" i="3"/>
  <c r="T1193" i="3" s="1"/>
  <c r="U1192" i="3"/>
  <c r="S1192" i="3"/>
  <c r="T1192" i="3" s="1"/>
  <c r="U1191" i="3"/>
  <c r="S1191" i="3"/>
  <c r="T1191" i="3" s="1"/>
  <c r="U1190" i="3"/>
  <c r="S1190" i="3"/>
  <c r="T1190" i="3" s="1"/>
  <c r="U1189" i="3"/>
  <c r="S1189" i="3"/>
  <c r="T1189" i="3" s="1"/>
  <c r="U1188" i="3"/>
  <c r="S1188" i="3"/>
  <c r="T1188" i="3" s="1"/>
  <c r="U1187" i="3"/>
  <c r="S1187" i="3"/>
  <c r="T1187" i="3" s="1"/>
  <c r="U1186" i="3"/>
  <c r="T1186" i="3"/>
  <c r="S1186" i="3"/>
  <c r="U1185" i="3"/>
  <c r="S1185" i="3"/>
  <c r="T1185" i="3" s="1"/>
  <c r="U1184" i="3"/>
  <c r="T1184" i="3"/>
  <c r="S1184" i="3"/>
  <c r="U1183" i="3"/>
  <c r="S1183" i="3"/>
  <c r="T1183" i="3" s="1"/>
  <c r="U1182" i="3"/>
  <c r="T1182" i="3"/>
  <c r="S1182" i="3"/>
  <c r="U1181" i="3"/>
  <c r="S1181" i="3"/>
  <c r="T1181" i="3" s="1"/>
  <c r="U1180" i="3"/>
  <c r="T1180" i="3"/>
  <c r="S1180" i="3"/>
  <c r="U1179" i="3"/>
  <c r="S1179" i="3"/>
  <c r="T1179" i="3" s="1"/>
  <c r="U1178" i="3"/>
  <c r="S1178" i="3"/>
  <c r="T1178" i="3" s="1"/>
  <c r="U1177" i="3"/>
  <c r="S1177" i="3"/>
  <c r="T1177" i="3" s="1"/>
  <c r="U1176" i="3"/>
  <c r="S1176" i="3"/>
  <c r="T1176" i="3" s="1"/>
  <c r="U1175" i="3"/>
  <c r="S1175" i="3"/>
  <c r="T1175" i="3" s="1"/>
  <c r="U1174" i="3"/>
  <c r="S1174" i="3"/>
  <c r="T1174" i="3" s="1"/>
  <c r="U1173" i="3"/>
  <c r="S1173" i="3"/>
  <c r="T1173" i="3" s="1"/>
  <c r="U1172" i="3"/>
  <c r="S1172" i="3"/>
  <c r="T1172" i="3" s="1"/>
  <c r="U1171" i="3"/>
  <c r="S1171" i="3"/>
  <c r="T1171" i="3" s="1"/>
  <c r="U1170" i="3"/>
  <c r="T1170" i="3"/>
  <c r="S1170" i="3"/>
  <c r="U1169" i="3"/>
  <c r="S1169" i="3"/>
  <c r="T1169" i="3" s="1"/>
  <c r="U1168" i="3"/>
  <c r="T1168" i="3"/>
  <c r="S1168" i="3"/>
  <c r="U1167" i="3"/>
  <c r="S1167" i="3"/>
  <c r="T1167" i="3" s="1"/>
  <c r="U1166" i="3"/>
  <c r="T1166" i="3"/>
  <c r="S1166" i="3"/>
  <c r="U1165" i="3"/>
  <c r="S1165" i="3"/>
  <c r="T1165" i="3" s="1"/>
  <c r="U1164" i="3"/>
  <c r="T1164" i="3"/>
  <c r="S1164" i="3"/>
  <c r="U1163" i="3"/>
  <c r="S1163" i="3"/>
  <c r="T1163" i="3" s="1"/>
  <c r="U1162" i="3"/>
  <c r="S1162" i="3"/>
  <c r="T1162" i="3" s="1"/>
  <c r="U1161" i="3"/>
  <c r="S1161" i="3"/>
  <c r="T1161" i="3" s="1"/>
  <c r="U1160" i="3"/>
  <c r="S1160" i="3"/>
  <c r="T1160" i="3" s="1"/>
  <c r="U1159" i="3"/>
  <c r="S1159" i="3"/>
  <c r="T1159" i="3" s="1"/>
  <c r="U1158" i="3"/>
  <c r="S1158" i="3"/>
  <c r="T1158" i="3" s="1"/>
  <c r="U1157" i="3"/>
  <c r="S1157" i="3"/>
  <c r="T1157" i="3" s="1"/>
  <c r="U1156" i="3"/>
  <c r="S1156" i="3"/>
  <c r="T1156" i="3" s="1"/>
  <c r="U1155" i="3"/>
  <c r="S1155" i="3"/>
  <c r="T1155" i="3" s="1"/>
  <c r="U1154" i="3"/>
  <c r="T1154" i="3"/>
  <c r="S1154" i="3"/>
  <c r="U1153" i="3"/>
  <c r="S1153" i="3"/>
  <c r="T1153" i="3" s="1"/>
  <c r="U1152" i="3"/>
  <c r="T1152" i="3"/>
  <c r="S1152" i="3"/>
  <c r="U1151" i="3"/>
  <c r="S1151" i="3"/>
  <c r="T1151" i="3" s="1"/>
  <c r="U1150" i="3"/>
  <c r="T1150" i="3"/>
  <c r="S1150" i="3"/>
  <c r="U1149" i="3"/>
  <c r="S1149" i="3"/>
  <c r="T1149" i="3" s="1"/>
  <c r="U1148" i="3"/>
  <c r="T1148" i="3"/>
  <c r="S1148" i="3"/>
  <c r="U1147" i="3"/>
  <c r="S1147" i="3"/>
  <c r="T1147" i="3" s="1"/>
  <c r="U1146" i="3"/>
  <c r="S1146" i="3"/>
  <c r="T1146" i="3" s="1"/>
  <c r="U1145" i="3"/>
  <c r="S1145" i="3"/>
  <c r="T1145" i="3" s="1"/>
  <c r="U1144" i="3"/>
  <c r="S1144" i="3"/>
  <c r="T1144" i="3" s="1"/>
  <c r="U1143" i="3"/>
  <c r="S1143" i="3"/>
  <c r="T1143" i="3" s="1"/>
  <c r="U1142" i="3"/>
  <c r="S1142" i="3"/>
  <c r="T1142" i="3" s="1"/>
  <c r="U1141" i="3"/>
  <c r="S1141" i="3"/>
  <c r="T1141" i="3" s="1"/>
  <c r="U1140" i="3"/>
  <c r="S1140" i="3"/>
  <c r="T1140" i="3" s="1"/>
  <c r="U1139" i="3"/>
  <c r="S1139" i="3"/>
  <c r="T1139" i="3" s="1"/>
  <c r="U1138" i="3"/>
  <c r="T1138" i="3"/>
  <c r="S1138" i="3"/>
  <c r="U1137" i="3"/>
  <c r="S1137" i="3"/>
  <c r="T1137" i="3" s="1"/>
  <c r="U1136" i="3"/>
  <c r="T1136" i="3"/>
  <c r="S1136" i="3"/>
  <c r="U1135" i="3"/>
  <c r="S1135" i="3"/>
  <c r="T1135" i="3" s="1"/>
  <c r="U1134" i="3"/>
  <c r="T1134" i="3"/>
  <c r="S1134" i="3"/>
  <c r="U1133" i="3"/>
  <c r="S1133" i="3"/>
  <c r="T1133" i="3" s="1"/>
  <c r="U1132" i="3"/>
  <c r="T1132" i="3"/>
  <c r="S1132" i="3"/>
  <c r="U1131" i="3"/>
  <c r="S1131" i="3"/>
  <c r="T1131" i="3" s="1"/>
  <c r="U1130" i="3"/>
  <c r="S1130" i="3"/>
  <c r="T1130" i="3" s="1"/>
  <c r="U1129" i="3"/>
  <c r="S1129" i="3"/>
  <c r="T1129" i="3" s="1"/>
  <c r="U1128" i="3"/>
  <c r="S1128" i="3"/>
  <c r="T1128" i="3" s="1"/>
  <c r="U1127" i="3"/>
  <c r="S1127" i="3"/>
  <c r="T1127" i="3" s="1"/>
  <c r="U1126" i="3"/>
  <c r="S1126" i="3"/>
  <c r="T1126" i="3" s="1"/>
  <c r="U1125" i="3"/>
  <c r="S1125" i="3"/>
  <c r="T1125" i="3" s="1"/>
  <c r="U1124" i="3"/>
  <c r="S1124" i="3"/>
  <c r="T1124" i="3" s="1"/>
  <c r="U1123" i="3"/>
  <c r="S1123" i="3"/>
  <c r="T1123" i="3" s="1"/>
  <c r="U1122" i="3"/>
  <c r="T1122" i="3"/>
  <c r="S1122" i="3"/>
  <c r="U1121" i="3"/>
  <c r="S1121" i="3"/>
  <c r="T1121" i="3" s="1"/>
  <c r="U1120" i="3"/>
  <c r="T1120" i="3"/>
  <c r="S1120" i="3"/>
  <c r="U1119" i="3"/>
  <c r="S1119" i="3"/>
  <c r="T1119" i="3" s="1"/>
  <c r="U1118" i="3"/>
  <c r="T1118" i="3"/>
  <c r="S1118" i="3"/>
  <c r="U1117" i="3"/>
  <c r="S1117" i="3"/>
  <c r="T1117" i="3" s="1"/>
  <c r="U1116" i="3"/>
  <c r="T1116" i="3"/>
  <c r="S1116" i="3"/>
  <c r="U1115" i="3"/>
  <c r="S1115" i="3"/>
  <c r="T1115" i="3" s="1"/>
  <c r="U1114" i="3"/>
  <c r="S1114" i="3"/>
  <c r="T1114" i="3" s="1"/>
  <c r="U1113" i="3"/>
  <c r="S1113" i="3"/>
  <c r="T1113" i="3" s="1"/>
  <c r="U1112" i="3"/>
  <c r="S1112" i="3"/>
  <c r="T1112" i="3" s="1"/>
  <c r="U1111" i="3"/>
  <c r="S1111" i="3"/>
  <c r="T1111" i="3" s="1"/>
  <c r="U1110" i="3"/>
  <c r="S1110" i="3"/>
  <c r="T1110" i="3" s="1"/>
  <c r="U1109" i="3"/>
  <c r="S1109" i="3"/>
  <c r="T1109" i="3" s="1"/>
  <c r="U1108" i="3"/>
  <c r="S1108" i="3"/>
  <c r="T1108" i="3" s="1"/>
  <c r="U1107" i="3"/>
  <c r="S1107" i="3"/>
  <c r="T1107" i="3" s="1"/>
  <c r="U1106" i="3"/>
  <c r="T1106" i="3"/>
  <c r="S1106" i="3"/>
  <c r="U1105" i="3"/>
  <c r="S1105" i="3"/>
  <c r="T1105" i="3" s="1"/>
  <c r="U1104" i="3"/>
  <c r="T1104" i="3"/>
  <c r="S1104" i="3"/>
  <c r="U1103" i="3"/>
  <c r="S1103" i="3"/>
  <c r="T1103" i="3" s="1"/>
  <c r="U1102" i="3"/>
  <c r="T1102" i="3"/>
  <c r="S1102" i="3"/>
  <c r="U1101" i="3"/>
  <c r="S1101" i="3"/>
  <c r="T1101" i="3" s="1"/>
  <c r="U1100" i="3"/>
  <c r="T1100" i="3"/>
  <c r="S1100" i="3"/>
  <c r="U1099" i="3"/>
  <c r="S1099" i="3"/>
  <c r="T1099" i="3" s="1"/>
  <c r="U1098" i="3"/>
  <c r="S1098" i="3"/>
  <c r="T1098" i="3" s="1"/>
  <c r="U1097" i="3"/>
  <c r="S1097" i="3"/>
  <c r="T1097" i="3" s="1"/>
  <c r="U1096" i="3"/>
  <c r="S1096" i="3"/>
  <c r="T1096" i="3" s="1"/>
  <c r="U1095" i="3"/>
  <c r="S1095" i="3"/>
  <c r="T1095" i="3" s="1"/>
  <c r="U1094" i="3"/>
  <c r="S1094" i="3"/>
  <c r="T1094" i="3" s="1"/>
  <c r="U1093" i="3"/>
  <c r="S1093" i="3"/>
  <c r="T1093" i="3" s="1"/>
  <c r="U1092" i="3"/>
  <c r="S1092" i="3"/>
  <c r="T1092" i="3" s="1"/>
  <c r="U1091" i="3"/>
  <c r="S1091" i="3"/>
  <c r="T1091" i="3" s="1"/>
  <c r="U1090" i="3"/>
  <c r="T1090" i="3"/>
  <c r="S1090" i="3"/>
  <c r="U1089" i="3"/>
  <c r="S1089" i="3"/>
  <c r="T1089" i="3" s="1"/>
  <c r="U1088" i="3"/>
  <c r="T1088" i="3"/>
  <c r="S1088" i="3"/>
  <c r="U1087" i="3"/>
  <c r="S1087" i="3"/>
  <c r="T1087" i="3" s="1"/>
  <c r="U1086" i="3"/>
  <c r="T1086" i="3"/>
  <c r="S1086" i="3"/>
  <c r="U1085" i="3"/>
  <c r="S1085" i="3"/>
  <c r="T1085" i="3" s="1"/>
  <c r="U1084" i="3"/>
  <c r="T1084" i="3"/>
  <c r="S1084" i="3"/>
  <c r="U1083" i="3"/>
  <c r="S1083" i="3"/>
  <c r="T1083" i="3" s="1"/>
  <c r="U1082" i="3"/>
  <c r="S1082" i="3"/>
  <c r="T1082" i="3" s="1"/>
  <c r="U1081" i="3"/>
  <c r="S1081" i="3"/>
  <c r="T1081" i="3" s="1"/>
  <c r="U1080" i="3"/>
  <c r="S1080" i="3"/>
  <c r="T1080" i="3" s="1"/>
  <c r="U1079" i="3"/>
  <c r="S1079" i="3"/>
  <c r="T1079" i="3" s="1"/>
  <c r="U1078" i="3"/>
  <c r="S1078" i="3"/>
  <c r="T1078" i="3" s="1"/>
  <c r="U1077" i="3"/>
  <c r="S1077" i="3"/>
  <c r="T1077" i="3" s="1"/>
  <c r="U1076" i="3"/>
  <c r="S1076" i="3"/>
  <c r="T1076" i="3" s="1"/>
  <c r="U1075" i="3"/>
  <c r="S1075" i="3"/>
  <c r="T1075" i="3" s="1"/>
  <c r="U1074" i="3"/>
  <c r="T1074" i="3"/>
  <c r="S1074" i="3"/>
  <c r="U1073" i="3"/>
  <c r="S1073" i="3"/>
  <c r="T1073" i="3" s="1"/>
  <c r="U1072" i="3"/>
  <c r="T1072" i="3"/>
  <c r="S1072" i="3"/>
  <c r="U1071" i="3"/>
  <c r="S1071" i="3"/>
  <c r="T1071" i="3" s="1"/>
  <c r="U1070" i="3"/>
  <c r="T1070" i="3"/>
  <c r="S1070" i="3"/>
  <c r="U1069" i="3"/>
  <c r="S1069" i="3"/>
  <c r="T1069" i="3" s="1"/>
  <c r="U1068" i="3"/>
  <c r="T1068" i="3"/>
  <c r="S1068" i="3"/>
  <c r="U1067" i="3"/>
  <c r="S1067" i="3"/>
  <c r="T1067" i="3" s="1"/>
  <c r="U1066" i="3"/>
  <c r="S1066" i="3"/>
  <c r="T1066" i="3" s="1"/>
  <c r="U1065" i="3"/>
  <c r="S1065" i="3"/>
  <c r="T1065" i="3" s="1"/>
  <c r="U1064" i="3"/>
  <c r="S1064" i="3"/>
  <c r="T1064" i="3" s="1"/>
  <c r="U1063" i="3"/>
  <c r="S1063" i="3"/>
  <c r="T1063" i="3" s="1"/>
  <c r="U1062" i="3"/>
  <c r="S1062" i="3"/>
  <c r="T1062" i="3" s="1"/>
  <c r="U1061" i="3"/>
  <c r="S1061" i="3"/>
  <c r="T1061" i="3" s="1"/>
  <c r="U1060" i="3"/>
  <c r="S1060" i="3"/>
  <c r="T1060" i="3" s="1"/>
  <c r="U1059" i="3"/>
  <c r="S1059" i="3"/>
  <c r="T1059" i="3" s="1"/>
  <c r="U1058" i="3"/>
  <c r="T1058" i="3"/>
  <c r="S1058" i="3"/>
  <c r="U1057" i="3"/>
  <c r="S1057" i="3"/>
  <c r="T1057" i="3" s="1"/>
  <c r="U1056" i="3"/>
  <c r="T1056" i="3"/>
  <c r="S1056" i="3"/>
  <c r="U1055" i="3"/>
  <c r="S1055" i="3"/>
  <c r="T1055" i="3" s="1"/>
  <c r="U1054" i="3"/>
  <c r="T1054" i="3"/>
  <c r="S1054" i="3"/>
  <c r="U1053" i="3"/>
  <c r="S1053" i="3"/>
  <c r="T1053" i="3" s="1"/>
  <c r="U1052" i="3"/>
  <c r="T1052" i="3"/>
  <c r="S1052" i="3"/>
  <c r="U1051" i="3"/>
  <c r="S1051" i="3"/>
  <c r="T1051" i="3" s="1"/>
  <c r="U1050" i="3"/>
  <c r="S1050" i="3"/>
  <c r="T1050" i="3" s="1"/>
  <c r="U1049" i="3"/>
  <c r="S1049" i="3"/>
  <c r="T1049" i="3" s="1"/>
  <c r="U1048" i="3"/>
  <c r="S1048" i="3"/>
  <c r="T1048" i="3" s="1"/>
  <c r="U1047" i="3"/>
  <c r="S1047" i="3"/>
  <c r="T1047" i="3" s="1"/>
  <c r="U1046" i="3"/>
  <c r="S1046" i="3"/>
  <c r="T1046" i="3" s="1"/>
  <c r="U1045" i="3"/>
  <c r="S1045" i="3"/>
  <c r="T1045" i="3" s="1"/>
  <c r="U1044" i="3"/>
  <c r="S1044" i="3"/>
  <c r="T1044" i="3" s="1"/>
  <c r="U1043" i="3"/>
  <c r="S1043" i="3"/>
  <c r="T1043" i="3" s="1"/>
  <c r="U1042" i="3"/>
  <c r="T1042" i="3"/>
  <c r="S1042" i="3"/>
  <c r="U1041" i="3"/>
  <c r="S1041" i="3"/>
  <c r="T1041" i="3" s="1"/>
  <c r="U1040" i="3"/>
  <c r="T1040" i="3"/>
  <c r="S1040" i="3"/>
  <c r="U1039" i="3"/>
  <c r="S1039" i="3"/>
  <c r="T1039" i="3" s="1"/>
  <c r="U1038" i="3"/>
  <c r="T1038" i="3"/>
  <c r="S1038" i="3"/>
  <c r="U1037" i="3"/>
  <c r="S1037" i="3"/>
  <c r="T1037" i="3" s="1"/>
  <c r="U1036" i="3"/>
  <c r="T1036" i="3"/>
  <c r="S1036" i="3"/>
  <c r="U1035" i="3"/>
  <c r="S1035" i="3"/>
  <c r="T1035" i="3" s="1"/>
  <c r="U1034" i="3"/>
  <c r="S1034" i="3"/>
  <c r="T1034" i="3" s="1"/>
  <c r="U1033" i="3"/>
  <c r="S1033" i="3"/>
  <c r="T1033" i="3" s="1"/>
  <c r="U1032" i="3"/>
  <c r="S1032" i="3"/>
  <c r="T1032" i="3" s="1"/>
  <c r="U1031" i="3"/>
  <c r="S1031" i="3"/>
  <c r="T1031" i="3" s="1"/>
  <c r="U1030" i="3"/>
  <c r="S1030" i="3"/>
  <c r="T1030" i="3" s="1"/>
  <c r="U1029" i="3"/>
  <c r="S1029" i="3"/>
  <c r="T1029" i="3" s="1"/>
  <c r="U1028" i="3"/>
  <c r="S1028" i="3"/>
  <c r="T1028" i="3" s="1"/>
  <c r="U1027" i="3"/>
  <c r="S1027" i="3"/>
  <c r="T1027" i="3" s="1"/>
  <c r="U1026" i="3"/>
  <c r="T1026" i="3"/>
  <c r="S1026" i="3"/>
  <c r="U1025" i="3"/>
  <c r="S1025" i="3"/>
  <c r="T1025" i="3" s="1"/>
  <c r="U1024" i="3"/>
  <c r="T1024" i="3"/>
  <c r="S1024" i="3"/>
  <c r="U1023" i="3"/>
  <c r="S1023" i="3"/>
  <c r="T1023" i="3" s="1"/>
  <c r="U1022" i="3"/>
  <c r="T1022" i="3"/>
  <c r="S1022" i="3"/>
  <c r="U1021" i="3"/>
  <c r="S1021" i="3"/>
  <c r="T1021" i="3" s="1"/>
  <c r="U1020" i="3"/>
  <c r="T1020" i="3"/>
  <c r="S1020" i="3"/>
  <c r="U1019" i="3"/>
  <c r="S1019" i="3"/>
  <c r="T1019" i="3" s="1"/>
  <c r="U1018" i="3"/>
  <c r="S1018" i="3"/>
  <c r="T1018" i="3" s="1"/>
  <c r="U1017" i="3"/>
  <c r="S1017" i="3"/>
  <c r="T1017" i="3" s="1"/>
  <c r="U1016" i="3"/>
  <c r="S1016" i="3"/>
  <c r="T1016" i="3" s="1"/>
  <c r="U1015" i="3"/>
  <c r="S1015" i="3"/>
  <c r="T1015" i="3" s="1"/>
  <c r="U1014" i="3"/>
  <c r="S1014" i="3"/>
  <c r="T1014" i="3" s="1"/>
  <c r="U1013" i="3"/>
  <c r="S1013" i="3"/>
  <c r="T1013" i="3" s="1"/>
  <c r="U1012" i="3"/>
  <c r="S1012" i="3"/>
  <c r="T1012" i="3" s="1"/>
  <c r="U1011" i="3"/>
  <c r="S1011" i="3"/>
  <c r="T1011" i="3" s="1"/>
  <c r="U1010" i="3"/>
  <c r="T1010" i="3"/>
  <c r="S1010" i="3"/>
  <c r="U1009" i="3"/>
  <c r="S1009" i="3"/>
  <c r="T1009" i="3" s="1"/>
  <c r="U1008" i="3"/>
  <c r="T1008" i="3"/>
  <c r="S1008" i="3"/>
  <c r="U1007" i="3"/>
  <c r="S1007" i="3"/>
  <c r="T1007" i="3" s="1"/>
  <c r="U1006" i="3"/>
  <c r="T1006" i="3"/>
  <c r="S1006" i="3"/>
  <c r="U1005" i="3"/>
  <c r="S1005" i="3"/>
  <c r="T1005" i="3" s="1"/>
  <c r="U1004" i="3"/>
  <c r="T1004" i="3"/>
  <c r="S1004" i="3"/>
  <c r="U1003" i="3"/>
  <c r="S1003" i="3"/>
  <c r="T1003" i="3" s="1"/>
  <c r="U1002" i="3"/>
  <c r="S1002" i="3"/>
  <c r="T1002" i="3" s="1"/>
  <c r="U1001" i="3"/>
  <c r="S1001" i="3"/>
  <c r="T1001" i="3" s="1"/>
  <c r="U1000" i="3"/>
  <c r="S1000" i="3"/>
  <c r="T1000" i="3" s="1"/>
  <c r="U999" i="3"/>
  <c r="S999" i="3"/>
  <c r="T999" i="3" s="1"/>
  <c r="U998" i="3"/>
  <c r="S998" i="3"/>
  <c r="T998" i="3" s="1"/>
  <c r="U997" i="3"/>
  <c r="S997" i="3"/>
  <c r="T997" i="3" s="1"/>
  <c r="U996" i="3"/>
  <c r="S996" i="3"/>
  <c r="T996" i="3" s="1"/>
  <c r="U995" i="3"/>
  <c r="S995" i="3"/>
  <c r="T995" i="3" s="1"/>
  <c r="U994" i="3"/>
  <c r="T994" i="3"/>
  <c r="S994" i="3"/>
  <c r="U993" i="3"/>
  <c r="S993" i="3"/>
  <c r="T993" i="3" s="1"/>
  <c r="U992" i="3"/>
  <c r="T992" i="3"/>
  <c r="S992" i="3"/>
  <c r="U991" i="3"/>
  <c r="S991" i="3"/>
  <c r="T991" i="3" s="1"/>
  <c r="U990" i="3"/>
  <c r="T990" i="3"/>
  <c r="S990" i="3"/>
  <c r="U989" i="3"/>
  <c r="S989" i="3"/>
  <c r="T989" i="3" s="1"/>
  <c r="U988" i="3"/>
  <c r="T988" i="3"/>
  <c r="S988" i="3"/>
  <c r="U987" i="3"/>
  <c r="S987" i="3"/>
  <c r="T987" i="3" s="1"/>
  <c r="U986" i="3"/>
  <c r="S986" i="3"/>
  <c r="T986" i="3" s="1"/>
  <c r="U985" i="3"/>
  <c r="S985" i="3"/>
  <c r="T985" i="3" s="1"/>
  <c r="U984" i="3"/>
  <c r="S984" i="3"/>
  <c r="T984" i="3" s="1"/>
  <c r="U983" i="3"/>
  <c r="S983" i="3"/>
  <c r="T983" i="3" s="1"/>
  <c r="U982" i="3"/>
  <c r="S982" i="3"/>
  <c r="T982" i="3" s="1"/>
  <c r="U981" i="3"/>
  <c r="S981" i="3"/>
  <c r="T981" i="3" s="1"/>
  <c r="U980" i="3"/>
  <c r="S980" i="3"/>
  <c r="T980" i="3" s="1"/>
  <c r="U979" i="3"/>
  <c r="S979" i="3"/>
  <c r="T979" i="3" s="1"/>
  <c r="U978" i="3"/>
  <c r="T978" i="3"/>
  <c r="S978" i="3"/>
  <c r="U977" i="3"/>
  <c r="S977" i="3"/>
  <c r="T977" i="3" s="1"/>
  <c r="U976" i="3"/>
  <c r="T976" i="3"/>
  <c r="S976" i="3"/>
  <c r="U975" i="3"/>
  <c r="S975" i="3"/>
  <c r="T975" i="3" s="1"/>
  <c r="U974" i="3"/>
  <c r="T974" i="3"/>
  <c r="S974" i="3"/>
  <c r="U973" i="3"/>
  <c r="S973" i="3"/>
  <c r="T973" i="3" s="1"/>
  <c r="U972" i="3"/>
  <c r="T972" i="3"/>
  <c r="S972" i="3"/>
  <c r="U971" i="3"/>
  <c r="S971" i="3"/>
  <c r="T971" i="3" s="1"/>
  <c r="U970" i="3"/>
  <c r="S970" i="3"/>
  <c r="T970" i="3" s="1"/>
  <c r="U969" i="3"/>
  <c r="S969" i="3"/>
  <c r="T969" i="3" s="1"/>
  <c r="U968" i="3"/>
  <c r="S968" i="3"/>
  <c r="T968" i="3" s="1"/>
  <c r="U967" i="3"/>
  <c r="S967" i="3"/>
  <c r="T967" i="3" s="1"/>
  <c r="U966" i="3"/>
  <c r="S966" i="3"/>
  <c r="T966" i="3" s="1"/>
  <c r="U965" i="3"/>
  <c r="S965" i="3"/>
  <c r="T965" i="3" s="1"/>
  <c r="U964" i="3"/>
  <c r="S964" i="3"/>
  <c r="T964" i="3" s="1"/>
  <c r="U963" i="3"/>
  <c r="S963" i="3"/>
  <c r="T963" i="3" s="1"/>
  <c r="U962" i="3"/>
  <c r="T962" i="3"/>
  <c r="S962" i="3"/>
  <c r="U961" i="3"/>
  <c r="S961" i="3"/>
  <c r="T961" i="3" s="1"/>
  <c r="U960" i="3"/>
  <c r="T960" i="3"/>
  <c r="S960" i="3"/>
  <c r="U959" i="3"/>
  <c r="S959" i="3"/>
  <c r="T959" i="3" s="1"/>
  <c r="U958" i="3"/>
  <c r="T958" i="3"/>
  <c r="S958" i="3"/>
  <c r="U957" i="3"/>
  <c r="S957" i="3"/>
  <c r="T957" i="3" s="1"/>
  <c r="U956" i="3"/>
  <c r="T956" i="3"/>
  <c r="S956" i="3"/>
  <c r="U955" i="3"/>
  <c r="S955" i="3"/>
  <c r="T955" i="3" s="1"/>
  <c r="U954" i="3"/>
  <c r="S954" i="3"/>
  <c r="T954" i="3" s="1"/>
  <c r="U953" i="3"/>
  <c r="S953" i="3"/>
  <c r="T953" i="3" s="1"/>
  <c r="U952" i="3"/>
  <c r="S952" i="3"/>
  <c r="T952" i="3" s="1"/>
  <c r="U951" i="3"/>
  <c r="S951" i="3"/>
  <c r="T951" i="3" s="1"/>
  <c r="U950" i="3"/>
  <c r="S950" i="3"/>
  <c r="T950" i="3" s="1"/>
  <c r="U949" i="3"/>
  <c r="S949" i="3"/>
  <c r="T949" i="3" s="1"/>
  <c r="U948" i="3"/>
  <c r="S948" i="3"/>
  <c r="T948" i="3" s="1"/>
  <c r="U947" i="3"/>
  <c r="S947" i="3"/>
  <c r="T947" i="3" s="1"/>
  <c r="U946" i="3"/>
  <c r="T946" i="3"/>
  <c r="S946" i="3"/>
  <c r="U945" i="3"/>
  <c r="S945" i="3"/>
  <c r="T945" i="3" s="1"/>
  <c r="U944" i="3"/>
  <c r="T944" i="3"/>
  <c r="S944" i="3"/>
  <c r="U943" i="3"/>
  <c r="S943" i="3"/>
  <c r="T943" i="3" s="1"/>
  <c r="U942" i="3"/>
  <c r="T942" i="3"/>
  <c r="S942" i="3"/>
  <c r="U941" i="3"/>
  <c r="S941" i="3"/>
  <c r="T941" i="3" s="1"/>
  <c r="U940" i="3"/>
  <c r="T940" i="3"/>
  <c r="S940" i="3"/>
  <c r="U939" i="3"/>
  <c r="S939" i="3"/>
  <c r="T939" i="3" s="1"/>
  <c r="U938" i="3"/>
  <c r="S938" i="3"/>
  <c r="T938" i="3" s="1"/>
  <c r="U937" i="3"/>
  <c r="S937" i="3"/>
  <c r="T937" i="3" s="1"/>
  <c r="U936" i="3"/>
  <c r="S936" i="3"/>
  <c r="T936" i="3" s="1"/>
  <c r="U935" i="3"/>
  <c r="S935" i="3"/>
  <c r="T935" i="3" s="1"/>
  <c r="U934" i="3"/>
  <c r="S934" i="3"/>
  <c r="T934" i="3" s="1"/>
  <c r="U933" i="3"/>
  <c r="S933" i="3"/>
  <c r="T933" i="3" s="1"/>
  <c r="U932" i="3"/>
  <c r="S932" i="3"/>
  <c r="T932" i="3" s="1"/>
  <c r="U931" i="3"/>
  <c r="S931" i="3"/>
  <c r="T931" i="3" s="1"/>
  <c r="U930" i="3"/>
  <c r="T930" i="3"/>
  <c r="S930" i="3"/>
  <c r="U929" i="3"/>
  <c r="S929" i="3"/>
  <c r="T929" i="3" s="1"/>
  <c r="U928" i="3"/>
  <c r="T928" i="3"/>
  <c r="S928" i="3"/>
  <c r="U927" i="3"/>
  <c r="S927" i="3"/>
  <c r="T927" i="3" s="1"/>
  <c r="U926" i="3"/>
  <c r="T926" i="3"/>
  <c r="S926" i="3"/>
  <c r="U925" i="3"/>
  <c r="S925" i="3"/>
  <c r="T925" i="3" s="1"/>
  <c r="U924" i="3"/>
  <c r="T924" i="3"/>
  <c r="S924" i="3"/>
  <c r="U923" i="3"/>
  <c r="S923" i="3"/>
  <c r="T923" i="3" s="1"/>
  <c r="U922" i="3"/>
  <c r="S922" i="3"/>
  <c r="T922" i="3" s="1"/>
  <c r="U921" i="3"/>
  <c r="S921" i="3"/>
  <c r="T921" i="3" s="1"/>
  <c r="U920" i="3"/>
  <c r="S920" i="3"/>
  <c r="T920" i="3" s="1"/>
  <c r="U919" i="3"/>
  <c r="S919" i="3"/>
  <c r="T919" i="3" s="1"/>
  <c r="U918" i="3"/>
  <c r="S918" i="3"/>
  <c r="T918" i="3" s="1"/>
  <c r="U917" i="3"/>
  <c r="S917" i="3"/>
  <c r="T917" i="3" s="1"/>
  <c r="U916" i="3"/>
  <c r="S916" i="3"/>
  <c r="T916" i="3" s="1"/>
  <c r="U915" i="3"/>
  <c r="S915" i="3"/>
  <c r="T915" i="3" s="1"/>
  <c r="U914" i="3"/>
  <c r="T914" i="3"/>
  <c r="S914" i="3"/>
  <c r="U913" i="3"/>
  <c r="S913" i="3"/>
  <c r="T913" i="3" s="1"/>
  <c r="U912" i="3"/>
  <c r="T912" i="3"/>
  <c r="S912" i="3"/>
  <c r="U911" i="3"/>
  <c r="S911" i="3"/>
  <c r="T911" i="3" s="1"/>
  <c r="U910" i="3"/>
  <c r="T910" i="3"/>
  <c r="S910" i="3"/>
  <c r="U909" i="3"/>
  <c r="S909" i="3"/>
  <c r="T909" i="3" s="1"/>
  <c r="U908" i="3"/>
  <c r="S908" i="3"/>
  <c r="T908" i="3" s="1"/>
  <c r="U907" i="3"/>
  <c r="S907" i="3"/>
  <c r="T907" i="3" s="1"/>
  <c r="U906" i="3"/>
  <c r="S906" i="3"/>
  <c r="T906" i="3" s="1"/>
  <c r="U905" i="3"/>
  <c r="S905" i="3"/>
  <c r="T905" i="3" s="1"/>
  <c r="U904" i="3"/>
  <c r="S904" i="3"/>
  <c r="T904" i="3" s="1"/>
  <c r="U903" i="3"/>
  <c r="S903" i="3"/>
  <c r="T903" i="3" s="1"/>
  <c r="U902" i="3"/>
  <c r="S902" i="3"/>
  <c r="T902" i="3" s="1"/>
  <c r="U901" i="3"/>
  <c r="S901" i="3"/>
  <c r="T901" i="3" s="1"/>
  <c r="U900" i="3"/>
  <c r="S900" i="3"/>
  <c r="T900" i="3" s="1"/>
  <c r="U899" i="3"/>
  <c r="S899" i="3"/>
  <c r="T899" i="3" s="1"/>
  <c r="U898" i="3"/>
  <c r="T898" i="3"/>
  <c r="S898" i="3"/>
  <c r="U897" i="3"/>
  <c r="S897" i="3"/>
  <c r="T897" i="3" s="1"/>
  <c r="U896" i="3"/>
  <c r="T896" i="3"/>
  <c r="S896" i="3"/>
  <c r="U895" i="3"/>
  <c r="S895" i="3"/>
  <c r="T895" i="3" s="1"/>
  <c r="U894" i="3"/>
  <c r="T894" i="3"/>
  <c r="S894" i="3"/>
  <c r="U893" i="3"/>
  <c r="S893" i="3"/>
  <c r="T893" i="3" s="1"/>
  <c r="U892" i="3"/>
  <c r="S892" i="3"/>
  <c r="T892" i="3" s="1"/>
  <c r="U891" i="3"/>
  <c r="S891" i="3"/>
  <c r="T891" i="3" s="1"/>
  <c r="U890" i="3"/>
  <c r="S890" i="3"/>
  <c r="T890" i="3" s="1"/>
  <c r="U889" i="3"/>
  <c r="S889" i="3"/>
  <c r="T889" i="3" s="1"/>
  <c r="U888" i="3"/>
  <c r="S888" i="3"/>
  <c r="T888" i="3" s="1"/>
  <c r="U887" i="3"/>
  <c r="S887" i="3"/>
  <c r="T887" i="3" s="1"/>
  <c r="U886" i="3"/>
  <c r="S886" i="3"/>
  <c r="T886" i="3" s="1"/>
  <c r="U885" i="3"/>
  <c r="S885" i="3"/>
  <c r="T885" i="3" s="1"/>
  <c r="U884" i="3"/>
  <c r="S884" i="3"/>
  <c r="T884" i="3" s="1"/>
  <c r="U883" i="3"/>
  <c r="S883" i="3"/>
  <c r="T883" i="3" s="1"/>
  <c r="U882" i="3"/>
  <c r="T882" i="3"/>
  <c r="S882" i="3"/>
  <c r="U881" i="3"/>
  <c r="S881" i="3"/>
  <c r="T881" i="3" s="1"/>
  <c r="U880" i="3"/>
  <c r="T880" i="3"/>
  <c r="S880" i="3"/>
  <c r="U879" i="3"/>
  <c r="S879" i="3"/>
  <c r="T879" i="3" s="1"/>
  <c r="U878" i="3"/>
  <c r="T878" i="3"/>
  <c r="S878" i="3"/>
  <c r="U877" i="3"/>
  <c r="S877" i="3"/>
  <c r="T877" i="3" s="1"/>
  <c r="U876" i="3"/>
  <c r="S876" i="3"/>
  <c r="T876" i="3" s="1"/>
  <c r="U875" i="3"/>
  <c r="S875" i="3"/>
  <c r="T875" i="3" s="1"/>
  <c r="U874" i="3"/>
  <c r="S874" i="3"/>
  <c r="T874" i="3" s="1"/>
  <c r="U873" i="3"/>
  <c r="S873" i="3"/>
  <c r="T873" i="3" s="1"/>
  <c r="U872" i="3"/>
  <c r="S872" i="3"/>
  <c r="T872" i="3" s="1"/>
  <c r="U871" i="3"/>
  <c r="S871" i="3"/>
  <c r="T871" i="3" s="1"/>
  <c r="U870" i="3"/>
  <c r="S870" i="3"/>
  <c r="T870" i="3" s="1"/>
  <c r="U869" i="3"/>
  <c r="S869" i="3"/>
  <c r="T869" i="3" s="1"/>
  <c r="U868" i="3"/>
  <c r="S868" i="3"/>
  <c r="T868" i="3" s="1"/>
  <c r="U867" i="3"/>
  <c r="S867" i="3"/>
  <c r="T867" i="3" s="1"/>
  <c r="U866" i="3"/>
  <c r="T866" i="3"/>
  <c r="S866" i="3"/>
  <c r="U865" i="3"/>
  <c r="S865" i="3"/>
  <c r="T865" i="3" s="1"/>
  <c r="U864" i="3"/>
  <c r="T864" i="3"/>
  <c r="S864" i="3"/>
  <c r="U863" i="3"/>
  <c r="S863" i="3"/>
  <c r="T863" i="3" s="1"/>
  <c r="U862" i="3"/>
  <c r="T862" i="3"/>
  <c r="S862" i="3"/>
  <c r="U861" i="3"/>
  <c r="S861" i="3"/>
  <c r="T861" i="3" s="1"/>
  <c r="U860" i="3"/>
  <c r="S860" i="3"/>
  <c r="T860" i="3" s="1"/>
  <c r="U859" i="3"/>
  <c r="S859" i="3"/>
  <c r="T859" i="3" s="1"/>
  <c r="U858" i="3"/>
  <c r="S858" i="3"/>
  <c r="T858" i="3" s="1"/>
  <c r="U857" i="3"/>
  <c r="S857" i="3"/>
  <c r="T857" i="3" s="1"/>
  <c r="U856" i="3"/>
  <c r="S856" i="3"/>
  <c r="T856" i="3" s="1"/>
  <c r="U855" i="3"/>
  <c r="S855" i="3"/>
  <c r="T855" i="3" s="1"/>
  <c r="U854" i="3"/>
  <c r="S854" i="3"/>
  <c r="T854" i="3" s="1"/>
  <c r="U853" i="3"/>
  <c r="S853" i="3"/>
  <c r="T853" i="3" s="1"/>
  <c r="U852" i="3"/>
  <c r="S852" i="3"/>
  <c r="T852" i="3" s="1"/>
  <c r="U851" i="3"/>
  <c r="S851" i="3"/>
  <c r="T851" i="3" s="1"/>
  <c r="U850" i="3"/>
  <c r="T850" i="3"/>
  <c r="S850" i="3"/>
  <c r="U849" i="3"/>
  <c r="S849" i="3"/>
  <c r="T849" i="3" s="1"/>
  <c r="U848" i="3"/>
  <c r="T848" i="3"/>
  <c r="S848" i="3"/>
  <c r="U847" i="3"/>
  <c r="S847" i="3"/>
  <c r="T847" i="3" s="1"/>
  <c r="U846" i="3"/>
  <c r="T846" i="3"/>
  <c r="S846" i="3"/>
  <c r="U845" i="3"/>
  <c r="S845" i="3"/>
  <c r="T845" i="3" s="1"/>
  <c r="U844" i="3"/>
  <c r="S844" i="3"/>
  <c r="T844" i="3" s="1"/>
  <c r="U843" i="3"/>
  <c r="S843" i="3"/>
  <c r="T843" i="3" s="1"/>
  <c r="U842" i="3"/>
  <c r="S842" i="3"/>
  <c r="T842" i="3" s="1"/>
  <c r="U841" i="3"/>
  <c r="S841" i="3"/>
  <c r="T841" i="3" s="1"/>
  <c r="U840" i="3"/>
  <c r="S840" i="3"/>
  <c r="T840" i="3" s="1"/>
  <c r="U839" i="3"/>
  <c r="S839" i="3"/>
  <c r="T839" i="3" s="1"/>
  <c r="U838" i="3"/>
  <c r="S838" i="3"/>
  <c r="T838" i="3" s="1"/>
  <c r="U837" i="3"/>
  <c r="S837" i="3"/>
  <c r="T837" i="3" s="1"/>
  <c r="U836" i="3"/>
  <c r="S836" i="3"/>
  <c r="T836" i="3" s="1"/>
  <c r="U835" i="3"/>
  <c r="S835" i="3"/>
  <c r="T835" i="3" s="1"/>
  <c r="U834" i="3"/>
  <c r="S834" i="3"/>
  <c r="T834" i="3" s="1"/>
  <c r="U833" i="3"/>
  <c r="S833" i="3"/>
  <c r="T833" i="3" s="1"/>
  <c r="U832" i="3"/>
  <c r="T832" i="3"/>
  <c r="S832" i="3"/>
  <c r="U831" i="3"/>
  <c r="S831" i="3"/>
  <c r="T831" i="3" s="1"/>
  <c r="U830" i="3"/>
  <c r="T830" i="3"/>
  <c r="S830" i="3"/>
  <c r="U829" i="3"/>
  <c r="S829" i="3"/>
  <c r="T829" i="3" s="1"/>
  <c r="U828" i="3"/>
  <c r="S828" i="3"/>
  <c r="T828" i="3" s="1"/>
  <c r="U827" i="3"/>
  <c r="S827" i="3"/>
  <c r="T827" i="3" s="1"/>
  <c r="U826" i="3"/>
  <c r="S826" i="3"/>
  <c r="T826" i="3" s="1"/>
  <c r="U825" i="3"/>
  <c r="S825" i="3"/>
  <c r="T825" i="3" s="1"/>
  <c r="U824" i="3"/>
  <c r="S824" i="3"/>
  <c r="T824" i="3" s="1"/>
  <c r="U823" i="3"/>
  <c r="S823" i="3"/>
  <c r="T823" i="3" s="1"/>
  <c r="U822" i="3"/>
  <c r="S822" i="3"/>
  <c r="T822" i="3" s="1"/>
  <c r="U821" i="3"/>
  <c r="S821" i="3"/>
  <c r="T821" i="3" s="1"/>
  <c r="U820" i="3"/>
  <c r="S820" i="3"/>
  <c r="T820" i="3" s="1"/>
  <c r="U819" i="3"/>
  <c r="S819" i="3"/>
  <c r="T819" i="3" s="1"/>
  <c r="U818" i="3"/>
  <c r="S818" i="3"/>
  <c r="T818" i="3" s="1"/>
  <c r="U817" i="3"/>
  <c r="S817" i="3"/>
  <c r="T817" i="3" s="1"/>
  <c r="U816" i="3"/>
  <c r="T816" i="3"/>
  <c r="S816" i="3"/>
  <c r="U815" i="3"/>
  <c r="S815" i="3"/>
  <c r="T815" i="3" s="1"/>
  <c r="U814" i="3"/>
  <c r="T814" i="3"/>
  <c r="S814" i="3"/>
  <c r="U813" i="3"/>
  <c r="S813" i="3"/>
  <c r="T813" i="3" s="1"/>
  <c r="U812" i="3"/>
  <c r="T812" i="3"/>
  <c r="S812" i="3"/>
  <c r="U811" i="3"/>
  <c r="S811" i="3"/>
  <c r="T811" i="3" s="1"/>
  <c r="U810" i="3"/>
  <c r="T810" i="3"/>
  <c r="S810" i="3"/>
  <c r="U809" i="3"/>
  <c r="S809" i="3"/>
  <c r="T809" i="3" s="1"/>
  <c r="U808" i="3"/>
  <c r="S808" i="3"/>
  <c r="T808" i="3" s="1"/>
  <c r="U807" i="3"/>
  <c r="S807" i="3"/>
  <c r="T807" i="3" s="1"/>
  <c r="U806" i="3"/>
  <c r="S806" i="3"/>
  <c r="T806" i="3" s="1"/>
  <c r="U805" i="3"/>
  <c r="S805" i="3"/>
  <c r="T805" i="3" s="1"/>
  <c r="U804" i="3"/>
  <c r="S804" i="3"/>
  <c r="T804" i="3" s="1"/>
  <c r="U803" i="3"/>
  <c r="S803" i="3"/>
  <c r="T803" i="3" s="1"/>
  <c r="U802" i="3"/>
  <c r="S802" i="3"/>
  <c r="T802" i="3" s="1"/>
  <c r="U801" i="3"/>
  <c r="S801" i="3"/>
  <c r="T801" i="3" s="1"/>
  <c r="U800" i="3"/>
  <c r="T800" i="3"/>
  <c r="S800" i="3"/>
  <c r="U799" i="3"/>
  <c r="S799" i="3"/>
  <c r="T799" i="3" s="1"/>
  <c r="U798" i="3"/>
  <c r="T798" i="3"/>
  <c r="S798" i="3"/>
  <c r="U797" i="3"/>
  <c r="S797" i="3"/>
  <c r="T797" i="3" s="1"/>
  <c r="U796" i="3"/>
  <c r="S796" i="3"/>
  <c r="T796" i="3" s="1"/>
  <c r="U795" i="3"/>
  <c r="S795" i="3"/>
  <c r="T795" i="3" s="1"/>
  <c r="U794" i="3"/>
  <c r="S794" i="3"/>
  <c r="T794" i="3" s="1"/>
  <c r="U793" i="3"/>
  <c r="S793" i="3"/>
  <c r="T793" i="3" s="1"/>
  <c r="U792" i="3"/>
  <c r="T792" i="3"/>
  <c r="S792" i="3"/>
  <c r="U791" i="3"/>
  <c r="S791" i="3"/>
  <c r="T791" i="3" s="1"/>
  <c r="U790" i="3"/>
  <c r="S790" i="3"/>
  <c r="T790" i="3" s="1"/>
  <c r="U789" i="3"/>
  <c r="S789" i="3"/>
  <c r="T789" i="3" s="1"/>
  <c r="U788" i="3"/>
  <c r="S788" i="3"/>
  <c r="T788" i="3" s="1"/>
  <c r="U787" i="3"/>
  <c r="S787" i="3"/>
  <c r="T787" i="3" s="1"/>
  <c r="U786" i="3"/>
  <c r="T786" i="3"/>
  <c r="S786" i="3"/>
  <c r="U785" i="3"/>
  <c r="S785" i="3"/>
  <c r="T785" i="3" s="1"/>
  <c r="U784" i="3"/>
  <c r="T784" i="3"/>
  <c r="S784" i="3"/>
  <c r="U783" i="3"/>
  <c r="S783" i="3"/>
  <c r="T783" i="3" s="1"/>
  <c r="U782" i="3"/>
  <c r="T782" i="3"/>
  <c r="S782" i="3"/>
  <c r="U781" i="3"/>
  <c r="S781" i="3"/>
  <c r="T781" i="3" s="1"/>
  <c r="U780" i="3"/>
  <c r="S780" i="3"/>
  <c r="T780" i="3" s="1"/>
  <c r="U779" i="3"/>
  <c r="S779" i="3"/>
  <c r="T779" i="3" s="1"/>
  <c r="U778" i="3"/>
  <c r="S778" i="3"/>
  <c r="T778" i="3" s="1"/>
  <c r="U777" i="3"/>
  <c r="S777" i="3"/>
  <c r="T777" i="3" s="1"/>
  <c r="U776" i="3"/>
  <c r="S776" i="3"/>
  <c r="T776" i="3" s="1"/>
  <c r="U775" i="3"/>
  <c r="S775" i="3"/>
  <c r="T775" i="3" s="1"/>
  <c r="U774" i="3"/>
  <c r="S774" i="3"/>
  <c r="T774" i="3" s="1"/>
  <c r="U773" i="3"/>
  <c r="S773" i="3"/>
  <c r="T773" i="3" s="1"/>
  <c r="U772" i="3"/>
  <c r="S772" i="3"/>
  <c r="T772" i="3" s="1"/>
  <c r="U771" i="3"/>
  <c r="S771" i="3"/>
  <c r="T771" i="3" s="1"/>
  <c r="U770" i="3"/>
  <c r="S770" i="3"/>
  <c r="T770" i="3" s="1"/>
  <c r="U769" i="3"/>
  <c r="S769" i="3"/>
  <c r="T769" i="3" s="1"/>
  <c r="U768" i="3"/>
  <c r="T768" i="3"/>
  <c r="S768" i="3"/>
  <c r="U767" i="3"/>
  <c r="S767" i="3"/>
  <c r="T767" i="3" s="1"/>
  <c r="U766" i="3"/>
  <c r="T766" i="3"/>
  <c r="S766" i="3"/>
  <c r="U765" i="3"/>
  <c r="S765" i="3"/>
  <c r="T765" i="3" s="1"/>
  <c r="U764" i="3"/>
  <c r="S764" i="3"/>
  <c r="T764" i="3" s="1"/>
  <c r="U763" i="3"/>
  <c r="S763" i="3"/>
  <c r="T763" i="3" s="1"/>
  <c r="U762" i="3"/>
  <c r="S762" i="3"/>
  <c r="T762" i="3" s="1"/>
  <c r="U761" i="3"/>
  <c r="S761" i="3"/>
  <c r="T761" i="3" s="1"/>
  <c r="U760" i="3"/>
  <c r="S760" i="3"/>
  <c r="T760" i="3" s="1"/>
  <c r="U759" i="3"/>
  <c r="S759" i="3"/>
  <c r="T759" i="3" s="1"/>
  <c r="U758" i="3"/>
  <c r="S758" i="3"/>
  <c r="T758" i="3" s="1"/>
  <c r="U757" i="3"/>
  <c r="S757" i="3"/>
  <c r="T757" i="3" s="1"/>
  <c r="U756" i="3"/>
  <c r="T756" i="3"/>
  <c r="S756" i="3"/>
  <c r="U755" i="3"/>
  <c r="S755" i="3"/>
  <c r="T755" i="3" s="1"/>
  <c r="U754" i="3"/>
  <c r="S754" i="3"/>
  <c r="T754" i="3" s="1"/>
  <c r="U753" i="3"/>
  <c r="S753" i="3"/>
  <c r="T753" i="3" s="1"/>
  <c r="U752" i="3"/>
  <c r="T752" i="3"/>
  <c r="S752" i="3"/>
  <c r="U751" i="3"/>
  <c r="S751" i="3"/>
  <c r="T751" i="3" s="1"/>
  <c r="U750" i="3"/>
  <c r="T750" i="3"/>
  <c r="S750" i="3"/>
  <c r="U749" i="3"/>
  <c r="S749" i="3"/>
  <c r="T749" i="3" s="1"/>
  <c r="U748" i="3"/>
  <c r="S748" i="3"/>
  <c r="T748" i="3" s="1"/>
  <c r="U747" i="3"/>
  <c r="S747" i="3"/>
  <c r="T747" i="3" s="1"/>
  <c r="U746" i="3"/>
  <c r="S746" i="3"/>
  <c r="T746" i="3" s="1"/>
  <c r="U745" i="3"/>
  <c r="S745" i="3"/>
  <c r="T745" i="3" s="1"/>
  <c r="U744" i="3"/>
  <c r="S744" i="3"/>
  <c r="T744" i="3" s="1"/>
  <c r="U743" i="3"/>
  <c r="T743" i="3"/>
  <c r="S743" i="3"/>
  <c r="U742" i="3"/>
  <c r="T742" i="3"/>
  <c r="S742" i="3"/>
  <c r="U741" i="3"/>
  <c r="S741" i="3"/>
  <c r="T741" i="3" s="1"/>
  <c r="U740" i="3"/>
  <c r="S740" i="3"/>
  <c r="T740" i="3" s="1"/>
  <c r="U739" i="3"/>
  <c r="S739" i="3"/>
  <c r="T739" i="3" s="1"/>
  <c r="U738" i="3"/>
  <c r="S738" i="3"/>
  <c r="T738" i="3" s="1"/>
  <c r="U737" i="3"/>
  <c r="S737" i="3"/>
  <c r="T737" i="3" s="1"/>
  <c r="U736" i="3"/>
  <c r="T736" i="3"/>
  <c r="S736" i="3"/>
  <c r="U735" i="3"/>
  <c r="S735" i="3"/>
  <c r="T735" i="3" s="1"/>
  <c r="U734" i="3"/>
  <c r="S734" i="3"/>
  <c r="T734" i="3" s="1"/>
  <c r="U733" i="3"/>
  <c r="S733" i="3"/>
  <c r="T733" i="3" s="1"/>
  <c r="U732" i="3"/>
  <c r="S732" i="3"/>
  <c r="T732" i="3" s="1"/>
  <c r="U731" i="3"/>
  <c r="S731" i="3"/>
  <c r="T731" i="3" s="1"/>
  <c r="U730" i="3"/>
  <c r="S730" i="3"/>
  <c r="T730" i="3" s="1"/>
  <c r="U729" i="3"/>
  <c r="S729" i="3"/>
  <c r="T729" i="3" s="1"/>
  <c r="U728" i="3"/>
  <c r="S728" i="3"/>
  <c r="T728" i="3" s="1"/>
  <c r="U727" i="3"/>
  <c r="S727" i="3"/>
  <c r="T727" i="3" s="1"/>
  <c r="U726" i="3"/>
  <c r="S726" i="3"/>
  <c r="T726" i="3" s="1"/>
  <c r="U725" i="3"/>
  <c r="S725" i="3"/>
  <c r="T725" i="3" s="1"/>
  <c r="U724" i="3"/>
  <c r="S724" i="3"/>
  <c r="T724" i="3" s="1"/>
  <c r="U723" i="3"/>
  <c r="S723" i="3"/>
  <c r="T723" i="3" s="1"/>
  <c r="U722" i="3"/>
  <c r="S722" i="3"/>
  <c r="T722" i="3" s="1"/>
  <c r="U721" i="3"/>
  <c r="S721" i="3"/>
  <c r="T721" i="3" s="1"/>
  <c r="U720" i="3"/>
  <c r="T720" i="3"/>
  <c r="S720" i="3"/>
  <c r="U719" i="3"/>
  <c r="T719" i="3"/>
  <c r="S719" i="3"/>
  <c r="U718" i="3"/>
  <c r="S718" i="3"/>
  <c r="T718" i="3" s="1"/>
  <c r="U717" i="3"/>
  <c r="S717" i="3"/>
  <c r="T717" i="3" s="1"/>
  <c r="U716" i="3"/>
  <c r="S716" i="3"/>
  <c r="T716" i="3" s="1"/>
  <c r="U715" i="3"/>
  <c r="S715" i="3"/>
  <c r="T715" i="3" s="1"/>
  <c r="U714" i="3"/>
  <c r="S714" i="3"/>
  <c r="T714" i="3" s="1"/>
  <c r="U713" i="3"/>
  <c r="S713" i="3"/>
  <c r="T713" i="3" s="1"/>
  <c r="U712" i="3"/>
  <c r="S712" i="3"/>
  <c r="T712" i="3" s="1"/>
  <c r="U711" i="3"/>
  <c r="S711" i="3"/>
  <c r="T711" i="3" s="1"/>
  <c r="U710" i="3"/>
  <c r="S710" i="3"/>
  <c r="T710" i="3" s="1"/>
  <c r="U709" i="3"/>
  <c r="S709" i="3"/>
  <c r="T709" i="3" s="1"/>
  <c r="U708" i="3"/>
  <c r="S708" i="3"/>
  <c r="T708" i="3" s="1"/>
  <c r="U707" i="3"/>
  <c r="S707" i="3"/>
  <c r="T707" i="3" s="1"/>
  <c r="U706" i="3"/>
  <c r="S706" i="3"/>
  <c r="T706" i="3" s="1"/>
  <c r="U705" i="3"/>
  <c r="S705" i="3"/>
  <c r="T705" i="3" s="1"/>
  <c r="U704" i="3"/>
  <c r="T704" i="3"/>
  <c r="S704" i="3"/>
  <c r="U703" i="3"/>
  <c r="T703" i="3"/>
  <c r="S703" i="3"/>
  <c r="U702" i="3"/>
  <c r="S702" i="3"/>
  <c r="T702" i="3" s="1"/>
  <c r="U701" i="3"/>
  <c r="S701" i="3"/>
  <c r="T701" i="3" s="1"/>
  <c r="U700" i="3"/>
  <c r="S700" i="3"/>
  <c r="T700" i="3" s="1"/>
  <c r="U699" i="3"/>
  <c r="S699" i="3"/>
  <c r="T699" i="3" s="1"/>
  <c r="U698" i="3"/>
  <c r="S698" i="3"/>
  <c r="T698" i="3" s="1"/>
  <c r="U697" i="3"/>
  <c r="S697" i="3"/>
  <c r="T697" i="3" s="1"/>
  <c r="U696" i="3"/>
  <c r="S696" i="3"/>
  <c r="T696" i="3" s="1"/>
  <c r="U695" i="3"/>
  <c r="S695" i="3"/>
  <c r="T695" i="3" s="1"/>
  <c r="U694" i="3"/>
  <c r="S694" i="3"/>
  <c r="T694" i="3" s="1"/>
  <c r="U693" i="3"/>
  <c r="S693" i="3"/>
  <c r="T693" i="3" s="1"/>
  <c r="U692" i="3"/>
  <c r="S692" i="3"/>
  <c r="T692" i="3" s="1"/>
  <c r="U691" i="3"/>
  <c r="S691" i="3"/>
  <c r="T691" i="3" s="1"/>
  <c r="U690" i="3"/>
  <c r="S690" i="3"/>
  <c r="T690" i="3" s="1"/>
  <c r="U689" i="3"/>
  <c r="S689" i="3"/>
  <c r="T689" i="3" s="1"/>
  <c r="U688" i="3"/>
  <c r="T688" i="3"/>
  <c r="S688" i="3"/>
  <c r="U687" i="3"/>
  <c r="T687" i="3"/>
  <c r="S687" i="3"/>
  <c r="U686" i="3"/>
  <c r="S686" i="3"/>
  <c r="T686" i="3" s="1"/>
  <c r="U685" i="3"/>
  <c r="S685" i="3"/>
  <c r="T685" i="3" s="1"/>
  <c r="U684" i="3"/>
  <c r="S684" i="3"/>
  <c r="T684" i="3" s="1"/>
  <c r="U683" i="3"/>
  <c r="S683" i="3"/>
  <c r="T683" i="3" s="1"/>
  <c r="U682" i="3"/>
  <c r="S682" i="3"/>
  <c r="T682" i="3" s="1"/>
  <c r="U681" i="3"/>
  <c r="S681" i="3"/>
  <c r="T681" i="3" s="1"/>
  <c r="U680" i="3"/>
  <c r="S680" i="3"/>
  <c r="T680" i="3" s="1"/>
  <c r="U679" i="3"/>
  <c r="S679" i="3"/>
  <c r="T679" i="3" s="1"/>
  <c r="U678" i="3"/>
  <c r="S678" i="3"/>
  <c r="T678" i="3" s="1"/>
  <c r="U677" i="3"/>
  <c r="S677" i="3"/>
  <c r="T677" i="3" s="1"/>
  <c r="U676" i="3"/>
  <c r="S676" i="3"/>
  <c r="T676" i="3" s="1"/>
  <c r="U675" i="3"/>
  <c r="S675" i="3"/>
  <c r="T675" i="3" s="1"/>
  <c r="U674" i="3"/>
  <c r="S674" i="3"/>
  <c r="T674" i="3" s="1"/>
  <c r="U673" i="3"/>
  <c r="S673" i="3"/>
  <c r="T673" i="3" s="1"/>
  <c r="U672" i="3"/>
  <c r="T672" i="3"/>
  <c r="S672" i="3"/>
  <c r="U671" i="3"/>
  <c r="T671" i="3"/>
  <c r="S671" i="3"/>
  <c r="U670" i="3"/>
  <c r="S670" i="3"/>
  <c r="T670" i="3" s="1"/>
  <c r="U669" i="3"/>
  <c r="S669" i="3"/>
  <c r="T669" i="3" s="1"/>
  <c r="U668" i="3"/>
  <c r="S668" i="3"/>
  <c r="T668" i="3" s="1"/>
  <c r="U667" i="3"/>
  <c r="S667" i="3"/>
  <c r="T667" i="3" s="1"/>
  <c r="U666" i="3"/>
  <c r="S666" i="3"/>
  <c r="T666" i="3" s="1"/>
  <c r="U665" i="3"/>
  <c r="S665" i="3"/>
  <c r="T665" i="3" s="1"/>
  <c r="U664" i="3"/>
  <c r="S664" i="3"/>
  <c r="T664" i="3" s="1"/>
  <c r="U663" i="3"/>
  <c r="S663" i="3"/>
  <c r="T663" i="3" s="1"/>
  <c r="U662" i="3"/>
  <c r="S662" i="3"/>
  <c r="T662" i="3" s="1"/>
  <c r="U661" i="3"/>
  <c r="S661" i="3"/>
  <c r="T661" i="3" s="1"/>
  <c r="U660" i="3"/>
  <c r="S660" i="3"/>
  <c r="T660" i="3" s="1"/>
  <c r="U659" i="3"/>
  <c r="S659" i="3"/>
  <c r="T659" i="3" s="1"/>
  <c r="U658" i="3"/>
  <c r="S658" i="3"/>
  <c r="T658" i="3" s="1"/>
  <c r="U657" i="3"/>
  <c r="S657" i="3"/>
  <c r="T657" i="3" s="1"/>
  <c r="U656" i="3"/>
  <c r="T656" i="3"/>
  <c r="S656" i="3"/>
  <c r="U655" i="3"/>
  <c r="T655" i="3"/>
  <c r="S655" i="3"/>
  <c r="U654" i="3"/>
  <c r="S654" i="3"/>
  <c r="T654" i="3" s="1"/>
  <c r="U653" i="3"/>
  <c r="S653" i="3"/>
  <c r="T653" i="3" s="1"/>
  <c r="U652" i="3"/>
  <c r="S652" i="3"/>
  <c r="T652" i="3" s="1"/>
  <c r="U651" i="3"/>
  <c r="S651" i="3"/>
  <c r="T651" i="3" s="1"/>
  <c r="U650" i="3"/>
  <c r="S650" i="3"/>
  <c r="T650" i="3" s="1"/>
  <c r="U649" i="3"/>
  <c r="S649" i="3"/>
  <c r="T649" i="3" s="1"/>
  <c r="U648" i="3"/>
  <c r="S648" i="3"/>
  <c r="T648" i="3" s="1"/>
  <c r="U647" i="3"/>
  <c r="S647" i="3"/>
  <c r="T647" i="3" s="1"/>
  <c r="U646" i="3"/>
  <c r="S646" i="3"/>
  <c r="T646" i="3" s="1"/>
  <c r="U645" i="3"/>
  <c r="S645" i="3"/>
  <c r="T645" i="3" s="1"/>
  <c r="U644" i="3"/>
  <c r="S644" i="3"/>
  <c r="T644" i="3" s="1"/>
  <c r="U643" i="3"/>
  <c r="S643" i="3"/>
  <c r="T643" i="3" s="1"/>
  <c r="U642" i="3"/>
  <c r="S642" i="3"/>
  <c r="T642" i="3" s="1"/>
  <c r="U641" i="3"/>
  <c r="S641" i="3"/>
  <c r="T641" i="3" s="1"/>
  <c r="U640" i="3"/>
  <c r="T640" i="3"/>
  <c r="S640" i="3"/>
  <c r="U639" i="3"/>
  <c r="T639" i="3"/>
  <c r="S639" i="3"/>
  <c r="U638" i="3"/>
  <c r="S638" i="3"/>
  <c r="T638" i="3" s="1"/>
  <c r="U637" i="3"/>
  <c r="S637" i="3"/>
  <c r="T637" i="3" s="1"/>
  <c r="U636" i="3"/>
  <c r="S636" i="3"/>
  <c r="T636" i="3" s="1"/>
  <c r="U635" i="3"/>
  <c r="S635" i="3"/>
  <c r="T635" i="3" s="1"/>
  <c r="U634" i="3"/>
  <c r="S634" i="3"/>
  <c r="T634" i="3" s="1"/>
  <c r="U633" i="3"/>
  <c r="S633" i="3"/>
  <c r="T633" i="3" s="1"/>
  <c r="U632" i="3"/>
  <c r="S632" i="3"/>
  <c r="T632" i="3" s="1"/>
  <c r="U631" i="3"/>
  <c r="S631" i="3"/>
  <c r="T631" i="3" s="1"/>
  <c r="U630" i="3"/>
  <c r="S630" i="3"/>
  <c r="T630" i="3" s="1"/>
  <c r="U629" i="3"/>
  <c r="S629" i="3"/>
  <c r="T629" i="3" s="1"/>
  <c r="U628" i="3"/>
  <c r="S628" i="3"/>
  <c r="T628" i="3" s="1"/>
  <c r="U627" i="3"/>
  <c r="S627" i="3"/>
  <c r="T627" i="3" s="1"/>
  <c r="U626" i="3"/>
  <c r="S626" i="3"/>
  <c r="T626" i="3" s="1"/>
  <c r="U625" i="3"/>
  <c r="S625" i="3"/>
  <c r="T625" i="3" s="1"/>
  <c r="U624" i="3"/>
  <c r="T624" i="3"/>
  <c r="S624" i="3"/>
  <c r="U623" i="3"/>
  <c r="T623" i="3"/>
  <c r="S623" i="3"/>
  <c r="U622" i="3"/>
  <c r="T622" i="3"/>
  <c r="S622" i="3"/>
  <c r="U621" i="3"/>
  <c r="S621" i="3"/>
  <c r="T621" i="3" s="1"/>
  <c r="U620" i="3"/>
  <c r="S620" i="3"/>
  <c r="T620" i="3" s="1"/>
  <c r="U619" i="3"/>
  <c r="S619" i="3"/>
  <c r="T619" i="3" s="1"/>
  <c r="U618" i="3"/>
  <c r="S618" i="3"/>
  <c r="T618" i="3" s="1"/>
  <c r="U617" i="3"/>
  <c r="S617" i="3"/>
  <c r="T617" i="3" s="1"/>
  <c r="U616" i="3"/>
  <c r="T616" i="3"/>
  <c r="S616" i="3"/>
  <c r="U615" i="3"/>
  <c r="S615" i="3"/>
  <c r="T615" i="3" s="1"/>
  <c r="U614" i="3"/>
  <c r="S614" i="3"/>
  <c r="T614" i="3" s="1"/>
  <c r="U613" i="3"/>
  <c r="S613" i="3"/>
  <c r="T613" i="3" s="1"/>
  <c r="U612" i="3"/>
  <c r="S612" i="3"/>
  <c r="T612" i="3" s="1"/>
  <c r="U611" i="3"/>
  <c r="S611" i="3"/>
  <c r="T611" i="3" s="1"/>
  <c r="U610" i="3"/>
  <c r="S610" i="3"/>
  <c r="T610" i="3" s="1"/>
  <c r="U609" i="3"/>
  <c r="S609" i="3"/>
  <c r="T609" i="3" s="1"/>
  <c r="U608" i="3"/>
  <c r="T608" i="3"/>
  <c r="S608" i="3"/>
  <c r="U607" i="3"/>
  <c r="T607" i="3"/>
  <c r="S607" i="3"/>
  <c r="U606" i="3"/>
  <c r="T606" i="3"/>
  <c r="S606" i="3"/>
  <c r="U605" i="3"/>
  <c r="S605" i="3"/>
  <c r="T605" i="3" s="1"/>
  <c r="U604" i="3"/>
  <c r="S604" i="3"/>
  <c r="T604" i="3" s="1"/>
  <c r="U603" i="3"/>
  <c r="S603" i="3"/>
  <c r="T603" i="3" s="1"/>
  <c r="U602" i="3"/>
  <c r="S602" i="3"/>
  <c r="T602" i="3" s="1"/>
  <c r="U601" i="3"/>
  <c r="S601" i="3"/>
  <c r="T601" i="3" s="1"/>
  <c r="U600" i="3"/>
  <c r="T600" i="3"/>
  <c r="S600" i="3"/>
  <c r="U599" i="3"/>
  <c r="S599" i="3"/>
  <c r="T599" i="3" s="1"/>
  <c r="U598" i="3"/>
  <c r="S598" i="3"/>
  <c r="T598" i="3" s="1"/>
  <c r="U597" i="3"/>
  <c r="S597" i="3"/>
  <c r="T597" i="3" s="1"/>
  <c r="U596" i="3"/>
  <c r="S596" i="3"/>
  <c r="T596" i="3" s="1"/>
  <c r="U595" i="3"/>
  <c r="S595" i="3"/>
  <c r="T595" i="3" s="1"/>
  <c r="U594" i="3"/>
  <c r="S594" i="3"/>
  <c r="T594" i="3" s="1"/>
  <c r="U593" i="3"/>
  <c r="S593" i="3"/>
  <c r="T593" i="3" s="1"/>
  <c r="U592" i="3"/>
  <c r="T592" i="3"/>
  <c r="S592" i="3"/>
  <c r="U591" i="3"/>
  <c r="T591" i="3"/>
  <c r="S591" i="3"/>
  <c r="U590" i="3"/>
  <c r="T590" i="3"/>
  <c r="S590" i="3"/>
  <c r="U589" i="3"/>
  <c r="S589" i="3"/>
  <c r="T589" i="3" s="1"/>
  <c r="U588" i="3"/>
  <c r="S588" i="3"/>
  <c r="T588" i="3" s="1"/>
  <c r="U587" i="3"/>
  <c r="S587" i="3"/>
  <c r="T587" i="3" s="1"/>
  <c r="U586" i="3"/>
  <c r="S586" i="3"/>
  <c r="T586" i="3" s="1"/>
  <c r="U585" i="3"/>
  <c r="S585" i="3"/>
  <c r="T585" i="3" s="1"/>
  <c r="U584" i="3"/>
  <c r="T584" i="3"/>
  <c r="S584" i="3"/>
  <c r="U583" i="3"/>
  <c r="S583" i="3"/>
  <c r="T583" i="3" s="1"/>
  <c r="U582" i="3"/>
  <c r="T582" i="3"/>
  <c r="S582" i="3"/>
  <c r="U581" i="3"/>
  <c r="S581" i="3"/>
  <c r="T581" i="3" s="1"/>
  <c r="U580" i="3"/>
  <c r="S580" i="3"/>
  <c r="T580" i="3" s="1"/>
  <c r="U579" i="3"/>
  <c r="S579" i="3"/>
  <c r="T579" i="3" s="1"/>
  <c r="U578" i="3"/>
  <c r="S578" i="3"/>
  <c r="T578" i="3" s="1"/>
  <c r="U577" i="3"/>
  <c r="S577" i="3"/>
  <c r="T577" i="3" s="1"/>
  <c r="U576" i="3"/>
  <c r="T576" i="3"/>
  <c r="S576" i="3"/>
  <c r="U575" i="3"/>
  <c r="T575" i="3"/>
  <c r="S575" i="3"/>
  <c r="U574" i="3"/>
  <c r="T574" i="3"/>
  <c r="S574" i="3"/>
  <c r="U573" i="3"/>
  <c r="S573" i="3"/>
  <c r="T573" i="3" s="1"/>
  <c r="U572" i="3"/>
  <c r="S572" i="3"/>
  <c r="T572" i="3" s="1"/>
  <c r="U571" i="3"/>
  <c r="S571" i="3"/>
  <c r="T571" i="3" s="1"/>
  <c r="U570" i="3"/>
  <c r="S570" i="3"/>
  <c r="T570" i="3" s="1"/>
  <c r="U569" i="3"/>
  <c r="S569" i="3"/>
  <c r="T569" i="3" s="1"/>
  <c r="U568" i="3"/>
  <c r="T568" i="3"/>
  <c r="S568" i="3"/>
  <c r="U567" i="3"/>
  <c r="S567" i="3"/>
  <c r="T567" i="3" s="1"/>
  <c r="U566" i="3"/>
  <c r="T566" i="3"/>
  <c r="S566" i="3"/>
  <c r="U565" i="3"/>
  <c r="S565" i="3"/>
  <c r="T565" i="3" s="1"/>
  <c r="U564" i="3"/>
  <c r="S564" i="3"/>
  <c r="T564" i="3" s="1"/>
  <c r="U563" i="3"/>
  <c r="S563" i="3"/>
  <c r="T563" i="3" s="1"/>
  <c r="U562" i="3"/>
  <c r="S562" i="3"/>
  <c r="T562" i="3" s="1"/>
  <c r="U561" i="3"/>
  <c r="S561" i="3"/>
  <c r="T561" i="3" s="1"/>
  <c r="U560" i="3"/>
  <c r="T560" i="3"/>
  <c r="S560" i="3"/>
  <c r="U559" i="3"/>
  <c r="T559" i="3"/>
  <c r="S559" i="3"/>
  <c r="U558" i="3"/>
  <c r="T558" i="3"/>
  <c r="S558" i="3"/>
  <c r="U557" i="3"/>
  <c r="S557" i="3"/>
  <c r="T557" i="3" s="1"/>
  <c r="U556" i="3"/>
  <c r="S556" i="3"/>
  <c r="T556" i="3" s="1"/>
  <c r="U555" i="3"/>
  <c r="S555" i="3"/>
  <c r="T555" i="3" s="1"/>
  <c r="U554" i="3"/>
  <c r="S554" i="3"/>
  <c r="T554" i="3" s="1"/>
  <c r="U553" i="3"/>
  <c r="S553" i="3"/>
  <c r="T553" i="3" s="1"/>
  <c r="U552" i="3"/>
  <c r="T552" i="3"/>
  <c r="S552" i="3"/>
  <c r="U551" i="3"/>
  <c r="S551" i="3"/>
  <c r="T551" i="3" s="1"/>
  <c r="U550" i="3"/>
  <c r="T550" i="3"/>
  <c r="S550" i="3"/>
  <c r="U549" i="3"/>
  <c r="S549" i="3"/>
  <c r="T549" i="3" s="1"/>
  <c r="U548" i="3"/>
  <c r="S548" i="3"/>
  <c r="T548" i="3" s="1"/>
  <c r="U547" i="3"/>
  <c r="S547" i="3"/>
  <c r="T547" i="3" s="1"/>
  <c r="U546" i="3"/>
  <c r="S546" i="3"/>
  <c r="T546" i="3" s="1"/>
  <c r="U545" i="3"/>
  <c r="S545" i="3"/>
  <c r="T545" i="3" s="1"/>
  <c r="U544" i="3"/>
  <c r="T544" i="3"/>
  <c r="S544" i="3"/>
  <c r="U543" i="3"/>
  <c r="T543" i="3"/>
  <c r="S543" i="3"/>
  <c r="U542" i="3"/>
  <c r="T542" i="3"/>
  <c r="S542" i="3"/>
  <c r="U541" i="3"/>
  <c r="S541" i="3"/>
  <c r="T541" i="3" s="1"/>
  <c r="U540" i="3"/>
  <c r="S540" i="3"/>
  <c r="T540" i="3" s="1"/>
  <c r="U539" i="3"/>
  <c r="S539" i="3"/>
  <c r="T539" i="3" s="1"/>
  <c r="U538" i="3"/>
  <c r="S538" i="3"/>
  <c r="T538" i="3" s="1"/>
  <c r="U537" i="3"/>
  <c r="S537" i="3"/>
  <c r="T537" i="3" s="1"/>
  <c r="U536" i="3"/>
  <c r="T536" i="3"/>
  <c r="S536" i="3"/>
  <c r="U535" i="3"/>
  <c r="S535" i="3"/>
  <c r="T535" i="3" s="1"/>
  <c r="U534" i="3"/>
  <c r="T534" i="3"/>
  <c r="S534" i="3"/>
  <c r="U533" i="3"/>
  <c r="S533" i="3"/>
  <c r="T533" i="3" s="1"/>
  <c r="U532" i="3"/>
  <c r="S532" i="3"/>
  <c r="T532" i="3" s="1"/>
  <c r="U531" i="3"/>
  <c r="S531" i="3"/>
  <c r="T531" i="3" s="1"/>
  <c r="U530" i="3"/>
  <c r="S530" i="3"/>
  <c r="T530" i="3" s="1"/>
  <c r="U529" i="3"/>
  <c r="S529" i="3"/>
  <c r="T529" i="3" s="1"/>
  <c r="U528" i="3"/>
  <c r="T528" i="3"/>
  <c r="S528" i="3"/>
  <c r="U527" i="3"/>
  <c r="T527" i="3"/>
  <c r="S527" i="3"/>
  <c r="U526" i="3"/>
  <c r="T526" i="3"/>
  <c r="S526" i="3"/>
  <c r="U525" i="3"/>
  <c r="S525" i="3"/>
  <c r="T525" i="3" s="1"/>
  <c r="U524" i="3"/>
  <c r="S524" i="3"/>
  <c r="T524" i="3" s="1"/>
  <c r="U523" i="3"/>
  <c r="S523" i="3"/>
  <c r="T523" i="3" s="1"/>
  <c r="U522" i="3"/>
  <c r="S522" i="3"/>
  <c r="T522" i="3" s="1"/>
  <c r="U521" i="3"/>
  <c r="S521" i="3"/>
  <c r="T521" i="3" s="1"/>
  <c r="U520" i="3"/>
  <c r="T520" i="3"/>
  <c r="S520" i="3"/>
  <c r="U519" i="3"/>
  <c r="S519" i="3"/>
  <c r="T519" i="3" s="1"/>
  <c r="U518" i="3"/>
  <c r="T518" i="3"/>
  <c r="S518" i="3"/>
  <c r="U517" i="3"/>
  <c r="S517" i="3"/>
  <c r="T517" i="3" s="1"/>
  <c r="U516" i="3"/>
  <c r="S516" i="3"/>
  <c r="T516" i="3" s="1"/>
  <c r="U515" i="3"/>
  <c r="S515" i="3"/>
  <c r="T515" i="3" s="1"/>
  <c r="U514" i="3"/>
  <c r="S514" i="3"/>
  <c r="T514" i="3" s="1"/>
  <c r="U513" i="3"/>
  <c r="S513" i="3"/>
  <c r="T513" i="3" s="1"/>
  <c r="U512" i="3"/>
  <c r="T512" i="3"/>
  <c r="S512" i="3"/>
  <c r="U511" i="3"/>
  <c r="T511" i="3"/>
  <c r="S511" i="3"/>
  <c r="U510" i="3"/>
  <c r="T510" i="3"/>
  <c r="S510" i="3"/>
  <c r="U509" i="3"/>
  <c r="S509" i="3"/>
  <c r="T509" i="3" s="1"/>
  <c r="U508" i="3"/>
  <c r="S508" i="3"/>
  <c r="T508" i="3" s="1"/>
  <c r="U507" i="3"/>
  <c r="S507" i="3"/>
  <c r="T507" i="3" s="1"/>
  <c r="U506" i="3"/>
  <c r="S506" i="3"/>
  <c r="T506" i="3" s="1"/>
  <c r="U505" i="3"/>
  <c r="S505" i="3"/>
  <c r="T505" i="3" s="1"/>
  <c r="U504" i="3"/>
  <c r="T504" i="3"/>
  <c r="S504" i="3"/>
  <c r="U503" i="3"/>
  <c r="S503" i="3"/>
  <c r="T503" i="3" s="1"/>
  <c r="U502" i="3"/>
  <c r="T502" i="3"/>
  <c r="S502" i="3"/>
  <c r="U501" i="3"/>
  <c r="S501" i="3"/>
  <c r="T501" i="3" s="1"/>
  <c r="U500" i="3"/>
  <c r="S500" i="3"/>
  <c r="T500" i="3" s="1"/>
  <c r="U499" i="3"/>
  <c r="S499" i="3"/>
  <c r="T499" i="3" s="1"/>
  <c r="U498" i="3"/>
  <c r="S498" i="3"/>
  <c r="T498" i="3" s="1"/>
  <c r="U497" i="3"/>
  <c r="S497" i="3"/>
  <c r="T497" i="3" s="1"/>
  <c r="U496" i="3"/>
  <c r="T496" i="3"/>
  <c r="S496" i="3"/>
  <c r="U495" i="3"/>
  <c r="T495" i="3"/>
  <c r="S495" i="3"/>
  <c r="U494" i="3"/>
  <c r="T494" i="3"/>
  <c r="S494" i="3"/>
  <c r="U493" i="3"/>
  <c r="S493" i="3"/>
  <c r="T493" i="3" s="1"/>
  <c r="U492" i="3"/>
  <c r="S492" i="3"/>
  <c r="T492" i="3" s="1"/>
  <c r="U491" i="3"/>
  <c r="S491" i="3"/>
  <c r="T491" i="3" s="1"/>
  <c r="U490" i="3"/>
  <c r="S490" i="3"/>
  <c r="T490" i="3" s="1"/>
  <c r="U489" i="3"/>
  <c r="S489" i="3"/>
  <c r="T489" i="3" s="1"/>
  <c r="U488" i="3"/>
  <c r="T488" i="3"/>
  <c r="S488" i="3"/>
  <c r="U487" i="3"/>
  <c r="S487" i="3"/>
  <c r="T487" i="3" s="1"/>
  <c r="U486" i="3"/>
  <c r="T486" i="3"/>
  <c r="S486" i="3"/>
  <c r="U485" i="3"/>
  <c r="S485" i="3"/>
  <c r="T485" i="3" s="1"/>
  <c r="U484" i="3"/>
  <c r="S484" i="3"/>
  <c r="T484" i="3" s="1"/>
  <c r="U483" i="3"/>
  <c r="S483" i="3"/>
  <c r="T483" i="3" s="1"/>
  <c r="U482" i="3"/>
  <c r="S482" i="3"/>
  <c r="T482" i="3" s="1"/>
  <c r="U481" i="3"/>
  <c r="S481" i="3"/>
  <c r="T481" i="3" s="1"/>
  <c r="U480" i="3"/>
  <c r="T480" i="3"/>
  <c r="S480" i="3"/>
  <c r="U479" i="3"/>
  <c r="T479" i="3"/>
  <c r="S479" i="3"/>
  <c r="U478" i="3"/>
  <c r="T478" i="3"/>
  <c r="S478" i="3"/>
  <c r="U477" i="3"/>
  <c r="S477" i="3"/>
  <c r="T477" i="3" s="1"/>
  <c r="U476" i="3"/>
  <c r="S476" i="3"/>
  <c r="T476" i="3" s="1"/>
  <c r="U475" i="3"/>
  <c r="S475" i="3"/>
  <c r="T475" i="3" s="1"/>
  <c r="U474" i="3"/>
  <c r="S474" i="3"/>
  <c r="T474" i="3" s="1"/>
  <c r="U473" i="3"/>
  <c r="S473" i="3"/>
  <c r="T473" i="3" s="1"/>
  <c r="U472" i="3"/>
  <c r="T472" i="3"/>
  <c r="S472" i="3"/>
  <c r="U471" i="3"/>
  <c r="S471" i="3"/>
  <c r="T471" i="3" s="1"/>
  <c r="U470" i="3"/>
  <c r="T470" i="3"/>
  <c r="S470" i="3"/>
  <c r="U469" i="3"/>
  <c r="S469" i="3"/>
  <c r="T469" i="3" s="1"/>
  <c r="U468" i="3"/>
  <c r="S468" i="3"/>
  <c r="T468" i="3" s="1"/>
  <c r="U467" i="3"/>
  <c r="S467" i="3"/>
  <c r="T467" i="3" s="1"/>
  <c r="U466" i="3"/>
  <c r="S466" i="3"/>
  <c r="T466" i="3" s="1"/>
  <c r="U465" i="3"/>
  <c r="S465" i="3"/>
  <c r="T465" i="3" s="1"/>
  <c r="U464" i="3"/>
  <c r="T464" i="3"/>
  <c r="S464" i="3"/>
  <c r="U463" i="3"/>
  <c r="T463" i="3"/>
  <c r="S463" i="3"/>
  <c r="U462" i="3"/>
  <c r="T462" i="3"/>
  <c r="S462" i="3"/>
  <c r="U461" i="3"/>
  <c r="S461" i="3"/>
  <c r="T461" i="3" s="1"/>
  <c r="U460" i="3"/>
  <c r="S460" i="3"/>
  <c r="T460" i="3" s="1"/>
  <c r="U459" i="3"/>
  <c r="S459" i="3"/>
  <c r="T459" i="3" s="1"/>
  <c r="U458" i="3"/>
  <c r="S458" i="3"/>
  <c r="T458" i="3" s="1"/>
  <c r="U457" i="3"/>
  <c r="S457" i="3"/>
  <c r="T457" i="3" s="1"/>
  <c r="U456" i="3"/>
  <c r="T456" i="3"/>
  <c r="S456" i="3"/>
  <c r="U455" i="3"/>
  <c r="S455" i="3"/>
  <c r="T455" i="3" s="1"/>
  <c r="U454" i="3"/>
  <c r="T454" i="3"/>
  <c r="S454" i="3"/>
  <c r="U453" i="3"/>
  <c r="S453" i="3"/>
  <c r="T453" i="3" s="1"/>
  <c r="U452" i="3"/>
  <c r="S452" i="3"/>
  <c r="T452" i="3" s="1"/>
  <c r="U451" i="3"/>
  <c r="S451" i="3"/>
  <c r="T451" i="3" s="1"/>
  <c r="U450" i="3"/>
  <c r="S450" i="3"/>
  <c r="T450" i="3" s="1"/>
  <c r="U449" i="3"/>
  <c r="S449" i="3"/>
  <c r="T449" i="3" s="1"/>
  <c r="U448" i="3"/>
  <c r="T448" i="3"/>
  <c r="S448" i="3"/>
  <c r="U447" i="3"/>
  <c r="T447" i="3"/>
  <c r="S447" i="3"/>
  <c r="U446" i="3"/>
  <c r="T446" i="3"/>
  <c r="S446" i="3"/>
  <c r="U445" i="3"/>
  <c r="S445" i="3"/>
  <c r="T445" i="3" s="1"/>
  <c r="U444" i="3"/>
  <c r="S444" i="3"/>
  <c r="T444" i="3" s="1"/>
  <c r="U443" i="3"/>
  <c r="S443" i="3"/>
  <c r="T443" i="3" s="1"/>
  <c r="U442" i="3"/>
  <c r="S442" i="3"/>
  <c r="T442" i="3" s="1"/>
  <c r="U441" i="3"/>
  <c r="S441" i="3"/>
  <c r="T441" i="3" s="1"/>
  <c r="U440" i="3"/>
  <c r="T440" i="3"/>
  <c r="S440" i="3"/>
  <c r="U439" i="3"/>
  <c r="S439" i="3"/>
  <c r="T439" i="3" s="1"/>
  <c r="U438" i="3"/>
  <c r="T438" i="3"/>
  <c r="S438" i="3"/>
  <c r="U437" i="3"/>
  <c r="S437" i="3"/>
  <c r="T437" i="3" s="1"/>
  <c r="U436" i="3"/>
  <c r="S436" i="3"/>
  <c r="T436" i="3" s="1"/>
  <c r="U435" i="3"/>
  <c r="S435" i="3"/>
  <c r="T435" i="3" s="1"/>
  <c r="U434" i="3"/>
  <c r="S434" i="3"/>
  <c r="T434" i="3" s="1"/>
  <c r="U433" i="3"/>
  <c r="S433" i="3"/>
  <c r="T433" i="3" s="1"/>
  <c r="U432" i="3"/>
  <c r="T432" i="3"/>
  <c r="S432" i="3"/>
  <c r="U431" i="3"/>
  <c r="T431" i="3"/>
  <c r="S431" i="3"/>
  <c r="U430" i="3"/>
  <c r="T430" i="3"/>
  <c r="S430" i="3"/>
  <c r="U429" i="3"/>
  <c r="S429" i="3"/>
  <c r="T429" i="3" s="1"/>
  <c r="U428" i="3"/>
  <c r="S428" i="3"/>
  <c r="T428" i="3" s="1"/>
  <c r="U427" i="3"/>
  <c r="S427" i="3"/>
  <c r="T427" i="3" s="1"/>
  <c r="U426" i="3"/>
  <c r="S426" i="3"/>
  <c r="T426" i="3" s="1"/>
  <c r="U425" i="3"/>
  <c r="S425" i="3"/>
  <c r="T425" i="3" s="1"/>
  <c r="U424" i="3"/>
  <c r="T424" i="3"/>
  <c r="S424" i="3"/>
  <c r="U423" i="3"/>
  <c r="S423" i="3"/>
  <c r="T423" i="3" s="1"/>
  <c r="U422" i="3"/>
  <c r="T422" i="3"/>
  <c r="S422" i="3"/>
  <c r="U421" i="3"/>
  <c r="S421" i="3"/>
  <c r="T421" i="3" s="1"/>
  <c r="U420" i="3"/>
  <c r="S420" i="3"/>
  <c r="T420" i="3" s="1"/>
  <c r="U419" i="3"/>
  <c r="S419" i="3"/>
  <c r="T419" i="3" s="1"/>
  <c r="U418" i="3"/>
  <c r="S418" i="3"/>
  <c r="T418" i="3" s="1"/>
  <c r="U417" i="3"/>
  <c r="S417" i="3"/>
  <c r="T417" i="3" s="1"/>
  <c r="U416" i="3"/>
  <c r="T416" i="3"/>
  <c r="S416" i="3"/>
  <c r="U415" i="3"/>
  <c r="T415" i="3"/>
  <c r="S415" i="3"/>
  <c r="U414" i="3"/>
  <c r="T414" i="3"/>
  <c r="S414" i="3"/>
  <c r="U413" i="3"/>
  <c r="S413" i="3"/>
  <c r="T413" i="3" s="1"/>
  <c r="U412" i="3"/>
  <c r="S412" i="3"/>
  <c r="T412" i="3" s="1"/>
  <c r="U411" i="3"/>
  <c r="S411" i="3"/>
  <c r="T411" i="3" s="1"/>
  <c r="U410" i="3"/>
  <c r="S410" i="3"/>
  <c r="T410" i="3" s="1"/>
  <c r="U409" i="3"/>
  <c r="S409" i="3"/>
  <c r="T409" i="3" s="1"/>
  <c r="U408" i="3"/>
  <c r="T408" i="3"/>
  <c r="S408" i="3"/>
  <c r="U407" i="3"/>
  <c r="S407" i="3"/>
  <c r="T407" i="3" s="1"/>
  <c r="U406" i="3"/>
  <c r="T406" i="3"/>
  <c r="S406" i="3"/>
  <c r="U405" i="3"/>
  <c r="S405" i="3"/>
  <c r="T405" i="3" s="1"/>
  <c r="U404" i="3"/>
  <c r="S404" i="3"/>
  <c r="T404" i="3" s="1"/>
  <c r="U403" i="3"/>
  <c r="S403" i="3"/>
  <c r="T403" i="3" s="1"/>
  <c r="U402" i="3"/>
  <c r="S402" i="3"/>
  <c r="T402" i="3" s="1"/>
  <c r="U401" i="3"/>
  <c r="S401" i="3"/>
  <c r="T401" i="3" s="1"/>
  <c r="U400" i="3"/>
  <c r="T400" i="3"/>
  <c r="S400" i="3"/>
  <c r="U399" i="3"/>
  <c r="T399" i="3"/>
  <c r="S399" i="3"/>
  <c r="U398" i="3"/>
  <c r="T398" i="3"/>
  <c r="S398" i="3"/>
  <c r="U397" i="3"/>
  <c r="S397" i="3"/>
  <c r="T397" i="3" s="1"/>
  <c r="U396" i="3"/>
  <c r="S396" i="3"/>
  <c r="T396" i="3" s="1"/>
  <c r="U395" i="3"/>
  <c r="S395" i="3"/>
  <c r="T395" i="3" s="1"/>
  <c r="U394" i="3"/>
  <c r="S394" i="3"/>
  <c r="T394" i="3" s="1"/>
  <c r="U393" i="3"/>
  <c r="S393" i="3"/>
  <c r="T393" i="3" s="1"/>
  <c r="U392" i="3"/>
  <c r="T392" i="3"/>
  <c r="S392" i="3"/>
  <c r="U391" i="3"/>
  <c r="S391" i="3"/>
  <c r="T391" i="3" s="1"/>
  <c r="U390" i="3"/>
  <c r="T390" i="3"/>
  <c r="S390" i="3"/>
  <c r="U389" i="3"/>
  <c r="S389" i="3"/>
  <c r="T389" i="3" s="1"/>
  <c r="U388" i="3"/>
  <c r="S388" i="3"/>
  <c r="T388" i="3" s="1"/>
  <c r="U387" i="3"/>
  <c r="S387" i="3"/>
  <c r="T387" i="3" s="1"/>
  <c r="U386" i="3"/>
  <c r="S386" i="3"/>
  <c r="T386" i="3" s="1"/>
  <c r="U385" i="3"/>
  <c r="S385" i="3"/>
  <c r="T385" i="3" s="1"/>
  <c r="U384" i="3"/>
  <c r="T384" i="3"/>
  <c r="S384" i="3"/>
  <c r="U383" i="3"/>
  <c r="T383" i="3"/>
  <c r="S383" i="3"/>
  <c r="U382" i="3"/>
  <c r="T382" i="3"/>
  <c r="S382" i="3"/>
  <c r="U381" i="3"/>
  <c r="S381" i="3"/>
  <c r="T381" i="3" s="1"/>
  <c r="U380" i="3"/>
  <c r="S380" i="3"/>
  <c r="T380" i="3" s="1"/>
  <c r="U379" i="3"/>
  <c r="S379" i="3"/>
  <c r="T379" i="3" s="1"/>
  <c r="U378" i="3"/>
  <c r="S378" i="3"/>
  <c r="T378" i="3" s="1"/>
  <c r="U377" i="3"/>
  <c r="S377" i="3"/>
  <c r="T377" i="3" s="1"/>
  <c r="U376" i="3"/>
  <c r="T376" i="3"/>
  <c r="S376" i="3"/>
  <c r="U375" i="3"/>
  <c r="S375" i="3"/>
  <c r="T375" i="3" s="1"/>
  <c r="U374" i="3"/>
  <c r="T374" i="3"/>
  <c r="S374" i="3"/>
  <c r="U373" i="3"/>
  <c r="S373" i="3"/>
  <c r="T373" i="3" s="1"/>
  <c r="U372" i="3"/>
  <c r="S372" i="3"/>
  <c r="T372" i="3" s="1"/>
  <c r="U371" i="3"/>
  <c r="S371" i="3"/>
  <c r="T371" i="3" s="1"/>
  <c r="U370" i="3"/>
  <c r="S370" i="3"/>
  <c r="T370" i="3" s="1"/>
  <c r="U369" i="3"/>
  <c r="S369" i="3"/>
  <c r="T369" i="3" s="1"/>
  <c r="U368" i="3"/>
  <c r="T368" i="3"/>
  <c r="S368" i="3"/>
  <c r="U367" i="3"/>
  <c r="S367" i="3"/>
  <c r="T367" i="3" s="1"/>
  <c r="U366" i="3"/>
  <c r="T366" i="3"/>
  <c r="S366" i="3"/>
  <c r="U365" i="3"/>
  <c r="S365" i="3"/>
  <c r="T365" i="3" s="1"/>
  <c r="U364" i="3"/>
  <c r="S364" i="3"/>
  <c r="T364" i="3" s="1"/>
  <c r="U363" i="3"/>
  <c r="S363" i="3"/>
  <c r="T363" i="3" s="1"/>
  <c r="U362" i="3"/>
  <c r="S362" i="3"/>
  <c r="T362" i="3" s="1"/>
  <c r="U361" i="3"/>
  <c r="S361" i="3"/>
  <c r="T361" i="3" s="1"/>
  <c r="U360" i="3"/>
  <c r="T360" i="3"/>
  <c r="S360" i="3"/>
  <c r="U359" i="3"/>
  <c r="S359" i="3"/>
  <c r="T359" i="3" s="1"/>
  <c r="U358" i="3"/>
  <c r="T358" i="3"/>
  <c r="S358" i="3"/>
  <c r="U357" i="3"/>
  <c r="S357" i="3"/>
  <c r="T357" i="3" s="1"/>
  <c r="U356" i="3"/>
  <c r="S356" i="3"/>
  <c r="T356" i="3" s="1"/>
  <c r="U355" i="3"/>
  <c r="S355" i="3"/>
  <c r="T355" i="3" s="1"/>
  <c r="U354" i="3"/>
  <c r="S354" i="3"/>
  <c r="T354" i="3" s="1"/>
  <c r="U353" i="3"/>
  <c r="S353" i="3"/>
  <c r="T353" i="3" s="1"/>
  <c r="U352" i="3"/>
  <c r="T352" i="3"/>
  <c r="S352" i="3"/>
  <c r="U351" i="3"/>
  <c r="S351" i="3"/>
  <c r="T351" i="3" s="1"/>
  <c r="U350" i="3"/>
  <c r="T350" i="3"/>
  <c r="S350" i="3"/>
  <c r="U349" i="3"/>
  <c r="S349" i="3"/>
  <c r="T349" i="3" s="1"/>
  <c r="U348" i="3"/>
  <c r="S348" i="3"/>
  <c r="T348" i="3" s="1"/>
  <c r="U347" i="3"/>
  <c r="S347" i="3"/>
  <c r="T347" i="3" s="1"/>
  <c r="U346" i="3"/>
  <c r="S346" i="3"/>
  <c r="T346" i="3" s="1"/>
  <c r="U345" i="3"/>
  <c r="S345" i="3"/>
  <c r="T345" i="3" s="1"/>
  <c r="U344" i="3"/>
  <c r="T344" i="3"/>
  <c r="S344" i="3"/>
  <c r="U343" i="3"/>
  <c r="S343" i="3"/>
  <c r="T343" i="3" s="1"/>
  <c r="U342" i="3"/>
  <c r="T342" i="3"/>
  <c r="S342" i="3"/>
  <c r="U341" i="3"/>
  <c r="S341" i="3"/>
  <c r="T341" i="3" s="1"/>
  <c r="U340" i="3"/>
  <c r="S340" i="3"/>
  <c r="T340" i="3" s="1"/>
  <c r="U339" i="3"/>
  <c r="S339" i="3"/>
  <c r="T339" i="3" s="1"/>
  <c r="U338" i="3"/>
  <c r="S338" i="3"/>
  <c r="T338" i="3" s="1"/>
  <c r="U337" i="3"/>
  <c r="S337" i="3"/>
  <c r="T337" i="3" s="1"/>
  <c r="U336" i="3"/>
  <c r="T336" i="3"/>
  <c r="S336" i="3"/>
  <c r="U335" i="3"/>
  <c r="S335" i="3"/>
  <c r="T335" i="3" s="1"/>
  <c r="U334" i="3"/>
  <c r="T334" i="3"/>
  <c r="S334" i="3"/>
  <c r="U333" i="3"/>
  <c r="S333" i="3"/>
  <c r="T333" i="3" s="1"/>
  <c r="U332" i="3"/>
  <c r="S332" i="3"/>
  <c r="T332" i="3" s="1"/>
  <c r="U331" i="3"/>
  <c r="S331" i="3"/>
  <c r="T331" i="3" s="1"/>
  <c r="U330" i="3"/>
  <c r="S330" i="3"/>
  <c r="T330" i="3" s="1"/>
  <c r="U329" i="3"/>
  <c r="S329" i="3"/>
  <c r="T329" i="3" s="1"/>
  <c r="U328" i="3"/>
  <c r="T328" i="3"/>
  <c r="S328" i="3"/>
  <c r="U327" i="3"/>
  <c r="S327" i="3"/>
  <c r="T327" i="3" s="1"/>
  <c r="U326" i="3"/>
  <c r="T326" i="3"/>
  <c r="S326" i="3"/>
  <c r="U325" i="3"/>
  <c r="S325" i="3"/>
  <c r="T325" i="3" s="1"/>
  <c r="U324" i="3"/>
  <c r="S324" i="3"/>
  <c r="T324" i="3" s="1"/>
  <c r="U323" i="3"/>
  <c r="S323" i="3"/>
  <c r="T323" i="3" s="1"/>
  <c r="U322" i="3"/>
  <c r="S322" i="3"/>
  <c r="T322" i="3" s="1"/>
  <c r="U321" i="3"/>
  <c r="S321" i="3"/>
  <c r="T321" i="3" s="1"/>
  <c r="U320" i="3"/>
  <c r="T320" i="3"/>
  <c r="S320" i="3"/>
  <c r="U319" i="3"/>
  <c r="S319" i="3"/>
  <c r="T319" i="3" s="1"/>
  <c r="U318" i="3"/>
  <c r="T318" i="3"/>
  <c r="S318" i="3"/>
  <c r="U317" i="3"/>
  <c r="S317" i="3"/>
  <c r="T317" i="3" s="1"/>
  <c r="U316" i="3"/>
  <c r="S316" i="3"/>
  <c r="T316" i="3" s="1"/>
  <c r="U315" i="3"/>
  <c r="S315" i="3"/>
  <c r="T315" i="3" s="1"/>
  <c r="U314" i="3"/>
  <c r="S314" i="3"/>
  <c r="T314" i="3" s="1"/>
  <c r="U313" i="3"/>
  <c r="S313" i="3"/>
  <c r="T313" i="3" s="1"/>
  <c r="U312" i="3"/>
  <c r="T312" i="3"/>
  <c r="S312" i="3"/>
  <c r="U311" i="3"/>
  <c r="S311" i="3"/>
  <c r="T311" i="3" s="1"/>
  <c r="U310" i="3"/>
  <c r="T310" i="3"/>
  <c r="S310" i="3"/>
  <c r="U309" i="3"/>
  <c r="S309" i="3"/>
  <c r="T309" i="3" s="1"/>
  <c r="U308" i="3"/>
  <c r="S308" i="3"/>
  <c r="T308" i="3" s="1"/>
  <c r="U307" i="3"/>
  <c r="S307" i="3"/>
  <c r="T307" i="3" s="1"/>
  <c r="U306" i="3"/>
  <c r="S306" i="3"/>
  <c r="T306" i="3" s="1"/>
  <c r="U305" i="3"/>
  <c r="S305" i="3"/>
  <c r="T305" i="3" s="1"/>
  <c r="U304" i="3"/>
  <c r="T304" i="3"/>
  <c r="S304" i="3"/>
  <c r="U303" i="3"/>
  <c r="S303" i="3"/>
  <c r="T303" i="3" s="1"/>
  <c r="U302" i="3"/>
  <c r="T302" i="3"/>
  <c r="S302" i="3"/>
  <c r="U301" i="3"/>
  <c r="S301" i="3"/>
  <c r="T301" i="3" s="1"/>
  <c r="U300" i="3"/>
  <c r="S300" i="3"/>
  <c r="T300" i="3" s="1"/>
  <c r="U299" i="3"/>
  <c r="S299" i="3"/>
  <c r="T299" i="3" s="1"/>
  <c r="U298" i="3"/>
  <c r="S298" i="3"/>
  <c r="T298" i="3" s="1"/>
  <c r="U297" i="3"/>
  <c r="S297" i="3"/>
  <c r="T297" i="3" s="1"/>
  <c r="U296" i="3"/>
  <c r="T296" i="3"/>
  <c r="S296" i="3"/>
  <c r="U295" i="3"/>
  <c r="S295" i="3"/>
  <c r="T295" i="3" s="1"/>
  <c r="U294" i="3"/>
  <c r="T294" i="3"/>
  <c r="S294" i="3"/>
  <c r="U293" i="3"/>
  <c r="S293" i="3"/>
  <c r="T293" i="3" s="1"/>
  <c r="U292" i="3"/>
  <c r="S292" i="3"/>
  <c r="T292" i="3" s="1"/>
  <c r="U291" i="3"/>
  <c r="S291" i="3"/>
  <c r="T291" i="3" s="1"/>
  <c r="U290" i="3"/>
  <c r="S290" i="3"/>
  <c r="T290" i="3" s="1"/>
  <c r="U289" i="3"/>
  <c r="S289" i="3"/>
  <c r="T289" i="3" s="1"/>
  <c r="U288" i="3"/>
  <c r="T288" i="3"/>
  <c r="S288" i="3"/>
  <c r="U287" i="3"/>
  <c r="S287" i="3"/>
  <c r="T287" i="3" s="1"/>
  <c r="U286" i="3"/>
  <c r="T286" i="3"/>
  <c r="S286" i="3"/>
  <c r="U285" i="3"/>
  <c r="S285" i="3"/>
  <c r="T285" i="3" s="1"/>
  <c r="U284" i="3"/>
  <c r="S284" i="3"/>
  <c r="T284" i="3" s="1"/>
  <c r="U283" i="3"/>
  <c r="S283" i="3"/>
  <c r="T283" i="3" s="1"/>
  <c r="U282" i="3"/>
  <c r="S282" i="3"/>
  <c r="T282" i="3" s="1"/>
  <c r="U281" i="3"/>
  <c r="S281" i="3"/>
  <c r="T281" i="3" s="1"/>
  <c r="U280" i="3"/>
  <c r="T280" i="3"/>
  <c r="S280" i="3"/>
  <c r="U279" i="3"/>
  <c r="S279" i="3"/>
  <c r="T279" i="3" s="1"/>
  <c r="U278" i="3"/>
  <c r="T278" i="3"/>
  <c r="S278" i="3"/>
  <c r="U277" i="3"/>
  <c r="S277" i="3"/>
  <c r="T277" i="3" s="1"/>
  <c r="U276" i="3"/>
  <c r="S276" i="3"/>
  <c r="T276" i="3" s="1"/>
  <c r="U275" i="3"/>
  <c r="S275" i="3"/>
  <c r="T275" i="3" s="1"/>
  <c r="U274" i="3"/>
  <c r="S274" i="3"/>
  <c r="T274" i="3" s="1"/>
  <c r="U273" i="3"/>
  <c r="T273" i="3"/>
  <c r="S273" i="3"/>
  <c r="U272" i="3"/>
  <c r="S272" i="3"/>
  <c r="T272" i="3" s="1"/>
  <c r="U271" i="3"/>
  <c r="S271" i="3"/>
  <c r="T271" i="3" s="1"/>
  <c r="U270" i="3"/>
  <c r="T270" i="3"/>
  <c r="S270" i="3"/>
  <c r="U269" i="3"/>
  <c r="S269" i="3"/>
  <c r="T269" i="3" s="1"/>
  <c r="U268" i="3"/>
  <c r="S268" i="3"/>
  <c r="T268" i="3" s="1"/>
  <c r="U267" i="3"/>
  <c r="S267" i="3"/>
  <c r="T267" i="3" s="1"/>
  <c r="U266" i="3"/>
  <c r="S266" i="3"/>
  <c r="T266" i="3" s="1"/>
  <c r="U265" i="3"/>
  <c r="T265" i="3"/>
  <c r="S265" i="3"/>
  <c r="U264" i="3"/>
  <c r="S264" i="3"/>
  <c r="T264" i="3" s="1"/>
  <c r="U263" i="3"/>
  <c r="T263" i="3"/>
  <c r="S263" i="3"/>
  <c r="U262" i="3"/>
  <c r="S262" i="3"/>
  <c r="T262" i="3" s="1"/>
  <c r="U261" i="3"/>
  <c r="T261" i="3"/>
  <c r="S261" i="3"/>
  <c r="U260" i="3"/>
  <c r="S260" i="3"/>
  <c r="T260" i="3" s="1"/>
  <c r="U259" i="3"/>
  <c r="S259" i="3"/>
  <c r="T259" i="3" s="1"/>
  <c r="U258" i="3"/>
  <c r="S258" i="3"/>
  <c r="T258" i="3" s="1"/>
  <c r="U257" i="3"/>
  <c r="S257" i="3"/>
  <c r="T257" i="3" s="1"/>
  <c r="U256" i="3"/>
  <c r="T256" i="3"/>
  <c r="S256" i="3"/>
  <c r="U255" i="3"/>
  <c r="S255" i="3"/>
  <c r="T255" i="3" s="1"/>
  <c r="U254" i="3"/>
  <c r="T254" i="3"/>
  <c r="S254" i="3"/>
  <c r="U253" i="3"/>
  <c r="S253" i="3"/>
  <c r="T253" i="3" s="1"/>
  <c r="U252" i="3"/>
  <c r="S252" i="3"/>
  <c r="T252" i="3" s="1"/>
  <c r="U251" i="3"/>
  <c r="S251" i="3"/>
  <c r="T251" i="3" s="1"/>
  <c r="U250" i="3"/>
  <c r="S250" i="3"/>
  <c r="T250" i="3" s="1"/>
  <c r="U249" i="3"/>
  <c r="S249" i="3"/>
  <c r="T249" i="3" s="1"/>
  <c r="U248" i="3"/>
  <c r="T248" i="3"/>
  <c r="S248" i="3"/>
  <c r="U247" i="3"/>
  <c r="S247" i="3"/>
  <c r="T247" i="3" s="1"/>
  <c r="U246" i="3"/>
  <c r="T246" i="3"/>
  <c r="S246" i="3"/>
  <c r="U245" i="3"/>
  <c r="S245" i="3"/>
  <c r="T245" i="3" s="1"/>
  <c r="U244" i="3"/>
  <c r="S244" i="3"/>
  <c r="T244" i="3" s="1"/>
  <c r="U243" i="3"/>
  <c r="S243" i="3"/>
  <c r="T243" i="3" s="1"/>
  <c r="U242" i="3"/>
  <c r="S242" i="3"/>
  <c r="T242" i="3" s="1"/>
  <c r="U241" i="3"/>
  <c r="S241" i="3"/>
  <c r="T241" i="3" s="1"/>
  <c r="U240" i="3"/>
  <c r="S240" i="3"/>
  <c r="T240" i="3" s="1"/>
  <c r="U239" i="3"/>
  <c r="T239" i="3"/>
  <c r="S239" i="3"/>
  <c r="U238" i="3"/>
  <c r="S238" i="3"/>
  <c r="T238" i="3" s="1"/>
  <c r="U237" i="3"/>
  <c r="T237" i="3"/>
  <c r="S237" i="3"/>
  <c r="U236" i="3"/>
  <c r="S236" i="3"/>
  <c r="T236" i="3" s="1"/>
  <c r="U235" i="3"/>
  <c r="S235" i="3"/>
  <c r="T235" i="3" s="1"/>
  <c r="U234" i="3"/>
  <c r="S234" i="3"/>
  <c r="T234" i="3" s="1"/>
  <c r="U233" i="3"/>
  <c r="S233" i="3"/>
  <c r="T233" i="3" s="1"/>
  <c r="U232" i="3"/>
  <c r="S232" i="3"/>
  <c r="T232" i="3" s="1"/>
  <c r="U231" i="3"/>
  <c r="T231" i="3"/>
  <c r="S231" i="3"/>
  <c r="U230" i="3"/>
  <c r="S230" i="3"/>
  <c r="T230" i="3" s="1"/>
  <c r="U229" i="3"/>
  <c r="T229" i="3"/>
  <c r="S229" i="3"/>
  <c r="U228" i="3"/>
  <c r="S228" i="3"/>
  <c r="T228" i="3" s="1"/>
  <c r="U227" i="3"/>
  <c r="S227" i="3"/>
  <c r="T227" i="3" s="1"/>
  <c r="U226" i="3"/>
  <c r="S226" i="3"/>
  <c r="T226" i="3" s="1"/>
  <c r="U225" i="3"/>
  <c r="S225" i="3"/>
  <c r="T225" i="3" s="1"/>
  <c r="U224" i="3"/>
  <c r="T224" i="3"/>
  <c r="S224" i="3"/>
  <c r="U223" i="3"/>
  <c r="S223" i="3"/>
  <c r="T223" i="3" s="1"/>
  <c r="U222" i="3"/>
  <c r="T222" i="3"/>
  <c r="S222" i="3"/>
  <c r="U221" i="3"/>
  <c r="S221" i="3"/>
  <c r="T221" i="3" s="1"/>
  <c r="U220" i="3"/>
  <c r="S220" i="3"/>
  <c r="T220" i="3" s="1"/>
  <c r="U219" i="3"/>
  <c r="S219" i="3"/>
  <c r="T219" i="3" s="1"/>
  <c r="U218" i="3"/>
  <c r="S218" i="3"/>
  <c r="T218" i="3" s="1"/>
  <c r="U217" i="3"/>
  <c r="S217" i="3"/>
  <c r="T217" i="3" s="1"/>
  <c r="U216" i="3"/>
  <c r="T216" i="3"/>
  <c r="S216" i="3"/>
  <c r="U215" i="3"/>
  <c r="S215" i="3"/>
  <c r="T215" i="3" s="1"/>
  <c r="U214" i="3"/>
  <c r="T214" i="3"/>
  <c r="S214" i="3"/>
  <c r="U213" i="3"/>
  <c r="S213" i="3"/>
  <c r="T213" i="3" s="1"/>
  <c r="U212" i="3"/>
  <c r="S212" i="3"/>
  <c r="T212" i="3" s="1"/>
  <c r="U211" i="3"/>
  <c r="S211" i="3"/>
  <c r="T211" i="3" s="1"/>
  <c r="U210" i="3"/>
  <c r="S210" i="3"/>
  <c r="T210" i="3" s="1"/>
  <c r="U209" i="3"/>
  <c r="T209" i="3"/>
  <c r="S209" i="3"/>
  <c r="U208" i="3"/>
  <c r="S208" i="3"/>
  <c r="T208" i="3" s="1"/>
  <c r="U207" i="3"/>
  <c r="S207" i="3"/>
  <c r="T207" i="3" s="1"/>
  <c r="U206" i="3"/>
  <c r="T206" i="3"/>
  <c r="S206" i="3"/>
  <c r="U205" i="3"/>
  <c r="S205" i="3"/>
  <c r="T205" i="3" s="1"/>
  <c r="U204" i="3"/>
  <c r="S204" i="3"/>
  <c r="T204" i="3" s="1"/>
  <c r="U203" i="3"/>
  <c r="S203" i="3"/>
  <c r="T203" i="3" s="1"/>
  <c r="U202" i="3"/>
  <c r="S202" i="3"/>
  <c r="T202" i="3" s="1"/>
  <c r="U201" i="3"/>
  <c r="T201" i="3"/>
  <c r="S201" i="3"/>
  <c r="U200" i="3"/>
  <c r="S200" i="3"/>
  <c r="T200" i="3" s="1"/>
  <c r="U199" i="3"/>
  <c r="T199" i="3"/>
  <c r="S199" i="3"/>
  <c r="U198" i="3"/>
  <c r="S198" i="3"/>
  <c r="T198" i="3" s="1"/>
  <c r="U197" i="3"/>
  <c r="T197" i="3"/>
  <c r="S197" i="3"/>
  <c r="U196" i="3"/>
  <c r="S196" i="3"/>
  <c r="T196" i="3" s="1"/>
  <c r="U195" i="3"/>
  <c r="S195" i="3"/>
  <c r="T195" i="3" s="1"/>
  <c r="U194" i="3"/>
  <c r="S194" i="3"/>
  <c r="T194" i="3" s="1"/>
  <c r="U193" i="3"/>
  <c r="S193" i="3"/>
  <c r="T193" i="3" s="1"/>
  <c r="U192" i="3"/>
  <c r="S192" i="3"/>
  <c r="T192" i="3" s="1"/>
  <c r="U191" i="3"/>
  <c r="T191" i="3"/>
  <c r="S191" i="3"/>
  <c r="U190" i="3"/>
  <c r="S190" i="3"/>
  <c r="T190" i="3" s="1"/>
  <c r="U189" i="3"/>
  <c r="T189" i="3"/>
  <c r="S189" i="3"/>
  <c r="U188" i="3"/>
  <c r="S188" i="3"/>
  <c r="T188" i="3" s="1"/>
  <c r="U187" i="3"/>
  <c r="S187" i="3"/>
  <c r="T187" i="3" s="1"/>
  <c r="U186" i="3"/>
  <c r="S186" i="3"/>
  <c r="T186" i="3" s="1"/>
  <c r="U185" i="3"/>
  <c r="T185" i="3"/>
  <c r="S185" i="3"/>
  <c r="U184" i="3"/>
  <c r="S184" i="3"/>
  <c r="T184" i="3" s="1"/>
  <c r="U183" i="3"/>
  <c r="S183" i="3"/>
  <c r="T183" i="3" s="1"/>
  <c r="U182" i="3"/>
  <c r="S182" i="3"/>
  <c r="T182" i="3" s="1"/>
  <c r="U181" i="3"/>
  <c r="T181" i="3"/>
  <c r="S181" i="3"/>
  <c r="U180" i="3"/>
  <c r="S180" i="3"/>
  <c r="T180" i="3" s="1"/>
  <c r="U179" i="3"/>
  <c r="S179" i="3"/>
  <c r="T179" i="3" s="1"/>
  <c r="U178" i="3"/>
  <c r="S178" i="3"/>
  <c r="T178" i="3" s="1"/>
  <c r="U177" i="3"/>
  <c r="S177" i="3"/>
  <c r="T177" i="3" s="1"/>
  <c r="U176" i="3"/>
  <c r="T176" i="3"/>
  <c r="S176" i="3"/>
  <c r="U175" i="3"/>
  <c r="S175" i="3"/>
  <c r="T175" i="3" s="1"/>
  <c r="U174" i="3"/>
  <c r="T174" i="3"/>
  <c r="S174" i="3"/>
  <c r="U173" i="3"/>
  <c r="S173" i="3"/>
  <c r="T173" i="3" s="1"/>
  <c r="U172" i="3"/>
  <c r="T172" i="3"/>
  <c r="S172" i="3"/>
  <c r="U171" i="3"/>
  <c r="S171" i="3"/>
  <c r="T171" i="3" s="1"/>
  <c r="U170" i="3"/>
  <c r="S170" i="3"/>
  <c r="T170" i="3" s="1"/>
  <c r="U169" i="3"/>
  <c r="S169" i="3"/>
  <c r="T169" i="3" s="1"/>
  <c r="U168" i="3"/>
  <c r="T168" i="3"/>
  <c r="S168" i="3"/>
  <c r="U167" i="3"/>
  <c r="S167" i="3"/>
  <c r="T167" i="3" s="1"/>
  <c r="U166" i="3"/>
  <c r="S166" i="3"/>
  <c r="T166" i="3" s="1"/>
  <c r="U165" i="3"/>
  <c r="T165" i="3"/>
  <c r="S165" i="3"/>
  <c r="U164" i="3"/>
  <c r="S164" i="3"/>
  <c r="T164" i="3" s="1"/>
  <c r="U163" i="3"/>
  <c r="S163" i="3"/>
  <c r="T163" i="3" s="1"/>
  <c r="U162" i="3"/>
  <c r="S162" i="3"/>
  <c r="T162" i="3" s="1"/>
  <c r="U161" i="3"/>
  <c r="S161" i="3"/>
  <c r="T161" i="3" s="1"/>
  <c r="U160" i="3"/>
  <c r="S160" i="3"/>
  <c r="T160" i="3" s="1"/>
  <c r="U159" i="3"/>
  <c r="T159" i="3"/>
  <c r="S159" i="3"/>
  <c r="U158" i="3"/>
  <c r="S158" i="3"/>
  <c r="T158" i="3" s="1"/>
  <c r="U157" i="3"/>
  <c r="T157" i="3"/>
  <c r="S157" i="3"/>
  <c r="U156" i="3"/>
  <c r="S156" i="3"/>
  <c r="T156" i="3" s="1"/>
  <c r="U155" i="3"/>
  <c r="S155" i="3"/>
  <c r="T155" i="3" s="1"/>
  <c r="U154" i="3"/>
  <c r="S154" i="3"/>
  <c r="T154" i="3" s="1"/>
  <c r="U153" i="3"/>
  <c r="T153" i="3"/>
  <c r="S153" i="3"/>
  <c r="U152" i="3"/>
  <c r="S152" i="3"/>
  <c r="T152" i="3" s="1"/>
  <c r="U151" i="3"/>
  <c r="S151" i="3"/>
  <c r="T151" i="3" s="1"/>
  <c r="U150" i="3"/>
  <c r="S150" i="3"/>
  <c r="T150" i="3" s="1"/>
  <c r="U149" i="3"/>
  <c r="T149" i="3"/>
  <c r="S149" i="3"/>
  <c r="U148" i="3"/>
  <c r="S148" i="3"/>
  <c r="T148" i="3" s="1"/>
  <c r="U147" i="3"/>
  <c r="S147" i="3"/>
  <c r="T147" i="3" s="1"/>
  <c r="U146" i="3"/>
  <c r="S146" i="3"/>
  <c r="T146" i="3" s="1"/>
  <c r="U145" i="3"/>
  <c r="S145" i="3"/>
  <c r="T145" i="3" s="1"/>
  <c r="U144" i="3"/>
  <c r="T144" i="3"/>
  <c r="S144" i="3"/>
  <c r="U143" i="3"/>
  <c r="S143" i="3"/>
  <c r="T143" i="3" s="1"/>
  <c r="U142" i="3"/>
  <c r="T142" i="3"/>
  <c r="S142" i="3"/>
  <c r="U141" i="3"/>
  <c r="S141" i="3"/>
  <c r="T141" i="3" s="1"/>
  <c r="U140" i="3"/>
  <c r="T140" i="3"/>
  <c r="S140" i="3"/>
  <c r="U139" i="3"/>
  <c r="S139" i="3"/>
  <c r="T139" i="3" s="1"/>
  <c r="U138" i="3"/>
  <c r="S138" i="3"/>
  <c r="T138" i="3" s="1"/>
  <c r="U137" i="3"/>
  <c r="S137" i="3"/>
  <c r="T137" i="3" s="1"/>
  <c r="U136" i="3"/>
  <c r="T136" i="3"/>
  <c r="S136" i="3"/>
  <c r="U135" i="3"/>
  <c r="S135" i="3"/>
  <c r="T135" i="3" s="1"/>
  <c r="U134" i="3"/>
  <c r="S134" i="3"/>
  <c r="T134" i="3" s="1"/>
  <c r="U133" i="3"/>
  <c r="T133" i="3"/>
  <c r="S133" i="3"/>
  <c r="U132" i="3"/>
  <c r="S132" i="3"/>
  <c r="T132" i="3" s="1"/>
  <c r="U131" i="3"/>
  <c r="S131" i="3"/>
  <c r="T131" i="3" s="1"/>
  <c r="U130" i="3"/>
  <c r="S130" i="3"/>
  <c r="T130" i="3" s="1"/>
  <c r="U129" i="3"/>
  <c r="S129" i="3"/>
  <c r="T129" i="3" s="1"/>
  <c r="U128" i="3"/>
  <c r="S128" i="3"/>
  <c r="T128" i="3" s="1"/>
  <c r="U127" i="3"/>
  <c r="T127" i="3"/>
  <c r="S127" i="3"/>
  <c r="U126" i="3"/>
  <c r="S126" i="3"/>
  <c r="T126" i="3" s="1"/>
  <c r="U125" i="3"/>
  <c r="T125" i="3"/>
  <c r="S125" i="3"/>
  <c r="U124" i="3"/>
  <c r="S124" i="3"/>
  <c r="T124" i="3" s="1"/>
  <c r="U123" i="3"/>
  <c r="S123" i="3"/>
  <c r="T123" i="3" s="1"/>
  <c r="U122" i="3"/>
  <c r="S122" i="3"/>
  <c r="T122" i="3" s="1"/>
  <c r="U121" i="3"/>
  <c r="T121" i="3"/>
  <c r="S121" i="3"/>
  <c r="U120" i="3"/>
  <c r="S120" i="3"/>
  <c r="T120" i="3" s="1"/>
  <c r="U119" i="3"/>
  <c r="S119" i="3"/>
  <c r="T119" i="3" s="1"/>
  <c r="U118" i="3"/>
  <c r="S118" i="3"/>
  <c r="T118" i="3" s="1"/>
  <c r="U117" i="3"/>
  <c r="T117" i="3"/>
  <c r="S117" i="3"/>
  <c r="U116" i="3"/>
  <c r="S116" i="3"/>
  <c r="T116" i="3" s="1"/>
  <c r="U115" i="3"/>
  <c r="S115" i="3"/>
  <c r="T115" i="3" s="1"/>
  <c r="U114" i="3"/>
  <c r="S114" i="3"/>
  <c r="T114" i="3" s="1"/>
  <c r="U113" i="3"/>
  <c r="S113" i="3"/>
  <c r="T113" i="3" s="1"/>
  <c r="U112" i="3"/>
  <c r="T112" i="3"/>
  <c r="S112" i="3"/>
  <c r="U111" i="3"/>
  <c r="S111" i="3"/>
  <c r="T111" i="3" s="1"/>
  <c r="U110" i="3"/>
  <c r="T110" i="3"/>
  <c r="S110" i="3"/>
  <c r="U109" i="3"/>
  <c r="S109" i="3"/>
  <c r="T109" i="3" s="1"/>
  <c r="U108" i="3"/>
  <c r="T108" i="3"/>
  <c r="S108" i="3"/>
  <c r="U107" i="3"/>
  <c r="S107" i="3"/>
  <c r="T107" i="3" s="1"/>
  <c r="U106" i="3"/>
  <c r="S106" i="3"/>
  <c r="T106" i="3" s="1"/>
  <c r="U105" i="3"/>
  <c r="S105" i="3"/>
  <c r="T105" i="3" s="1"/>
  <c r="U104" i="3"/>
  <c r="T104" i="3"/>
  <c r="S104" i="3"/>
  <c r="U103" i="3"/>
  <c r="S103" i="3"/>
  <c r="T103" i="3" s="1"/>
  <c r="U102" i="3"/>
  <c r="S102" i="3"/>
  <c r="T102" i="3" s="1"/>
  <c r="U101" i="3"/>
  <c r="T101" i="3"/>
  <c r="S101" i="3"/>
  <c r="U100" i="3"/>
  <c r="S100" i="3"/>
  <c r="T100" i="3" s="1"/>
  <c r="U99" i="3"/>
  <c r="S99" i="3"/>
  <c r="T99" i="3" s="1"/>
  <c r="U98" i="3"/>
  <c r="S98" i="3"/>
  <c r="T98" i="3" s="1"/>
  <c r="U97" i="3"/>
  <c r="S97" i="3"/>
  <c r="T97" i="3" s="1"/>
  <c r="U96" i="3"/>
  <c r="S96" i="3"/>
  <c r="T96" i="3" s="1"/>
  <c r="U95" i="3"/>
  <c r="T95" i="3"/>
  <c r="S95" i="3"/>
  <c r="U94" i="3"/>
  <c r="S94" i="3"/>
  <c r="T94" i="3" s="1"/>
  <c r="U93" i="3"/>
  <c r="T93" i="3"/>
  <c r="S93" i="3"/>
  <c r="U92" i="3"/>
  <c r="S92" i="3"/>
  <c r="T92" i="3" s="1"/>
  <c r="U91" i="3"/>
  <c r="S91" i="3"/>
  <c r="T91" i="3" s="1"/>
  <c r="U90" i="3"/>
  <c r="S90" i="3"/>
  <c r="T90" i="3" s="1"/>
  <c r="U89" i="3"/>
  <c r="T89" i="3"/>
  <c r="S89" i="3"/>
  <c r="U88" i="3"/>
  <c r="S88" i="3"/>
  <c r="T88" i="3" s="1"/>
  <c r="U87" i="3"/>
  <c r="S87" i="3"/>
  <c r="T87" i="3" s="1"/>
  <c r="U86" i="3"/>
  <c r="S86" i="3"/>
  <c r="T86" i="3" s="1"/>
  <c r="U85" i="3"/>
  <c r="T85" i="3"/>
  <c r="S85" i="3"/>
  <c r="U84" i="3"/>
  <c r="S84" i="3"/>
  <c r="T84" i="3" s="1"/>
  <c r="U83" i="3"/>
  <c r="S83" i="3"/>
  <c r="T83" i="3" s="1"/>
  <c r="U82" i="3"/>
  <c r="S82" i="3"/>
  <c r="T82" i="3" s="1"/>
  <c r="U81" i="3"/>
  <c r="S81" i="3"/>
  <c r="T81" i="3" s="1"/>
  <c r="U80" i="3"/>
  <c r="T80" i="3"/>
  <c r="S80" i="3"/>
  <c r="U79" i="3"/>
  <c r="S79" i="3"/>
  <c r="T79" i="3" s="1"/>
  <c r="U78" i="3"/>
  <c r="T78" i="3"/>
  <c r="S78" i="3"/>
  <c r="U77" i="3"/>
  <c r="S77" i="3"/>
  <c r="T77" i="3" s="1"/>
  <c r="U76" i="3"/>
  <c r="T76" i="3"/>
  <c r="S76" i="3"/>
  <c r="U75" i="3"/>
  <c r="S75" i="3"/>
  <c r="T75" i="3" s="1"/>
  <c r="U74" i="3"/>
  <c r="S74" i="3"/>
  <c r="T74" i="3" s="1"/>
  <c r="U73" i="3"/>
  <c r="S73" i="3"/>
  <c r="T73" i="3" s="1"/>
  <c r="U72" i="3"/>
  <c r="T72" i="3"/>
  <c r="S72" i="3"/>
  <c r="U71" i="3"/>
  <c r="S71" i="3"/>
  <c r="T71" i="3" s="1"/>
  <c r="U70" i="3"/>
  <c r="S70" i="3"/>
  <c r="T70" i="3" s="1"/>
  <c r="U69" i="3"/>
  <c r="S69" i="3"/>
  <c r="T69" i="3" s="1"/>
  <c r="U68" i="3"/>
  <c r="S68" i="3"/>
  <c r="T68" i="3" s="1"/>
  <c r="U67" i="3"/>
  <c r="S67" i="3"/>
  <c r="T67" i="3" s="1"/>
  <c r="U66" i="3"/>
  <c r="T66" i="3"/>
  <c r="S66" i="3"/>
  <c r="U65" i="3"/>
  <c r="S65" i="3"/>
  <c r="T65" i="3" s="1"/>
  <c r="U64" i="3"/>
  <c r="T64" i="3"/>
  <c r="S64" i="3"/>
  <c r="U63" i="3"/>
  <c r="S63" i="3"/>
  <c r="T63" i="3" s="1"/>
  <c r="U62" i="3"/>
  <c r="S62" i="3"/>
  <c r="T62" i="3" s="1"/>
  <c r="U61" i="3"/>
  <c r="S61" i="3"/>
  <c r="T61" i="3" s="1"/>
  <c r="U60" i="3"/>
  <c r="S60" i="3"/>
  <c r="T60" i="3" s="1"/>
  <c r="U59" i="3"/>
  <c r="S59" i="3"/>
  <c r="T59" i="3" s="1"/>
  <c r="U58" i="3"/>
  <c r="T58" i="3"/>
  <c r="S58" i="3"/>
  <c r="U57" i="3"/>
  <c r="S57" i="3"/>
  <c r="T57" i="3" s="1"/>
  <c r="U56" i="3"/>
  <c r="T56" i="3"/>
  <c r="S56" i="3"/>
  <c r="U55" i="3"/>
  <c r="S55" i="3"/>
  <c r="T55" i="3" s="1"/>
  <c r="U54" i="3"/>
  <c r="S54" i="3"/>
  <c r="T54" i="3" s="1"/>
  <c r="U53" i="3"/>
  <c r="S53" i="3"/>
  <c r="T53" i="3" s="1"/>
  <c r="U52" i="3"/>
  <c r="S52" i="3"/>
  <c r="T52" i="3" s="1"/>
  <c r="U51" i="3"/>
  <c r="S51" i="3"/>
  <c r="T51" i="3" s="1"/>
  <c r="U50" i="3"/>
  <c r="T50" i="3"/>
  <c r="S50" i="3"/>
  <c r="U49" i="3"/>
  <c r="S49" i="3"/>
  <c r="T49" i="3" s="1"/>
  <c r="U48" i="3"/>
  <c r="T48" i="3"/>
  <c r="S48" i="3"/>
  <c r="U47" i="3"/>
  <c r="S47" i="3"/>
  <c r="T47" i="3" s="1"/>
  <c r="U46" i="3"/>
  <c r="S46" i="3"/>
  <c r="T46" i="3" s="1"/>
  <c r="U45" i="3"/>
  <c r="S45" i="3"/>
  <c r="T45" i="3" s="1"/>
  <c r="U44" i="3"/>
  <c r="S44" i="3"/>
  <c r="T44" i="3" s="1"/>
  <c r="U43" i="3"/>
  <c r="S43" i="3"/>
  <c r="T43" i="3" s="1"/>
  <c r="U42" i="3"/>
  <c r="T42" i="3"/>
  <c r="S42" i="3"/>
  <c r="U41" i="3"/>
  <c r="S41" i="3"/>
  <c r="T41" i="3" s="1"/>
  <c r="U40" i="3"/>
  <c r="T40" i="3"/>
  <c r="S40" i="3"/>
  <c r="U39" i="3"/>
  <c r="S39" i="3"/>
  <c r="T39" i="3" s="1"/>
  <c r="U38" i="3"/>
  <c r="S38" i="3"/>
  <c r="T38" i="3" s="1"/>
  <c r="U37" i="3"/>
  <c r="S37" i="3"/>
  <c r="T37" i="3" s="1"/>
  <c r="U36" i="3"/>
  <c r="S36" i="3"/>
  <c r="T36" i="3" s="1"/>
  <c r="U35" i="3"/>
  <c r="S35" i="3"/>
  <c r="T35" i="3" s="1"/>
  <c r="U34" i="3"/>
  <c r="T34" i="3"/>
  <c r="S34" i="3"/>
  <c r="U33" i="3"/>
  <c r="S33" i="3"/>
  <c r="T33" i="3" s="1"/>
  <c r="U32" i="3"/>
  <c r="T32" i="3"/>
  <c r="S32" i="3"/>
  <c r="U31" i="3"/>
  <c r="S31" i="3"/>
  <c r="T31" i="3" s="1"/>
  <c r="U30" i="3"/>
  <c r="S30" i="3"/>
  <c r="T30" i="3" s="1"/>
  <c r="U29" i="3"/>
  <c r="S29" i="3"/>
  <c r="T29" i="3" s="1"/>
  <c r="U28" i="3"/>
  <c r="S28" i="3"/>
  <c r="T28" i="3" s="1"/>
  <c r="U27" i="3"/>
  <c r="S27" i="3"/>
  <c r="T27" i="3" s="1"/>
  <c r="U26" i="3"/>
  <c r="T26" i="3"/>
  <c r="S26" i="3"/>
  <c r="U25" i="3"/>
  <c r="S25" i="3"/>
  <c r="T25" i="3" s="1"/>
  <c r="U24" i="3"/>
  <c r="T24" i="3"/>
  <c r="S24" i="3"/>
  <c r="U23" i="3"/>
  <c r="S23" i="3"/>
  <c r="T23" i="3" s="1"/>
  <c r="U22" i="3"/>
  <c r="S22" i="3"/>
  <c r="T22" i="3" s="1"/>
  <c r="U21" i="3"/>
  <c r="S21" i="3"/>
  <c r="T21" i="3" s="1"/>
  <c r="U20" i="3"/>
  <c r="S20" i="3"/>
  <c r="T20" i="3" s="1"/>
  <c r="U19" i="3"/>
  <c r="S19" i="3"/>
  <c r="T19" i="3" s="1"/>
  <c r="U18" i="3"/>
  <c r="T18" i="3"/>
  <c r="S18" i="3"/>
  <c r="U17" i="3"/>
  <c r="S17" i="3"/>
  <c r="T17" i="3" s="1"/>
  <c r="U16" i="3"/>
  <c r="T16" i="3"/>
  <c r="S16" i="3"/>
  <c r="U15" i="3"/>
  <c r="S15" i="3"/>
  <c r="T15" i="3" s="1"/>
  <c r="U14" i="3"/>
  <c r="S14" i="3"/>
  <c r="T14" i="3" s="1"/>
  <c r="U13" i="3"/>
  <c r="S13" i="3"/>
  <c r="T13" i="3" s="1"/>
  <c r="U12" i="3"/>
  <c r="S12" i="3"/>
  <c r="T12" i="3" s="1"/>
  <c r="U11" i="3"/>
  <c r="S11" i="3"/>
  <c r="T11" i="3" s="1"/>
  <c r="U10" i="3"/>
  <c r="T10" i="3"/>
  <c r="S10" i="3"/>
  <c r="U9" i="3"/>
  <c r="S9" i="3"/>
  <c r="T9" i="3" s="1"/>
  <c r="W9" i="3" a="1"/>
  <c r="W16" i="3" s="1"/>
  <c r="A9" i="3" a="1"/>
  <c r="W14" i="3" l="1"/>
  <c r="W17" i="3"/>
  <c r="W9" i="3"/>
  <c r="W13" i="3"/>
  <c r="W11" i="3"/>
  <c r="A996" i="3"/>
  <c r="A988" i="3"/>
  <c r="A980" i="3"/>
  <c r="A972" i="3"/>
  <c r="A964" i="3"/>
  <c r="A956" i="3"/>
  <c r="A948" i="3"/>
  <c r="A940" i="3"/>
  <c r="A932" i="3"/>
  <c r="A924" i="3"/>
  <c r="A916" i="3"/>
  <c r="A908" i="3"/>
  <c r="A900" i="3"/>
  <c r="A892" i="3"/>
  <c r="A884" i="3"/>
  <c r="A876" i="3"/>
  <c r="A868" i="3"/>
  <c r="A860" i="3"/>
  <c r="A852" i="3"/>
  <c r="A844" i="3"/>
  <c r="A836" i="3"/>
  <c r="A828" i="3"/>
  <c r="A820" i="3"/>
  <c r="A812" i="3"/>
  <c r="A804" i="3"/>
  <c r="A796" i="3"/>
  <c r="A788" i="3"/>
  <c r="A780" i="3"/>
  <c r="A772" i="3"/>
  <c r="A764" i="3"/>
  <c r="A756" i="3"/>
  <c r="A748" i="3"/>
  <c r="A740" i="3"/>
  <c r="A732" i="3"/>
  <c r="A724" i="3"/>
  <c r="A716" i="3"/>
  <c r="A708" i="3"/>
  <c r="A700" i="3"/>
  <c r="A692" i="3"/>
  <c r="A684" i="3"/>
  <c r="A676" i="3"/>
  <c r="A668" i="3"/>
  <c r="A660" i="3"/>
  <c r="A652" i="3"/>
  <c r="A644" i="3"/>
  <c r="A636" i="3"/>
  <c r="A628" i="3"/>
  <c r="A620" i="3"/>
  <c r="A612" i="3"/>
  <c r="A604" i="3"/>
  <c r="A596" i="3"/>
  <c r="A588" i="3"/>
  <c r="A580" i="3"/>
  <c r="A572" i="3"/>
  <c r="A564" i="3"/>
  <c r="A556" i="3"/>
  <c r="A548" i="3"/>
  <c r="A540" i="3"/>
  <c r="A532" i="3"/>
  <c r="A524" i="3"/>
  <c r="A516" i="3"/>
  <c r="A508" i="3"/>
  <c r="A500" i="3"/>
  <c r="A492" i="3"/>
  <c r="A484" i="3"/>
  <c r="A476" i="3"/>
  <c r="A468" i="3"/>
  <c r="A460" i="3"/>
  <c r="A452" i="3"/>
  <c r="A444" i="3"/>
  <c r="A436" i="3"/>
  <c r="A428" i="3"/>
  <c r="A420" i="3"/>
  <c r="A412" i="3"/>
  <c r="A404" i="3"/>
  <c r="A396" i="3"/>
  <c r="A388" i="3"/>
  <c r="A380" i="3"/>
  <c r="A372" i="3"/>
  <c r="A364" i="3"/>
  <c r="A356" i="3"/>
  <c r="A348" i="3"/>
  <c r="A340" i="3"/>
  <c r="A332" i="3"/>
  <c r="A324" i="3"/>
  <c r="A316" i="3"/>
  <c r="A308" i="3"/>
  <c r="A300" i="3"/>
  <c r="A292" i="3"/>
  <c r="A284" i="3"/>
  <c r="A276" i="3"/>
  <c r="A268" i="3"/>
  <c r="A260" i="3"/>
  <c r="A252" i="3"/>
  <c r="A244" i="3"/>
  <c r="A993" i="3"/>
  <c r="A985" i="3"/>
  <c r="A977" i="3"/>
  <c r="A969" i="3"/>
  <c r="A961" i="3"/>
  <c r="A953" i="3"/>
  <c r="A945" i="3"/>
  <c r="A937" i="3"/>
  <c r="A929" i="3"/>
  <c r="A921" i="3"/>
  <c r="A913" i="3"/>
  <c r="A905" i="3"/>
  <c r="A897" i="3"/>
  <c r="A889" i="3"/>
  <c r="A881" i="3"/>
  <c r="A873" i="3"/>
  <c r="A865" i="3"/>
  <c r="A857" i="3"/>
  <c r="A849" i="3"/>
  <c r="A841" i="3"/>
  <c r="A833" i="3"/>
  <c r="A825" i="3"/>
  <c r="A817" i="3"/>
  <c r="A809" i="3"/>
  <c r="A801" i="3"/>
  <c r="A793" i="3"/>
  <c r="A785" i="3"/>
  <c r="A777" i="3"/>
  <c r="A769" i="3"/>
  <c r="A761" i="3"/>
  <c r="A753" i="3"/>
  <c r="A745" i="3"/>
  <c r="A737" i="3"/>
  <c r="A729" i="3"/>
  <c r="A721" i="3"/>
  <c r="A713" i="3"/>
  <c r="A705" i="3"/>
  <c r="A697" i="3"/>
  <c r="A689" i="3"/>
  <c r="A681" i="3"/>
  <c r="A673" i="3"/>
  <c r="A665" i="3"/>
  <c r="A657" i="3"/>
  <c r="A649" i="3"/>
  <c r="A641" i="3"/>
  <c r="A633" i="3"/>
  <c r="A625" i="3"/>
  <c r="A617" i="3"/>
  <c r="A609" i="3"/>
  <c r="A601" i="3"/>
  <c r="A593" i="3"/>
  <c r="A585" i="3"/>
  <c r="A577" i="3"/>
  <c r="A569" i="3"/>
  <c r="A561" i="3"/>
  <c r="A553" i="3"/>
  <c r="A545" i="3"/>
  <c r="A537" i="3"/>
  <c r="A529" i="3"/>
  <c r="A521" i="3"/>
  <c r="A513" i="3"/>
  <c r="A505" i="3"/>
  <c r="A497" i="3"/>
  <c r="A489" i="3"/>
  <c r="A481" i="3"/>
  <c r="A473" i="3"/>
  <c r="A465" i="3"/>
  <c r="A457" i="3"/>
  <c r="A449" i="3"/>
  <c r="A441" i="3"/>
  <c r="A433" i="3"/>
  <c r="A425" i="3"/>
  <c r="A417" i="3"/>
  <c r="A409" i="3"/>
  <c r="A401" i="3"/>
  <c r="A393" i="3"/>
  <c r="A385" i="3"/>
  <c r="A377" i="3"/>
  <c r="A369" i="3"/>
  <c r="A361" i="3"/>
  <c r="A353" i="3"/>
  <c r="A345" i="3"/>
  <c r="A337" i="3"/>
  <c r="A329" i="3"/>
  <c r="A321" i="3"/>
  <c r="A313" i="3"/>
  <c r="A305" i="3"/>
  <c r="A297" i="3"/>
  <c r="A289" i="3"/>
  <c r="A281" i="3"/>
  <c r="A273" i="3"/>
  <c r="A265" i="3"/>
  <c r="A257" i="3"/>
  <c r="A249" i="3"/>
  <c r="A241" i="3"/>
  <c r="A233" i="3"/>
  <c r="A999" i="3"/>
  <c r="A989" i="3"/>
  <c r="A978" i="3"/>
  <c r="A967" i="3"/>
  <c r="A957" i="3"/>
  <c r="A946" i="3"/>
  <c r="A935" i="3"/>
  <c r="A925" i="3"/>
  <c r="A914" i="3"/>
  <c r="A903" i="3"/>
  <c r="A893" i="3"/>
  <c r="A882" i="3"/>
  <c r="A871" i="3"/>
  <c r="A861" i="3"/>
  <c r="A850" i="3"/>
  <c r="A839" i="3"/>
  <c r="A829" i="3"/>
  <c r="A818" i="3"/>
  <c r="A807" i="3"/>
  <c r="A797" i="3"/>
  <c r="A786" i="3"/>
  <c r="A775" i="3"/>
  <c r="A765" i="3"/>
  <c r="A754" i="3"/>
  <c r="A743" i="3"/>
  <c r="A733" i="3"/>
  <c r="A722" i="3"/>
  <c r="A711" i="3"/>
  <c r="A701" i="3"/>
  <c r="A690" i="3"/>
  <c r="A679" i="3"/>
  <c r="A669" i="3"/>
  <c r="A658" i="3"/>
  <c r="A647" i="3"/>
  <c r="A637" i="3"/>
  <c r="A626" i="3"/>
  <c r="A615" i="3"/>
  <c r="A605" i="3"/>
  <c r="A594" i="3"/>
  <c r="A583" i="3"/>
  <c r="A573" i="3"/>
  <c r="A562" i="3"/>
  <c r="A551" i="3"/>
  <c r="A541" i="3"/>
  <c r="A530" i="3"/>
  <c r="A519" i="3"/>
  <c r="A509" i="3"/>
  <c r="A498" i="3"/>
  <c r="A487" i="3"/>
  <c r="A477" i="3"/>
  <c r="A466" i="3"/>
  <c r="A455" i="3"/>
  <c r="A445" i="3"/>
  <c r="A434" i="3"/>
  <c r="A423" i="3"/>
  <c r="A413" i="3"/>
  <c r="A402" i="3"/>
  <c r="A391" i="3"/>
  <c r="A381" i="3"/>
  <c r="A370" i="3"/>
  <c r="A359" i="3"/>
  <c r="A349" i="3"/>
  <c r="A338" i="3"/>
  <c r="A327" i="3"/>
  <c r="A317" i="3"/>
  <c r="A306" i="3"/>
  <c r="A295" i="3"/>
  <c r="A285" i="3"/>
  <c r="A274" i="3"/>
  <c r="A263" i="3"/>
  <c r="A253" i="3"/>
  <c r="A242" i="3"/>
  <c r="A232" i="3"/>
  <c r="A224" i="3"/>
  <c r="A216" i="3"/>
  <c r="A997" i="3"/>
  <c r="A986" i="3"/>
  <c r="A975" i="3"/>
  <c r="A965" i="3"/>
  <c r="A954" i="3"/>
  <c r="A943" i="3"/>
  <c r="A933" i="3"/>
  <c r="A922" i="3"/>
  <c r="A911" i="3"/>
  <c r="A901" i="3"/>
  <c r="A890" i="3"/>
  <c r="A879" i="3"/>
  <c r="A869" i="3"/>
  <c r="A858" i="3"/>
  <c r="A847" i="3"/>
  <c r="A837" i="3"/>
  <c r="A826" i="3"/>
  <c r="A815" i="3"/>
  <c r="A805" i="3"/>
  <c r="A794" i="3"/>
  <c r="A783" i="3"/>
  <c r="A773" i="3"/>
  <c r="A762" i="3"/>
  <c r="A751" i="3"/>
  <c r="A741" i="3"/>
  <c r="A730" i="3"/>
  <c r="A719" i="3"/>
  <c r="A709" i="3"/>
  <c r="A698" i="3"/>
  <c r="A687" i="3"/>
  <c r="A677" i="3"/>
  <c r="A666" i="3"/>
  <c r="A655" i="3"/>
  <c r="A994" i="3"/>
  <c r="A983" i="3"/>
  <c r="A973" i="3"/>
  <c r="A962" i="3"/>
  <c r="A951" i="3"/>
  <c r="A941" i="3"/>
  <c r="A930" i="3"/>
  <c r="A919" i="3"/>
  <c r="A909" i="3"/>
  <c r="A898" i="3"/>
  <c r="A887" i="3"/>
  <c r="A877" i="3"/>
  <c r="A866" i="3"/>
  <c r="A855" i="3"/>
  <c r="A845" i="3"/>
  <c r="A834" i="3"/>
  <c r="A823" i="3"/>
  <c r="A813" i="3"/>
  <c r="A984" i="3"/>
  <c r="A968" i="3"/>
  <c r="A950" i="3"/>
  <c r="A934" i="3"/>
  <c r="A917" i="3"/>
  <c r="A899" i="3"/>
  <c r="A883" i="3"/>
  <c r="A864" i="3"/>
  <c r="A848" i="3"/>
  <c r="A831" i="3"/>
  <c r="A814" i="3"/>
  <c r="A799" i="3"/>
  <c r="A784" i="3"/>
  <c r="A770" i="3"/>
  <c r="A757" i="3"/>
  <c r="A742" i="3"/>
  <c r="A727" i="3"/>
  <c r="A714" i="3"/>
  <c r="A699" i="3"/>
  <c r="A685" i="3"/>
  <c r="A671" i="3"/>
  <c r="A656" i="3"/>
  <c r="A643" i="3"/>
  <c r="A631" i="3"/>
  <c r="A619" i="3"/>
  <c r="A607" i="3"/>
  <c r="A595" i="3"/>
  <c r="A582" i="3"/>
  <c r="A570" i="3"/>
  <c r="A558" i="3"/>
  <c r="A546" i="3"/>
  <c r="A534" i="3"/>
  <c r="A522" i="3"/>
  <c r="A510" i="3"/>
  <c r="A496" i="3"/>
  <c r="A485" i="3"/>
  <c r="A472" i="3"/>
  <c r="A461" i="3"/>
  <c r="A448" i="3"/>
  <c r="A437" i="3"/>
  <c r="A424" i="3"/>
  <c r="A411" i="3"/>
  <c r="A399" i="3"/>
  <c r="A387" i="3"/>
  <c r="A375" i="3"/>
  <c r="A363" i="3"/>
  <c r="A351" i="3"/>
  <c r="A339" i="3"/>
  <c r="A326" i="3"/>
  <c r="A314" i="3"/>
  <c r="A302" i="3"/>
  <c r="A290" i="3"/>
  <c r="A278" i="3"/>
  <c r="A266" i="3"/>
  <c r="A254" i="3"/>
  <c r="A240" i="3"/>
  <c r="A230" i="3"/>
  <c r="A221" i="3"/>
  <c r="A212" i="3"/>
  <c r="A204" i="3"/>
  <c r="A196" i="3"/>
  <c r="A188" i="3"/>
  <c r="A180" i="3"/>
  <c r="A172" i="3"/>
  <c r="A164" i="3"/>
  <c r="A156" i="3"/>
  <c r="A148" i="3"/>
  <c r="A140" i="3"/>
  <c r="A132" i="3"/>
  <c r="A124" i="3"/>
  <c r="A116" i="3"/>
  <c r="A108" i="3"/>
  <c r="A100" i="3"/>
  <c r="A92" i="3"/>
  <c r="A84" i="3"/>
  <c r="A76" i="3"/>
  <c r="A68" i="3"/>
  <c r="A60" i="3"/>
  <c r="A52" i="3"/>
  <c r="A44" i="3"/>
  <c r="A36" i="3"/>
  <c r="A28" i="3"/>
  <c r="A20" i="3"/>
  <c r="A12" i="3"/>
  <c r="A998" i="3"/>
  <c r="A981" i="3"/>
  <c r="A963" i="3"/>
  <c r="A947" i="3"/>
  <c r="A928" i="3"/>
  <c r="A912" i="3"/>
  <c r="A895" i="3"/>
  <c r="A878" i="3"/>
  <c r="A862" i="3"/>
  <c r="A843" i="3"/>
  <c r="A827" i="3"/>
  <c r="A810" i="3"/>
  <c r="A795" i="3"/>
  <c r="A781" i="3"/>
  <c r="A767" i="3"/>
  <c r="A752" i="3"/>
  <c r="A738" i="3"/>
  <c r="A725" i="3"/>
  <c r="A710" i="3"/>
  <c r="A695" i="3"/>
  <c r="A682" i="3"/>
  <c r="A667" i="3"/>
  <c r="A653" i="3"/>
  <c r="A640" i="3"/>
  <c r="A629" i="3"/>
  <c r="A616" i="3"/>
  <c r="A603" i="3"/>
  <c r="A591" i="3"/>
  <c r="A579" i="3"/>
  <c r="A567" i="3"/>
  <c r="A555" i="3"/>
  <c r="A543" i="3"/>
  <c r="A531" i="3"/>
  <c r="A518" i="3"/>
  <c r="A506" i="3"/>
  <c r="A494" i="3"/>
  <c r="A482" i="3"/>
  <c r="A470" i="3"/>
  <c r="A458" i="3"/>
  <c r="A446" i="3"/>
  <c r="A432" i="3"/>
  <c r="A421" i="3"/>
  <c r="A408" i="3"/>
  <c r="A397" i="3"/>
  <c r="A384" i="3"/>
  <c r="A373" i="3"/>
  <c r="A360" i="3"/>
  <c r="A347" i="3"/>
  <c r="A335" i="3"/>
  <c r="A323" i="3"/>
  <c r="A311" i="3"/>
  <c r="A299" i="3"/>
  <c r="A287" i="3"/>
  <c r="A275" i="3"/>
  <c r="A262" i="3"/>
  <c r="A250" i="3"/>
  <c r="A238" i="3"/>
  <c r="A228" i="3"/>
  <c r="A219" i="3"/>
  <c r="A210" i="3"/>
  <c r="A202" i="3"/>
  <c r="A194" i="3"/>
  <c r="A186" i="3"/>
  <c r="A178" i="3"/>
  <c r="A170" i="3"/>
  <c r="A162" i="3"/>
  <c r="A154" i="3"/>
  <c r="A146" i="3"/>
  <c r="A138" i="3"/>
  <c r="A130" i="3"/>
  <c r="A122" i="3"/>
  <c r="A114" i="3"/>
  <c r="A106" i="3"/>
  <c r="A98" i="3"/>
  <c r="A90" i="3"/>
  <c r="A82" i="3"/>
  <c r="A74" i="3"/>
  <c r="A66" i="3"/>
  <c r="A58" i="3"/>
  <c r="A50" i="3"/>
  <c r="A42" i="3"/>
  <c r="A34" i="3"/>
  <c r="A26" i="3"/>
  <c r="A18" i="3"/>
  <c r="A10" i="3"/>
  <c r="A995" i="3"/>
  <c r="A979" i="3"/>
  <c r="A960" i="3"/>
  <c r="A944" i="3"/>
  <c r="A927" i="3"/>
  <c r="A910" i="3"/>
  <c r="A894" i="3"/>
  <c r="A875" i="3"/>
  <c r="A859" i="3"/>
  <c r="A842" i="3"/>
  <c r="A824" i="3"/>
  <c r="A808" i="3"/>
  <c r="A792" i="3"/>
  <c r="A779" i="3"/>
  <c r="A766" i="3"/>
  <c r="A750" i="3"/>
  <c r="A736" i="3"/>
  <c r="A723" i="3"/>
  <c r="A707" i="3"/>
  <c r="A694" i="3"/>
  <c r="A680" i="3"/>
  <c r="A664" i="3"/>
  <c r="A651" i="3"/>
  <c r="A639" i="3"/>
  <c r="A627" i="3"/>
  <c r="A614" i="3"/>
  <c r="A602" i="3"/>
  <c r="A590" i="3"/>
  <c r="A578" i="3"/>
  <c r="A566" i="3"/>
  <c r="A554" i="3"/>
  <c r="A542" i="3"/>
  <c r="A528" i="3"/>
  <c r="A517" i="3"/>
  <c r="A504" i="3"/>
  <c r="A493" i="3"/>
  <c r="A480" i="3"/>
  <c r="A469" i="3"/>
  <c r="A456" i="3"/>
  <c r="A443" i="3"/>
  <c r="A431" i="3"/>
  <c r="A419" i="3"/>
  <c r="A407" i="3"/>
  <c r="A395" i="3"/>
  <c r="A383" i="3"/>
  <c r="A371" i="3"/>
  <c r="A358" i="3"/>
  <c r="A346" i="3"/>
  <c r="A334" i="3"/>
  <c r="A322" i="3"/>
  <c r="A310" i="3"/>
  <c r="A298" i="3"/>
  <c r="A286" i="3"/>
  <c r="A272" i="3"/>
  <c r="A261" i="3"/>
  <c r="A248" i="3"/>
  <c r="A237" i="3"/>
  <c r="A227" i="3"/>
  <c r="A218" i="3"/>
  <c r="A209" i="3"/>
  <c r="A201" i="3"/>
  <c r="A193" i="3"/>
  <c r="A185" i="3"/>
  <c r="A177" i="3"/>
  <c r="A169" i="3"/>
  <c r="A161" i="3"/>
  <c r="A153" i="3"/>
  <c r="A145" i="3"/>
  <c r="A137" i="3"/>
  <c r="A129" i="3"/>
  <c r="A121" i="3"/>
  <c r="A113" i="3"/>
  <c r="A105" i="3"/>
  <c r="A97" i="3"/>
  <c r="A89" i="3"/>
  <c r="A81" i="3"/>
  <c r="A73" i="3"/>
  <c r="A65" i="3"/>
  <c r="A57" i="3"/>
  <c r="A49" i="3"/>
  <c r="A41" i="3"/>
  <c r="A33" i="3"/>
  <c r="A25" i="3"/>
  <c r="A17" i="3"/>
  <c r="A9" i="3"/>
  <c r="A22" i="3"/>
  <c r="A35" i="3"/>
  <c r="A47" i="3"/>
  <c r="A61" i="3"/>
  <c r="A72" i="3"/>
  <c r="A86" i="3"/>
  <c r="A99" i="3"/>
  <c r="A111" i="3"/>
  <c r="A125" i="3"/>
  <c r="A136" i="3"/>
  <c r="A150" i="3"/>
  <c r="A163" i="3"/>
  <c r="A175" i="3"/>
  <c r="A189" i="3"/>
  <c r="A200" i="3"/>
  <c r="A214" i="3"/>
  <c r="A229" i="3"/>
  <c r="A246" i="3"/>
  <c r="A267" i="3"/>
  <c r="A283" i="3"/>
  <c r="A304" i="3"/>
  <c r="A325" i="3"/>
  <c r="A343" i="3"/>
  <c r="A365" i="3"/>
  <c r="A382" i="3"/>
  <c r="A403" i="3"/>
  <c r="A422" i="3"/>
  <c r="A440" i="3"/>
  <c r="A462" i="3"/>
  <c r="A479" i="3"/>
  <c r="A501" i="3"/>
  <c r="A520" i="3"/>
  <c r="A538" i="3"/>
  <c r="A559" i="3"/>
  <c r="A576" i="3"/>
  <c r="A598" i="3"/>
  <c r="A618" i="3"/>
  <c r="A635" i="3"/>
  <c r="A659" i="3"/>
  <c r="A678" i="3"/>
  <c r="A703" i="3"/>
  <c r="A726" i="3"/>
  <c r="A747" i="3"/>
  <c r="A771" i="3"/>
  <c r="A791" i="3"/>
  <c r="A819" i="3"/>
  <c r="A846" i="3"/>
  <c r="A872" i="3"/>
  <c r="A902" i="3"/>
  <c r="A926" i="3"/>
  <c r="A955" i="3"/>
  <c r="A982" i="3"/>
  <c r="A21" i="3"/>
  <c r="A59" i="3"/>
  <c r="A123" i="3"/>
  <c r="A174" i="3"/>
  <c r="A226" i="3"/>
  <c r="A342" i="3"/>
  <c r="A439" i="3"/>
  <c r="A499" i="3"/>
  <c r="A557" i="3"/>
  <c r="A634" i="3"/>
  <c r="A720" i="3"/>
  <c r="A790" i="3"/>
  <c r="A840" i="3"/>
  <c r="A896" i="3"/>
  <c r="A923" i="3"/>
  <c r="A976" i="3"/>
  <c r="A11" i="3"/>
  <c r="A23" i="3"/>
  <c r="A37" i="3"/>
  <c r="A48" i="3"/>
  <c r="A62" i="3"/>
  <c r="A75" i="3"/>
  <c r="A87" i="3"/>
  <c r="A101" i="3"/>
  <c r="A112" i="3"/>
  <c r="A126" i="3"/>
  <c r="A139" i="3"/>
  <c r="A151" i="3"/>
  <c r="A165" i="3"/>
  <c r="A176" i="3"/>
  <c r="A190" i="3"/>
  <c r="A203" i="3"/>
  <c r="A215" i="3"/>
  <c r="A231" i="3"/>
  <c r="A247" i="3"/>
  <c r="A269" i="3"/>
  <c r="A288" i="3"/>
  <c r="A307" i="3"/>
  <c r="A328" i="3"/>
  <c r="A344" i="3"/>
  <c r="A366" i="3"/>
  <c r="A386" i="3"/>
  <c r="A405" i="3"/>
  <c r="A426" i="3"/>
  <c r="A442" i="3"/>
  <c r="A463" i="3"/>
  <c r="A483" i="3"/>
  <c r="A502" i="3"/>
  <c r="A523" i="3"/>
  <c r="A539" i="3"/>
  <c r="A560" i="3"/>
  <c r="A581" i="3"/>
  <c r="A599" i="3"/>
  <c r="A621" i="3"/>
  <c r="A638" i="3"/>
  <c r="A661" i="3"/>
  <c r="A683" i="3"/>
  <c r="A704" i="3"/>
  <c r="A728" i="3"/>
  <c r="A749" i="3"/>
  <c r="A774" i="3"/>
  <c r="A798" i="3"/>
  <c r="A821" i="3"/>
  <c r="A851" i="3"/>
  <c r="A874" i="3"/>
  <c r="A904" i="3"/>
  <c r="A931" i="3"/>
  <c r="A958" i="3"/>
  <c r="A987" i="3"/>
  <c r="A71" i="3"/>
  <c r="A282" i="3"/>
  <c r="A675" i="3"/>
  <c r="A13" i="3"/>
  <c r="A24" i="3"/>
  <c r="A38" i="3"/>
  <c r="A51" i="3"/>
  <c r="A63" i="3"/>
  <c r="A77" i="3"/>
  <c r="A88" i="3"/>
  <c r="A102" i="3"/>
  <c r="A115" i="3"/>
  <c r="A127" i="3"/>
  <c r="A141" i="3"/>
  <c r="A152" i="3"/>
  <c r="A166" i="3"/>
  <c r="A179" i="3"/>
  <c r="A191" i="3"/>
  <c r="A205" i="3"/>
  <c r="A217" i="3"/>
  <c r="A234" i="3"/>
  <c r="A251" i="3"/>
  <c r="A270" i="3"/>
  <c r="A291" i="3"/>
  <c r="A309" i="3"/>
  <c r="A330" i="3"/>
  <c r="A350" i="3"/>
  <c r="A367" i="3"/>
  <c r="A389" i="3"/>
  <c r="A406" i="3"/>
  <c r="A427" i="3"/>
  <c r="A447" i="3"/>
  <c r="A464" i="3"/>
  <c r="A486" i="3"/>
  <c r="A503" i="3"/>
  <c r="A525" i="3"/>
  <c r="A544" i="3"/>
  <c r="A563" i="3"/>
  <c r="A584" i="3"/>
  <c r="A600" i="3"/>
  <c r="A622" i="3"/>
  <c r="A642" i="3"/>
  <c r="A662" i="3"/>
  <c r="A686" i="3"/>
  <c r="A706" i="3"/>
  <c r="A731" i="3"/>
  <c r="A755" i="3"/>
  <c r="A776" i="3"/>
  <c r="A800" i="3"/>
  <c r="A822" i="3"/>
  <c r="A853" i="3"/>
  <c r="A880" i="3"/>
  <c r="A906" i="3"/>
  <c r="A936" i="3"/>
  <c r="A959" i="3"/>
  <c r="A990" i="3"/>
  <c r="A32" i="3"/>
  <c r="A96" i="3"/>
  <c r="A135" i="3"/>
  <c r="A160" i="3"/>
  <c r="A199" i="3"/>
  <c r="A245" i="3"/>
  <c r="A303" i="3"/>
  <c r="A362" i="3"/>
  <c r="A418" i="3"/>
  <c r="A478" i="3"/>
  <c r="A536" i="3"/>
  <c r="A597" i="3"/>
  <c r="A654" i="3"/>
  <c r="A768" i="3"/>
  <c r="A870" i="3"/>
  <c r="A14" i="3"/>
  <c r="A27" i="3"/>
  <c r="A39" i="3"/>
  <c r="A53" i="3"/>
  <c r="A64" i="3"/>
  <c r="A78" i="3"/>
  <c r="A91" i="3"/>
  <c r="A103" i="3"/>
  <c r="A117" i="3"/>
  <c r="A128" i="3"/>
  <c r="A142" i="3"/>
  <c r="A155" i="3"/>
  <c r="A167" i="3"/>
  <c r="A181" i="3"/>
  <c r="A192" i="3"/>
  <c r="A206" i="3"/>
  <c r="A220" i="3"/>
  <c r="A235" i="3"/>
  <c r="A255" i="3"/>
  <c r="A271" i="3"/>
  <c r="A293" i="3"/>
  <c r="A312" i="3"/>
  <c r="A331" i="3"/>
  <c r="A352" i="3"/>
  <c r="A368" i="3"/>
  <c r="A390" i="3"/>
  <c r="A410" i="3"/>
  <c r="A429" i="3"/>
  <c r="A450" i="3"/>
  <c r="A467" i="3"/>
  <c r="A488" i="3"/>
  <c r="A507" i="3"/>
  <c r="A526" i="3"/>
  <c r="A547" i="3"/>
  <c r="A565" i="3"/>
  <c r="A586" i="3"/>
  <c r="A606" i="3"/>
  <c r="A623" i="3"/>
  <c r="A645" i="3"/>
  <c r="A663" i="3"/>
  <c r="A688" i="3"/>
  <c r="A712" i="3"/>
  <c r="A734" i="3"/>
  <c r="A758" i="3"/>
  <c r="A778" i="3"/>
  <c r="A802" i="3"/>
  <c r="A830" i="3"/>
  <c r="A854" i="3"/>
  <c r="A885" i="3"/>
  <c r="A907" i="3"/>
  <c r="A938" i="3"/>
  <c r="A966" i="3"/>
  <c r="A991" i="3"/>
  <c r="A85" i="3"/>
  <c r="A379" i="3"/>
  <c r="A746" i="3"/>
  <c r="A15" i="3"/>
  <c r="A29" i="3"/>
  <c r="A40" i="3"/>
  <c r="A54" i="3"/>
  <c r="A67" i="3"/>
  <c r="A79" i="3"/>
  <c r="A93" i="3"/>
  <c r="A104" i="3"/>
  <c r="A118" i="3"/>
  <c r="A131" i="3"/>
  <c r="A143" i="3"/>
  <c r="A157" i="3"/>
  <c r="A168" i="3"/>
  <c r="A182" i="3"/>
  <c r="A195" i="3"/>
  <c r="A207" i="3"/>
  <c r="A222" i="3"/>
  <c r="A236" i="3"/>
  <c r="A256" i="3"/>
  <c r="A277" i="3"/>
  <c r="A294" i="3"/>
  <c r="A315" i="3"/>
  <c r="A333" i="3"/>
  <c r="A354" i="3"/>
  <c r="A374" i="3"/>
  <c r="A392" i="3"/>
  <c r="A414" i="3"/>
  <c r="A430" i="3"/>
  <c r="A451" i="3"/>
  <c r="A471" i="3"/>
  <c r="A490" i="3"/>
  <c r="A511" i="3"/>
  <c r="A527" i="3"/>
  <c r="A549" i="3"/>
  <c r="A568" i="3"/>
  <c r="A587" i="3"/>
  <c r="A608" i="3"/>
  <c r="A624" i="3"/>
  <c r="A646" i="3"/>
  <c r="A670" i="3"/>
  <c r="A691" i="3"/>
  <c r="A715" i="3"/>
  <c r="A735" i="3"/>
  <c r="A759" i="3"/>
  <c r="A782" i="3"/>
  <c r="A803" i="3"/>
  <c r="A832" i="3"/>
  <c r="A856" i="3"/>
  <c r="A886" i="3"/>
  <c r="A915" i="3"/>
  <c r="A939" i="3"/>
  <c r="A970" i="3"/>
  <c r="A992" i="3"/>
  <c r="A46" i="3"/>
  <c r="A110" i="3"/>
  <c r="A149" i="3"/>
  <c r="A187" i="3"/>
  <c r="A213" i="3"/>
  <c r="A264" i="3"/>
  <c r="A320" i="3"/>
  <c r="A400" i="3"/>
  <c r="A459" i="3"/>
  <c r="A515" i="3"/>
  <c r="A575" i="3"/>
  <c r="A613" i="3"/>
  <c r="A702" i="3"/>
  <c r="A816" i="3"/>
  <c r="A952" i="3"/>
  <c r="A16" i="3"/>
  <c r="A30" i="3"/>
  <c r="A43" i="3"/>
  <c r="A55" i="3"/>
  <c r="A69" i="3"/>
  <c r="A80" i="3"/>
  <c r="A94" i="3"/>
  <c r="A107" i="3"/>
  <c r="A119" i="3"/>
  <c r="A133" i="3"/>
  <c r="A144" i="3"/>
  <c r="A158" i="3"/>
  <c r="A171" i="3"/>
  <c r="A183" i="3"/>
  <c r="A197" i="3"/>
  <c r="A208" i="3"/>
  <c r="A223" i="3"/>
  <c r="A239" i="3"/>
  <c r="A258" i="3"/>
  <c r="A279" i="3"/>
  <c r="A296" i="3"/>
  <c r="A318" i="3"/>
  <c r="A336" i="3"/>
  <c r="A355" i="3"/>
  <c r="A376" i="3"/>
  <c r="A394" i="3"/>
  <c r="A415" i="3"/>
  <c r="A435" i="3"/>
  <c r="A453" i="3"/>
  <c r="A474" i="3"/>
  <c r="A491" i="3"/>
  <c r="A512" i="3"/>
  <c r="A533" i="3"/>
  <c r="A550" i="3"/>
  <c r="A571" i="3"/>
  <c r="A589" i="3"/>
  <c r="A610" i="3"/>
  <c r="A630" i="3"/>
  <c r="A648" i="3"/>
  <c r="A672" i="3"/>
  <c r="A693" i="3"/>
  <c r="A717" i="3"/>
  <c r="A739" i="3"/>
  <c r="A760" i="3"/>
  <c r="A787" i="3"/>
  <c r="A806" i="3"/>
  <c r="A835" i="3"/>
  <c r="A863" i="3"/>
  <c r="A888" i="3"/>
  <c r="A918" i="3"/>
  <c r="A942" i="3"/>
  <c r="A971" i="3"/>
  <c r="A1000" i="3"/>
  <c r="A19" i="3"/>
  <c r="A31" i="3"/>
  <c r="A45" i="3"/>
  <c r="A56" i="3"/>
  <c r="A70" i="3"/>
  <c r="A83" i="3"/>
  <c r="A95" i="3"/>
  <c r="A109" i="3"/>
  <c r="A120" i="3"/>
  <c r="A134" i="3"/>
  <c r="A147" i="3"/>
  <c r="A159" i="3"/>
  <c r="A173" i="3"/>
  <c r="A184" i="3"/>
  <c r="A198" i="3"/>
  <c r="A211" i="3"/>
  <c r="A225" i="3"/>
  <c r="A243" i="3"/>
  <c r="A259" i="3"/>
  <c r="A280" i="3"/>
  <c r="A301" i="3"/>
  <c r="A319" i="3"/>
  <c r="A341" i="3"/>
  <c r="A357" i="3"/>
  <c r="A378" i="3"/>
  <c r="A398" i="3"/>
  <c r="A416" i="3"/>
  <c r="A438" i="3"/>
  <c r="A454" i="3"/>
  <c r="A475" i="3"/>
  <c r="A495" i="3"/>
  <c r="A514" i="3"/>
  <c r="A535" i="3"/>
  <c r="A552" i="3"/>
  <c r="A574" i="3"/>
  <c r="A592" i="3"/>
  <c r="A611" i="3"/>
  <c r="A632" i="3"/>
  <c r="A650" i="3"/>
  <c r="A674" i="3"/>
  <c r="A696" i="3"/>
  <c r="A718" i="3"/>
  <c r="A744" i="3"/>
  <c r="A763" i="3"/>
  <c r="A789" i="3"/>
  <c r="A811" i="3"/>
  <c r="A838" i="3"/>
  <c r="A867" i="3"/>
  <c r="A891" i="3"/>
  <c r="A920" i="3"/>
  <c r="A949" i="3"/>
  <c r="A974" i="3"/>
  <c r="W15" i="3"/>
  <c r="W12" i="3"/>
  <c r="W10" i="3"/>
</calcChain>
</file>

<file path=xl/sharedStrings.xml><?xml version="1.0" encoding="utf-8"?>
<sst xmlns="http://schemas.openxmlformats.org/spreadsheetml/2006/main" count="6242" uniqueCount="1848">
  <si>
    <t>For Retail / Manufacturing Industry</t>
  </si>
  <si>
    <t>ANNEX A</t>
  </si>
  <si>
    <t>LETTERED L FOOD SERVICES, INC.</t>
  </si>
  <si>
    <t>Inventory</t>
  </si>
  <si>
    <t>MERCHANDISE/ RAW MATERIALS / GOODS IN PROCESS / FINISHED GOODS INVENTORY</t>
  </si>
  <si>
    <t>As of December 31, 2025</t>
  </si>
  <si>
    <t>?</t>
  </si>
  <si>
    <t>PRODUCT / INVENTORY CODE</t>
  </si>
  <si>
    <t>ITEM DESCRIPTION</t>
  </si>
  <si>
    <t>LOCATION (Note 1)</t>
  </si>
  <si>
    <t>INVENTORY VALUATION METHOD</t>
  </si>
  <si>
    <t>UNIT PRICE</t>
  </si>
  <si>
    <t>QUANTITY IN STOCKS</t>
  </si>
  <si>
    <t>weight / volume</t>
  </si>
  <si>
    <t>Unit of Measure</t>
  </si>
  <si>
    <t>UNIT OF MEASUREMENT</t>
  </si>
  <si>
    <t>TOTAL WEIGHT / VOLUME</t>
  </si>
  <si>
    <t>TOTAL COST</t>
  </si>
  <si>
    <t>ADDRESS</t>
  </si>
  <si>
    <t>CODE</t>
  </si>
  <si>
    <t>REMARKS</t>
  </si>
  <si>
    <t>item</t>
  </si>
  <si>
    <t>correction</t>
  </si>
  <si>
    <t>brand</t>
  </si>
  <si>
    <t>uom</t>
  </si>
  <si>
    <t>weight/vol</t>
  </si>
  <si>
    <t>outlet</t>
  </si>
  <si>
    <t>remarks</t>
  </si>
  <si>
    <t>(Note 2)</t>
  </si>
  <si>
    <t>quantity</t>
  </si>
  <si>
    <t>weight/volume</t>
  </si>
  <si>
    <t>corrected UOM</t>
  </si>
  <si>
    <t>e.g., kilos, grams, liters, etc.)</t>
  </si>
  <si>
    <t>price total</t>
  </si>
  <si>
    <t>Checking</t>
  </si>
  <si>
    <t>555 Fried Sardines Hot &amp; Spicy</t>
  </si>
  <si>
    <t>grams</t>
  </si>
  <si>
    <t>555/can/155grams</t>
  </si>
  <si>
    <t>pieces</t>
  </si>
  <si>
    <t>Aji Panda Seasoning</t>
  </si>
  <si>
    <t>Ajinomoto/pack/500grams</t>
  </si>
  <si>
    <t>Alamang</t>
  </si>
  <si>
    <t>Alaska Powder</t>
  </si>
  <si>
    <t>Alaska</t>
  </si>
  <si>
    <t>Alaska/pack (sachetx33grams)</t>
  </si>
  <si>
    <t>All Purpose Cream</t>
  </si>
  <si>
    <t>Jersey/can/250grams</t>
  </si>
  <si>
    <t>ml</t>
  </si>
  <si>
    <t>Angel</t>
  </si>
  <si>
    <t>Alaska/tetrapack(48x250ml)</t>
  </si>
  <si>
    <t>All Purpose Dressing</t>
  </si>
  <si>
    <t>Best Foods</t>
  </si>
  <si>
    <t>Best Foods/gallon/3500ml</t>
  </si>
  <si>
    <t>gal</t>
  </si>
  <si>
    <t>All Purpose Flour</t>
  </si>
  <si>
    <t>White Pigeon</t>
  </si>
  <si>
    <t>White Pigeon/pack/1000grams</t>
  </si>
  <si>
    <t>Maya</t>
  </si>
  <si>
    <t>Maya Complete/box/500grams</t>
  </si>
  <si>
    <t>No Brand/pack/1000grams</t>
  </si>
  <si>
    <t>All Purpose Flour - 3rd class</t>
  </si>
  <si>
    <t>Penguin</t>
  </si>
  <si>
    <t>Atusete</t>
  </si>
  <si>
    <t>pack/1000grams</t>
  </si>
  <si>
    <t>Bagoong Isda Balayan</t>
  </si>
  <si>
    <t>La Marina/bottle/340grams</t>
  </si>
  <si>
    <t>Bagoong Isda Jp Boneless</t>
  </si>
  <si>
    <t>Baking Powder</t>
  </si>
  <si>
    <t>Calumet</t>
  </si>
  <si>
    <t>Baking Soda</t>
  </si>
  <si>
    <t>Queen</t>
  </si>
  <si>
    <t>Balsamic Vinegar</t>
  </si>
  <si>
    <t>Filippo Berio/bottle/330ml</t>
  </si>
  <si>
    <t>Bangus</t>
  </si>
  <si>
    <t>Indicate ave weight/piece</t>
  </si>
  <si>
    <t>Barbecue Sticks</t>
  </si>
  <si>
    <t>pack/100pcs</t>
  </si>
  <si>
    <t>packs</t>
  </si>
  <si>
    <t>Bear Brand</t>
  </si>
  <si>
    <t>Nestle/pcsx33grams)</t>
  </si>
  <si>
    <t>Bear Brand adult</t>
  </si>
  <si>
    <t>Bear Brand Adult</t>
  </si>
  <si>
    <t>Bear Brand Sterilized</t>
  </si>
  <si>
    <t>Nestle/Tetrapack/250ml</t>
  </si>
  <si>
    <t>Bear Brand Swak</t>
  </si>
  <si>
    <t>Nestle/pack (pcsx33grams)</t>
  </si>
  <si>
    <t>Beef Laman (frozen)</t>
  </si>
  <si>
    <t>seara</t>
  </si>
  <si>
    <t>kilos</t>
  </si>
  <si>
    <t>Beef Loaf</t>
  </si>
  <si>
    <t>Argentina/can/250grams</t>
  </si>
  <si>
    <t>Beng-Beng Choco Caramel</t>
  </si>
  <si>
    <t>Besuto</t>
  </si>
  <si>
    <t>Bihon</t>
  </si>
  <si>
    <t>Super Q/pack/1000grams</t>
  </si>
  <si>
    <t>Super Q/pack/500grams</t>
  </si>
  <si>
    <t>Bingo Choco Orange</t>
  </si>
  <si>
    <t>Monde(10pcsx28grams)</t>
  </si>
  <si>
    <t>Bingo Double Choco</t>
  </si>
  <si>
    <t>Mondepack (10pcsx28grams)</t>
  </si>
  <si>
    <t>Bingo Orange</t>
  </si>
  <si>
    <t>Bingo Vanilla Biscuits</t>
  </si>
  <si>
    <t>Monde (10pcsx28grams)</t>
  </si>
  <si>
    <t>Birch Tree</t>
  </si>
  <si>
    <t>Birch Tree/pack (pcsx33grams)</t>
  </si>
  <si>
    <t>Black Beans</t>
  </si>
  <si>
    <t>Temple/can/180grams</t>
  </si>
  <si>
    <t>Black Coffee</t>
  </si>
  <si>
    <t>Kopiko/pack (pcsx30grams)</t>
  </si>
  <si>
    <t>Black Olives</t>
  </si>
  <si>
    <t>Dona Elena/bottle/330grams</t>
  </si>
  <si>
    <t>Black Peppercon - Ground</t>
  </si>
  <si>
    <t>Edward/pack/1000grams</t>
  </si>
  <si>
    <t>Blanca Coffee</t>
  </si>
  <si>
    <t>Bleach</t>
  </si>
  <si>
    <t>Quinriv</t>
  </si>
  <si>
    <t>Blend 45</t>
  </si>
  <si>
    <t>URC/pack (pcsx18grams)</t>
  </si>
  <si>
    <t>Bread Crumbs</t>
  </si>
  <si>
    <t>Goodlife/pack/1000grams</t>
  </si>
  <si>
    <t>Krispers/pack/1000grams</t>
  </si>
  <si>
    <t>Bread Stick</t>
  </si>
  <si>
    <t>Brewed Coffee</t>
  </si>
  <si>
    <t>Tropical Brewed/pack/1000</t>
  </si>
  <si>
    <t>Tropical Brewed/pack/500grams</t>
  </si>
  <si>
    <t>Broth Cubes - Beef</t>
  </si>
  <si>
    <t>Knorr/box/grams/12pcs</t>
  </si>
  <si>
    <t>Mc Cormick/bottle/30ml</t>
  </si>
  <si>
    <t>Knorr/box/60grams</t>
  </si>
  <si>
    <t>Broth Cubes - Chicken</t>
  </si>
  <si>
    <t>Knorr/box/grams</t>
  </si>
  <si>
    <t>Broth Cubes - Pork</t>
  </si>
  <si>
    <t>Brown Supot #10</t>
  </si>
  <si>
    <t>Brown Supot #16</t>
  </si>
  <si>
    <t>Butter Coconut</t>
  </si>
  <si>
    <t>Nissin/pack (10pcsx28grams)</t>
  </si>
  <si>
    <t>Button Mushroom Whole</t>
  </si>
  <si>
    <t>Jolly/can/400grams.200grams drained weight</t>
  </si>
  <si>
    <t>drained weight grams</t>
  </si>
  <si>
    <t>C2 Solo Apple</t>
  </si>
  <si>
    <t>Pepsi/box (24x230ml)</t>
  </si>
  <si>
    <t>Cabbage</t>
  </si>
  <si>
    <t>Fresh</t>
  </si>
  <si>
    <t>Cake bar chocolate</t>
  </si>
  <si>
    <t>Alaska/box (48x80ml)</t>
  </si>
  <si>
    <t>Fudgee bar/pack (10pcsx40grams)</t>
  </si>
  <si>
    <t>Cake Flour</t>
  </si>
  <si>
    <t>Calabasa</t>
  </si>
  <si>
    <t>Calbee</t>
  </si>
  <si>
    <t>Canola Oil</t>
  </si>
  <si>
    <t>Canton</t>
  </si>
  <si>
    <t>Excellent/pack/400grams</t>
  </si>
  <si>
    <t>Caramel Popcorn</t>
  </si>
  <si>
    <t>Oishi/box (pcsx60grams)</t>
  </si>
  <si>
    <t>Carne Norte Classic</t>
  </si>
  <si>
    <t>Carrots</t>
  </si>
  <si>
    <t>Cassava Starch</t>
  </si>
  <si>
    <t>Catsup</t>
  </si>
  <si>
    <t>Ticman/gallon/3500ml</t>
  </si>
  <si>
    <t>Cayenne Powder</t>
  </si>
  <si>
    <t>Century Flakes in Oil</t>
  </si>
  <si>
    <t>Champion</t>
  </si>
  <si>
    <t>Energen/pack (pcsx30grams)</t>
  </si>
  <si>
    <t>Charmie liner</t>
  </si>
  <si>
    <t>Cheese</t>
  </si>
  <si>
    <t>Daily Quezo/box/160grams</t>
  </si>
  <si>
    <t>Bigtime/pack/160grams</t>
  </si>
  <si>
    <t>Cheese Ball</t>
  </si>
  <si>
    <t>Cheese Curls</t>
  </si>
  <si>
    <t>Cheese Powder</t>
  </si>
  <si>
    <t>SM Bonus/pack/50grams</t>
  </si>
  <si>
    <t>Cheese Ring</t>
  </si>
  <si>
    <t>Cheese Ring Cheese</t>
  </si>
  <si>
    <t>Regent/bundle (25x60 grams)</t>
  </si>
  <si>
    <t>Cheez-it Cheese</t>
  </si>
  <si>
    <t>Pepsi/case (24x500ml)</t>
  </si>
  <si>
    <t>Nutri-Snackbundle (50x60grams)</t>
  </si>
  <si>
    <t>Cheezy</t>
  </si>
  <si>
    <t>Chicken and Corn</t>
  </si>
  <si>
    <t>Knorr/sachet/60grams</t>
  </si>
  <si>
    <t>Chicken Breast</t>
  </si>
  <si>
    <t>Star/pail/1000grams</t>
  </si>
  <si>
    <t>Frozen with bone</t>
  </si>
  <si>
    <t>Chicken Leg Quarter</t>
  </si>
  <si>
    <t>Frozen/box(kilos)</t>
  </si>
  <si>
    <t>Chicken Whole</t>
  </si>
  <si>
    <t>Chicken Wings</t>
  </si>
  <si>
    <t>Chili Garlic Sauce</t>
  </si>
  <si>
    <t>Lee Kum Kee/bottle/226grams</t>
  </si>
  <si>
    <t>Chilli Powder</t>
  </si>
  <si>
    <t>UFC/pack/30grams</t>
  </si>
  <si>
    <t>Chippy Babarque</t>
  </si>
  <si>
    <t>Jack n Jill/box (100/25grams)</t>
  </si>
  <si>
    <t>Chiz Curls</t>
  </si>
  <si>
    <t>Jack n Jill/box (pcsx55grams)</t>
  </si>
  <si>
    <t>Chocnut</t>
  </si>
  <si>
    <t>King/pack (24pcsxgrams)</t>
  </si>
  <si>
    <t>Choco Crunchies</t>
  </si>
  <si>
    <t>Chocolate Syrup</t>
  </si>
  <si>
    <t>Injoy bottle/750ml</t>
  </si>
  <si>
    <t>Chocolate-Cadbury</t>
  </si>
  <si>
    <t>Chocolate-Kikkat</t>
  </si>
  <si>
    <t>Chopsticks</t>
  </si>
  <si>
    <t>Welcome/pack 100s'</t>
  </si>
  <si>
    <t>Cloud 9 Classic</t>
  </si>
  <si>
    <t>Jack n Jill/box (12pcsx/28grams)</t>
  </si>
  <si>
    <t>Cloud 9 Classic mini</t>
  </si>
  <si>
    <t>Clover BBQ</t>
  </si>
  <si>
    <t>Coconut Milk Powder</t>
  </si>
  <si>
    <t>Coconut Powder</t>
  </si>
  <si>
    <t>Vista/pack (24pcsx50grams)</t>
  </si>
  <si>
    <t>Coffee 5 in 1</t>
  </si>
  <si>
    <t>Coffee Granules Stick</t>
  </si>
  <si>
    <t>Great Taste/1.8/Sachet</t>
  </si>
  <si>
    <t>Coffee mate</t>
  </si>
  <si>
    <t>Coffee Premuim Classic Stick</t>
  </si>
  <si>
    <t>Coffee Stick</t>
  </si>
  <si>
    <t>Great Tastepack (pcsx1.8grams)</t>
  </si>
  <si>
    <t>Coffee Stirrer</t>
  </si>
  <si>
    <t>My Everyday/50's</t>
  </si>
  <si>
    <t>Coffeemate</t>
  </si>
  <si>
    <t>Nestle/pack/400grams</t>
  </si>
  <si>
    <t>Nestle/pack (pcsx5grams)</t>
  </si>
  <si>
    <t>Coke Mismo</t>
  </si>
  <si>
    <t>Coca-Cola/case (12x290ml)</t>
  </si>
  <si>
    <t>Condensada</t>
  </si>
  <si>
    <t>Alaska (48x370ml)</t>
  </si>
  <si>
    <t>Alaska 206ml</t>
  </si>
  <si>
    <t>Condensed Milk</t>
  </si>
  <si>
    <t>Cowbell/can/375ml</t>
  </si>
  <si>
    <t>Cowbell/can/374ml</t>
  </si>
  <si>
    <t>Condensed Milk Macapuno</t>
  </si>
  <si>
    <t>Jersey/can/390ml</t>
  </si>
  <si>
    <t>Condensed Milk Mango</t>
  </si>
  <si>
    <t>Condensed Milk Ube</t>
  </si>
  <si>
    <t>Confectioner sugar</t>
  </si>
  <si>
    <t>Peotraco/box/450grams</t>
  </si>
  <si>
    <t>Cooked Ham</t>
  </si>
  <si>
    <t>CDO/pack/250grams</t>
  </si>
  <si>
    <t>Cooking Oil</t>
  </si>
  <si>
    <t>Happy Fiesta/pouch/1800ml</t>
  </si>
  <si>
    <t>Cooking Oil - Vegetable</t>
  </si>
  <si>
    <t>Freeto/tin can/16kilos</t>
  </si>
  <si>
    <t>Corn Oil</t>
  </si>
  <si>
    <t>gallon/2000ml</t>
  </si>
  <si>
    <t>Corned Beef</t>
  </si>
  <si>
    <t>Argentina/can/260grams</t>
  </si>
  <si>
    <t>Corned Tuna chilli</t>
  </si>
  <si>
    <t>Corned Tuna Plain</t>
  </si>
  <si>
    <t>Cornstarch</t>
  </si>
  <si>
    <t>Superior/pack/1000grams</t>
  </si>
  <si>
    <t>Crab and Corn</t>
  </si>
  <si>
    <t>Knorr/sachet/37grams</t>
  </si>
  <si>
    <t>Cracklings Salt &amp; Vinegar</t>
  </si>
  <si>
    <t>Oishi/box (50pcsx50grams)</t>
  </si>
  <si>
    <t>Cream Dory Fish Fillet</t>
  </si>
  <si>
    <t>CREAM O CAKE BAR</t>
  </si>
  <si>
    <t>CREAM O37G</t>
  </si>
  <si>
    <t>CREAM O CRINKLES</t>
  </si>
  <si>
    <t>CREAM O 30G</t>
  </si>
  <si>
    <t>Cream of Corn Stye</t>
  </si>
  <si>
    <t>Jolly/can/425grams</t>
  </si>
  <si>
    <t>Mega Prime/can/425grams</t>
  </si>
  <si>
    <t>Cream of Mushroom</t>
  </si>
  <si>
    <t>Knorr/sachet/62grams</t>
  </si>
  <si>
    <t>Cream- O Vanilla</t>
  </si>
  <si>
    <t>Jack n Jill/pack (10pcsx33grams)</t>
  </si>
  <si>
    <t>Cream-O Choco</t>
  </si>
  <si>
    <t>ZEST-O Big 250/box (10x250ml)</t>
  </si>
  <si>
    <t>Cream-O Choco Chips</t>
  </si>
  <si>
    <t>Cream-O Crinkles</t>
  </si>
  <si>
    <t>Jack n Jill/pack (10x30grams)</t>
  </si>
  <si>
    <t>Cream-O Vanilla</t>
  </si>
  <si>
    <t>Jack n Jill/pack (10pcsx30grams)</t>
  </si>
  <si>
    <t>Creamy White</t>
  </si>
  <si>
    <t>Great Taste/pack (pcsx26grams)</t>
  </si>
  <si>
    <t>Crispy fry</t>
  </si>
  <si>
    <t>Crispy Fry Breadcrumbs</t>
  </si>
  <si>
    <t>Ajinomoto/pack/62grams</t>
  </si>
  <si>
    <t>Crushed Graham</t>
  </si>
  <si>
    <t>My San/pack/200grams</t>
  </si>
  <si>
    <t>Cumin Powder</t>
  </si>
  <si>
    <t>Robinson /pack/20grams</t>
  </si>
  <si>
    <t>Cup Cake Holder</t>
  </si>
  <si>
    <t>Cupcake Holder</t>
  </si>
  <si>
    <t>Cup-Noodles Chicken Sotanghon</t>
  </si>
  <si>
    <t>Lucky Me/box (48pcsx40grams)</t>
  </si>
  <si>
    <t>Cup-Noodles Jjamppong</t>
  </si>
  <si>
    <t>Curry Bar</t>
  </si>
  <si>
    <t>bar/1000grams</t>
  </si>
  <si>
    <t>Curry Powder</t>
  </si>
  <si>
    <t>Mama/canister/1000grams</t>
  </si>
  <si>
    <t>S8 Greatbuy/pack/30grams</t>
  </si>
  <si>
    <t>Pure Basic/pack/50grams</t>
  </si>
  <si>
    <t>Dashi</t>
  </si>
  <si>
    <t>Marutomo</t>
  </si>
  <si>
    <t>Dewberry Blueberry</t>
  </si>
  <si>
    <t>Jack n Jill/pack (10x33 grams)</t>
  </si>
  <si>
    <t>Dewberry Cakeberry</t>
  </si>
  <si>
    <t>Jack n Jill/pack (10pcsx/2grams)</t>
  </si>
  <si>
    <t>Dishwashing Liquid</t>
  </si>
  <si>
    <t>Dried Dilis</t>
  </si>
  <si>
    <t>Dried Mushroom</t>
  </si>
  <si>
    <t>Dulong</t>
  </si>
  <si>
    <t>100grams per pc</t>
  </si>
  <si>
    <t>Dutchmill Yogurt Orange</t>
  </si>
  <si>
    <t>Dutchmill Yogurt Strawberry</t>
  </si>
  <si>
    <t>eco sun</t>
  </si>
  <si>
    <t>Egg</t>
  </si>
  <si>
    <t>Mr Brown/bottle/350ml</t>
  </si>
  <si>
    <t>Small/tray</t>
  </si>
  <si>
    <t>Energen Champion</t>
  </si>
  <si>
    <t>Energen Choco</t>
  </si>
  <si>
    <t>Energen/pack (pcsx40grams)</t>
  </si>
  <si>
    <t>Energen Chocolate</t>
  </si>
  <si>
    <t>Energen Vanilla</t>
  </si>
  <si>
    <t>Evaporated Milk</t>
  </si>
  <si>
    <t>Alaska/can/360ml</t>
  </si>
  <si>
    <t>Cowbell/can/360ml</t>
  </si>
  <si>
    <t>Alaska/tetrapack/1liter</t>
  </si>
  <si>
    <t>Healthy cow/can/370ml</t>
  </si>
  <si>
    <t>Fish ball</t>
  </si>
  <si>
    <t>Shanghai/pack/250grams</t>
  </si>
  <si>
    <t>Fish Sauce</t>
  </si>
  <si>
    <t>Fishda</t>
  </si>
  <si>
    <t>Oishibox(pcsx90grams)</t>
  </si>
  <si>
    <t>Fit n Right Burn Pineapple</t>
  </si>
  <si>
    <t>Del Monte/box (24x320ml)</t>
  </si>
  <si>
    <t>Fita Crackers</t>
  </si>
  <si>
    <t>MY Sac/pck/10/30g</t>
  </si>
  <si>
    <t>Fita Crackers Plain</t>
  </si>
  <si>
    <t>M.Y Sanpack (10x30grams)</t>
  </si>
  <si>
    <t>Food Color</t>
  </si>
  <si>
    <t>Hyco/bottle/454grams</t>
  </si>
  <si>
    <t>Food Flavoring-Cheese Powder</t>
  </si>
  <si>
    <t>Good Foods/100grams/pack</t>
  </si>
  <si>
    <t>Freshmilk</t>
  </si>
  <si>
    <t>Fruit Cocktail</t>
  </si>
  <si>
    <t>Today's/can/836grams/422drainedweight</t>
  </si>
  <si>
    <t>Today's/can/3033grams</t>
  </si>
  <si>
    <t>Fruit Dalandan</t>
  </si>
  <si>
    <t>Fruit Kalamansi</t>
  </si>
  <si>
    <t>Fruit Soda Orange</t>
  </si>
  <si>
    <t>Fruitti Apple</t>
  </si>
  <si>
    <t>Fudge Bar - Macapuno</t>
  </si>
  <si>
    <t>Suncrest Food/pack (10pcsx41grams)</t>
  </si>
  <si>
    <t>Fussili Gourmet</t>
  </si>
  <si>
    <t>Garbanzos</t>
  </si>
  <si>
    <t>Ram/can/450grams</t>
  </si>
  <si>
    <t>Garlic</t>
  </si>
  <si>
    <t>Garlic Peanut</t>
  </si>
  <si>
    <t>Growers/box (24pcsx80grams)</t>
  </si>
  <si>
    <t>Garlic Powder</t>
  </si>
  <si>
    <t>Sure buy/pack/30grams</t>
  </si>
  <si>
    <t>Gatorade (asstd flavor)</t>
  </si>
  <si>
    <t>General Sanitizer</t>
  </si>
  <si>
    <t>Ginger</t>
  </si>
  <si>
    <t>Giniling</t>
  </si>
  <si>
    <t>Glutinous Rice Flour</t>
  </si>
  <si>
    <t>Polar Bear/pack/500grams</t>
  </si>
  <si>
    <t>Kings/pack/500grams</t>
  </si>
  <si>
    <t>Goto</t>
  </si>
  <si>
    <t>Goya Chocolate Big</t>
  </si>
  <si>
    <t>Goya Chocolate small</t>
  </si>
  <si>
    <t>Graham Crackers</t>
  </si>
  <si>
    <t>M.Y San/pack (210grams)</t>
  </si>
  <si>
    <t>Graham Crushed</t>
  </si>
  <si>
    <t>M.Y San/pack (200grams)</t>
  </si>
  <si>
    <t>Grass Jelly</t>
  </si>
  <si>
    <t>Jolly/can/540grams</t>
  </si>
  <si>
    <t>Great taste - White</t>
  </si>
  <si>
    <t>Great Taste/pack (10pcsx30grams)</t>
  </si>
  <si>
    <t>Great Taste - White</t>
  </si>
  <si>
    <t>Green Tea</t>
  </si>
  <si>
    <t>Lipton/box (pcsx1.5grams)</t>
  </si>
  <si>
    <t>Ground Pepper</t>
  </si>
  <si>
    <t>Gulaman - Buko Pandan</t>
  </si>
  <si>
    <t>Mr Gulaman/box/(10sachetx25grams)</t>
  </si>
  <si>
    <t>Gulaman - Coffee</t>
  </si>
  <si>
    <t>Gulaman - Green</t>
  </si>
  <si>
    <t>Gulaman - Mango</t>
  </si>
  <si>
    <t>Gulaman - Red</t>
  </si>
  <si>
    <t>Gulaman - White</t>
  </si>
  <si>
    <t>Gulaman - Yellow</t>
  </si>
  <si>
    <t>Guyabano Juice</t>
  </si>
  <si>
    <t>Hand Gloves</t>
  </si>
  <si>
    <t>My Eveyday ( 1 X 100 )</t>
  </si>
  <si>
    <t>Hand Sanitizer</t>
  </si>
  <si>
    <t>Hansel Cracker - Plain</t>
  </si>
  <si>
    <t>Rebisco/pack (10pcsx32grams)</t>
  </si>
  <si>
    <t>Hansel Crackers - Milk</t>
  </si>
  <si>
    <t>Rebisco/pack (10pcsx31grams)</t>
  </si>
  <si>
    <t>Hansel Crackers - Mocha</t>
  </si>
  <si>
    <t>Hany Milk</t>
  </si>
  <si>
    <t>Hello Panda Caramel</t>
  </si>
  <si>
    <t>Hello Wafer Strawberry</t>
  </si>
  <si>
    <t>Jack n Jill/pack (10pcsX15grams)</t>
  </si>
  <si>
    <t>Hi-ho</t>
  </si>
  <si>
    <t>Hipon ( 30 )</t>
  </si>
  <si>
    <t>Hiro</t>
  </si>
  <si>
    <t>Fibisco/pack (10pcsx33grams)</t>
  </si>
  <si>
    <t>Honey Butter</t>
  </si>
  <si>
    <t>Hotcake Mix</t>
  </si>
  <si>
    <t>Maya/box/500grams</t>
  </si>
  <si>
    <t>Hotdog Jumbo</t>
  </si>
  <si>
    <t>Purefoods/pack/1000grams</t>
  </si>
  <si>
    <t>Hotdog King Size</t>
  </si>
  <si>
    <t>Instant Oats</t>
  </si>
  <si>
    <t>Australia Harvest/pack/1000grams</t>
  </si>
  <si>
    <t>Italian Spaghetti Sauce</t>
  </si>
  <si>
    <t>Del Monte/pack/900grams</t>
  </si>
  <si>
    <t>Jamonila</t>
  </si>
  <si>
    <t>Tulip/can/24pcsx340 grams</t>
  </si>
  <si>
    <t>Tulip/can24pcs/340 grams</t>
  </si>
  <si>
    <t>Japanese Cake</t>
  </si>
  <si>
    <t>Regent/pack (10pcsx34grams)</t>
  </si>
  <si>
    <t>Japanese Cake-ube</t>
  </si>
  <si>
    <t>Japanese Mayonaise</t>
  </si>
  <si>
    <t>Japanese Mayonnaise</t>
  </si>
  <si>
    <t>Kewpie/bottle/1000ml</t>
  </si>
  <si>
    <t>Japanese Motchi</t>
  </si>
  <si>
    <t>Japanese Rice</t>
  </si>
  <si>
    <t>Mt. Fuji/sack/25kilos</t>
  </si>
  <si>
    <t>Japanesemayonnaise</t>
  </si>
  <si>
    <t>kewpien/500ml</t>
  </si>
  <si>
    <t>Jasmine Rice</t>
  </si>
  <si>
    <t>Thai Jasmine/sack/25kilos</t>
  </si>
  <si>
    <t>Jet Dry</t>
  </si>
  <si>
    <t>Jolly Biscuit</t>
  </si>
  <si>
    <t>Kernel Corn Whole</t>
  </si>
  <si>
    <t>J em J/can/425grams</t>
  </si>
  <si>
    <t>Kikiam</t>
  </si>
  <si>
    <t>Shanghai/pack/1000grams</t>
  </si>
  <si>
    <t>Kopiko Black</t>
  </si>
  <si>
    <t>Kopiko/pack (30x30grams)</t>
  </si>
  <si>
    <t>Kopiko/pack (10x30grams)</t>
  </si>
  <si>
    <t>Kopiko Blanca</t>
  </si>
  <si>
    <t>Kopiko Brown</t>
  </si>
  <si>
    <t>Kopiko/pack (10x27.5grams)</t>
  </si>
  <si>
    <t>Kopiko L.A</t>
  </si>
  <si>
    <t>Kopikopack (20pcsx/25grams)</t>
  </si>
  <si>
    <t>Lala Tempura</t>
  </si>
  <si>
    <t>Lard</t>
  </si>
  <si>
    <t>Spring Shortening/pail/11000grams</t>
  </si>
  <si>
    <t>Lasagna Noodles</t>
  </si>
  <si>
    <t>Ideal/box/500grams</t>
  </si>
  <si>
    <t>Laurel Leaves</t>
  </si>
  <si>
    <t>Lechon Sauce</t>
  </si>
  <si>
    <t>Mang Tomas/bottle/550grams</t>
  </si>
  <si>
    <t>Lihia</t>
  </si>
  <si>
    <t>Mr. Brown/bottle/350ml</t>
  </si>
  <si>
    <t>Lihia/Lye Water</t>
  </si>
  <si>
    <t>Green Leaves/bottle/375ml</t>
  </si>
  <si>
    <t>Lime Away</t>
  </si>
  <si>
    <t>Liquid Seasoning</t>
  </si>
  <si>
    <t>Knorr/bottle/500ml</t>
  </si>
  <si>
    <t>Knorr/bottle/1000ml</t>
  </si>
  <si>
    <t>Liver Spread</t>
  </si>
  <si>
    <t>CDO/can/85grams</t>
  </si>
  <si>
    <t>Luncheon Meat</t>
  </si>
  <si>
    <t>Purefoods/can/340grams</t>
  </si>
  <si>
    <t>Luncheon Meat - Chicken</t>
  </si>
  <si>
    <t>Luncheon Meat- Chicken</t>
  </si>
  <si>
    <t>Luya</t>
  </si>
  <si>
    <t>Lychees</t>
  </si>
  <si>
    <t>Macaroni (Elbow)</t>
  </si>
  <si>
    <t>White king/pack/1000grams</t>
  </si>
  <si>
    <t>Macaroni Noodles</t>
  </si>
  <si>
    <t>Ideal/pack/1000grams</t>
  </si>
  <si>
    <t>Mackerel in Natural Oil</t>
  </si>
  <si>
    <t>Unipack/can/425grams</t>
  </si>
  <si>
    <t>Magic Creams Butter</t>
  </si>
  <si>
    <t>Rebisco/box (10pcsx28grams)</t>
  </si>
  <si>
    <t>Magic Creams Peanut Butter</t>
  </si>
  <si>
    <t>Magic Flakes Plain Crackers</t>
  </si>
  <si>
    <t>Jack n jill/pack (10pcsx28grams)</t>
  </si>
  <si>
    <t>Magic Sarap</t>
  </si>
  <si>
    <t>Maggi/sachet/8grams</t>
  </si>
  <si>
    <t>Malagkit na Bigas</t>
  </si>
  <si>
    <t>Amparos/pack/1kilos</t>
  </si>
  <si>
    <t>Mang Juan Chix &amp; Skin</t>
  </si>
  <si>
    <t>Mang Juan Sukang Paombong</t>
  </si>
  <si>
    <t>Jack n Jill/bundle (18x90grams)</t>
  </si>
  <si>
    <t>Mango Juice</t>
  </si>
  <si>
    <t>Margarine</t>
  </si>
  <si>
    <t>Freeto/pail/11000grams</t>
  </si>
  <si>
    <t>Marsmallow</t>
  </si>
  <si>
    <t>Mello/680</t>
  </si>
  <si>
    <t>Mayo Sandwich Spread</t>
  </si>
  <si>
    <t>Mc Cormick - Chili Powder</t>
  </si>
  <si>
    <t>Mc Cormik/bottle/35grams</t>
  </si>
  <si>
    <t>Mc Cormick - Cream of tartar</t>
  </si>
  <si>
    <t>Mc Cormick/bottle/45grams</t>
  </si>
  <si>
    <t>Mc Cormick - Cumin Ground</t>
  </si>
  <si>
    <t>Mc Cormick/bottle/30grams</t>
  </si>
  <si>
    <t>Mc Cormick - Dry Mustard</t>
  </si>
  <si>
    <t>Mc Cormick - Marjoram</t>
  </si>
  <si>
    <t>Mc Cormick - Oregano Ground</t>
  </si>
  <si>
    <t>Mc Cormick/bottle/23grams</t>
  </si>
  <si>
    <t>Mc Cormick - Rosemary Leaves</t>
  </si>
  <si>
    <t>Mc Cormick/bottle/11grams</t>
  </si>
  <si>
    <t>Mc Cormick - Taco Seasoning</t>
  </si>
  <si>
    <t>Mc Cormick - Thyme Leaves Whole</t>
  </si>
  <si>
    <t>Mc Cormick/bottle/14grams</t>
  </si>
  <si>
    <t>Mc Cormick - White Pepper</t>
  </si>
  <si>
    <t>Mc Cormick/bottle/31grams</t>
  </si>
  <si>
    <t>Meat loaf</t>
  </si>
  <si>
    <t>Microwavable - Rectangular 500ml</t>
  </si>
  <si>
    <t>Bestbuy/pack by 10s'</t>
  </si>
  <si>
    <t>Microwavable - Rectangular 750ml</t>
  </si>
  <si>
    <t>Gold Label/pack by 10s'</t>
  </si>
  <si>
    <t>Milk Shake</t>
  </si>
  <si>
    <t>Milk Shake/Injoy/1000</t>
  </si>
  <si>
    <t>Milky Knots Choco (100x25g)</t>
  </si>
  <si>
    <t>Milo</t>
  </si>
  <si>
    <t>Nestle/pack (12x24grams)</t>
  </si>
  <si>
    <t>Mineral Water</t>
  </si>
  <si>
    <t>Below Zero/box (24pcsx500ml)</t>
  </si>
  <si>
    <t>Minute Maid Fresh</t>
  </si>
  <si>
    <t>Coca-Cola (pcsx250ml)</t>
  </si>
  <si>
    <t>Mirin</t>
  </si>
  <si>
    <t>Miso</t>
  </si>
  <si>
    <t>Miso Paste</t>
  </si>
  <si>
    <t>marukume</t>
  </si>
  <si>
    <t>Misua</t>
  </si>
  <si>
    <t>Excellent/pack/10x100grams</t>
  </si>
  <si>
    <t>Miswa</t>
  </si>
  <si>
    <t>Unicorn/pack/1000grams</t>
  </si>
  <si>
    <t>Moby</t>
  </si>
  <si>
    <t>Oishi/pack/pc/60grams</t>
  </si>
  <si>
    <t>Moby-Caramel puff</t>
  </si>
  <si>
    <t>Monggo</t>
  </si>
  <si>
    <t>Mop Head</t>
  </si>
  <si>
    <t>Universal/large/piece</t>
  </si>
  <si>
    <t>Mountain Dew</t>
  </si>
  <si>
    <t>Pepsi (12x290ml)</t>
  </si>
  <si>
    <t>Mountaindew</t>
  </si>
  <si>
    <t>pepsi/290ml</t>
  </si>
  <si>
    <t>Mr Chips Sweet Corn</t>
  </si>
  <si>
    <t>Mug Rootbeer - Can</t>
  </si>
  <si>
    <t>Pepsi/case (24x330ml)</t>
  </si>
  <si>
    <t>Multi-Purpse Cleaner ( MPC)</t>
  </si>
  <si>
    <t>Multipurpose Cleaner</t>
  </si>
  <si>
    <t>Quinriv/gallon</t>
  </si>
  <si>
    <t>Mushroom Pieces &amp; Stem</t>
  </si>
  <si>
    <t>Mushroom Whole</t>
  </si>
  <si>
    <t>Jolly/can/284grams/156 drained weight</t>
  </si>
  <si>
    <t>Nachos</t>
  </si>
  <si>
    <t>Nescafe Coffee Original</t>
  </si>
  <si>
    <t>Nescafe/pack (30pcsx26grams)</t>
  </si>
  <si>
    <t>Nescafe Creamy Latte</t>
  </si>
  <si>
    <t>Nescafe Creamy White</t>
  </si>
  <si>
    <t>Nestle /(pcsx25.5grams)</t>
  </si>
  <si>
    <t>Nescafe Creamy White Coffee</t>
  </si>
  <si>
    <t>Nescafe/ (pcsx/25.5grams)</t>
  </si>
  <si>
    <t>Nido Oriental Style</t>
  </si>
  <si>
    <t>Knorr/sachet/53grams</t>
  </si>
  <si>
    <t>Nova Cheddar</t>
  </si>
  <si>
    <t>Jack &amp; Jill/box/ (80pcsx 38grams)</t>
  </si>
  <si>
    <t>O-Pusit</t>
  </si>
  <si>
    <t>Oishi/80grams</t>
  </si>
  <si>
    <t>Olive Oil - Pure</t>
  </si>
  <si>
    <t>Dona Elena/bottle/250ml</t>
  </si>
  <si>
    <t>Onion White</t>
  </si>
  <si>
    <t>Orange Juice Powder</t>
  </si>
  <si>
    <t>Tang/pack/19grams</t>
  </si>
  <si>
    <t>Oreo - Vanilla</t>
  </si>
  <si>
    <t>Mondelez/pack (9pcsx27.6grams)</t>
  </si>
  <si>
    <t>Original Chiz Whiz</t>
  </si>
  <si>
    <t>Oyster Sauce</t>
  </si>
  <si>
    <t>Mama Sitas/bottle/405grams</t>
  </si>
  <si>
    <t>Palabok</t>
  </si>
  <si>
    <t>Pandesal Mate Chocolate Drink</t>
  </si>
  <si>
    <t>Panty Liner</t>
  </si>
  <si>
    <t>charme</t>
  </si>
  <si>
    <t>Sister/pack/8s'</t>
  </si>
  <si>
    <t>Peanut Butter</t>
  </si>
  <si>
    <t>Peanut Butter Big</t>
  </si>
  <si>
    <t>Baby/canister/1800grams</t>
  </si>
  <si>
    <t>Piattos - Cheese</t>
  </si>
  <si>
    <t>Jack n Jill/box (50pcsx85grams)</t>
  </si>
  <si>
    <t>Piattos Cheese</t>
  </si>
  <si>
    <t>Pimiento Chiz Whiz</t>
  </si>
  <si>
    <t>Pinatsu Seaweed</t>
  </si>
  <si>
    <t>Oishi/pack(30x 100grams)</t>
  </si>
  <si>
    <t>Pineapple Chunks</t>
  </si>
  <si>
    <t>Del Monte/can227grams/137drained weight</t>
  </si>
  <si>
    <t>Del Monte/can (200grams)</t>
  </si>
  <si>
    <t>Pineapple Juice</t>
  </si>
  <si>
    <t>ZEST-O Big 250/box(10x250ml)</t>
  </si>
  <si>
    <t>Pineapple Juice Powder</t>
  </si>
  <si>
    <t>Tang/sachet/19grams</t>
  </si>
  <si>
    <t>Pineapple Juice with ACE</t>
  </si>
  <si>
    <t>Del Monte/case (24x220ml)</t>
  </si>
  <si>
    <t>Del Monte/case (24pcsx220ml)</t>
  </si>
  <si>
    <t>Pineapple sliced</t>
  </si>
  <si>
    <t>Del Monte/can/137227grams</t>
  </si>
  <si>
    <t>Pineapple Tidbits</t>
  </si>
  <si>
    <t>Pink Salmon</t>
  </si>
  <si>
    <t>Pink Salmon Head</t>
  </si>
  <si>
    <t>Pocky</t>
  </si>
  <si>
    <t>Pods Pea Snacks</t>
  </si>
  <si>
    <t>Oishi/ box (50pcsx60grams)</t>
  </si>
  <si>
    <t>Popcorn Caramel</t>
  </si>
  <si>
    <t>oishi/box/50/60g</t>
  </si>
  <si>
    <t>Pork &amp; Beans</t>
  </si>
  <si>
    <t>Hunts/can/425grams</t>
  </si>
  <si>
    <t>Pork Ears</t>
  </si>
  <si>
    <t>Pork Jowls</t>
  </si>
  <si>
    <t>Pork Kasim</t>
  </si>
  <si>
    <t>Pork Liempo</t>
  </si>
  <si>
    <t>Frozen/box(20kilo)</t>
  </si>
  <si>
    <t>Pork Liver</t>
  </si>
  <si>
    <t>Pork Liver/mascara</t>
  </si>
  <si>
    <t>Pork Longganisa</t>
  </si>
  <si>
    <t>CDO/pack/200grams</t>
  </si>
  <si>
    <t>Porkchop</t>
  </si>
  <si>
    <t>Frozen</t>
  </si>
  <si>
    <t>Pot Holder</t>
  </si>
  <si>
    <t>Potato</t>
  </si>
  <si>
    <t>Potato Fries - Cheese</t>
  </si>
  <si>
    <t>Potato Fries Plain</t>
  </si>
  <si>
    <t>Powdered-juices</t>
  </si>
  <si>
    <t>Presto Creams - Peanut Butter</t>
  </si>
  <si>
    <t>Jack n Jill/ pack (10pcsx30grams)</t>
  </si>
  <si>
    <t>Presto Creams Choco Peanut Butter</t>
  </si>
  <si>
    <t>Presto Creams Choco Vanilla</t>
  </si>
  <si>
    <t>Pusit Kalawang</t>
  </si>
  <si>
    <t>Quake Black Forest</t>
  </si>
  <si>
    <t>Quake Overload</t>
  </si>
  <si>
    <t>Jack &amp; Jill/pack(10pcsx38grams))</t>
  </si>
  <si>
    <t>Jack &amp; Jill/pack(10pcsx33grams))</t>
  </si>
  <si>
    <t>Quake Strawberry</t>
  </si>
  <si>
    <t>Quaker Oats Instant Oatmeal</t>
  </si>
  <si>
    <t>Raisins</t>
  </si>
  <si>
    <t>Hermano/pack/1000grams</t>
  </si>
  <si>
    <t>Ram/pack/1000grams</t>
  </si>
  <si>
    <t>Raw Sago</t>
  </si>
  <si>
    <t>No Brand/1000grams</t>
  </si>
  <si>
    <t>RC Cola</t>
  </si>
  <si>
    <t>Rc Cola (12 x 237 )</t>
  </si>
  <si>
    <t>Rebisco Cracker - Plain</t>
  </si>
  <si>
    <t>Rebisco (10pcsx33grams)</t>
  </si>
  <si>
    <t>Rebisco Crackers - Chocolate</t>
  </si>
  <si>
    <t>Red Cane Vinegar</t>
  </si>
  <si>
    <t>bottle/490ml</t>
  </si>
  <si>
    <t>Red Pimiento</t>
  </si>
  <si>
    <t>Regent</t>
  </si>
  <si>
    <t>Rice</t>
  </si>
  <si>
    <t>Super Alsa/sack/25kilos</t>
  </si>
  <si>
    <t>Sinandomeng/sack25kilos</t>
  </si>
  <si>
    <t>Rinbee Cheese Sticks</t>
  </si>
  <si>
    <t>Rite &amp; Lite Rootbeer</t>
  </si>
  <si>
    <t>case (24pcsx250ml)</t>
  </si>
  <si>
    <t>Royal - Can</t>
  </si>
  <si>
    <t>Royal mismo</t>
  </si>
  <si>
    <t>Coca-Cola/case (24x250ml)</t>
  </si>
  <si>
    <t>Sake</t>
  </si>
  <si>
    <t>Salabat</t>
  </si>
  <si>
    <t>Ludys/box (pcsx8 grams)</t>
  </si>
  <si>
    <t>Salt</t>
  </si>
  <si>
    <t>Crystal/pack/1000grams</t>
  </si>
  <si>
    <t>Salt - Rock</t>
  </si>
  <si>
    <t>/pack/1000grams</t>
  </si>
  <si>
    <t>Salted Black Beans</t>
  </si>
  <si>
    <t>Ram/pack/100grams</t>
  </si>
  <si>
    <t>San Mig Coffee - Original</t>
  </si>
  <si>
    <t>San Mig/pack/7grams</t>
  </si>
  <si>
    <t>San Mig Coffee - Sugar Free</t>
  </si>
  <si>
    <t>San Mig/pack (10pcsx20grams)</t>
  </si>
  <si>
    <t>Sanitary Napkin - Day</t>
  </si>
  <si>
    <t>Sanitary Napkin - Night Max</t>
  </si>
  <si>
    <t>Sanitary Napkin non Wings</t>
  </si>
  <si>
    <t>Silkday/packx20's</t>
  </si>
  <si>
    <t>Sardines in Tomato Sauce</t>
  </si>
  <si>
    <t>Mega/can/425grams</t>
  </si>
  <si>
    <t>555/can/425grams</t>
  </si>
  <si>
    <t>Sayote</t>
  </si>
  <si>
    <t>Scotchbrite</t>
  </si>
  <si>
    <t>Scrubbing Pad 3 in 1</t>
  </si>
  <si>
    <t>Scrubbing pad 3m</t>
  </si>
  <si>
    <t>Scrubbing pad black</t>
  </si>
  <si>
    <t>Sesame Dressing</t>
  </si>
  <si>
    <t>Sesame Oil</t>
  </si>
  <si>
    <t>Lee Kum Kee/bottle/410grams</t>
  </si>
  <si>
    <t>liters</t>
  </si>
  <si>
    <t>Sinigang Mix Original</t>
  </si>
  <si>
    <t>Knorr/sachet/44grams</t>
  </si>
  <si>
    <t>Sinigang Mix sa Bayabas</t>
  </si>
  <si>
    <t>Sinigang Mix sa Sampalok</t>
  </si>
  <si>
    <t>Skyflakes Crackers</t>
  </si>
  <si>
    <t>M.Y San/ pack (10pcsx25grams)</t>
  </si>
  <si>
    <t>Sotanghon</t>
  </si>
  <si>
    <t>Soup Chicken &amp; Corn</t>
  </si>
  <si>
    <t>Soup Crab and Corn Soup</t>
  </si>
  <si>
    <t>Soup Cream of Mushroom</t>
  </si>
  <si>
    <t>Soup Nido Oriental</t>
  </si>
  <si>
    <t>sourcream powder</t>
  </si>
  <si>
    <t>pck</t>
  </si>
  <si>
    <t>Soy Sauce</t>
  </si>
  <si>
    <t>Kikkoman/bottle/1000ml</t>
  </si>
  <si>
    <t>Spaghetti</t>
  </si>
  <si>
    <t>Sunshine/pack/900grams</t>
  </si>
  <si>
    <t>Spam Lite</t>
  </si>
  <si>
    <t>Sponge</t>
  </si>
  <si>
    <t>Sponge with Scrub</t>
  </si>
  <si>
    <t>Spread</t>
  </si>
  <si>
    <t>Star Anise</t>
  </si>
  <si>
    <t>Lipa Spices/pack/1000grams</t>
  </si>
  <si>
    <t>Star Margarine</t>
  </si>
  <si>
    <t>Sting</t>
  </si>
  <si>
    <t>Pepsi/case (24pcsx320ml)</t>
  </si>
  <si>
    <t>Suga r- Refined</t>
  </si>
  <si>
    <t>Sugar</t>
  </si>
  <si>
    <t>Cilgar/pack (pcsx1gram)</t>
  </si>
  <si>
    <t>Sugar - Brown</t>
  </si>
  <si>
    <t>Sugar - Brown Sachet</t>
  </si>
  <si>
    <t>My Everyday/sachet/5grams</t>
  </si>
  <si>
    <t>Sugar - Intense</t>
  </si>
  <si>
    <t>Injoy/pack/200grams</t>
  </si>
  <si>
    <t>Sugar - Washed</t>
  </si>
  <si>
    <t>Sugar - White</t>
  </si>
  <si>
    <t>Sugar - White Premuim</t>
  </si>
  <si>
    <t>Table Napkin</t>
  </si>
  <si>
    <t>Everyday/pack by 1000s'</t>
  </si>
  <si>
    <t>Table Napkin - Pre Cut</t>
  </si>
  <si>
    <t>Tanigue</t>
  </si>
  <si>
    <t>Tater Thins Crackers</t>
  </si>
  <si>
    <t>Oishi/packs/75grams</t>
  </si>
  <si>
    <t>Tater Thins Cucumber Snacks</t>
  </si>
  <si>
    <t>Tempura</t>
  </si>
  <si>
    <t>Tenga Daga</t>
  </si>
  <si>
    <t>Tilapia</t>
  </si>
  <si>
    <t>Tinapa</t>
  </si>
  <si>
    <t>Tinapa Powder</t>
  </si>
  <si>
    <t>Tissue</t>
  </si>
  <si>
    <t>Femme</t>
  </si>
  <si>
    <t>Tissue - Pre-cut</t>
  </si>
  <si>
    <t>Jade /pack/1000s'</t>
  </si>
  <si>
    <t>Tissue Pre-cut</t>
  </si>
  <si>
    <t>Togarashi</t>
  </si>
  <si>
    <t>S/B</t>
  </si>
  <si>
    <t>Tomato Paste</t>
  </si>
  <si>
    <t>Del Monte/sachet/150grams</t>
  </si>
  <si>
    <t>Tomato Sauce</t>
  </si>
  <si>
    <t>Tonkatsu Sauce</t>
  </si>
  <si>
    <t>Bulldog/bottle</t>
  </si>
  <si>
    <t>Toothbrush</t>
  </si>
  <si>
    <t>Colgate/66g</t>
  </si>
  <si>
    <t>Colgate/classic/adult</t>
  </si>
  <si>
    <t>Toothpaste</t>
  </si>
  <si>
    <t>Unique/tube/50ml</t>
  </si>
  <si>
    <t>Unique/tube/150ml</t>
  </si>
  <si>
    <t>Close-Up/twinpack/20g</t>
  </si>
  <si>
    <t>Toothpick</t>
  </si>
  <si>
    <t>pack by 100's</t>
  </si>
  <si>
    <t>Tops</t>
  </si>
  <si>
    <t>Suncrest Food/pack (10pcsx34grams)</t>
  </si>
  <si>
    <t>Tortillos - BBQ</t>
  </si>
  <si>
    <t>Granny Goose/box(50pcsx100grams)</t>
  </si>
  <si>
    <t>Tortillos Cheese</t>
  </si>
  <si>
    <t>Granny Goose/box(50pcsx72grams)</t>
  </si>
  <si>
    <t>Trash Bag Black</t>
  </si>
  <si>
    <t>Superb/rollx10pcs/XXL</t>
  </si>
  <si>
    <t>roll</t>
  </si>
  <si>
    <t>Trash Bag xl-White</t>
  </si>
  <si>
    <t>Trash Bag xxl-Black</t>
  </si>
  <si>
    <t>Trash Bag xxl-White</t>
  </si>
  <si>
    <t>Tuna Afritada</t>
  </si>
  <si>
    <t>Tuna Flakes in Oil</t>
  </si>
  <si>
    <t>Century/can420grams</t>
  </si>
  <si>
    <t>Tuna Loin</t>
  </si>
  <si>
    <t>Upo</t>
  </si>
  <si>
    <t>Vanilla Flavor</t>
  </si>
  <si>
    <t>Orion/bottle/375ml</t>
  </si>
  <si>
    <t>Vienna Sausage</t>
  </si>
  <si>
    <t>Argentina/can/260grams/155drained weight</t>
  </si>
  <si>
    <t>Vinegar</t>
  </si>
  <si>
    <t>Wafertime</t>
  </si>
  <si>
    <t>Rebisco (10pcsxgrams)</t>
  </si>
  <si>
    <t>Wakame</t>
  </si>
  <si>
    <t>White Beans</t>
  </si>
  <si>
    <t>Amparos/pack/500grams</t>
  </si>
  <si>
    <t>Whole Corn Kernel</t>
  </si>
  <si>
    <t>Whoopie Marshmallow Cake - Strawberry</t>
  </si>
  <si>
    <t>Suncrest Food/pack(10pcsx32grams)</t>
  </si>
  <si>
    <t>Wooden Fork</t>
  </si>
  <si>
    <t>Versa/pack by 25s'</t>
  </si>
  <si>
    <t>Wooden Spoon</t>
  </si>
  <si>
    <t>Worcestireshire Sauce</t>
  </si>
  <si>
    <t>Lea &amp; Perrins/bottle/270</t>
  </si>
  <si>
    <t>Yellow Label Tea</t>
  </si>
  <si>
    <t>Young Corn Cuts</t>
  </si>
  <si>
    <t>Zesto Big Apple</t>
  </si>
  <si>
    <t>Zesto Big Orange</t>
  </si>
  <si>
    <t>Zesto Big PineApple</t>
  </si>
  <si>
    <t>unique_id</t>
  </si>
  <si>
    <t>q_total</t>
  </si>
  <si>
    <t>p_total</t>
  </si>
  <si>
    <t>unit_price</t>
  </si>
  <si>
    <t>gemson</t>
  </si>
  <si>
    <t>3in1 Coffee</t>
  </si>
  <si>
    <t>Kopiko - Blanca</t>
  </si>
  <si>
    <t>jenelyn</t>
  </si>
  <si>
    <t>Kopiko - Brown</t>
  </si>
  <si>
    <t>Kopiko - L.A. Coffee</t>
  </si>
  <si>
    <t>Nestle - Nescafe Original</t>
  </si>
  <si>
    <t>Nestle - Nescafe Creamy White</t>
  </si>
  <si>
    <t>Nestle - Nescafe Creamylatte</t>
  </si>
  <si>
    <t>Nestle - Nescafe Creamylatte twin</t>
  </si>
  <si>
    <t>Nestle</t>
  </si>
  <si>
    <t>Wellington</t>
  </si>
  <si>
    <t>Magnolia</t>
  </si>
  <si>
    <t>Amparo's</t>
  </si>
  <si>
    <t>All Purpose Flour - 1st Class</t>
  </si>
  <si>
    <t>All Spice Ground</t>
  </si>
  <si>
    <t>McCormick</t>
  </si>
  <si>
    <t>Alugbati</t>
  </si>
  <si>
    <t>Alumahan</t>
  </si>
  <si>
    <t>Aluminum Foil</t>
  </si>
  <si>
    <t>Suy Sing - My Everyday</t>
  </si>
  <si>
    <t>Gold Wrap</t>
  </si>
  <si>
    <t>Ampalaya</t>
  </si>
  <si>
    <t>Apple</t>
  </si>
  <si>
    <t>Apple Cider Vinegar</t>
  </si>
  <si>
    <t>Essential Everyday</t>
  </si>
  <si>
    <t>Asparagus Cut</t>
  </si>
  <si>
    <t>Jolly</t>
  </si>
  <si>
    <t>Atsuete</t>
  </si>
  <si>
    <t>Edward Edit</t>
  </si>
  <si>
    <t>Bacon</t>
  </si>
  <si>
    <t>Vida</t>
  </si>
  <si>
    <t>Purefoods</t>
  </si>
  <si>
    <t>Bossing</t>
  </si>
  <si>
    <t>Bagoong - Boneless</t>
  </si>
  <si>
    <t>JP</t>
  </si>
  <si>
    <t>Bagoong Alamang</t>
  </si>
  <si>
    <t>Barrio Fiesta</t>
  </si>
  <si>
    <t>Bagoong Alamang - Sweet</t>
  </si>
  <si>
    <t>La Marina</t>
  </si>
  <si>
    <t>Baguio Beans</t>
  </si>
  <si>
    <t>Arm &amp; Hammer</t>
  </si>
  <si>
    <t>Filippo Berio</t>
  </si>
  <si>
    <t>Capri</t>
  </si>
  <si>
    <t>Bamboo Toothpick</t>
  </si>
  <si>
    <t>Pad Bear</t>
  </si>
  <si>
    <t>Banana Blossom</t>
  </si>
  <si>
    <t>Banana Blossom - Gayat</t>
  </si>
  <si>
    <t>Banana Blossoms</t>
  </si>
  <si>
    <t>Rehnalyn Corpuz</t>
  </si>
  <si>
    <t>Banana Essence</t>
  </si>
  <si>
    <t>Twin Brand</t>
  </si>
  <si>
    <t>White Rose</t>
  </si>
  <si>
    <t>Bangus - Boneless</t>
  </si>
  <si>
    <t>Sarangani Bay</t>
  </si>
  <si>
    <t>Barako Grind</t>
  </si>
  <si>
    <t>Gourmet</t>
  </si>
  <si>
    <t>Barbecue Stick</t>
  </si>
  <si>
    <t>Stack and Stock</t>
  </si>
  <si>
    <t>Mama Sita's</t>
  </si>
  <si>
    <t>Barbeque Marinade</t>
  </si>
  <si>
    <t>Barbeque Stick</t>
  </si>
  <si>
    <t>Uncle John's</t>
  </si>
  <si>
    <t>Super 8</t>
  </si>
  <si>
    <t>Basil Leaves Whole</t>
  </si>
  <si>
    <t>Basmati Rice</t>
  </si>
  <si>
    <t>Jordan Farm</t>
  </si>
  <si>
    <t>Bawang</t>
  </si>
  <si>
    <t>Beef Giniling</t>
  </si>
  <si>
    <t>Francis Trebajo</t>
  </si>
  <si>
    <t>Beef Laman</t>
  </si>
  <si>
    <t>K&amp;K Frozen Food Trading</t>
  </si>
  <si>
    <t>Century - Argentina</t>
  </si>
  <si>
    <t>Bell Pepper</t>
  </si>
  <si>
    <t>Hernan Logmao</t>
  </si>
  <si>
    <t>Bento 5 diviison box</t>
  </si>
  <si>
    <t>Bento Box - black</t>
  </si>
  <si>
    <t>3 division</t>
  </si>
  <si>
    <t>Bibingka Flour</t>
  </si>
  <si>
    <t>White King</t>
  </si>
  <si>
    <t>Sarap Pinoy</t>
  </si>
  <si>
    <t>Super Q</t>
  </si>
  <si>
    <t>Hobe</t>
  </si>
  <si>
    <t>Biscuit Sticks - Choco</t>
  </si>
  <si>
    <t>Jack n Jill - Pretzels</t>
  </si>
  <si>
    <t>Biscuit Sticks - Strawberry</t>
  </si>
  <si>
    <t>Biscuits</t>
  </si>
  <si>
    <t>Monde - Bingo Choco Orange</t>
  </si>
  <si>
    <t>Monde - Bingo Vanilla</t>
  </si>
  <si>
    <t>Monde - Bingo</t>
  </si>
  <si>
    <t>Monde - Bingo Double Choco</t>
  </si>
  <si>
    <t>Fibisco - Choco Crunchies</t>
  </si>
  <si>
    <t>Fibisco - Choco Mallows</t>
  </si>
  <si>
    <t>Jack n Jill - Cream-O Choco</t>
  </si>
  <si>
    <t>M.Y. San - Fita Spreadz</t>
  </si>
  <si>
    <t>M.Y. San - Fita</t>
  </si>
  <si>
    <t>Fibisco - Hi-ro Chocolate Cookie Sandwich</t>
  </si>
  <si>
    <t>Jack n Jill - Presto Creams - Choco Vanilla</t>
  </si>
  <si>
    <t>Jack n Jill - Presto Creams - Chocolate</t>
  </si>
  <si>
    <t>Jack n Jill - Presto Creams - Chocolate - Slug</t>
  </si>
  <si>
    <t>Rebisco - Bravo</t>
  </si>
  <si>
    <t>Nissin - Butter Coconut</t>
  </si>
  <si>
    <t>Jack n Jill - Dewberry Strawberry</t>
  </si>
  <si>
    <t>Jack n Jill - Choco Knots</t>
  </si>
  <si>
    <t>Multirich - Choco Mucho Sandwich Chocolate</t>
  </si>
  <si>
    <t>Multirich - Choco Mucho Sandwich White</t>
  </si>
  <si>
    <t>Jack n Jill - Cream-O</t>
  </si>
  <si>
    <t>Jack n Jill - Cream-O Crinkles</t>
  </si>
  <si>
    <t>Jack n Jill - Cream-O Premium</t>
  </si>
  <si>
    <t>Jack n Jill - Cream-O Vanilla</t>
  </si>
  <si>
    <t>Jack n Jill - Dewberry Yogurt - Blueberry Cake</t>
  </si>
  <si>
    <t>Jack n Jill - Dewberry Yogurt - Mango Cake</t>
  </si>
  <si>
    <t>Rebisco - Hansel Biscuits - Butter</t>
  </si>
  <si>
    <t>Rebisco - Hansel Cracker - Plain</t>
  </si>
  <si>
    <t>Fibisco - Hi-ro</t>
  </si>
  <si>
    <t>Valmer Choco Sandwich Biscuit</t>
  </si>
  <si>
    <t>Jack n Jill - Presto</t>
  </si>
  <si>
    <t>Jack n Jill - Presto Creams - Choco Peanut Butter</t>
  </si>
  <si>
    <t>Jack n Jill - Presto Creams - Peanut Butter</t>
  </si>
  <si>
    <t>Orchid</t>
  </si>
  <si>
    <t>Temple</t>
  </si>
  <si>
    <t>Ram</t>
  </si>
  <si>
    <t>Philips</t>
  </si>
  <si>
    <t>Black Fungus</t>
  </si>
  <si>
    <t>Lipa Spices</t>
  </si>
  <si>
    <t>Dona Elena</t>
  </si>
  <si>
    <t>Black Pepper - Ground</t>
  </si>
  <si>
    <t>Simply Chef</t>
  </si>
  <si>
    <t>Black Pepper - Whole</t>
  </si>
  <si>
    <t>I-Spice</t>
  </si>
  <si>
    <t>Black Sesame Seeds</t>
  </si>
  <si>
    <t>Manny's premium</t>
  </si>
  <si>
    <t>Bologna - Chicken</t>
  </si>
  <si>
    <t>Maco's</t>
  </si>
  <si>
    <t>Bologna - Pork</t>
  </si>
  <si>
    <t>Bottled Juice - Calamansi</t>
  </si>
  <si>
    <t>Zambo Tropical</t>
  </si>
  <si>
    <t>Box Paper</t>
  </si>
  <si>
    <t>(Single division )</t>
  </si>
  <si>
    <t>(Three division)</t>
  </si>
  <si>
    <t>(Two division)</t>
  </si>
  <si>
    <t>Krispers</t>
  </si>
  <si>
    <t>Good Life</t>
  </si>
  <si>
    <t>Yan Yan</t>
  </si>
  <si>
    <t>Happy Fiesta</t>
  </si>
  <si>
    <t>Ajinomoto - Crispy Fry Seasoned Crumbs</t>
  </si>
  <si>
    <t>Breading Mix</t>
  </si>
  <si>
    <t>Crispy Fry</t>
  </si>
  <si>
    <t>Brocolli</t>
  </si>
  <si>
    <t>Unilever - Knorr</t>
  </si>
  <si>
    <t>Brown Paper #1</t>
  </si>
  <si>
    <t>100pcs/ream</t>
  </si>
  <si>
    <t>ream</t>
  </si>
  <si>
    <t>Carandang Merchandise</t>
  </si>
  <si>
    <t>Brown Paper #10</t>
  </si>
  <si>
    <t>Brown Paper #12</t>
  </si>
  <si>
    <t>Brown Paper #2</t>
  </si>
  <si>
    <t>Brown Paper #3</t>
  </si>
  <si>
    <t>Brown Paper #4</t>
  </si>
  <si>
    <t>Brown Paper #8</t>
  </si>
  <si>
    <t>Brown Rice</t>
  </si>
  <si>
    <t>Japonica</t>
  </si>
  <si>
    <t>Dona Maria</t>
  </si>
  <si>
    <t>Buko</t>
  </si>
  <si>
    <t>Buko Kayod</t>
  </si>
  <si>
    <t>Buko Pastillas</t>
  </si>
  <si>
    <t>Ysanne Ktara Native Kakanin</t>
  </si>
  <si>
    <t>Burger Patties</t>
  </si>
  <si>
    <t>CDO - Ulam Burger</t>
  </si>
  <si>
    <t>Butter</t>
  </si>
  <si>
    <t>Magnolia - Salted</t>
  </si>
  <si>
    <t>Magnolia - Buttercup</t>
  </si>
  <si>
    <t>Button Mushroom</t>
  </si>
  <si>
    <t>Jolly - Pieces &amp; Stems</t>
  </si>
  <si>
    <t>Caesar Dressing</t>
  </si>
  <si>
    <t>Lady's Choice</t>
  </si>
  <si>
    <t>Cajun Seasoning</t>
  </si>
  <si>
    <t>Cake Bar</t>
  </si>
  <si>
    <t>Jack n Jill - Quake Choco Burst</t>
  </si>
  <si>
    <t>Jack n Jill - Quake Chocolate Bar</t>
  </si>
  <si>
    <t>Jack n Jill - Cream-O Cake Bar</t>
  </si>
  <si>
    <t>Suncrest Food - Fudgee Bar - Dark Choco</t>
  </si>
  <si>
    <t>Jack &amp; Jill - Quake Vanilla Trilla Bar</t>
  </si>
  <si>
    <t>Calamansi</t>
  </si>
  <si>
    <t>Candy</t>
  </si>
  <si>
    <t>Maxx - Cherry</t>
  </si>
  <si>
    <t>Candy - Lemon</t>
  </si>
  <si>
    <t>maxx</t>
  </si>
  <si>
    <t>Candy (Choco Mint)</t>
  </si>
  <si>
    <t>Dynamite</t>
  </si>
  <si>
    <t>Candy (Choco Peanut)</t>
  </si>
  <si>
    <t>Choco Mani</t>
  </si>
  <si>
    <t>Candy (Coffee)</t>
  </si>
  <si>
    <t>Kopiko Cappuccino Candy</t>
  </si>
  <si>
    <t>Candy (Melon Mint)</t>
  </si>
  <si>
    <t>Jack n Jill - Dynamite</t>
  </si>
  <si>
    <t>Candy (White Chocolate)</t>
  </si>
  <si>
    <t>Jack n Jill - Nips</t>
  </si>
  <si>
    <t>Canned Sardines</t>
  </si>
  <si>
    <t>Master</t>
  </si>
  <si>
    <t>Ligo Sardines</t>
  </si>
  <si>
    <t>Canned Sardines - in Tomato Sauce</t>
  </si>
  <si>
    <t>Masters</t>
  </si>
  <si>
    <t>Canned Strawberry</t>
  </si>
  <si>
    <t>Sunbest</t>
  </si>
  <si>
    <t>Canned Tuna</t>
  </si>
  <si>
    <t>Century</t>
  </si>
  <si>
    <t>Canned Tuna - Adobo</t>
  </si>
  <si>
    <t>Canned Tuna - Afritada</t>
  </si>
  <si>
    <t>Canned Tuna - Caldereta</t>
  </si>
  <si>
    <t>Canned Tuna - Chili Corned Tuna</t>
  </si>
  <si>
    <t>San Marino</t>
  </si>
  <si>
    <t>Canned Tuna - Corned Tuna</t>
  </si>
  <si>
    <t>San Marino - Red</t>
  </si>
  <si>
    <t>San Marino - Yellow</t>
  </si>
  <si>
    <t>Canned Tuna - Flakes in Oil</t>
  </si>
  <si>
    <t>Canned Tuna - Hot &amp; Spicy</t>
  </si>
  <si>
    <t>Canned Tuna - Mechado</t>
  </si>
  <si>
    <t>Excellent</t>
  </si>
  <si>
    <t>KENDYS</t>
  </si>
  <si>
    <t>Epti - Kitchen Blends</t>
  </si>
  <si>
    <t>Super Dragon</t>
  </si>
  <si>
    <t>Louise Food and Beverage Trading</t>
  </si>
  <si>
    <t>Cashew</t>
  </si>
  <si>
    <t>Mialendra Online Shop</t>
  </si>
  <si>
    <t>pouch</t>
  </si>
  <si>
    <t>jar</t>
  </si>
  <si>
    <t>Cashew Nuts</t>
  </si>
  <si>
    <t>Growers</t>
  </si>
  <si>
    <t>Cassava Flour</t>
  </si>
  <si>
    <t>JRS Vegetables and Seafoods</t>
  </si>
  <si>
    <t>Ticman</t>
  </si>
  <si>
    <t>NutriAsia - UFC</t>
  </si>
  <si>
    <t>Jugirox</t>
  </si>
  <si>
    <t>Cauliflower</t>
  </si>
  <si>
    <t>Cayenne Pepper Powder</t>
  </si>
  <si>
    <t>J&amp;Y</t>
  </si>
  <si>
    <t>Cereal Drink - Choco</t>
  </si>
  <si>
    <t>Energen</t>
  </si>
  <si>
    <t>Cereal Drink - Chocolate</t>
  </si>
  <si>
    <t>Energen - Chocolate</t>
  </si>
  <si>
    <t>Cereal Drink - Vanilla</t>
  </si>
  <si>
    <t>Energen - Vanilla</t>
  </si>
  <si>
    <t>Chafing Fuel</t>
  </si>
  <si>
    <t>Ko-nice Alcogel</t>
  </si>
  <si>
    <t>Magnolia - Daily Quezo</t>
  </si>
  <si>
    <t>Mondelez - Eden</t>
  </si>
  <si>
    <t>CDO - Big Time</t>
  </si>
  <si>
    <t>Cheese - Sliced</t>
  </si>
  <si>
    <t>Danes</t>
  </si>
  <si>
    <t>A-mark</t>
  </si>
  <si>
    <t>Cheesemiss</t>
  </si>
  <si>
    <t>Chicharon</t>
  </si>
  <si>
    <t>Chicharon Durog</t>
  </si>
  <si>
    <t>Chicharon Powder</t>
  </si>
  <si>
    <t>Chicken - Breast</t>
  </si>
  <si>
    <t>Chicken - Whole</t>
  </si>
  <si>
    <t>Chicken - Fillet</t>
  </si>
  <si>
    <t>Chicken - Frozen Leg Quarter</t>
  </si>
  <si>
    <t>Chicken - Leg Quarter</t>
  </si>
  <si>
    <t>Daisuke</t>
  </si>
  <si>
    <t>Chicken - Neck</t>
  </si>
  <si>
    <t>Chicken Nuggets</t>
  </si>
  <si>
    <t>Gerabelle</t>
  </si>
  <si>
    <t>Lee Kum Kee</t>
  </si>
  <si>
    <t>Chili Powder</t>
  </si>
  <si>
    <t>Chili Seasoning</t>
  </si>
  <si>
    <t>Chocolate Chips - White</t>
  </si>
  <si>
    <t>Dutche</t>
  </si>
  <si>
    <t>Chocolate Drink</t>
  </si>
  <si>
    <t>Nestle - Milo</t>
  </si>
  <si>
    <t>Hersheys</t>
  </si>
  <si>
    <t>Chorizo Bilbao</t>
  </si>
  <si>
    <t>Chorizo Macao</t>
  </si>
  <si>
    <t>Cinnamon Powder</t>
  </si>
  <si>
    <t>Cling Wrap</t>
  </si>
  <si>
    <t>Formosa</t>
  </si>
  <si>
    <t>Croco</t>
  </si>
  <si>
    <t>Cloves Powder</t>
  </si>
  <si>
    <t>Cocktail Toothpick</t>
  </si>
  <si>
    <t>pack by 200's</t>
  </si>
  <si>
    <t>Cocoa Powder</t>
  </si>
  <si>
    <t>Ricoa</t>
  </si>
  <si>
    <t>JB</t>
  </si>
  <si>
    <t>Coconut Milk</t>
  </si>
  <si>
    <t>Coco Mama</t>
  </si>
  <si>
    <t>Vista</t>
  </si>
  <si>
    <t>Coffee - Brewed</t>
  </si>
  <si>
    <t>Tropical Brew</t>
  </si>
  <si>
    <t>Coffee Creamer</t>
  </si>
  <si>
    <t>Nestle - Coffee Mate</t>
  </si>
  <si>
    <t>Great Taste</t>
  </si>
  <si>
    <t>Coffee Cups</t>
  </si>
  <si>
    <t>Carandang Merch. - 8oz Double Set</t>
  </si>
  <si>
    <t>(Riffle-brown)</t>
  </si>
  <si>
    <t>Nestle - Nescafe Classic Stick</t>
  </si>
  <si>
    <t>Nestle - Nescafe Classic Stick (Pack)</t>
  </si>
  <si>
    <t>Nescafe/pack (48pcsx1.9grams)</t>
  </si>
  <si>
    <t>Alaska 370</t>
  </si>
  <si>
    <t>Cowbell</t>
  </si>
  <si>
    <t>Vina</t>
  </si>
  <si>
    <t>Jersey - Pandan</t>
  </si>
  <si>
    <t>Jersey - Ube</t>
  </si>
  <si>
    <t>Conditioner - Creamsilk</t>
  </si>
  <si>
    <t>Creamsilk</t>
  </si>
  <si>
    <t>Confectioner's Sugar</t>
  </si>
  <si>
    <t>Peotraco</t>
  </si>
  <si>
    <t>Winner</t>
  </si>
  <si>
    <t>Cookies</t>
  </si>
  <si>
    <t>Jack n Jill - Chips Ahoy</t>
  </si>
  <si>
    <t>Chips Delight</t>
  </si>
  <si>
    <t>Nissin - Eggnog Cookies</t>
  </si>
  <si>
    <t>Freeto</t>
  </si>
  <si>
    <t>Marca Leon</t>
  </si>
  <si>
    <t>Cooking Wine</t>
  </si>
  <si>
    <t>Marca Pina</t>
  </si>
  <si>
    <t>Coriander Powder</t>
  </si>
  <si>
    <t>Corn Syrup</t>
  </si>
  <si>
    <t>Peotraco/500ml</t>
  </si>
  <si>
    <t>Star</t>
  </si>
  <si>
    <t>Couscous</t>
  </si>
  <si>
    <t>Crab Sticks</t>
  </si>
  <si>
    <t>Robo</t>
  </si>
  <si>
    <t>Crackers</t>
  </si>
  <si>
    <t>Rebisco - Combi Triple Choco</t>
  </si>
  <si>
    <t>Jack n Jill - Magic Creams Cracker Sandwich - Choco</t>
  </si>
  <si>
    <t>M.Y. San - Sky Flakes</t>
  </si>
  <si>
    <t>tub</t>
  </si>
  <si>
    <t>M.Y. San - Sky Flakes Sweet Butter</t>
  </si>
  <si>
    <t>M.Y. San - Sky Flakes - Condensada</t>
  </si>
  <si>
    <t>Rebisco Crackers</t>
  </si>
  <si>
    <t>Rebisco - Pastillas</t>
  </si>
  <si>
    <t>Jack n Jill - Magic Creams Cracker Sandwich - Butter/box (10pcsx28grams)</t>
  </si>
  <si>
    <t>Jack n Jill - Magic Creams Cracker Sandwich - Condensada/box (10pcsx28grams)</t>
  </si>
  <si>
    <t>Jack n jill - Magic Creams Cracker Sandwich - Peanut Butter/box (10pcsx28grams)</t>
  </si>
  <si>
    <t>Jack n Jill - Magic Flakes Cheese/pack (10pcsx28grams)</t>
  </si>
  <si>
    <t>Jack n Jill - Magic Flakes Cheese 28g</t>
  </si>
  <si>
    <t>Rebisco - Choco</t>
  </si>
  <si>
    <t>Cream of Corn</t>
  </si>
  <si>
    <t>Golden Sweet</t>
  </si>
  <si>
    <t>Cream of Pumpkin</t>
  </si>
  <si>
    <t>Cream of Tartar</t>
  </si>
  <si>
    <t>Crushed Grahams</t>
  </si>
  <si>
    <t>M.Y. San</t>
  </si>
  <si>
    <t>Robinsons</t>
  </si>
  <si>
    <t>Puregold - Pure Basics</t>
  </si>
  <si>
    <t>UFC</t>
  </si>
  <si>
    <t>Dahunan</t>
  </si>
  <si>
    <t>Dalagang Bukid</t>
  </si>
  <si>
    <t>Danggit</t>
  </si>
  <si>
    <t>Diced Tomato</t>
  </si>
  <si>
    <t>Dilis</t>
  </si>
  <si>
    <t>Dilis - Boneless</t>
  </si>
  <si>
    <t>JRS Vegetables and Sea Foods</t>
  </si>
  <si>
    <t>Disposable Fork</t>
  </si>
  <si>
    <t>Disposable Gloves</t>
  </si>
  <si>
    <t>Surebuy</t>
  </si>
  <si>
    <t>Safe Hand</t>
  </si>
  <si>
    <t>Pinoy Gloves</t>
  </si>
  <si>
    <t>Disposable Popcorn Cups</t>
  </si>
  <si>
    <t>Disposable Spoon</t>
  </si>
  <si>
    <t>Glow</t>
  </si>
  <si>
    <t>Division Box</t>
  </si>
  <si>
    <t>Bio Pack</t>
  </si>
  <si>
    <t>Dixie cups w/ Lid</t>
  </si>
  <si>
    <t>Belle</t>
  </si>
  <si>
    <t>Dried Oregano</t>
  </si>
  <si>
    <t>Dry Yeast</t>
  </si>
  <si>
    <t>Super 8 - Great Buy</t>
  </si>
  <si>
    <t>Eco Bag</t>
  </si>
  <si>
    <t>Eco Bag - Medium</t>
  </si>
  <si>
    <t>Everyday/bundle/25pcs</t>
  </si>
  <si>
    <t>Medium/tray</t>
  </si>
  <si>
    <t>Medium</t>
  </si>
  <si>
    <t>trays</t>
  </si>
  <si>
    <t>Medium/tray/30pieces</t>
  </si>
  <si>
    <t>Electrolyte Drink</t>
  </si>
  <si>
    <t>Pepsi - Gatorade (Assorted)</t>
  </si>
  <si>
    <t>Pepsi - Gatorade</t>
  </si>
  <si>
    <t>Otsuka - Pocari Sweat</t>
  </si>
  <si>
    <t>Fettuccine</t>
  </si>
  <si>
    <t>San Remo</t>
  </si>
  <si>
    <t>Fish Balls</t>
  </si>
  <si>
    <t>Shanghai</t>
  </si>
  <si>
    <t>Lorin's</t>
  </si>
  <si>
    <t>JP - Pangasinan Fish Sauce</t>
  </si>
  <si>
    <t>ounces</t>
  </si>
  <si>
    <t>Hyco</t>
  </si>
  <si>
    <t>Food Color - Green</t>
  </si>
  <si>
    <t>Green Leaves</t>
  </si>
  <si>
    <t>Food Color - Yellow</t>
  </si>
  <si>
    <t>Food Flavoring - Almond</t>
  </si>
  <si>
    <t>Food Flavoring - Buko Pandan</t>
  </si>
  <si>
    <t>Food Flavoring - Melon</t>
  </si>
  <si>
    <t>Food Flavoring - Strawberry</t>
  </si>
  <si>
    <t>Food Flavoring - Ube</t>
  </si>
  <si>
    <t>Flavorade</t>
  </si>
  <si>
    <t>Footlong</t>
  </si>
  <si>
    <t>Holiday</t>
  </si>
  <si>
    <t>French Fries</t>
  </si>
  <si>
    <t>Frenchies</t>
  </si>
  <si>
    <t>Frozen Peas</t>
  </si>
  <si>
    <t>Today's</t>
  </si>
  <si>
    <t>Del Monte</t>
  </si>
  <si>
    <t>Gabi</t>
  </si>
  <si>
    <t>Galunggong</t>
  </si>
  <si>
    <t>Sevilla</t>
  </si>
  <si>
    <t>Garlic - Granulated Singles</t>
  </si>
  <si>
    <t>Gelatine</t>
  </si>
  <si>
    <t>Ferna/box/50grams</t>
  </si>
  <si>
    <t>Gin</t>
  </si>
  <si>
    <t>Ginebra</t>
  </si>
  <si>
    <t>Argentina</t>
  </si>
  <si>
    <t>Arawan</t>
  </si>
  <si>
    <t>Kings</t>
  </si>
  <si>
    <t>Master Chef</t>
  </si>
  <si>
    <t>Polar Bear</t>
  </si>
  <si>
    <t>Grapes Green</t>
  </si>
  <si>
    <t>Grapes Seedless</t>
  </si>
  <si>
    <t>Greaseproof french fries paperbag</t>
  </si>
  <si>
    <t>Green Olives</t>
  </si>
  <si>
    <t>Green Peas</t>
  </si>
  <si>
    <t>Ground Cumin</t>
  </si>
  <si>
    <t>Badia</t>
  </si>
  <si>
    <t>Gulaman - Black</t>
  </si>
  <si>
    <t>Mr. Gulaman</t>
  </si>
  <si>
    <t>Master Gulaman</t>
  </si>
  <si>
    <t>Gulaman - Orange</t>
  </si>
  <si>
    <t>Master. Gulaman</t>
  </si>
  <si>
    <t>Mr Gulaman</t>
  </si>
  <si>
    <t>Gummy Worm</t>
  </si>
  <si>
    <t>Ham</t>
  </si>
  <si>
    <t>Mekeni</t>
  </si>
  <si>
    <t>Hand Goves</t>
  </si>
  <si>
    <t>Scotch Brite</t>
  </si>
  <si>
    <t>Hasa</t>
  </si>
  <si>
    <t>Hipon</t>
  </si>
  <si>
    <t>Hofan Rice Noodles</t>
  </si>
  <si>
    <t>Fat &amp; Thin</t>
  </si>
  <si>
    <t>Hoisin Sauce</t>
  </si>
  <si>
    <t>Honey</t>
  </si>
  <si>
    <t>Honeylicious</t>
  </si>
  <si>
    <t>Hopia - Monggo</t>
  </si>
  <si>
    <t>Tipas</t>
  </si>
  <si>
    <t>Hopia - Pandan</t>
  </si>
  <si>
    <t>Hot Pepper Sauce</t>
  </si>
  <si>
    <t>Tabasco</t>
  </si>
  <si>
    <t>Hot Sauce</t>
  </si>
  <si>
    <t>Mother's Best</t>
  </si>
  <si>
    <t>Hotdog</t>
  </si>
  <si>
    <t>Hotdog - Cheese</t>
  </si>
  <si>
    <t>Virginia</t>
  </si>
  <si>
    <t>New Yorkers</t>
  </si>
  <si>
    <t>Hotdog - Giant</t>
  </si>
  <si>
    <t>Hotdog - Jumbo</t>
  </si>
  <si>
    <t>Hotdog - King Size</t>
  </si>
  <si>
    <t>Hotdog - Regular</t>
  </si>
  <si>
    <t>Hungarian Sausage</t>
  </si>
  <si>
    <t>Ice Bag</t>
  </si>
  <si>
    <t>Shure - 4 x 12</t>
  </si>
  <si>
    <t>My Everyday - 4 x 12</t>
  </si>
  <si>
    <t>Ice bag</t>
  </si>
  <si>
    <t>Shure</t>
  </si>
  <si>
    <t>Iced Tea - Lemon</t>
  </si>
  <si>
    <t>Instant Noodles</t>
  </si>
  <si>
    <t>Lucky Me! - Go cup Batchoy 40g</t>
  </si>
  <si>
    <t>Lucky Me! - Go cup Beef 40g</t>
  </si>
  <si>
    <t>Lucky Me! - Go cup Bulalo 40g</t>
  </si>
  <si>
    <t>Lucky Me! - Go cup Jjampong 40g</t>
  </si>
  <si>
    <t>Lucky Me! - Go cup Seafood 40g</t>
  </si>
  <si>
    <t>Lucky Me! - Go cup Sotanghon 40g</t>
  </si>
  <si>
    <t>Lucky Me! - Go cup Spicy Batchoy 40g</t>
  </si>
  <si>
    <t>Lucky Me! - Chicken Sotanghon</t>
  </si>
  <si>
    <t>Nissin - Cup Noodles Batchoy</t>
  </si>
  <si>
    <t>Nissin - Cup Noodles Creamy Seafood</t>
  </si>
  <si>
    <t>Lucky Me! - Go Cup Seafood</t>
  </si>
  <si>
    <t>Lucky Me! - Go Cup Spicy Bulalo</t>
  </si>
  <si>
    <t>Lucky Me! - Jjamppong</t>
  </si>
  <si>
    <t>Instant Oast</t>
  </si>
  <si>
    <t>quaker/pack/500grams</t>
  </si>
  <si>
    <t>Instant Oatmeal</t>
  </si>
  <si>
    <t>Quaker</t>
  </si>
  <si>
    <t>Quaker - 6x33grams</t>
  </si>
  <si>
    <t>Instant Oatmeal - Chocolate</t>
  </si>
  <si>
    <t>Italian Seasoning</t>
  </si>
  <si>
    <t>Mc Cormick</t>
  </si>
  <si>
    <t>JAPCHAE NOODLES</t>
  </si>
  <si>
    <t>PACK/1000</t>
  </si>
  <si>
    <t>Golden Grains/pack/5kilos</t>
  </si>
  <si>
    <t>Kalabasa</t>
  </si>
  <si>
    <t>Kamatis</t>
  </si>
  <si>
    <t>Kamote</t>
  </si>
  <si>
    <t>Kangkong</t>
  </si>
  <si>
    <t>bundle</t>
  </si>
  <si>
    <t>Kaong Red</t>
  </si>
  <si>
    <t>Florence</t>
  </si>
  <si>
    <t>Kapeng Barako - Ground</t>
  </si>
  <si>
    <t>Amparos</t>
  </si>
  <si>
    <t>Jolly/can/425grams/250gramsdrained weight</t>
  </si>
  <si>
    <t>DEL MONTE</t>
  </si>
  <si>
    <t>HAPPY FIESTA</t>
  </si>
  <si>
    <t>Ketchup</t>
  </si>
  <si>
    <t>MAFRAN</t>
  </si>
  <si>
    <t>ORION</t>
  </si>
  <si>
    <t>Kutob</t>
  </si>
  <si>
    <t>Labanos</t>
  </si>
  <si>
    <t>Lakatan</t>
  </si>
  <si>
    <t>Langka</t>
  </si>
  <si>
    <t>Tita Elys/bottle/340grams</t>
  </si>
  <si>
    <t>Approved/6800grams</t>
  </si>
  <si>
    <t>Lasagna</t>
  </si>
  <si>
    <t>Ideal</t>
  </si>
  <si>
    <t>Mang Tomas/bottle/325grams</t>
  </si>
  <si>
    <t>Mang Tomas</t>
  </si>
  <si>
    <t>Lasap</t>
  </si>
  <si>
    <t>Lemon</t>
  </si>
  <si>
    <t>TOPPINGS</t>
  </si>
  <si>
    <t>Lemonade - Blue</t>
  </si>
  <si>
    <t>Lemonade - Cucumber</t>
  </si>
  <si>
    <t>Lettuce - Green Ice</t>
  </si>
  <si>
    <t>Light Soy sauce</t>
  </si>
  <si>
    <t>Kikkoman</t>
  </si>
  <si>
    <t>Light Soy Sauce</t>
  </si>
  <si>
    <t>heng Bing/bottle/1800Ml</t>
  </si>
  <si>
    <t>Sampaguita/bottle/350ml</t>
  </si>
  <si>
    <t>Lime Juice</t>
  </si>
  <si>
    <t>Lime Seasoning Mix</t>
  </si>
  <si>
    <t>Liquid Glucose</t>
  </si>
  <si>
    <t>Ferna/bottle/1000ml</t>
  </si>
  <si>
    <t>Liquid seasoning</t>
  </si>
  <si>
    <t>CDO</t>
  </si>
  <si>
    <t>Reno/can/85grams</t>
  </si>
  <si>
    <t>Argentina/can/85grams</t>
  </si>
  <si>
    <t>Lomi</t>
  </si>
  <si>
    <t>JMRL</t>
  </si>
  <si>
    <t>Lomi Noodles</t>
  </si>
  <si>
    <t>LPG</t>
  </si>
  <si>
    <t>Balcos</t>
  </si>
  <si>
    <t>cylinder</t>
  </si>
  <si>
    <t>Lubi Kayod</t>
  </si>
  <si>
    <t>Ludy's Salabat</t>
  </si>
  <si>
    <t>Ludy's - 8g</t>
  </si>
  <si>
    <t>Lumpia Wrapper</t>
  </si>
  <si>
    <t>Lumpia Wrapper Large</t>
  </si>
  <si>
    <t>pack (1x100piece)</t>
  </si>
  <si>
    <t>piece</t>
  </si>
  <si>
    <t>Lumpia Wrapper Small</t>
  </si>
  <si>
    <t>pack</t>
  </si>
  <si>
    <t>Prem</t>
  </si>
  <si>
    <t>Tulip</t>
  </si>
  <si>
    <t>Hormel - Spam - 25% Less Sodium</t>
  </si>
  <si>
    <t>Hormel - Spam Lite</t>
  </si>
  <si>
    <t>Lotte</t>
  </si>
  <si>
    <t>Chef's Choice</t>
  </si>
  <si>
    <t>Maling</t>
  </si>
  <si>
    <t>Lotte/can/340grams</t>
  </si>
  <si>
    <t>CDO/can/350grams</t>
  </si>
  <si>
    <t>Luncheon Meat - Chinese Style</t>
  </si>
  <si>
    <t>Purefoods/can/350grams</t>
  </si>
  <si>
    <t>Lychee in Light Syrup</t>
  </si>
  <si>
    <t>Jolly/can/540grams/230 draigned weight</t>
  </si>
  <si>
    <t>HOSEN</t>
  </si>
  <si>
    <t>Lye Water</t>
  </si>
  <si>
    <t>Macapuno</t>
  </si>
  <si>
    <t>Buenas</t>
  </si>
  <si>
    <t>Macaroni</t>
  </si>
  <si>
    <t>Macaroni Elbow</t>
  </si>
  <si>
    <t>SUNSHINE</t>
  </si>
  <si>
    <t>El Real</t>
  </si>
  <si>
    <t>Mackerel</t>
  </si>
  <si>
    <t>Uni pak</t>
  </si>
  <si>
    <t>MEGA</t>
  </si>
  <si>
    <t>Unipak</t>
  </si>
  <si>
    <t>Mega</t>
  </si>
  <si>
    <t>UNIPAK</t>
  </si>
  <si>
    <t>Nestle - Maggi</t>
  </si>
  <si>
    <t>Malagkit</t>
  </si>
  <si>
    <t>/pack/1kilos</t>
  </si>
  <si>
    <t>Malunggay</t>
  </si>
  <si>
    <t>Mami</t>
  </si>
  <si>
    <t>BestFoods/pack/1000grams</t>
  </si>
  <si>
    <t>Mangga</t>
  </si>
  <si>
    <t>Dari Cream</t>
  </si>
  <si>
    <t>Buttercup</t>
  </si>
  <si>
    <t>Frito</t>
  </si>
  <si>
    <t>Marjoram</t>
  </si>
  <si>
    <t>Marshmallow</t>
  </si>
  <si>
    <t>Oishi - O-Puff Mashmallow - Chocolate</t>
  </si>
  <si>
    <t>Mondelez - Cheez Whiz</t>
  </si>
  <si>
    <t>Mayonnaise</t>
  </si>
  <si>
    <t>Lady's Choice - Real Mayonnaise</t>
  </si>
  <si>
    <t>Best Foods - Wonder Mayo</t>
  </si>
  <si>
    <t>Meal Box</t>
  </si>
  <si>
    <t>I-box - LB2 CLEAR</t>
  </si>
  <si>
    <t>I-box - LB3 CLEAR</t>
  </si>
  <si>
    <t>Meat Loaf</t>
  </si>
  <si>
    <t>Meat Tenderizer</t>
  </si>
  <si>
    <t>Melon Cantaloupe</t>
  </si>
  <si>
    <t>Microwavable Conatiner</t>
  </si>
  <si>
    <t>Trigem - 4 division</t>
  </si>
  <si>
    <t>Fas Pack - Rectangular 500</t>
  </si>
  <si>
    <t>Belle - Rectangular 500ml</t>
  </si>
  <si>
    <t>Bestbuy - Rectangular 500ml</t>
  </si>
  <si>
    <t>Calypso - Rectangular 750</t>
  </si>
  <si>
    <t>Belle - Round 10oz</t>
  </si>
  <si>
    <t>3D</t>
  </si>
  <si>
    <t>4D</t>
  </si>
  <si>
    <t>5D</t>
  </si>
  <si>
    <t>Suy Sing - My Everyday - 30oz Plastic Round</t>
  </si>
  <si>
    <t>Microwavable Container</t>
  </si>
  <si>
    <t>Suy Sing - My Everyday - 500ml Plastic Rectanguar</t>
  </si>
  <si>
    <t>Belle - RE500</t>
  </si>
  <si>
    <t>Belle - RE750</t>
  </si>
  <si>
    <t>Belle - RO10</t>
  </si>
  <si>
    <t>Belle - RO16</t>
  </si>
  <si>
    <t>Miki</t>
  </si>
  <si>
    <t>Milk - Fresh</t>
  </si>
  <si>
    <t>Nestle - Fresh Milk</t>
  </si>
  <si>
    <t>Selecta</t>
  </si>
  <si>
    <t>Milk - Powdered</t>
  </si>
  <si>
    <t>Nestle - Bear Brand</t>
  </si>
  <si>
    <t>Milk - Powdered (Choco)</t>
  </si>
  <si>
    <t>Milk- Sterelized</t>
  </si>
  <si>
    <t>Asia Brewery - Summit</t>
  </si>
  <si>
    <t>Asia Brewery - Summit Still</t>
  </si>
  <si>
    <t>Acqua Panna</t>
  </si>
  <si>
    <t>Nature's Spring</t>
  </si>
  <si>
    <t>Coca Cola - Wilkins</t>
  </si>
  <si>
    <t>Mineral water</t>
  </si>
  <si>
    <t>kl</t>
  </si>
  <si>
    <t>Pure Basics</t>
  </si>
  <si>
    <t>Unicorn</t>
  </si>
  <si>
    <t>Molo Wrapper</t>
  </si>
  <si>
    <t>Dinks</t>
  </si>
  <si>
    <t>Wet Market</t>
  </si>
  <si>
    <t>Universal</t>
  </si>
  <si>
    <t>Mustard</t>
  </si>
  <si>
    <t>Nata de Coco - Green</t>
  </si>
  <si>
    <t>Fruit Delight</t>
  </si>
  <si>
    <t>Net Sponge</t>
  </si>
  <si>
    <t>Niyog Kayod</t>
  </si>
  <si>
    <t>Nutmeg</t>
  </si>
  <si>
    <t>Okra</t>
  </si>
  <si>
    <t>Louise Food and Beverages Trading</t>
  </si>
  <si>
    <t>Olive Oil</t>
  </si>
  <si>
    <t>Onion Leeks</t>
  </si>
  <si>
    <t>Onion Powder</t>
  </si>
  <si>
    <t>Onion Red</t>
  </si>
  <si>
    <t>Orange Marmalade</t>
  </si>
  <si>
    <t>Clara Ole</t>
  </si>
  <si>
    <t>Orange Ponkan</t>
  </si>
  <si>
    <t>Oregano Leaves Whole</t>
  </si>
  <si>
    <t>Oxtripe</t>
  </si>
  <si>
    <t>Gold Dragon</t>
  </si>
  <si>
    <t>Pakwan</t>
  </si>
  <si>
    <t>Pakwan Yellow</t>
  </si>
  <si>
    <t>Pandan Extract</t>
  </si>
  <si>
    <t>Pantyliner</t>
  </si>
  <si>
    <t>Charmee</t>
  </si>
  <si>
    <t>Sisters</t>
  </si>
  <si>
    <t>Panutsa</t>
  </si>
  <si>
    <t>Papaya</t>
  </si>
  <si>
    <t>Paper Box - 2 division</t>
  </si>
  <si>
    <t>Wow</t>
  </si>
  <si>
    <t>Orange Box</t>
  </si>
  <si>
    <t>Paper Box - Microwavable</t>
  </si>
  <si>
    <t>Paper Box - Silver (Single)</t>
  </si>
  <si>
    <t>Paper Cups</t>
  </si>
  <si>
    <t>Dixie</t>
  </si>
  <si>
    <t>Paper Cups - 12oz</t>
  </si>
  <si>
    <t>pack by 50s'</t>
  </si>
  <si>
    <t>Paper Cups - 6.5oz</t>
  </si>
  <si>
    <t>Paper Cups - 8oz</t>
  </si>
  <si>
    <t>Paper Cups with Lid - 390cc</t>
  </si>
  <si>
    <t>Paper Cups with Lid - 520cc</t>
  </si>
  <si>
    <t>Paper Hotdog</t>
  </si>
  <si>
    <t>Paper Plate</t>
  </si>
  <si>
    <t>Paper Plate - Small</t>
  </si>
  <si>
    <t>Good News</t>
  </si>
  <si>
    <t>Paper Plate (Round)</t>
  </si>
  <si>
    <t>Paper Towel</t>
  </si>
  <si>
    <t>Paprika Powder</t>
  </si>
  <si>
    <t>Parmesan Cheese</t>
  </si>
  <si>
    <t>Coloma</t>
  </si>
  <si>
    <t>Pastillas Roll</t>
  </si>
  <si>
    <t>Patatas</t>
  </si>
  <si>
    <t>Peach Halves</t>
  </si>
  <si>
    <t>Baby</t>
  </si>
  <si>
    <t>Lily's</t>
  </si>
  <si>
    <t>Peanuts</t>
  </si>
  <si>
    <t>JBC - Happy</t>
  </si>
  <si>
    <t>Peanuts - Garlic</t>
  </si>
  <si>
    <t>Wow Mani</t>
  </si>
  <si>
    <t>Peanuts (Big)</t>
  </si>
  <si>
    <t>Peanuts (Small)</t>
  </si>
  <si>
    <t>Pechay Baguio</t>
  </si>
  <si>
    <t>Pechay Native</t>
  </si>
  <si>
    <t>Penne</t>
  </si>
  <si>
    <t>Petchay</t>
  </si>
  <si>
    <t>Pickle Relish</t>
  </si>
  <si>
    <t>Pickles</t>
  </si>
  <si>
    <t>Pili Nuts</t>
  </si>
  <si>
    <t>Pineapple Jam</t>
  </si>
  <si>
    <t>Pineapple Sliced</t>
  </si>
  <si>
    <t>Pinipig</t>
  </si>
  <si>
    <t>Pinto Beans</t>
  </si>
  <si>
    <t>La Costera</t>
  </si>
  <si>
    <t>Pinya</t>
  </si>
  <si>
    <t>Pipino</t>
  </si>
  <si>
    <t>Pizza Seasoning</t>
  </si>
  <si>
    <t>Plastic Cups</t>
  </si>
  <si>
    <t>Carandang Merchandise - 16 0Z PP Clear Set</t>
  </si>
  <si>
    <t>pack by 50's</t>
  </si>
  <si>
    <t>Plastic Labo</t>
  </si>
  <si>
    <t>Calypso - 8x11</t>
  </si>
  <si>
    <t>8x11</t>
  </si>
  <si>
    <t>Pork - BBQ on Stick</t>
  </si>
  <si>
    <t>Richard/piece/</t>
  </si>
  <si>
    <t>Pork - Frozen Jowls</t>
  </si>
  <si>
    <t>Pork - Frozen Kasim</t>
  </si>
  <si>
    <t>Pork - Frozen Liempo</t>
  </si>
  <si>
    <t>Pork - Frozen Pata</t>
  </si>
  <si>
    <t>Pork - Ground</t>
  </si>
  <si>
    <t>Pork - Jowls</t>
  </si>
  <si>
    <t>Pork - Kasim</t>
  </si>
  <si>
    <t>Pork - Laman</t>
  </si>
  <si>
    <t>Pork - Liempo</t>
  </si>
  <si>
    <t>Pork - Liver</t>
  </si>
  <si>
    <t>Pork - Mask</t>
  </si>
  <si>
    <t>Pork - Pata</t>
  </si>
  <si>
    <t>Pork - Porkchop</t>
  </si>
  <si>
    <t>Pork Longanisa</t>
  </si>
  <si>
    <t>pack/1000g</t>
  </si>
  <si>
    <t>Powdered Juice</t>
  </si>
  <si>
    <t>Nestle - Houseblend</t>
  </si>
  <si>
    <t>Nestle - Orange Juice</t>
  </si>
  <si>
    <t>Nestle - Pineapple Juice</t>
  </si>
  <si>
    <t>Nestle - Pink Lychee</t>
  </si>
  <si>
    <t>Nestle - Strawberry</t>
  </si>
  <si>
    <t>Powdered Juice - Dalandan</t>
  </si>
  <si>
    <t>Mondelez - Tang</t>
  </si>
  <si>
    <t>Powdered Juice - Four Seasons</t>
  </si>
  <si>
    <t>Powdered Juice - Honey Lemon</t>
  </si>
  <si>
    <t>Powdered Juice - Orange</t>
  </si>
  <si>
    <t>Powdered Juice - Pineapple</t>
  </si>
  <si>
    <t>Sun Maid</t>
  </si>
  <si>
    <t>Razor blade</t>
  </si>
  <si>
    <t>Gillette</t>
  </si>
  <si>
    <t>Red Rice</t>
  </si>
  <si>
    <t>MBN</t>
  </si>
  <si>
    <t>Red Wine</t>
  </si>
  <si>
    <t>Carlo Rossi</t>
  </si>
  <si>
    <t>Premium</t>
  </si>
  <si>
    <t>Sinandomeng</t>
  </si>
  <si>
    <t>sacks</t>
  </si>
  <si>
    <t>MBN Rice</t>
  </si>
  <si>
    <t>Super Alsa</t>
  </si>
  <si>
    <t>Golden Cup</t>
  </si>
  <si>
    <t>Kohaku</t>
  </si>
  <si>
    <t>Orchids</t>
  </si>
  <si>
    <t>Rice Vinegar</t>
  </si>
  <si>
    <t>Marukan</t>
  </si>
  <si>
    <t>Rice Wrapper</t>
  </si>
  <si>
    <t>Rice Wrapper - Large</t>
  </si>
  <si>
    <t>(1000pcs per bundle)</t>
  </si>
  <si>
    <t>Rolled Oats</t>
  </si>
  <si>
    <t>RTD - Chocolate</t>
  </si>
  <si>
    <t>Nestle - Chuckie</t>
  </si>
  <si>
    <t>RTD - Iced Tea</t>
  </si>
  <si>
    <t>Universal Robina - C2 Solo Apple</t>
  </si>
  <si>
    <t>Universal Robina - C2 Solo</t>
  </si>
  <si>
    <t>Universal Robina - C2 Solo Lemon</t>
  </si>
  <si>
    <t>RTD - Juice</t>
  </si>
  <si>
    <t>Coca-Cola - Minute Maid Fresh</t>
  </si>
  <si>
    <t>Coca-Cola - Minute Maid Mango</t>
  </si>
  <si>
    <t>Coca-Cola - Minute Maid Orange</t>
  </si>
  <si>
    <t>Mogu-Mogu Melon</t>
  </si>
  <si>
    <t>Del Monte - Four Seasons</t>
  </si>
  <si>
    <t>cans</t>
  </si>
  <si>
    <t>RTD - Pineapple Juice</t>
  </si>
  <si>
    <t>RTD - Pineapple Juice with ACE</t>
  </si>
  <si>
    <t>RTD - Pineapple Orange Juice</t>
  </si>
  <si>
    <t>RTD - Strawberry Drink</t>
  </si>
  <si>
    <t>Nutriboost</t>
  </si>
  <si>
    <t>Saba</t>
  </si>
  <si>
    <t>Sage</t>
  </si>
  <si>
    <t>Sago</t>
  </si>
  <si>
    <t>JRS Vegetables and Sea foods</t>
  </si>
  <si>
    <t>Ludy's</t>
  </si>
  <si>
    <t>Salami</t>
  </si>
  <si>
    <t>King Sue</t>
  </si>
  <si>
    <t>Salmon Head</t>
  </si>
  <si>
    <t>Salsa</t>
  </si>
  <si>
    <t>Tostitos - Chunky Salsa</t>
  </si>
  <si>
    <t>Crystal</t>
  </si>
  <si>
    <t>Salt - Iodized</t>
  </si>
  <si>
    <t>Fidel</t>
  </si>
  <si>
    <t>Salted Egg</t>
  </si>
  <si>
    <t>Saluyot</t>
  </si>
  <si>
    <t>Sandwich Bag</t>
  </si>
  <si>
    <t>Cheers - box of 50's</t>
  </si>
  <si>
    <t>box</t>
  </si>
  <si>
    <t>Sanitary Pad</t>
  </si>
  <si>
    <t>Charmee - All Night</t>
  </si>
  <si>
    <t>Modess</t>
  </si>
  <si>
    <t>Sanitary Pads</t>
  </si>
  <si>
    <t>Modess - All Night</t>
  </si>
  <si>
    <t>Sapsap</t>
  </si>
  <si>
    <t>Sauce Cup - 30ml</t>
  </si>
  <si>
    <t>Calypso - pack by 50's</t>
  </si>
  <si>
    <t>Sauce Cup 1oz</t>
  </si>
  <si>
    <t>Sauce Cup 4oz</t>
  </si>
  <si>
    <t>Savor Classic</t>
  </si>
  <si>
    <t>Scrubbing Pad</t>
  </si>
  <si>
    <t>Seasoning Powder</t>
  </si>
  <si>
    <t>Mc Cody</t>
  </si>
  <si>
    <t>Sesame Seeds</t>
  </si>
  <si>
    <t>Shampoo</t>
  </si>
  <si>
    <t>Sunsilk</t>
  </si>
  <si>
    <t>Shiitake Mushroom</t>
  </si>
  <si>
    <t>Shiracha Catsup</t>
  </si>
  <si>
    <t>Jufran</t>
  </si>
  <si>
    <t>Shrimp</t>
  </si>
  <si>
    <t>Sibuyas</t>
  </si>
  <si>
    <t>Sili Labuyo</t>
  </si>
  <si>
    <t>HERNAN</t>
  </si>
  <si>
    <t>Sili Sigang</t>
  </si>
  <si>
    <t>Sinigang Mix sa Gabi</t>
  </si>
  <si>
    <t>Siomai - Pork</t>
  </si>
  <si>
    <t>FC</t>
  </si>
  <si>
    <t>Sitaw</t>
  </si>
  <si>
    <t>Skinless Longganisa</t>
  </si>
  <si>
    <t>Chino's</t>
  </si>
  <si>
    <t>Sliced Cheese</t>
  </si>
  <si>
    <t>Snack</t>
  </si>
  <si>
    <t>Oishi - Potato Chips</t>
  </si>
  <si>
    <t>Oishi - Potato Chips - Sweet and Spicy</t>
  </si>
  <si>
    <t>Oishi - Potato Fries - Cheese</t>
  </si>
  <si>
    <t>Oishi - Potato Fries - Ketchup</t>
  </si>
  <si>
    <t>Oishi - Potato Fries</t>
  </si>
  <si>
    <t>Snack Bar</t>
  </si>
  <si>
    <t>Multirich - Choco Mucho - Cookies &amp; Cream</t>
  </si>
  <si>
    <t>Multirich - Choco Mucho - Dark Choco Caramel</t>
  </si>
  <si>
    <t>Multirich - Choco Mucho - Peanut Butter</t>
  </si>
  <si>
    <t>Mayora - Beng-Beng Choco Caramel</t>
  </si>
  <si>
    <t>Jack n Jill - Cloud 9 Classic</t>
  </si>
  <si>
    <t>Jack n Jill - Cloud 9 Overload</t>
  </si>
  <si>
    <t>Jack n Jill - Cloud 9 Peanut Butter</t>
  </si>
  <si>
    <t>Jack n Jill - Cloud 9 White</t>
  </si>
  <si>
    <t>Snacks</t>
  </si>
  <si>
    <t>Oishi - Kirei</t>
  </si>
  <si>
    <t>Oishi - Kirei 45g</t>
  </si>
  <si>
    <t>Jack n Jill - Magic Chips - Cheese (pcsx28grams)</t>
  </si>
  <si>
    <t>Jack n Jill - Magic Chips - Sourcream&amp;Onion/box (pcsx28grams)</t>
  </si>
  <si>
    <t>Jack n Jill - Mang Juan Chik'n Skin/70g</t>
  </si>
  <si>
    <t>Jack n Jill - Mang Juan Sukang Paombong/bundle (18x90grams)</t>
  </si>
  <si>
    <t>Oishi - Marty's Cracklin' Chicken Inasal</t>
  </si>
  <si>
    <t>Oishi - Marty's Cracklin' Spicy</t>
  </si>
  <si>
    <t>Oishi - Miggos</t>
  </si>
  <si>
    <t>Nutri Snack - Moby</t>
  </si>
  <si>
    <t>Monde - Mamon Classic</t>
  </si>
  <si>
    <t>Jack n Jill - Mr. Chips Manamis Mais</t>
  </si>
  <si>
    <t>Jack n Jill - Mr. Chips Cheese</t>
  </si>
  <si>
    <t>Jack n Jill - Nova</t>
  </si>
  <si>
    <t>Jack n Jill - Nova Cheddar</t>
  </si>
  <si>
    <t>Nutri Snacks - Okejie Tempura</t>
  </si>
  <si>
    <t>Oishi - Onion Rings</t>
  </si>
  <si>
    <t>W.L. Foods - Panda 3D Biscuits</t>
  </si>
  <si>
    <t>Oishi - Crispy Patata</t>
  </si>
  <si>
    <t>Perrier</t>
  </si>
  <si>
    <t>Jack n Jill - Piattos</t>
  </si>
  <si>
    <t>Jack n Jill - Pic-A BBQ Overload</t>
  </si>
  <si>
    <t>Oishi - Pillows Ube</t>
  </si>
  <si>
    <t>Oishi - Pods Pea Snacks</t>
  </si>
  <si>
    <t>Lobster - Prawn Crackers</t>
  </si>
  <si>
    <t>Besuto - Onion &amp; Garlic</t>
  </si>
  <si>
    <t>Oishi - Prawn Crackers Spicy</t>
  </si>
  <si>
    <t>Oishi - Pillows Choco</t>
  </si>
  <si>
    <t>Jack n Jill - Pretzels Chocolate Mini</t>
  </si>
  <si>
    <t>Stateline - Tomi Sweet Corn</t>
  </si>
  <si>
    <t>Oishi - Bread Pan Butter Toast</t>
  </si>
  <si>
    <t>Oishi - Bread Pan White Cheddar</t>
  </si>
  <si>
    <t>Nissin - Bread Stixx</t>
  </si>
  <si>
    <t>Oishi - Baconette Strips</t>
  </si>
  <si>
    <t>WL Foods - Cheepee</t>
  </si>
  <si>
    <t>Nutri-Snack - Cheez-it Cheese</t>
  </si>
  <si>
    <t>Jack n Jill - Chippy</t>
  </si>
  <si>
    <t>Leslie's - Clover Chips - Cheese</t>
  </si>
  <si>
    <t>Oishi - Cracklings</t>
  </si>
  <si>
    <t>Suncrest Food - Dowee Donut Choco</t>
  </si>
  <si>
    <t>Oishi - Spicy Seafood Curls</t>
  </si>
  <si>
    <t>Regent - Sweet Corn</t>
  </si>
  <si>
    <t>Oishi - Tater Thins Cucumber Snacks</t>
  </si>
  <si>
    <t>WL Foods - Tattoos</t>
  </si>
  <si>
    <t>Regent - Tempura</t>
  </si>
  <si>
    <t>Regent - Snacku</t>
  </si>
  <si>
    <t>Socks</t>
  </si>
  <si>
    <t>pair</t>
  </si>
  <si>
    <t>Softdrinks</t>
  </si>
  <si>
    <t>Pepsi - Mountain Dew</t>
  </si>
  <si>
    <t>Pepsi - Mug Root Beer</t>
  </si>
  <si>
    <t>Pepsi</t>
  </si>
  <si>
    <t>ARC - Rite 'N Lite Cucumber</t>
  </si>
  <si>
    <t>ARC - Rite 'N Lite Lemon</t>
  </si>
  <si>
    <t>ARC - Rite 'N Lite Lemon and Lime</t>
  </si>
  <si>
    <t>Coca-Cola - Regular (Liter)</t>
  </si>
  <si>
    <t>Coca-Cola - Zero (Mini can)</t>
  </si>
  <si>
    <t>Coca-Cola - Regular (Mismo)</t>
  </si>
  <si>
    <t>Coca-Cola - Regular (Can)</t>
  </si>
  <si>
    <t>Coca-Cola - Zero (Liter)</t>
  </si>
  <si>
    <t>Coca-Cola - Zero (Can)</t>
  </si>
  <si>
    <t>Coca-Cola - Royal (Liter)</t>
  </si>
  <si>
    <t>Coca-Cola - Royal (Mismo)</t>
  </si>
  <si>
    <t>Coca-Cola - Royal (Can)</t>
  </si>
  <si>
    <t>Coca-Cola - Sprite (Liter)</t>
  </si>
  <si>
    <t>Coca-Cola - Sprite (Mismo)</t>
  </si>
  <si>
    <t>Coca-Cola - Sprite (Can)</t>
  </si>
  <si>
    <t>Sapporo</t>
  </si>
  <si>
    <t>Relish</t>
  </si>
  <si>
    <t>Soup Mix</t>
  </si>
  <si>
    <t>Knorr - Nido Oriental Soup</t>
  </si>
  <si>
    <t>Datu Puti</t>
  </si>
  <si>
    <t>Soy sauce</t>
  </si>
  <si>
    <t>Silver Swan</t>
  </si>
  <si>
    <t>Sunmac</t>
  </si>
  <si>
    <t>Del Monter</t>
  </si>
  <si>
    <t>Sunshine</t>
  </si>
  <si>
    <t>Spaghetti Box</t>
  </si>
  <si>
    <t>Trigem</t>
  </si>
  <si>
    <t>Spaghetti Bundle (Pasta+Sauce)</t>
  </si>
  <si>
    <t>Spaghetti Sauce - Filipino Style</t>
  </si>
  <si>
    <t>Spaghetti Sauce Sweet Style</t>
  </si>
  <si>
    <t>Royal</t>
  </si>
  <si>
    <t>Spanish Paprika</t>
  </si>
  <si>
    <t>Spanish Paprika Singles</t>
  </si>
  <si>
    <t>Spiral Noodles</t>
  </si>
  <si>
    <t>Zim</t>
  </si>
  <si>
    <t>3M</t>
  </si>
  <si>
    <t>Ladys Choice Bacon 27 ml</t>
  </si>
  <si>
    <t>Ladys Choice Chicken Spread 27ml</t>
  </si>
  <si>
    <t>Ladys Choice Ham Spread 27ml</t>
  </si>
  <si>
    <t>Mondelez - Cheeze Whiz Cheese</t>
  </si>
  <si>
    <t>Mondelez - Cheeze Whiz Pimento</t>
  </si>
  <si>
    <t>Springroll Wrapper</t>
  </si>
  <si>
    <t>Fat and Thin</t>
  </si>
  <si>
    <t>Squid Balls</t>
  </si>
  <si>
    <t>Orion</t>
  </si>
  <si>
    <t>Steak Sauce</t>
  </si>
  <si>
    <t>A1</t>
  </si>
  <si>
    <t>Steel wool</t>
  </si>
  <si>
    <t>Cleans-Up</t>
  </si>
  <si>
    <t>Stirrer</t>
  </si>
  <si>
    <t>Strawberry Jam</t>
  </si>
  <si>
    <t>Strippler</t>
  </si>
  <si>
    <t>Durabrite</t>
  </si>
  <si>
    <t>Hermano</t>
  </si>
  <si>
    <t>Orsomco</t>
  </si>
  <si>
    <t>Sugar - Sachet</t>
  </si>
  <si>
    <t>Equal</t>
  </si>
  <si>
    <t>Splenda</t>
  </si>
  <si>
    <t>Golden Harvest</t>
  </si>
  <si>
    <t>Depot</t>
  </si>
  <si>
    <t>Busco</t>
  </si>
  <si>
    <t>Sundried Pesto</t>
  </si>
  <si>
    <t>Sweet Chilli Sauce</t>
  </si>
  <si>
    <t>Sweet Ham</t>
  </si>
  <si>
    <t>Table napkin</t>
  </si>
  <si>
    <t>Jade</t>
  </si>
  <si>
    <t>Tablea</t>
  </si>
  <si>
    <t>Batangas Tablea</t>
  </si>
  <si>
    <t>Taco Seasoning</t>
  </si>
  <si>
    <t>Talong</t>
  </si>
  <si>
    <t>Tambakol</t>
  </si>
  <si>
    <t>Tanglad</t>
  </si>
  <si>
    <t>Tarragon</t>
  </si>
  <si>
    <t>Tea</t>
  </si>
  <si>
    <t>Twinings - English Breakfast</t>
  </si>
  <si>
    <t>Twinings - Peppermint</t>
  </si>
  <si>
    <t>Tea - Green Tea</t>
  </si>
  <si>
    <t>Pepsi - Lipton</t>
  </si>
  <si>
    <t>Tea - Yellow Label</t>
  </si>
  <si>
    <t>Tempura Batter Mix</t>
  </si>
  <si>
    <t>Showa</t>
  </si>
  <si>
    <t>Teriyaki Sauce</t>
  </si>
  <si>
    <t>Tetrapack - Apple Juice</t>
  </si>
  <si>
    <t>ZEST-O Big 250</t>
  </si>
  <si>
    <t>Tetrapack - Mango Juice</t>
  </si>
  <si>
    <t>Tetrapack - Orange Juice</t>
  </si>
  <si>
    <t>Thyme</t>
  </si>
  <si>
    <t>Harmony</t>
  </si>
  <si>
    <t>Tissue - Quarterly Fold</t>
  </si>
  <si>
    <t>Tocino - Chicken</t>
  </si>
  <si>
    <t>Tocino - Pork</t>
  </si>
  <si>
    <t>Joshua</t>
  </si>
  <si>
    <t>Tofu</t>
  </si>
  <si>
    <t>Kem Kang</t>
  </si>
  <si>
    <t>Togue</t>
  </si>
  <si>
    <t>Tomato</t>
  </si>
  <si>
    <t>Tomato Ketchup</t>
  </si>
  <si>
    <t>Tomato Sauce - Filipino Style</t>
  </si>
  <si>
    <t>Tomato Sauce - Original Style</t>
  </si>
  <si>
    <t>Colgate</t>
  </si>
  <si>
    <t>Close-Up - Twin pack</t>
  </si>
  <si>
    <t>Close-Up</t>
  </si>
  <si>
    <t>Tiger</t>
  </si>
  <si>
    <t>Trash Bag</t>
  </si>
  <si>
    <t>Superb</t>
  </si>
  <si>
    <t>Trash Bag White</t>
  </si>
  <si>
    <t>Trash Bag White - XL</t>
  </si>
  <si>
    <t>Tuna</t>
  </si>
  <si>
    <t>(9 slices/kl)</t>
  </si>
  <si>
    <t>Turmeric Powder</t>
  </si>
  <si>
    <t>Tuyo</t>
  </si>
  <si>
    <t>Vanilla Essence</t>
  </si>
  <si>
    <t>Mr.Brown</t>
  </si>
  <si>
    <t>NutriAsia - Datu Puti</t>
  </si>
  <si>
    <t>NutriAsia - Silver Swan</t>
  </si>
  <si>
    <t>Vista Coconut Powder</t>
  </si>
  <si>
    <t>Wafer</t>
  </si>
  <si>
    <t>Nabati - Richeese Cheese Wafer</t>
  </si>
  <si>
    <t>Mayora - Wafello Coconut Crème</t>
  </si>
  <si>
    <t>Mayora - Cal Cheese</t>
  </si>
  <si>
    <t>Nissin - Wafer Double Chocolate</t>
  </si>
  <si>
    <t>Walnuts</t>
  </si>
  <si>
    <t>Crown Food</t>
  </si>
  <si>
    <t>Water Chestnut</t>
  </si>
  <si>
    <t>Wax</t>
  </si>
  <si>
    <t>Easy Heat</t>
  </si>
  <si>
    <t>tin</t>
  </si>
  <si>
    <t>Wax Paper</t>
  </si>
  <si>
    <t>White Bread</t>
  </si>
  <si>
    <t>Gardenia</t>
  </si>
  <si>
    <t>White Jumbo Paper Bag</t>
  </si>
  <si>
    <t>Whole Kernel Corn</t>
  </si>
  <si>
    <t>Whole Mushroom</t>
  </si>
  <si>
    <t>Whole Young Corn</t>
  </si>
  <si>
    <t>Mega Prime</t>
  </si>
  <si>
    <t>Versa - pack by 25s'</t>
  </si>
  <si>
    <t>Bio Pack - pack by 25s'</t>
  </si>
  <si>
    <t>Wooden Fruitfork</t>
  </si>
  <si>
    <t>Wooden Knife</t>
  </si>
  <si>
    <t>Versa</t>
  </si>
  <si>
    <t>Wooden Stirrer</t>
  </si>
  <si>
    <t>Mr Bamboo - pack by 100's</t>
  </si>
  <si>
    <t>Worcestershire Sauce</t>
  </si>
  <si>
    <t>Lea &amp; Perrins</t>
  </si>
  <si>
    <t>Yellow Watermelon</t>
  </si>
  <si>
    <t>Yema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</si>
</sst>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_-;\-* #,##0.00_-;_-* &quot;-&quot;??_-;_-@"/>
    <numFmt numFmtId="165" formatCode="_(* #,##0_);_(* \(#,##0\);_(* &quot;-&quot;??_);_(@_)"/>
    <numFmt numFmtId="166" formatCode="_(* #,##0.00_);_(* \(#,##0.00\);_(* &quot;-&quot;??.00_);_(@_)"/>
    <numFmt numFmtId="167" formatCode="#,##0.00_ ;\-#,##0.00\ 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1"/>
      <color theme="1"/>
      <name val="Calibri"/>
      <family val="2"/>
    </font>
    <font>
      <b/>
      <i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theme="1"/>
      <name val="Calibri"/>
      <family val="2"/>
    </font>
    <font>
      <sz val="12"/>
      <color rgb="FFFF0000"/>
      <name val="Arial Narrow"/>
      <family val="2"/>
    </font>
    <font>
      <b/>
      <sz val="12"/>
      <color rgb="FFFF0000"/>
      <name val="Arial Narrow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D0CECE"/>
      <name val="Calibri"/>
      <family val="2"/>
    </font>
    <font>
      <sz val="12"/>
      <color rgb="FF000000"/>
      <name val="Calibri"/>
      <family val="2"/>
    </font>
    <font>
      <sz val="11"/>
      <color rgb="FFFF0000"/>
      <name val="Arial Narrow"/>
      <family val="2"/>
    </font>
    <font>
      <sz val="11"/>
      <color theme="1"/>
      <name val="Arial Narrow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3"/>
  </cellStyleXfs>
  <cellXfs count="79">
    <xf numFmtId="0" fontId="0" fillId="0" borderId="0" xfId="0" applyBorder="1"/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2" fontId="3" fillId="0" borderId="1" xfId="0" applyNumberFormat="1" applyFont="1" applyBorder="1" applyAlignment="1">
      <alignment wrapText="1"/>
    </xf>
    <xf numFmtId="0" fontId="5" fillId="0" borderId="3" xfId="0" applyFont="1" applyAlignment="1">
      <alignment horizontal="left"/>
    </xf>
    <xf numFmtId="0" fontId="6" fillId="0" borderId="3" xfId="0" applyFont="1" applyAlignment="1">
      <alignment horizontal="left"/>
    </xf>
    <xf numFmtId="0" fontId="6" fillId="0" borderId="3" xfId="0" applyFont="1" applyAlignment="1">
      <alignment horizontal="center"/>
    </xf>
    <xf numFmtId="0" fontId="7" fillId="0" borderId="3" xfId="0" applyFont="1" applyAlignment="1">
      <alignment horizontal="left"/>
    </xf>
    <xf numFmtId="43" fontId="6" fillId="0" borderId="3" xfId="0" applyNumberFormat="1" applyFont="1" applyAlignment="1">
      <alignment horizontal="left"/>
    </xf>
    <xf numFmtId="0" fontId="8" fillId="0" borderId="3" xfId="0" applyFont="1" applyAlignment="1">
      <alignment horizontal="center"/>
    </xf>
    <xf numFmtId="165" fontId="8" fillId="0" borderId="3" xfId="0" applyNumberFormat="1" applyFont="1" applyAlignment="1">
      <alignment horizontal="center"/>
    </xf>
    <xf numFmtId="2" fontId="6" fillId="0" borderId="3" xfId="0" applyNumberFormat="1" applyFont="1" applyAlignment="1">
      <alignment horizontal="left"/>
    </xf>
    <xf numFmtId="0" fontId="0" fillId="0" borderId="3" xfId="0"/>
    <xf numFmtId="0" fontId="6" fillId="0" borderId="3" xfId="0" applyFont="1"/>
    <xf numFmtId="43" fontId="6" fillId="0" borderId="3" xfId="0" applyNumberFormat="1" applyFont="1"/>
    <xf numFmtId="165" fontId="9" fillId="0" borderId="3" xfId="0" applyNumberFormat="1" applyFont="1" applyAlignment="1">
      <alignment horizontal="center"/>
    </xf>
    <xf numFmtId="43" fontId="3" fillId="0" borderId="3" xfId="0" applyNumberFormat="1" applyFont="1" applyAlignment="1">
      <alignment horizontal="left"/>
    </xf>
    <xf numFmtId="2" fontId="6" fillId="0" borderId="3" xfId="0" applyNumberFormat="1" applyFont="1"/>
    <xf numFmtId="0" fontId="7" fillId="0" borderId="3" xfId="0" applyFont="1"/>
    <xf numFmtId="0" fontId="3" fillId="0" borderId="3" xfId="0" applyFont="1"/>
    <xf numFmtId="43" fontId="3" fillId="0" borderId="3" xfId="0" applyNumberFormat="1" applyFont="1"/>
    <xf numFmtId="2" fontId="3" fillId="0" borderId="3" xfId="0" applyNumberFormat="1" applyFont="1"/>
    <xf numFmtId="0" fontId="8" fillId="0" borderId="1" xfId="0" applyFont="1" applyBorder="1" applyAlignment="1">
      <alignment vertical="center" wrapText="1"/>
    </xf>
    <xf numFmtId="43" fontId="8" fillId="0" borderId="1" xfId="0" applyNumberFormat="1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5" fontId="6" fillId="0" borderId="1" xfId="0" applyNumberFormat="1" applyFont="1" applyBorder="1" applyAlignment="1">
      <alignment vertical="center" wrapText="1"/>
    </xf>
    <xf numFmtId="43" fontId="6" fillId="0" borderId="1" xfId="0" applyNumberFormat="1" applyFont="1" applyBorder="1" applyAlignment="1">
      <alignment vertical="center"/>
    </xf>
    <xf numFmtId="0" fontId="12" fillId="0" borderId="3" xfId="0" applyFont="1" applyAlignment="1">
      <alignment horizontal="center" vertical="center" wrapText="1"/>
    </xf>
    <xf numFmtId="0" fontId="7" fillId="0" borderId="3" xfId="0" applyFont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3" xfId="0" applyFont="1" applyAlignment="1">
      <alignment horizontal="center" vertical="center"/>
    </xf>
    <xf numFmtId="0" fontId="1" fillId="0" borderId="11" xfId="0" applyFont="1" applyBorder="1" applyAlignment="1">
      <alignment wrapText="1"/>
    </xf>
    <xf numFmtId="0" fontId="10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166" fontId="3" fillId="2" borderId="1" xfId="0" applyNumberFormat="1" applyFont="1" applyFill="1" applyBorder="1" applyAlignment="1">
      <alignment horizontal="center" vertical="center" wrapText="1"/>
    </xf>
    <xf numFmtId="43" fontId="3" fillId="2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 wrapText="1"/>
    </xf>
    <xf numFmtId="0" fontId="4" fillId="0" borderId="3" xfId="0" applyFont="1"/>
    <xf numFmtId="164" fontId="4" fillId="0" borderId="3" xfId="0" applyNumberFormat="1" applyFont="1" applyAlignment="1">
      <alignment horizontal="left"/>
    </xf>
    <xf numFmtId="0" fontId="4" fillId="0" borderId="3" xfId="0" applyFont="1" applyAlignment="1">
      <alignment horizontal="left"/>
    </xf>
    <xf numFmtId="43" fontId="4" fillId="0" borderId="3" xfId="0" applyNumberFormat="1" applyFont="1" applyAlignment="1">
      <alignment horizontal="left"/>
    </xf>
    <xf numFmtId="43" fontId="7" fillId="0" borderId="3" xfId="0" applyNumberFormat="1" applyFont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4" fillId="0" borderId="1" xfId="0" applyFont="1" applyBorder="1"/>
    <xf numFmtId="43" fontId="7" fillId="0" borderId="3" xfId="0" applyNumberFormat="1" applyFont="1" applyAlignment="1">
      <alignment horizontal="center"/>
    </xf>
    <xf numFmtId="43" fontId="16" fillId="0" borderId="3" xfId="0" applyNumberFormat="1" applyFont="1"/>
    <xf numFmtId="0" fontId="10" fillId="5" borderId="1" xfId="0" applyFont="1" applyFill="1" applyBorder="1" applyAlignment="1">
      <alignment horizontal="left"/>
    </xf>
    <xf numFmtId="43" fontId="7" fillId="0" borderId="3" xfId="0" applyNumberFormat="1" applyFont="1"/>
    <xf numFmtId="0" fontId="4" fillId="0" borderId="4" xfId="0" applyFont="1" applyBorder="1"/>
    <xf numFmtId="0" fontId="7" fillId="4" borderId="4" xfId="0" applyFont="1" applyFill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1" fontId="18" fillId="4" borderId="5" xfId="0" applyNumberFormat="1" applyFont="1" applyFill="1" applyBorder="1" applyAlignment="1">
      <alignment horizontal="center"/>
    </xf>
    <xf numFmtId="0" fontId="14" fillId="0" borderId="3" xfId="0" applyFont="1" applyAlignment="1">
      <alignment horizontal="center"/>
    </xf>
    <xf numFmtId="0" fontId="15" fillId="0" borderId="3" xfId="0" applyFont="1" applyAlignment="1">
      <alignment horizontal="center"/>
    </xf>
    <xf numFmtId="0" fontId="18" fillId="4" borderId="4" xfId="0" applyFont="1" applyFill="1" applyBorder="1" applyAlignment="1">
      <alignment horizontal="center"/>
    </xf>
    <xf numFmtId="0" fontId="1" fillId="0" borderId="12" xfId="0" applyFont="1" applyBorder="1" applyAlignment="1">
      <alignment wrapText="1"/>
    </xf>
    <xf numFmtId="2" fontId="0" fillId="0" borderId="3" xfId="0" applyNumberFormat="1"/>
    <xf numFmtId="0" fontId="19" fillId="0" borderId="8" xfId="0" applyFont="1" applyBorder="1" applyAlignment="1">
      <alignment wrapText="1"/>
    </xf>
    <xf numFmtId="0" fontId="19" fillId="0" borderId="9" xfId="0" applyFont="1" applyBorder="1" applyAlignment="1">
      <alignment wrapText="1"/>
    </xf>
    <xf numFmtId="0" fontId="19" fillId="6" borderId="9" xfId="0" applyFont="1" applyFill="1" applyBorder="1" applyAlignment="1">
      <alignment wrapText="1"/>
    </xf>
    <xf numFmtId="0" fontId="1" fillId="0" borderId="9" xfId="0" applyFont="1" applyBorder="1" applyAlignment="1">
      <alignment wrapText="1"/>
    </xf>
    <xf numFmtId="0" fontId="19" fillId="7" borderId="9" xfId="0" applyFont="1" applyFill="1" applyBorder="1" applyAlignment="1">
      <alignment wrapText="1"/>
    </xf>
    <xf numFmtId="0" fontId="19" fillId="0" borderId="13" xfId="0" applyFont="1" applyBorder="1" applyAlignment="1">
      <alignment wrapText="1"/>
    </xf>
    <xf numFmtId="0" fontId="10" fillId="0" borderId="3" xfId="0" applyFont="1" applyAlignment="1">
      <alignment horizontal="left"/>
    </xf>
    <xf numFmtId="0" fontId="11" fillId="0" borderId="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/>
    </xf>
    <xf numFmtId="167" fontId="7" fillId="0" borderId="5" xfId="0" applyNumberFormat="1" applyFont="1" applyBorder="1" applyAlignment="1">
      <alignment horizontal="center"/>
    </xf>
    <xf numFmtId="1" fontId="18" fillId="4" borderId="4" xfId="0" applyNumberFormat="1" applyFont="1" applyFill="1" applyBorder="1" applyAlignment="1">
      <alignment horizontal="center"/>
    </xf>
    <xf numFmtId="4" fontId="6" fillId="3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9121-5CD7-4D2D-8663-8EA07DD4D666}">
  <dimension ref="A1:X2706"/>
  <sheetViews>
    <sheetView tabSelected="1" topLeftCell="K3" workbookViewId="0">
      <selection activeCell="U9" sqref="U9"/>
    </sheetView>
  </sheetViews>
  <sheetFormatPr defaultColWidth="14.44140625" defaultRowHeight="14.4" outlineLevelCol="1" x14ac:dyDescent="0.3"/>
  <cols>
    <col min="1" max="1" width="8.88671875" style="14" customWidth="1"/>
    <col min="2" max="3" width="39.88671875" style="14" customWidth="1"/>
    <col min="4" max="4" width="29.33203125" style="14" customWidth="1"/>
    <col min="5" max="5" width="13.6640625" style="14" customWidth="1"/>
    <col min="6" max="7" width="29.5546875" style="14" customWidth="1"/>
    <col min="8" max="8" width="21.6640625" style="14" customWidth="1"/>
    <col min="9" max="9" width="6.33203125" style="14" bestFit="1" customWidth="1"/>
    <col min="10" max="10" width="45.44140625" style="14" customWidth="1"/>
    <col min="11" max="11" width="11.77734375" style="14" bestFit="1" customWidth="1"/>
    <col min="12" max="12" width="10.6640625" style="14" customWidth="1"/>
    <col min="13" max="13" width="12.88671875" style="65" customWidth="1"/>
    <col min="14" max="15" width="12.88671875" style="14" customWidth="1"/>
    <col min="16" max="16" width="21.44140625" style="14" bestFit="1" customWidth="1"/>
    <col min="17" max="17" width="12.88671875" style="14" customWidth="1"/>
    <col min="18" max="18" width="22.88671875" style="14" bestFit="1" customWidth="1"/>
    <col min="19" max="19" width="14.33203125" style="14" customWidth="1"/>
    <col min="20" max="20" width="13.6640625" style="14" customWidth="1"/>
    <col min="21" max="21" width="15.6640625" style="65" customWidth="1"/>
    <col min="22" max="22" width="11.33203125" style="14" customWidth="1" outlineLevel="1"/>
    <col min="23" max="23" width="10.44140625" style="14" customWidth="1"/>
    <col min="24" max="24" width="12.6640625" style="14" customWidth="1"/>
    <col min="25" max="16384" width="14.44140625" style="14"/>
  </cols>
  <sheetData>
    <row r="1" spans="1:24" ht="18" hidden="1" customHeight="1" x14ac:dyDescent="0.3">
      <c r="A1" s="6" t="s">
        <v>0</v>
      </c>
      <c r="B1" s="7"/>
      <c r="C1" s="7"/>
      <c r="D1" s="7"/>
      <c r="E1" s="7"/>
      <c r="F1" s="7"/>
      <c r="G1" s="7"/>
      <c r="H1" s="8"/>
      <c r="I1" s="8"/>
      <c r="J1" s="9"/>
      <c r="K1" s="8"/>
      <c r="L1" s="10"/>
      <c r="M1" s="8"/>
      <c r="N1" s="11"/>
      <c r="O1" s="11"/>
      <c r="P1" s="11"/>
      <c r="Q1" s="11"/>
      <c r="R1" s="8"/>
      <c r="S1" s="12"/>
      <c r="T1" s="10"/>
      <c r="U1" s="13"/>
      <c r="V1" s="9"/>
      <c r="W1" s="9"/>
      <c r="X1" s="9"/>
    </row>
    <row r="2" spans="1:24" ht="22.5" hidden="1" customHeight="1" x14ac:dyDescent="0.3">
      <c r="A2" s="8"/>
      <c r="B2" s="15"/>
      <c r="C2" s="15"/>
      <c r="D2" s="15"/>
      <c r="E2" s="15"/>
      <c r="F2" s="15"/>
      <c r="G2" s="15"/>
      <c r="H2" s="8"/>
      <c r="I2" s="8"/>
      <c r="J2" s="9"/>
      <c r="K2" s="8"/>
      <c r="L2" s="16"/>
      <c r="M2" s="8"/>
      <c r="N2" s="11"/>
      <c r="O2" s="11"/>
      <c r="P2" s="11"/>
      <c r="Q2" s="11"/>
      <c r="R2" s="8"/>
      <c r="S2" s="17" t="s">
        <v>1</v>
      </c>
      <c r="T2" s="18"/>
      <c r="U2" s="19"/>
      <c r="V2" s="20"/>
      <c r="W2" s="20"/>
      <c r="X2" s="20"/>
    </row>
    <row r="3" spans="1:24" ht="15.6" customHeight="1" x14ac:dyDescent="0.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72"/>
      <c r="K3" s="21"/>
      <c r="L3" s="21"/>
      <c r="M3" s="21"/>
      <c r="N3" s="21"/>
      <c r="O3" s="21"/>
      <c r="P3" s="21"/>
      <c r="Q3" s="21"/>
      <c r="R3" s="21"/>
      <c r="S3" s="21"/>
      <c r="T3" s="22"/>
      <c r="U3" s="23"/>
      <c r="V3" s="20" t="s">
        <v>3</v>
      </c>
      <c r="W3" s="20"/>
      <c r="X3" s="20"/>
    </row>
    <row r="4" spans="1:24" ht="15.6" customHeight="1" x14ac:dyDescent="0.3">
      <c r="A4" s="21" t="s">
        <v>4</v>
      </c>
      <c r="B4" s="21"/>
      <c r="C4" s="21"/>
      <c r="D4" s="21"/>
      <c r="E4" s="21"/>
      <c r="F4" s="21"/>
      <c r="G4" s="21"/>
      <c r="H4" s="21"/>
      <c r="I4" s="21"/>
      <c r="J4" s="72"/>
      <c r="K4" s="21"/>
      <c r="L4" s="21"/>
      <c r="M4" s="21"/>
      <c r="N4" s="21"/>
      <c r="O4" s="21"/>
      <c r="P4" s="21"/>
      <c r="Q4" s="21"/>
      <c r="R4" s="21"/>
      <c r="S4" s="21"/>
      <c r="T4" s="22"/>
      <c r="U4" s="23"/>
      <c r="V4" s="20"/>
      <c r="W4" s="20"/>
      <c r="X4" s="20"/>
    </row>
    <row r="5" spans="1:24" ht="15.6" customHeight="1" x14ac:dyDescent="0.3">
      <c r="A5" s="15" t="s">
        <v>5</v>
      </c>
      <c r="B5" s="15"/>
      <c r="C5" s="15"/>
      <c r="D5" s="15"/>
      <c r="E5" s="15"/>
      <c r="F5" s="15"/>
      <c r="G5" s="15"/>
      <c r="H5" s="15"/>
      <c r="I5" s="15"/>
      <c r="J5" s="9">
        <v>9</v>
      </c>
      <c r="K5" s="15"/>
      <c r="L5" s="15"/>
      <c r="M5" s="15">
        <v>12</v>
      </c>
      <c r="N5" s="15"/>
      <c r="O5" s="15">
        <v>14</v>
      </c>
      <c r="P5" s="15">
        <v>15</v>
      </c>
      <c r="Q5" s="15">
        <v>16</v>
      </c>
      <c r="R5" s="15">
        <v>17</v>
      </c>
      <c r="S5" s="15">
        <v>18</v>
      </c>
      <c r="T5" s="15">
        <v>19</v>
      </c>
      <c r="U5" s="19">
        <v>20</v>
      </c>
      <c r="V5" s="20" t="s">
        <v>6</v>
      </c>
      <c r="W5" s="20"/>
      <c r="X5" s="20"/>
    </row>
    <row r="6" spans="1:24" ht="78" customHeight="1" x14ac:dyDescent="0.3">
      <c r="A6" s="24" t="s">
        <v>7</v>
      </c>
      <c r="B6" s="24" t="s">
        <v>8</v>
      </c>
      <c r="C6" s="24"/>
      <c r="D6" s="24"/>
      <c r="E6" s="24"/>
      <c r="F6" s="24"/>
      <c r="G6" s="24"/>
      <c r="H6" s="24" t="s">
        <v>9</v>
      </c>
      <c r="I6" s="24"/>
      <c r="J6" s="73"/>
      <c r="K6" s="24" t="s">
        <v>10</v>
      </c>
      <c r="L6" s="25" t="s">
        <v>11</v>
      </c>
      <c r="M6" s="24" t="s">
        <v>12</v>
      </c>
      <c r="N6" s="26" t="s">
        <v>13</v>
      </c>
      <c r="O6" s="26"/>
      <c r="P6" s="26" t="s">
        <v>14</v>
      </c>
      <c r="Q6" s="27"/>
      <c r="R6" s="28" t="s">
        <v>15</v>
      </c>
      <c r="S6" s="29" t="s">
        <v>16</v>
      </c>
      <c r="T6" s="30" t="s">
        <v>16</v>
      </c>
      <c r="U6" s="5" t="s">
        <v>17</v>
      </c>
      <c r="V6" s="31"/>
      <c r="W6" s="32"/>
      <c r="X6" s="32"/>
    </row>
    <row r="7" spans="1:24" ht="12.75" customHeight="1" thickBot="1" x14ac:dyDescent="0.35">
      <c r="A7" s="24"/>
      <c r="B7" s="24"/>
      <c r="C7" s="24"/>
      <c r="D7" s="24"/>
      <c r="E7" s="24"/>
      <c r="F7" s="24"/>
      <c r="G7" s="24"/>
      <c r="H7" s="24" t="s">
        <v>18</v>
      </c>
      <c r="I7" s="24" t="s">
        <v>19</v>
      </c>
      <c r="J7" s="73" t="s">
        <v>20</v>
      </c>
      <c r="K7" s="24"/>
      <c r="L7" s="25"/>
      <c r="M7" s="24"/>
      <c r="N7" s="33"/>
      <c r="O7" s="33"/>
      <c r="P7" s="33"/>
      <c r="Q7" s="34"/>
      <c r="R7" s="28"/>
      <c r="S7" s="29"/>
      <c r="T7" s="30"/>
      <c r="U7" s="5">
        <f>SUM(U9:U1643)</f>
        <v>1446807.7400000009</v>
      </c>
      <c r="V7" s="32"/>
      <c r="W7" s="32"/>
      <c r="X7" s="32"/>
    </row>
    <row r="8" spans="1:24" ht="31.8" customHeight="1" thickBot="1" x14ac:dyDescent="0.35">
      <c r="A8" s="1"/>
      <c r="B8" s="24" t="s">
        <v>21</v>
      </c>
      <c r="C8" s="24" t="s">
        <v>22</v>
      </c>
      <c r="D8" s="24" t="s">
        <v>23</v>
      </c>
      <c r="E8" s="24" t="s">
        <v>24</v>
      </c>
      <c r="F8" s="24" t="s">
        <v>25</v>
      </c>
      <c r="G8" s="24"/>
      <c r="H8" s="24" t="s">
        <v>26</v>
      </c>
      <c r="I8" s="24"/>
      <c r="J8" s="73" t="s">
        <v>27</v>
      </c>
      <c r="K8" s="35" t="s">
        <v>28</v>
      </c>
      <c r="L8" s="25" t="s">
        <v>11</v>
      </c>
      <c r="M8" s="24" t="s">
        <v>29</v>
      </c>
      <c r="N8" s="36" t="s">
        <v>30</v>
      </c>
      <c r="O8" s="33" t="s">
        <v>31</v>
      </c>
      <c r="P8" s="26" t="s">
        <v>14</v>
      </c>
      <c r="Q8" s="37"/>
      <c r="R8" s="38" t="s">
        <v>32</v>
      </c>
      <c r="S8" s="29"/>
      <c r="T8" s="30"/>
      <c r="U8" s="5" t="s">
        <v>33</v>
      </c>
      <c r="V8" s="39" t="s">
        <v>34</v>
      </c>
      <c r="W8" s="39"/>
      <c r="X8" s="39"/>
    </row>
    <row r="9" spans="1:24" ht="15" customHeight="1" thickBot="1" x14ac:dyDescent="0.35">
      <c r="A9" s="2">
        <f t="array" ref="A9:A1000">IF(B9:B667&lt;&gt;"", MATCH(B9:B667, _xlfn.UNIQUE(B9:B667), 0), "")</f>
        <v>1</v>
      </c>
      <c r="B9" s="66" t="s">
        <v>801</v>
      </c>
      <c r="C9" s="55"/>
      <c r="D9" s="41"/>
      <c r="E9" s="55"/>
      <c r="F9" s="55"/>
      <c r="G9" s="55"/>
      <c r="H9" s="51"/>
      <c r="I9" s="52"/>
      <c r="J9" s="74" t="s">
        <v>802</v>
      </c>
      <c r="K9" s="57"/>
      <c r="L9" s="75">
        <v>8.5</v>
      </c>
      <c r="M9" s="60">
        <v>113</v>
      </c>
      <c r="N9" s="76">
        <v>20</v>
      </c>
      <c r="O9" s="42"/>
      <c r="P9" s="58" t="s">
        <v>36</v>
      </c>
      <c r="Q9" s="61"/>
      <c r="R9" s="62"/>
      <c r="S9" s="78">
        <f t="shared" ref="S9:S53" si="0">M9*N9</f>
        <v>2260</v>
      </c>
      <c r="T9" s="44" t="str">
        <f t="shared" ref="T9:T53" si="1">CONCATENATE(S9,Q9,P9)</f>
        <v>2260grams</v>
      </c>
      <c r="U9" s="77">
        <f t="shared" ref="U9:U53" si="2">L9*M9</f>
        <v>960.5</v>
      </c>
      <c r="V9" s="46" t="s">
        <v>800</v>
      </c>
      <c r="W9" s="47" t="e">
        <f t="array" aca="1" ref="W9:W17" ca="1">_xludf.UNIQUE(#REF!)</f>
        <v>#NAME?</v>
      </c>
      <c r="X9" s="46"/>
    </row>
    <row r="10" spans="1:24" ht="15" customHeight="1" thickBot="1" x14ac:dyDescent="0.35">
      <c r="A10" s="2">
        <v>1</v>
      </c>
      <c r="B10" s="67" t="s">
        <v>801</v>
      </c>
      <c r="C10" s="55"/>
      <c r="D10" s="41"/>
      <c r="E10" s="55"/>
      <c r="F10" s="55"/>
      <c r="G10" s="55"/>
      <c r="H10" s="51"/>
      <c r="I10" s="52"/>
      <c r="J10" s="74" t="s">
        <v>802</v>
      </c>
      <c r="K10" s="57"/>
      <c r="L10" s="75">
        <v>8.5299999999999994</v>
      </c>
      <c r="M10" s="60">
        <v>16</v>
      </c>
      <c r="N10" s="76">
        <v>30</v>
      </c>
      <c r="O10" s="42"/>
      <c r="P10" s="58" t="s">
        <v>36</v>
      </c>
      <c r="Q10" s="61"/>
      <c r="R10" s="62"/>
      <c r="S10" s="78">
        <f t="shared" si="0"/>
        <v>480</v>
      </c>
      <c r="T10" s="44" t="str">
        <f t="shared" si="1"/>
        <v>480grams</v>
      </c>
      <c r="U10" s="77">
        <f t="shared" si="2"/>
        <v>136.47999999999999</v>
      </c>
      <c r="V10" s="46"/>
      <c r="W10" s="48" t="e">
        <f ca="1"/>
        <v>#NAME?</v>
      </c>
      <c r="X10" s="46"/>
    </row>
    <row r="11" spans="1:24" ht="15" customHeight="1" thickBot="1" x14ac:dyDescent="0.35">
      <c r="A11" s="2">
        <v>1</v>
      </c>
      <c r="B11" s="67" t="s">
        <v>801</v>
      </c>
      <c r="C11" s="55"/>
      <c r="D11" s="41"/>
      <c r="E11" s="55"/>
      <c r="F11" s="55"/>
      <c r="G11" s="55"/>
      <c r="H11" s="51"/>
      <c r="I11" s="52"/>
      <c r="J11" s="74" t="s">
        <v>802</v>
      </c>
      <c r="K11" s="57"/>
      <c r="L11" s="75">
        <v>8.5</v>
      </c>
      <c r="M11" s="60">
        <v>92</v>
      </c>
      <c r="N11" s="76">
        <v>20</v>
      </c>
      <c r="O11" s="42"/>
      <c r="P11" s="58" t="s">
        <v>36</v>
      </c>
      <c r="Q11" s="61"/>
      <c r="R11" s="62"/>
      <c r="S11" s="78">
        <f t="shared" si="0"/>
        <v>1840</v>
      </c>
      <c r="T11" s="44" t="str">
        <f t="shared" si="1"/>
        <v>1840grams</v>
      </c>
      <c r="U11" s="77">
        <f t="shared" si="2"/>
        <v>782</v>
      </c>
      <c r="V11" s="20"/>
      <c r="W11" s="48" t="e">
        <f ca="1"/>
        <v>#NAME?</v>
      </c>
      <c r="X11" s="20"/>
    </row>
    <row r="12" spans="1:24" ht="15" customHeight="1" thickBot="1" x14ac:dyDescent="0.35">
      <c r="A12" s="2">
        <v>1</v>
      </c>
      <c r="B12" s="67" t="s">
        <v>801</v>
      </c>
      <c r="C12" s="55"/>
      <c r="D12" s="41"/>
      <c r="E12" s="55"/>
      <c r="F12" s="55"/>
      <c r="G12" s="55"/>
      <c r="H12" s="51"/>
      <c r="I12" s="52"/>
      <c r="J12" s="74" t="s">
        <v>804</v>
      </c>
      <c r="K12" s="57"/>
      <c r="L12" s="75">
        <v>8.5</v>
      </c>
      <c r="M12" s="60">
        <v>21</v>
      </c>
      <c r="N12" s="76">
        <v>20</v>
      </c>
      <c r="O12" s="42"/>
      <c r="P12" s="58" t="s">
        <v>36</v>
      </c>
      <c r="Q12" s="61"/>
      <c r="R12" s="62"/>
      <c r="S12" s="78">
        <f t="shared" si="0"/>
        <v>420</v>
      </c>
      <c r="T12" s="44" t="str">
        <f t="shared" si="1"/>
        <v>420grams</v>
      </c>
      <c r="U12" s="77">
        <f t="shared" si="2"/>
        <v>178.5</v>
      </c>
      <c r="V12" s="46"/>
      <c r="W12" s="48" t="e">
        <f ca="1"/>
        <v>#NAME?</v>
      </c>
      <c r="X12" s="46"/>
    </row>
    <row r="13" spans="1:24" ht="15" customHeight="1" thickBot="1" x14ac:dyDescent="0.35">
      <c r="A13" s="2">
        <v>1</v>
      </c>
      <c r="B13" s="67" t="s">
        <v>801</v>
      </c>
      <c r="C13" s="55"/>
      <c r="D13" s="41"/>
      <c r="E13" s="55"/>
      <c r="F13" s="55"/>
      <c r="G13" s="55"/>
      <c r="H13" s="51"/>
      <c r="I13" s="52"/>
      <c r="J13" s="74" t="s">
        <v>804</v>
      </c>
      <c r="K13" s="57"/>
      <c r="L13" s="75">
        <v>7.7</v>
      </c>
      <c r="M13" s="60">
        <v>15</v>
      </c>
      <c r="N13" s="76">
        <v>26</v>
      </c>
      <c r="O13" s="42"/>
      <c r="P13" s="58" t="s">
        <v>36</v>
      </c>
      <c r="Q13" s="61"/>
      <c r="R13" s="62"/>
      <c r="S13" s="78">
        <f t="shared" si="0"/>
        <v>390</v>
      </c>
      <c r="T13" s="44" t="str">
        <f t="shared" si="1"/>
        <v>390grams</v>
      </c>
      <c r="U13" s="77">
        <f t="shared" si="2"/>
        <v>115.5</v>
      </c>
      <c r="V13" s="50"/>
      <c r="W13" s="49" t="e">
        <f ca="1"/>
        <v>#NAME?</v>
      </c>
      <c r="X13" s="39"/>
    </row>
    <row r="14" spans="1:24" ht="15" customHeight="1" thickBot="1" x14ac:dyDescent="0.35">
      <c r="A14" s="2">
        <v>1</v>
      </c>
      <c r="B14" s="67" t="s">
        <v>801</v>
      </c>
      <c r="C14" s="55"/>
      <c r="D14" s="41"/>
      <c r="E14" s="55"/>
      <c r="F14" s="55"/>
      <c r="G14" s="55"/>
      <c r="H14" s="51"/>
      <c r="I14" s="52"/>
      <c r="J14" s="74" t="s">
        <v>802</v>
      </c>
      <c r="K14" s="57"/>
      <c r="L14" s="75">
        <v>7.7</v>
      </c>
      <c r="M14" s="60">
        <v>18</v>
      </c>
      <c r="N14" s="76">
        <v>30</v>
      </c>
      <c r="O14" s="42"/>
      <c r="P14" s="58" t="s">
        <v>36</v>
      </c>
      <c r="Q14" s="61"/>
      <c r="R14" s="62"/>
      <c r="S14" s="78">
        <f t="shared" si="0"/>
        <v>540</v>
      </c>
      <c r="T14" s="44" t="str">
        <f t="shared" si="1"/>
        <v>540grams</v>
      </c>
      <c r="U14" s="77">
        <f t="shared" si="2"/>
        <v>138.6</v>
      </c>
      <c r="V14" s="46"/>
      <c r="W14" s="48" t="e">
        <f ca="1"/>
        <v>#NAME?</v>
      </c>
      <c r="X14" s="46"/>
    </row>
    <row r="15" spans="1:24" ht="15" customHeight="1" thickBot="1" x14ac:dyDescent="0.35">
      <c r="A15" s="2">
        <v>1</v>
      </c>
      <c r="B15" s="67" t="s">
        <v>801</v>
      </c>
      <c r="C15" s="55"/>
      <c r="D15" s="41"/>
      <c r="E15" s="55"/>
      <c r="F15" s="55"/>
      <c r="G15" s="55"/>
      <c r="H15" s="51"/>
      <c r="I15" s="52"/>
      <c r="J15" s="74" t="s">
        <v>802</v>
      </c>
      <c r="K15" s="57"/>
      <c r="L15" s="75">
        <v>7.7</v>
      </c>
      <c r="M15" s="60">
        <v>10</v>
      </c>
      <c r="N15" s="76">
        <v>30</v>
      </c>
      <c r="O15" s="42"/>
      <c r="P15" s="58" t="s">
        <v>36</v>
      </c>
      <c r="Q15" s="61"/>
      <c r="R15" s="62"/>
      <c r="S15" s="78">
        <f t="shared" si="0"/>
        <v>300</v>
      </c>
      <c r="T15" s="44" t="str">
        <f t="shared" si="1"/>
        <v>300grams</v>
      </c>
      <c r="U15" s="77">
        <f t="shared" si="2"/>
        <v>77</v>
      </c>
      <c r="V15" s="46"/>
      <c r="W15" s="48" t="e">
        <f ca="1"/>
        <v>#NAME?</v>
      </c>
      <c r="X15" s="46"/>
    </row>
    <row r="16" spans="1:24" ht="15" customHeight="1" thickBot="1" x14ac:dyDescent="0.35">
      <c r="A16" s="2">
        <v>1</v>
      </c>
      <c r="B16" s="67" t="s">
        <v>801</v>
      </c>
      <c r="C16" s="55"/>
      <c r="D16" s="41"/>
      <c r="E16" s="55"/>
      <c r="F16" s="55"/>
      <c r="G16" s="55"/>
      <c r="H16" s="51"/>
      <c r="I16" s="52"/>
      <c r="J16" s="74" t="s">
        <v>804</v>
      </c>
      <c r="K16" s="57"/>
      <c r="L16" s="75">
        <v>7.74</v>
      </c>
      <c r="M16" s="60">
        <v>8</v>
      </c>
      <c r="N16" s="76">
        <v>28</v>
      </c>
      <c r="O16" s="42"/>
      <c r="P16" s="58" t="s">
        <v>36</v>
      </c>
      <c r="Q16" s="61"/>
      <c r="R16" s="62"/>
      <c r="S16" s="78">
        <f t="shared" si="0"/>
        <v>224</v>
      </c>
      <c r="T16" s="44" t="str">
        <f t="shared" si="1"/>
        <v>224grams</v>
      </c>
      <c r="U16" s="77">
        <f t="shared" si="2"/>
        <v>61.92</v>
      </c>
      <c r="V16" s="53"/>
      <c r="W16" s="49" t="e">
        <f ca="1"/>
        <v>#NAME?</v>
      </c>
      <c r="X16" s="39"/>
    </row>
    <row r="17" spans="1:24" ht="15" customHeight="1" thickBot="1" x14ac:dyDescent="0.35">
      <c r="A17" s="2">
        <v>1</v>
      </c>
      <c r="B17" s="67" t="s">
        <v>801</v>
      </c>
      <c r="C17" s="55"/>
      <c r="D17" s="41"/>
      <c r="E17" s="55"/>
      <c r="F17" s="55"/>
      <c r="G17" s="55"/>
      <c r="H17" s="51"/>
      <c r="I17" s="52"/>
      <c r="J17" s="74" t="s">
        <v>805</v>
      </c>
      <c r="K17" s="57"/>
      <c r="L17" s="75">
        <v>8.6999999999999993</v>
      </c>
      <c r="M17" s="60">
        <v>5</v>
      </c>
      <c r="N17" s="76">
        <v>25</v>
      </c>
      <c r="O17" s="42"/>
      <c r="P17" s="58" t="s">
        <v>36</v>
      </c>
      <c r="Q17" s="61"/>
      <c r="R17" s="62"/>
      <c r="S17" s="78">
        <f t="shared" si="0"/>
        <v>125</v>
      </c>
      <c r="T17" s="44" t="str">
        <f t="shared" si="1"/>
        <v>125grams</v>
      </c>
      <c r="U17" s="77">
        <f t="shared" si="2"/>
        <v>43.5</v>
      </c>
      <c r="V17" s="46"/>
      <c r="W17" s="48" t="e">
        <f ca="1"/>
        <v>#NAME?</v>
      </c>
      <c r="X17" s="46"/>
    </row>
    <row r="18" spans="1:24" ht="15" customHeight="1" thickBot="1" x14ac:dyDescent="0.35">
      <c r="A18" s="2">
        <v>1</v>
      </c>
      <c r="B18" s="67" t="s">
        <v>801</v>
      </c>
      <c r="C18" s="55"/>
      <c r="D18" s="41"/>
      <c r="E18" s="55"/>
      <c r="F18" s="55"/>
      <c r="G18" s="55"/>
      <c r="H18" s="51"/>
      <c r="I18" s="52"/>
      <c r="J18" s="74" t="s">
        <v>805</v>
      </c>
      <c r="K18" s="57"/>
      <c r="L18" s="75">
        <v>7.7</v>
      </c>
      <c r="M18" s="60">
        <v>2</v>
      </c>
      <c r="N18" s="76">
        <v>30</v>
      </c>
      <c r="O18" s="42"/>
      <c r="P18" s="58" t="s">
        <v>36</v>
      </c>
      <c r="Q18" s="61"/>
      <c r="R18" s="62"/>
      <c r="S18" s="78">
        <f t="shared" si="0"/>
        <v>60</v>
      </c>
      <c r="T18" s="44" t="str">
        <f t="shared" si="1"/>
        <v>60grams</v>
      </c>
      <c r="U18" s="77">
        <f t="shared" si="2"/>
        <v>15.4</v>
      </c>
      <c r="V18" s="46"/>
      <c r="W18" s="48"/>
      <c r="X18" s="46"/>
    </row>
    <row r="19" spans="1:24" ht="15" customHeight="1" thickBot="1" x14ac:dyDescent="0.35">
      <c r="A19" s="2">
        <v>1</v>
      </c>
      <c r="B19" s="67" t="s">
        <v>801</v>
      </c>
      <c r="C19" s="55"/>
      <c r="D19" s="41"/>
      <c r="E19" s="55"/>
      <c r="F19" s="55"/>
      <c r="G19" s="55"/>
      <c r="H19" s="51"/>
      <c r="I19" s="52"/>
      <c r="J19" s="74" t="s">
        <v>806</v>
      </c>
      <c r="K19" s="57"/>
      <c r="L19" s="75">
        <v>7.65</v>
      </c>
      <c r="M19" s="60">
        <v>763</v>
      </c>
      <c r="N19" s="76">
        <v>26</v>
      </c>
      <c r="O19" s="42"/>
      <c r="P19" s="58" t="s">
        <v>36</v>
      </c>
      <c r="Q19" s="61"/>
      <c r="R19" s="62"/>
      <c r="S19" s="78">
        <f t="shared" si="0"/>
        <v>19838</v>
      </c>
      <c r="T19" s="44" t="str">
        <f t="shared" si="1"/>
        <v>19838grams</v>
      </c>
      <c r="U19" s="77">
        <f t="shared" si="2"/>
        <v>5836.95</v>
      </c>
      <c r="V19" s="46"/>
      <c r="W19" s="48"/>
      <c r="X19" s="46"/>
    </row>
    <row r="20" spans="1:24" ht="15" customHeight="1" thickBot="1" x14ac:dyDescent="0.35">
      <c r="A20" s="2">
        <v>1</v>
      </c>
      <c r="B20" s="67" t="s">
        <v>801</v>
      </c>
      <c r="C20" s="55"/>
      <c r="D20" s="41"/>
      <c r="E20" s="55"/>
      <c r="F20" s="55"/>
      <c r="G20" s="55"/>
      <c r="H20" s="51"/>
      <c r="I20" s="52"/>
      <c r="J20" s="74" t="s">
        <v>807</v>
      </c>
      <c r="K20" s="57"/>
      <c r="L20" s="75">
        <v>13.9</v>
      </c>
      <c r="M20" s="60">
        <v>34</v>
      </c>
      <c r="N20" s="76">
        <v>52</v>
      </c>
      <c r="O20" s="42"/>
      <c r="P20" s="58" t="s">
        <v>36</v>
      </c>
      <c r="Q20" s="61"/>
      <c r="R20" s="62"/>
      <c r="S20" s="78">
        <f t="shared" si="0"/>
        <v>1768</v>
      </c>
      <c r="T20" s="44" t="str">
        <f t="shared" si="1"/>
        <v>1768grams</v>
      </c>
      <c r="U20" s="77">
        <f t="shared" si="2"/>
        <v>472.6</v>
      </c>
      <c r="V20" s="46"/>
      <c r="W20" s="48"/>
      <c r="X20" s="46"/>
    </row>
    <row r="21" spans="1:24" ht="15" customHeight="1" thickBot="1" x14ac:dyDescent="0.35">
      <c r="A21" s="2">
        <v>1</v>
      </c>
      <c r="B21" s="67" t="s">
        <v>801</v>
      </c>
      <c r="C21" s="55"/>
      <c r="D21" s="41"/>
      <c r="E21" s="55"/>
      <c r="F21" s="55"/>
      <c r="G21" s="55"/>
      <c r="H21" s="51"/>
      <c r="I21" s="52"/>
      <c r="J21" s="74" t="s">
        <v>807</v>
      </c>
      <c r="K21" s="57"/>
      <c r="L21" s="75">
        <v>8.6</v>
      </c>
      <c r="M21" s="60">
        <v>493</v>
      </c>
      <c r="N21" s="76">
        <v>26</v>
      </c>
      <c r="O21" s="42"/>
      <c r="P21" s="58" t="s">
        <v>36</v>
      </c>
      <c r="Q21" s="61"/>
      <c r="R21" s="62"/>
      <c r="S21" s="78">
        <f t="shared" si="0"/>
        <v>12818</v>
      </c>
      <c r="T21" s="44" t="str">
        <f t="shared" si="1"/>
        <v>12818grams</v>
      </c>
      <c r="U21" s="77">
        <f t="shared" si="2"/>
        <v>4239.8</v>
      </c>
      <c r="V21" s="46"/>
      <c r="W21" s="48"/>
      <c r="X21" s="46"/>
    </row>
    <row r="22" spans="1:24" ht="15" customHeight="1" thickBot="1" x14ac:dyDescent="0.35">
      <c r="A22" s="2">
        <v>1</v>
      </c>
      <c r="B22" s="67" t="s">
        <v>801</v>
      </c>
      <c r="C22" s="55"/>
      <c r="D22" s="41"/>
      <c r="E22" s="55"/>
      <c r="F22" s="55"/>
      <c r="G22" s="55"/>
      <c r="H22" s="51"/>
      <c r="I22" s="52"/>
      <c r="J22" s="74" t="s">
        <v>807</v>
      </c>
      <c r="K22" s="57"/>
      <c r="L22" s="75">
        <v>8.51</v>
      </c>
      <c r="M22" s="60">
        <v>7</v>
      </c>
      <c r="N22" s="76">
        <v>20</v>
      </c>
      <c r="O22" s="42"/>
      <c r="P22" s="58" t="s">
        <v>36</v>
      </c>
      <c r="Q22" s="61"/>
      <c r="R22" s="62"/>
      <c r="S22" s="78">
        <f t="shared" si="0"/>
        <v>140</v>
      </c>
      <c r="T22" s="44" t="str">
        <f t="shared" si="1"/>
        <v>140grams</v>
      </c>
      <c r="U22" s="77">
        <f t="shared" si="2"/>
        <v>59.57</v>
      </c>
      <c r="V22" s="53"/>
      <c r="W22" s="49"/>
      <c r="X22" s="39"/>
    </row>
    <row r="23" spans="1:24" ht="15" customHeight="1" thickBot="1" x14ac:dyDescent="0.35">
      <c r="A23" s="2">
        <v>1</v>
      </c>
      <c r="B23" s="67" t="s">
        <v>801</v>
      </c>
      <c r="C23" s="55"/>
      <c r="D23" s="41"/>
      <c r="E23" s="55"/>
      <c r="F23" s="55"/>
      <c r="G23" s="55"/>
      <c r="H23" s="51"/>
      <c r="I23" s="52"/>
      <c r="J23" s="74" t="s">
        <v>807</v>
      </c>
      <c r="K23" s="57"/>
      <c r="L23" s="75">
        <v>8.6</v>
      </c>
      <c r="M23" s="60">
        <v>27</v>
      </c>
      <c r="N23" s="76">
        <v>20</v>
      </c>
      <c r="O23" s="42"/>
      <c r="P23" s="58" t="s">
        <v>36</v>
      </c>
      <c r="Q23" s="61"/>
      <c r="R23" s="62"/>
      <c r="S23" s="78">
        <f t="shared" si="0"/>
        <v>540</v>
      </c>
      <c r="T23" s="44" t="str">
        <f t="shared" si="1"/>
        <v>540grams</v>
      </c>
      <c r="U23" s="77">
        <f t="shared" si="2"/>
        <v>232.2</v>
      </c>
      <c r="V23" s="46"/>
      <c r="W23" s="48"/>
      <c r="X23" s="46"/>
    </row>
    <row r="24" spans="1:24" ht="15" customHeight="1" thickBot="1" x14ac:dyDescent="0.35">
      <c r="A24" s="2">
        <v>1</v>
      </c>
      <c r="B24" s="67" t="s">
        <v>801</v>
      </c>
      <c r="C24" s="55"/>
      <c r="D24" s="41"/>
      <c r="E24" s="55"/>
      <c r="F24" s="55"/>
      <c r="G24" s="55"/>
      <c r="H24" s="51"/>
      <c r="I24" s="52"/>
      <c r="J24" s="74" t="s">
        <v>808</v>
      </c>
      <c r="K24" s="57"/>
      <c r="L24" s="75">
        <v>13.9</v>
      </c>
      <c r="M24" s="60">
        <v>62</v>
      </c>
      <c r="N24" s="76">
        <v>40</v>
      </c>
      <c r="O24" s="42"/>
      <c r="P24" s="58" t="s">
        <v>36</v>
      </c>
      <c r="Q24" s="61"/>
      <c r="R24" s="62"/>
      <c r="S24" s="78">
        <f t="shared" si="0"/>
        <v>2480</v>
      </c>
      <c r="T24" s="44" t="str">
        <f t="shared" si="1"/>
        <v>2480grams</v>
      </c>
      <c r="U24" s="77">
        <f t="shared" si="2"/>
        <v>861.80000000000007</v>
      </c>
      <c r="V24" s="46"/>
      <c r="W24" s="48"/>
      <c r="X24" s="46"/>
    </row>
    <row r="25" spans="1:24" ht="15" customHeight="1" thickBot="1" x14ac:dyDescent="0.35">
      <c r="A25" s="2">
        <v>1</v>
      </c>
      <c r="B25" s="67" t="s">
        <v>801</v>
      </c>
      <c r="C25" s="55"/>
      <c r="D25" s="41"/>
      <c r="E25" s="55"/>
      <c r="F25" s="55"/>
      <c r="G25" s="55"/>
      <c r="H25" s="51"/>
      <c r="I25" s="52"/>
      <c r="J25" s="74" t="s">
        <v>809</v>
      </c>
      <c r="K25" s="57"/>
      <c r="L25" s="75">
        <v>12.26</v>
      </c>
      <c r="M25" s="60">
        <v>255</v>
      </c>
      <c r="N25" s="76">
        <v>51</v>
      </c>
      <c r="O25" s="42"/>
      <c r="P25" s="58" t="s">
        <v>36</v>
      </c>
      <c r="Q25" s="61"/>
      <c r="R25" s="62"/>
      <c r="S25" s="78">
        <f t="shared" si="0"/>
        <v>13005</v>
      </c>
      <c r="T25" s="44" t="str">
        <f t="shared" si="1"/>
        <v>13005grams</v>
      </c>
      <c r="U25" s="77">
        <f t="shared" si="2"/>
        <v>3126.2999999999997</v>
      </c>
      <c r="V25" s="46"/>
      <c r="W25" s="48"/>
      <c r="X25" s="46"/>
    </row>
    <row r="26" spans="1:24" ht="15" customHeight="1" thickBot="1" x14ac:dyDescent="0.35">
      <c r="A26" s="2">
        <v>1</v>
      </c>
      <c r="B26" s="67" t="s">
        <v>801</v>
      </c>
      <c r="C26" s="55"/>
      <c r="D26" s="41"/>
      <c r="E26" s="55"/>
      <c r="F26" s="55"/>
      <c r="G26" s="55"/>
      <c r="H26" s="51"/>
      <c r="I26" s="52"/>
      <c r="J26" s="74" t="s">
        <v>809</v>
      </c>
      <c r="K26" s="57"/>
      <c r="L26" s="75">
        <v>8.51</v>
      </c>
      <c r="M26" s="60">
        <v>15</v>
      </c>
      <c r="N26" s="76">
        <v>51</v>
      </c>
      <c r="O26" s="42"/>
      <c r="P26" s="58" t="s">
        <v>36</v>
      </c>
      <c r="Q26" s="61"/>
      <c r="R26" s="62"/>
      <c r="S26" s="78">
        <f t="shared" si="0"/>
        <v>765</v>
      </c>
      <c r="T26" s="44" t="str">
        <f t="shared" si="1"/>
        <v>765grams</v>
      </c>
      <c r="U26" s="77">
        <f t="shared" si="2"/>
        <v>127.64999999999999</v>
      </c>
      <c r="V26" s="46"/>
      <c r="W26" s="48"/>
      <c r="X26" s="46"/>
    </row>
    <row r="27" spans="1:24" ht="15" customHeight="1" thickBot="1" x14ac:dyDescent="0.35">
      <c r="A27" s="2">
        <v>1</v>
      </c>
      <c r="B27" s="67" t="s">
        <v>801</v>
      </c>
      <c r="C27" s="55"/>
      <c r="D27" s="41"/>
      <c r="E27" s="55"/>
      <c r="F27" s="55"/>
      <c r="G27" s="55"/>
      <c r="H27" s="51"/>
      <c r="I27" s="52"/>
      <c r="J27" s="74" t="s">
        <v>806</v>
      </c>
      <c r="K27" s="57"/>
      <c r="L27" s="75">
        <v>7.7</v>
      </c>
      <c r="M27" s="60">
        <v>30</v>
      </c>
      <c r="N27" s="76">
        <v>26</v>
      </c>
      <c r="O27" s="42"/>
      <c r="P27" s="58" t="s">
        <v>36</v>
      </c>
      <c r="Q27" s="61"/>
      <c r="R27" s="62"/>
      <c r="S27" s="78">
        <f t="shared" si="0"/>
        <v>780</v>
      </c>
      <c r="T27" s="44" t="str">
        <f t="shared" si="1"/>
        <v>780grams</v>
      </c>
      <c r="U27" s="77">
        <f t="shared" si="2"/>
        <v>231</v>
      </c>
      <c r="V27" s="46"/>
      <c r="W27" s="48"/>
      <c r="X27" s="46"/>
    </row>
    <row r="28" spans="1:24" ht="15" customHeight="1" thickBot="1" x14ac:dyDescent="0.35">
      <c r="A28" s="2">
        <v>1</v>
      </c>
      <c r="B28" s="67" t="s">
        <v>801</v>
      </c>
      <c r="C28" s="55"/>
      <c r="D28" s="41"/>
      <c r="E28" s="55"/>
      <c r="F28" s="55"/>
      <c r="G28" s="55"/>
      <c r="H28" s="51"/>
      <c r="I28" s="52"/>
      <c r="J28" s="74" t="s">
        <v>806</v>
      </c>
      <c r="K28" s="57"/>
      <c r="L28" s="75">
        <v>7.7</v>
      </c>
      <c r="M28" s="60">
        <v>126</v>
      </c>
      <c r="N28" s="76">
        <v>20</v>
      </c>
      <c r="O28" s="42"/>
      <c r="P28" s="58" t="s">
        <v>36</v>
      </c>
      <c r="Q28" s="61"/>
      <c r="R28" s="62"/>
      <c r="S28" s="78">
        <f t="shared" si="0"/>
        <v>2520</v>
      </c>
      <c r="T28" s="44" t="str">
        <f t="shared" si="1"/>
        <v>2520grams</v>
      </c>
      <c r="U28" s="77">
        <f t="shared" si="2"/>
        <v>970.2</v>
      </c>
      <c r="V28" s="46"/>
      <c r="W28" s="46"/>
      <c r="X28" s="46"/>
    </row>
    <row r="29" spans="1:24" ht="15" customHeight="1" thickBot="1" x14ac:dyDescent="0.35">
      <c r="A29" s="2">
        <v>1</v>
      </c>
      <c r="B29" s="68" t="s">
        <v>801</v>
      </c>
      <c r="C29" s="55"/>
      <c r="D29" s="41"/>
      <c r="E29" s="55"/>
      <c r="F29" s="55"/>
      <c r="G29" s="55"/>
      <c r="H29" s="51"/>
      <c r="I29" s="52"/>
      <c r="J29" s="74" t="s">
        <v>666</v>
      </c>
      <c r="K29" s="57"/>
      <c r="L29" s="75">
        <v>7.37</v>
      </c>
      <c r="M29" s="60">
        <v>2</v>
      </c>
      <c r="N29" s="76">
        <v>1</v>
      </c>
      <c r="O29" s="42"/>
      <c r="P29" s="58" t="s">
        <v>36</v>
      </c>
      <c r="Q29" s="61"/>
      <c r="R29" s="62"/>
      <c r="S29" s="78">
        <f t="shared" si="0"/>
        <v>2</v>
      </c>
      <c r="T29" s="44" t="str">
        <f t="shared" si="1"/>
        <v>2grams</v>
      </c>
      <c r="U29" s="77">
        <f t="shared" si="2"/>
        <v>14.74</v>
      </c>
      <c r="V29" s="50"/>
      <c r="W29" s="54"/>
      <c r="X29" s="39"/>
    </row>
    <row r="30" spans="1:24" ht="15" customHeight="1" thickBot="1" x14ac:dyDescent="0.35">
      <c r="A30" s="2">
        <v>2</v>
      </c>
      <c r="B30" s="67" t="s">
        <v>41</v>
      </c>
      <c r="C30" s="55"/>
      <c r="D30" s="41"/>
      <c r="E30" s="55"/>
      <c r="F30" s="55"/>
      <c r="G30" s="55"/>
      <c r="H30" s="51"/>
      <c r="I30" s="52"/>
      <c r="J30" s="74"/>
      <c r="K30" s="57"/>
      <c r="L30" s="75">
        <v>60</v>
      </c>
      <c r="M30" s="60">
        <v>2</v>
      </c>
      <c r="N30" s="76">
        <v>1</v>
      </c>
      <c r="O30" s="42"/>
      <c r="P30" s="58" t="s">
        <v>88</v>
      </c>
      <c r="Q30" s="61"/>
      <c r="R30" s="62"/>
      <c r="S30" s="78">
        <f t="shared" si="0"/>
        <v>2</v>
      </c>
      <c r="T30" s="44" t="str">
        <f t="shared" si="1"/>
        <v>2kilos</v>
      </c>
      <c r="U30" s="77">
        <f t="shared" si="2"/>
        <v>120</v>
      </c>
      <c r="V30" s="46"/>
      <c r="W30" s="46"/>
      <c r="X30" s="46"/>
    </row>
    <row r="31" spans="1:24" ht="15" customHeight="1" thickBot="1" x14ac:dyDescent="0.35">
      <c r="A31" s="2">
        <v>2</v>
      </c>
      <c r="B31" s="67" t="s">
        <v>41</v>
      </c>
      <c r="C31" s="55"/>
      <c r="D31" s="41"/>
      <c r="E31" s="55"/>
      <c r="F31" s="55"/>
      <c r="G31" s="55"/>
      <c r="H31" s="51"/>
      <c r="I31" s="52"/>
      <c r="J31" s="74"/>
      <c r="K31" s="57"/>
      <c r="L31" s="75">
        <v>60</v>
      </c>
      <c r="M31" s="60">
        <v>5</v>
      </c>
      <c r="N31" s="76">
        <v>1</v>
      </c>
      <c r="O31" s="42"/>
      <c r="P31" s="58" t="s">
        <v>88</v>
      </c>
      <c r="Q31" s="61"/>
      <c r="R31" s="62"/>
      <c r="S31" s="78">
        <f t="shared" si="0"/>
        <v>5</v>
      </c>
      <c r="T31" s="44" t="str">
        <f t="shared" si="1"/>
        <v>5kilos</v>
      </c>
      <c r="U31" s="77">
        <f t="shared" si="2"/>
        <v>300</v>
      </c>
      <c r="V31" s="46"/>
      <c r="W31" s="46"/>
      <c r="X31" s="46"/>
    </row>
    <row r="32" spans="1:24" ht="15" customHeight="1" thickBot="1" x14ac:dyDescent="0.35">
      <c r="A32" s="2">
        <v>2</v>
      </c>
      <c r="B32" s="67" t="s">
        <v>41</v>
      </c>
      <c r="C32" s="55"/>
      <c r="D32" s="41"/>
      <c r="E32" s="55"/>
      <c r="F32" s="55"/>
      <c r="G32" s="55"/>
      <c r="H32" s="51"/>
      <c r="I32" s="52"/>
      <c r="J32" s="74"/>
      <c r="K32" s="57"/>
      <c r="L32" s="75">
        <v>90</v>
      </c>
      <c r="M32" s="60">
        <v>1</v>
      </c>
      <c r="N32" s="76">
        <v>1</v>
      </c>
      <c r="O32" s="42"/>
      <c r="P32" s="58" t="s">
        <v>88</v>
      </c>
      <c r="Q32" s="61"/>
      <c r="R32" s="62"/>
      <c r="S32" s="78">
        <f t="shared" si="0"/>
        <v>1</v>
      </c>
      <c r="T32" s="44" t="str">
        <f t="shared" si="1"/>
        <v>1kilos</v>
      </c>
      <c r="U32" s="77">
        <f t="shared" si="2"/>
        <v>90</v>
      </c>
      <c r="V32" s="46"/>
      <c r="W32" s="46"/>
      <c r="X32" s="46"/>
    </row>
    <row r="33" spans="1:24" ht="15" customHeight="1" thickBot="1" x14ac:dyDescent="0.35">
      <c r="A33" s="2">
        <v>3</v>
      </c>
      <c r="B33" s="67" t="s">
        <v>45</v>
      </c>
      <c r="C33" s="55"/>
      <c r="D33" s="41"/>
      <c r="E33" s="55"/>
      <c r="F33" s="55"/>
      <c r="G33" s="55"/>
      <c r="H33" s="51"/>
      <c r="I33" s="52"/>
      <c r="J33" s="74" t="s">
        <v>810</v>
      </c>
      <c r="K33" s="57"/>
      <c r="L33" s="75">
        <v>69.8</v>
      </c>
      <c r="M33" s="60">
        <v>7</v>
      </c>
      <c r="N33" s="76">
        <v>250</v>
      </c>
      <c r="O33" s="42"/>
      <c r="P33" s="58" t="s">
        <v>47</v>
      </c>
      <c r="Q33" s="61"/>
      <c r="R33" s="62"/>
      <c r="S33" s="78">
        <f t="shared" si="0"/>
        <v>1750</v>
      </c>
      <c r="T33" s="44" t="str">
        <f t="shared" si="1"/>
        <v>1750ml</v>
      </c>
      <c r="U33" s="77">
        <f t="shared" si="2"/>
        <v>488.59999999999997</v>
      </c>
      <c r="V33" s="46"/>
      <c r="W33" s="46"/>
      <c r="X33" s="46"/>
    </row>
    <row r="34" spans="1:24" ht="15" customHeight="1" thickBot="1" x14ac:dyDescent="0.35">
      <c r="A34" s="2">
        <v>3</v>
      </c>
      <c r="B34" s="67" t="s">
        <v>45</v>
      </c>
      <c r="C34" s="55"/>
      <c r="D34" s="41"/>
      <c r="E34" s="55"/>
      <c r="F34" s="55"/>
      <c r="G34" s="55"/>
      <c r="H34" s="51"/>
      <c r="I34" s="52"/>
      <c r="J34" s="74" t="s">
        <v>43</v>
      </c>
      <c r="K34" s="57"/>
      <c r="L34" s="75">
        <v>42.7</v>
      </c>
      <c r="M34" s="60">
        <v>13</v>
      </c>
      <c r="N34" s="76">
        <v>250</v>
      </c>
      <c r="O34" s="42"/>
      <c r="P34" s="58" t="s">
        <v>47</v>
      </c>
      <c r="Q34" s="61"/>
      <c r="R34" s="62"/>
      <c r="S34" s="78">
        <f t="shared" si="0"/>
        <v>3250</v>
      </c>
      <c r="T34" s="44" t="str">
        <f t="shared" si="1"/>
        <v>3250ml</v>
      </c>
      <c r="U34" s="77">
        <f t="shared" si="2"/>
        <v>555.1</v>
      </c>
      <c r="V34" s="50"/>
      <c r="W34" s="20"/>
      <c r="X34" s="20"/>
    </row>
    <row r="35" spans="1:24" ht="15" customHeight="1" thickBot="1" x14ac:dyDescent="0.35">
      <c r="A35" s="2">
        <v>3</v>
      </c>
      <c r="B35" s="67" t="s">
        <v>45</v>
      </c>
      <c r="C35" s="55"/>
      <c r="D35" s="41"/>
      <c r="E35" s="55"/>
      <c r="F35" s="55"/>
      <c r="G35" s="55"/>
      <c r="H35" s="51"/>
      <c r="I35" s="52"/>
      <c r="J35" s="74" t="s">
        <v>810</v>
      </c>
      <c r="K35" s="57"/>
      <c r="L35" s="75">
        <v>61.88</v>
      </c>
      <c r="M35" s="60">
        <v>2</v>
      </c>
      <c r="N35" s="76">
        <v>250</v>
      </c>
      <c r="O35" s="42"/>
      <c r="P35" s="58" t="s">
        <v>47</v>
      </c>
      <c r="Q35" s="61"/>
      <c r="R35" s="62"/>
      <c r="S35" s="78">
        <f t="shared" si="0"/>
        <v>500</v>
      </c>
      <c r="T35" s="44" t="str">
        <f t="shared" si="1"/>
        <v>500ml</v>
      </c>
      <c r="U35" s="77">
        <f t="shared" si="2"/>
        <v>123.76</v>
      </c>
      <c r="V35" s="46"/>
      <c r="W35" s="46"/>
      <c r="X35" s="46"/>
    </row>
    <row r="36" spans="1:24" ht="15" customHeight="1" thickBot="1" x14ac:dyDescent="0.35">
      <c r="A36" s="2">
        <v>3</v>
      </c>
      <c r="B36" s="67" t="s">
        <v>45</v>
      </c>
      <c r="C36" s="55"/>
      <c r="D36" s="41"/>
      <c r="E36" s="55"/>
      <c r="F36" s="55"/>
      <c r="G36" s="55"/>
      <c r="H36" s="51"/>
      <c r="I36" s="52"/>
      <c r="J36" s="74" t="s">
        <v>810</v>
      </c>
      <c r="K36" s="57"/>
      <c r="L36" s="75">
        <v>68.900000000000006</v>
      </c>
      <c r="M36" s="60">
        <v>49</v>
      </c>
      <c r="N36" s="76">
        <v>250</v>
      </c>
      <c r="O36" s="42"/>
      <c r="P36" s="58" t="s">
        <v>47</v>
      </c>
      <c r="Q36" s="61"/>
      <c r="R36" s="62"/>
      <c r="S36" s="78">
        <f t="shared" si="0"/>
        <v>12250</v>
      </c>
      <c r="T36" s="44" t="str">
        <f t="shared" si="1"/>
        <v>12250ml</v>
      </c>
      <c r="U36" s="77">
        <f t="shared" si="2"/>
        <v>3376.1000000000004</v>
      </c>
      <c r="V36" s="46"/>
      <c r="W36" s="46"/>
      <c r="X36" s="46"/>
    </row>
    <row r="37" spans="1:24" ht="15" customHeight="1" thickBot="1" x14ac:dyDescent="0.35">
      <c r="A37" s="2">
        <v>3</v>
      </c>
      <c r="B37" s="67" t="s">
        <v>45</v>
      </c>
      <c r="C37" s="55"/>
      <c r="D37" s="41"/>
      <c r="E37" s="55"/>
      <c r="F37" s="55"/>
      <c r="G37" s="55"/>
      <c r="H37" s="51"/>
      <c r="I37" s="52"/>
      <c r="J37" s="74" t="s">
        <v>810</v>
      </c>
      <c r="K37" s="57"/>
      <c r="L37" s="75">
        <v>69.8</v>
      </c>
      <c r="M37" s="60">
        <v>36</v>
      </c>
      <c r="N37" s="76">
        <v>250</v>
      </c>
      <c r="O37" s="42"/>
      <c r="P37" s="58" t="s">
        <v>47</v>
      </c>
      <c r="Q37" s="61"/>
      <c r="R37" s="62"/>
      <c r="S37" s="78">
        <f t="shared" si="0"/>
        <v>9000</v>
      </c>
      <c r="T37" s="44" t="str">
        <f t="shared" si="1"/>
        <v>9000ml</v>
      </c>
      <c r="U37" s="77">
        <f t="shared" si="2"/>
        <v>2512.7999999999997</v>
      </c>
      <c r="V37" s="50"/>
      <c r="W37" s="54"/>
      <c r="X37" s="39"/>
    </row>
    <row r="38" spans="1:24" ht="15" customHeight="1" thickBot="1" x14ac:dyDescent="0.35">
      <c r="A38" s="2">
        <v>3</v>
      </c>
      <c r="B38" s="68" t="s">
        <v>45</v>
      </c>
      <c r="C38" s="55"/>
      <c r="D38" s="41"/>
      <c r="E38" s="55"/>
      <c r="F38" s="55"/>
      <c r="G38" s="55"/>
      <c r="H38" s="51"/>
      <c r="I38" s="52"/>
      <c r="J38" s="74" t="s">
        <v>810</v>
      </c>
      <c r="K38" s="57"/>
      <c r="L38" s="75">
        <v>63.5</v>
      </c>
      <c r="M38" s="60">
        <v>3</v>
      </c>
      <c r="N38" s="76">
        <v>250</v>
      </c>
      <c r="O38" s="42"/>
      <c r="P38" s="58" t="s">
        <v>47</v>
      </c>
      <c r="Q38" s="61"/>
      <c r="R38" s="62"/>
      <c r="S38" s="78">
        <f t="shared" si="0"/>
        <v>750</v>
      </c>
      <c r="T38" s="44" t="str">
        <f t="shared" si="1"/>
        <v>750ml</v>
      </c>
      <c r="U38" s="77">
        <f t="shared" si="2"/>
        <v>190.5</v>
      </c>
      <c r="V38" s="46"/>
      <c r="W38" s="46"/>
      <c r="X38" s="46"/>
    </row>
    <row r="39" spans="1:24" ht="15" customHeight="1" thickBot="1" x14ac:dyDescent="0.35">
      <c r="A39" s="2">
        <v>3</v>
      </c>
      <c r="B39" s="67" t="s">
        <v>45</v>
      </c>
      <c r="C39" s="55"/>
      <c r="D39" s="41"/>
      <c r="E39" s="55"/>
      <c r="F39" s="55"/>
      <c r="G39" s="55"/>
      <c r="H39" s="51"/>
      <c r="I39" s="52"/>
      <c r="J39" s="74" t="s">
        <v>48</v>
      </c>
      <c r="K39" s="57"/>
      <c r="L39" s="75">
        <v>47.6</v>
      </c>
      <c r="M39" s="60">
        <v>7</v>
      </c>
      <c r="N39" s="76">
        <v>250</v>
      </c>
      <c r="O39" s="42"/>
      <c r="P39" s="58" t="s">
        <v>47</v>
      </c>
      <c r="Q39" s="61"/>
      <c r="R39" s="62"/>
      <c r="S39" s="78">
        <f t="shared" si="0"/>
        <v>1750</v>
      </c>
      <c r="T39" s="44" t="str">
        <f t="shared" si="1"/>
        <v>1750ml</v>
      </c>
      <c r="U39" s="77">
        <f t="shared" si="2"/>
        <v>333.2</v>
      </c>
      <c r="V39" s="46"/>
      <c r="W39" s="46"/>
      <c r="X39" s="46"/>
    </row>
    <row r="40" spans="1:24" ht="15" customHeight="1" thickBot="1" x14ac:dyDescent="0.35">
      <c r="A40" s="2">
        <v>4</v>
      </c>
      <c r="B40" s="67" t="s">
        <v>50</v>
      </c>
      <c r="C40" s="55"/>
      <c r="D40" s="41"/>
      <c r="E40" s="55"/>
      <c r="F40" s="55"/>
      <c r="G40" s="55"/>
      <c r="H40" s="51"/>
      <c r="I40" s="52"/>
      <c r="J40" s="74" t="s">
        <v>51</v>
      </c>
      <c r="K40" s="57"/>
      <c r="L40" s="75">
        <v>420.6</v>
      </c>
      <c r="M40" s="60">
        <v>2</v>
      </c>
      <c r="N40" s="76">
        <v>3500</v>
      </c>
      <c r="O40" s="42"/>
      <c r="P40" s="58" t="s">
        <v>47</v>
      </c>
      <c r="Q40" s="61"/>
      <c r="R40" s="62"/>
      <c r="S40" s="78">
        <f t="shared" si="0"/>
        <v>7000</v>
      </c>
      <c r="T40" s="44" t="str">
        <f t="shared" si="1"/>
        <v>7000ml</v>
      </c>
      <c r="U40" s="77">
        <f t="shared" si="2"/>
        <v>841.2</v>
      </c>
      <c r="V40" s="50"/>
      <c r="W40" s="54"/>
      <c r="X40" s="39"/>
    </row>
    <row r="41" spans="1:24" ht="15" customHeight="1" thickBot="1" x14ac:dyDescent="0.35">
      <c r="A41" s="2">
        <v>4</v>
      </c>
      <c r="B41" s="67" t="s">
        <v>50</v>
      </c>
      <c r="C41" s="55"/>
      <c r="D41" s="41"/>
      <c r="E41" s="55"/>
      <c r="F41" s="55"/>
      <c r="G41" s="55"/>
      <c r="H41" s="51"/>
      <c r="I41" s="52"/>
      <c r="J41" s="74" t="s">
        <v>51</v>
      </c>
      <c r="K41" s="57"/>
      <c r="L41" s="75">
        <v>420.6</v>
      </c>
      <c r="M41" s="60">
        <v>1</v>
      </c>
      <c r="N41" s="76">
        <v>3500</v>
      </c>
      <c r="O41" s="42"/>
      <c r="P41" s="58" t="s">
        <v>47</v>
      </c>
      <c r="Q41" s="61"/>
      <c r="R41" s="62"/>
      <c r="S41" s="78">
        <f t="shared" si="0"/>
        <v>3500</v>
      </c>
      <c r="T41" s="44" t="str">
        <f t="shared" si="1"/>
        <v>3500ml</v>
      </c>
      <c r="U41" s="77">
        <f t="shared" si="2"/>
        <v>420.6</v>
      </c>
      <c r="V41" s="46"/>
      <c r="W41" s="46"/>
      <c r="X41" s="46"/>
    </row>
    <row r="42" spans="1:24" ht="15" customHeight="1" thickBot="1" x14ac:dyDescent="0.35">
      <c r="A42" s="2">
        <v>4</v>
      </c>
      <c r="B42" s="67" t="s">
        <v>50</v>
      </c>
      <c r="C42" s="55"/>
      <c r="D42" s="41"/>
      <c r="E42" s="55"/>
      <c r="F42" s="55"/>
      <c r="G42" s="55"/>
      <c r="H42" s="51"/>
      <c r="I42" s="52"/>
      <c r="J42" s="74" t="s">
        <v>51</v>
      </c>
      <c r="K42" s="57"/>
      <c r="L42" s="75">
        <v>420.6</v>
      </c>
      <c r="M42" s="60">
        <v>1</v>
      </c>
      <c r="N42" s="76">
        <v>3500</v>
      </c>
      <c r="O42" s="42"/>
      <c r="P42" s="58" t="s">
        <v>47</v>
      </c>
      <c r="Q42" s="61"/>
      <c r="R42" s="62"/>
      <c r="S42" s="78">
        <f t="shared" si="0"/>
        <v>3500</v>
      </c>
      <c r="T42" s="44" t="str">
        <f t="shared" si="1"/>
        <v>3500ml</v>
      </c>
      <c r="U42" s="77">
        <f t="shared" si="2"/>
        <v>420.6</v>
      </c>
      <c r="V42" s="46"/>
      <c r="W42" s="46"/>
      <c r="X42" s="46"/>
    </row>
    <row r="43" spans="1:24" ht="15" customHeight="1" thickBot="1" x14ac:dyDescent="0.35">
      <c r="A43" s="2">
        <v>5</v>
      </c>
      <c r="B43" s="67" t="s">
        <v>54</v>
      </c>
      <c r="C43" s="55"/>
      <c r="D43" s="41"/>
      <c r="E43" s="55"/>
      <c r="F43" s="55"/>
      <c r="G43" s="55"/>
      <c r="H43" s="51"/>
      <c r="I43" s="52"/>
      <c r="J43" s="74" t="s">
        <v>811</v>
      </c>
      <c r="K43" s="57"/>
      <c r="L43" s="75">
        <v>48</v>
      </c>
      <c r="M43" s="60">
        <v>1</v>
      </c>
      <c r="N43" s="76">
        <v>1</v>
      </c>
      <c r="O43" s="42"/>
      <c r="P43" s="58" t="s">
        <v>88</v>
      </c>
      <c r="Q43" s="61"/>
      <c r="R43" s="62"/>
      <c r="S43" s="78">
        <f t="shared" si="0"/>
        <v>1</v>
      </c>
      <c r="T43" s="44" t="str">
        <f t="shared" si="1"/>
        <v>1kilos</v>
      </c>
      <c r="U43" s="77">
        <f t="shared" si="2"/>
        <v>48</v>
      </c>
      <c r="V43" s="46"/>
      <c r="W43" s="46"/>
      <c r="X43" s="46"/>
    </row>
    <row r="44" spans="1:24" ht="15" customHeight="1" thickBot="1" x14ac:dyDescent="0.35">
      <c r="A44" s="2">
        <v>5</v>
      </c>
      <c r="B44" s="67" t="s">
        <v>54</v>
      </c>
      <c r="C44" s="55"/>
      <c r="D44" s="41"/>
      <c r="E44" s="55"/>
      <c r="F44" s="55"/>
      <c r="G44" s="55"/>
      <c r="H44" s="51"/>
      <c r="I44" s="52"/>
      <c r="J44" s="74" t="s">
        <v>57</v>
      </c>
      <c r="K44" s="57"/>
      <c r="L44" s="75">
        <v>42.53</v>
      </c>
      <c r="M44" s="60">
        <v>21</v>
      </c>
      <c r="N44" s="76">
        <v>400</v>
      </c>
      <c r="O44" s="42"/>
      <c r="P44" s="58" t="s">
        <v>36</v>
      </c>
      <c r="Q44" s="61"/>
      <c r="R44" s="62"/>
      <c r="S44" s="78">
        <f t="shared" si="0"/>
        <v>8400</v>
      </c>
      <c r="T44" s="44" t="str">
        <f t="shared" si="1"/>
        <v>8400grams</v>
      </c>
      <c r="U44" s="77">
        <f t="shared" si="2"/>
        <v>893.13</v>
      </c>
      <c r="V44" s="46"/>
      <c r="W44" s="46"/>
      <c r="X44" s="46"/>
    </row>
    <row r="45" spans="1:24" ht="15" customHeight="1" thickBot="1" x14ac:dyDescent="0.35">
      <c r="A45" s="2">
        <v>5</v>
      </c>
      <c r="B45" s="67" t="s">
        <v>54</v>
      </c>
      <c r="C45" s="55"/>
      <c r="D45" s="41"/>
      <c r="E45" s="55"/>
      <c r="F45" s="55"/>
      <c r="G45" s="55"/>
      <c r="H45" s="51"/>
      <c r="I45" s="52"/>
      <c r="J45" s="74" t="s">
        <v>812</v>
      </c>
      <c r="K45" s="57"/>
      <c r="L45" s="75">
        <v>455</v>
      </c>
      <c r="M45" s="60">
        <v>1</v>
      </c>
      <c r="N45" s="76">
        <v>4000</v>
      </c>
      <c r="O45" s="42"/>
      <c r="P45" s="58" t="s">
        <v>36</v>
      </c>
      <c r="Q45" s="61"/>
      <c r="R45" s="62"/>
      <c r="S45" s="78">
        <f t="shared" si="0"/>
        <v>4000</v>
      </c>
      <c r="T45" s="44" t="str">
        <f t="shared" si="1"/>
        <v>4000grams</v>
      </c>
      <c r="U45" s="77">
        <f t="shared" si="2"/>
        <v>455</v>
      </c>
      <c r="V45" s="46"/>
      <c r="W45" s="46"/>
      <c r="X45" s="46"/>
    </row>
    <row r="46" spans="1:24" ht="15" customHeight="1" thickBot="1" x14ac:dyDescent="0.35">
      <c r="A46" s="2">
        <v>5</v>
      </c>
      <c r="B46" s="67" t="s">
        <v>54</v>
      </c>
      <c r="C46" s="55"/>
      <c r="D46" s="41"/>
      <c r="E46" s="55"/>
      <c r="F46" s="55"/>
      <c r="G46" s="55"/>
      <c r="H46" s="51"/>
      <c r="I46" s="52"/>
      <c r="J46" s="74" t="s">
        <v>813</v>
      </c>
      <c r="K46" s="57"/>
      <c r="L46" s="75">
        <v>65</v>
      </c>
      <c r="M46" s="60">
        <v>15</v>
      </c>
      <c r="N46" s="76">
        <v>1000</v>
      </c>
      <c r="O46" s="42"/>
      <c r="P46" s="58" t="s">
        <v>36</v>
      </c>
      <c r="Q46" s="61"/>
      <c r="R46" s="62"/>
      <c r="S46" s="78">
        <f t="shared" si="0"/>
        <v>15000</v>
      </c>
      <c r="T46" s="44" t="str">
        <f t="shared" si="1"/>
        <v>15000grams</v>
      </c>
      <c r="U46" s="77">
        <f t="shared" si="2"/>
        <v>975</v>
      </c>
      <c r="V46" s="46"/>
      <c r="W46" s="46"/>
      <c r="X46" s="46"/>
    </row>
    <row r="47" spans="1:24" ht="15" customHeight="1" thickBot="1" x14ac:dyDescent="0.35">
      <c r="A47" s="2">
        <v>5</v>
      </c>
      <c r="B47" s="67" t="s">
        <v>54</v>
      </c>
      <c r="C47" s="55"/>
      <c r="D47" s="41"/>
      <c r="E47" s="55"/>
      <c r="F47" s="55"/>
      <c r="G47" s="55"/>
      <c r="H47" s="51"/>
      <c r="I47" s="52"/>
      <c r="J47" s="74" t="s">
        <v>61</v>
      </c>
      <c r="K47" s="57"/>
      <c r="L47" s="75">
        <v>52</v>
      </c>
      <c r="M47" s="60">
        <v>9</v>
      </c>
      <c r="N47" s="76">
        <v>1000</v>
      </c>
      <c r="O47" s="42"/>
      <c r="P47" s="58" t="s">
        <v>88</v>
      </c>
      <c r="Q47" s="61"/>
      <c r="R47" s="62"/>
      <c r="S47" s="78">
        <f t="shared" si="0"/>
        <v>9000</v>
      </c>
      <c r="T47" s="44" t="str">
        <f t="shared" si="1"/>
        <v>9000kilos</v>
      </c>
      <c r="U47" s="77">
        <f t="shared" si="2"/>
        <v>468</v>
      </c>
      <c r="V47" s="20"/>
      <c r="W47" s="20"/>
      <c r="X47" s="20"/>
    </row>
    <row r="48" spans="1:24" ht="15" customHeight="1" thickBot="1" x14ac:dyDescent="0.35">
      <c r="A48" s="2">
        <v>5</v>
      </c>
      <c r="B48" s="67" t="s">
        <v>54</v>
      </c>
      <c r="C48" s="55"/>
      <c r="D48" s="41"/>
      <c r="E48" s="55"/>
      <c r="F48" s="55"/>
      <c r="G48" s="55"/>
      <c r="H48" s="51"/>
      <c r="I48" s="52"/>
      <c r="J48" s="74" t="s">
        <v>57</v>
      </c>
      <c r="K48" s="57"/>
      <c r="L48" s="75">
        <v>66.5</v>
      </c>
      <c r="M48" s="60">
        <v>2</v>
      </c>
      <c r="N48" s="76">
        <v>500</v>
      </c>
      <c r="O48" s="42"/>
      <c r="P48" s="58" t="s">
        <v>36</v>
      </c>
      <c r="Q48" s="61"/>
      <c r="R48" s="62"/>
      <c r="S48" s="78">
        <f t="shared" si="0"/>
        <v>1000</v>
      </c>
      <c r="T48" s="44" t="str">
        <f t="shared" si="1"/>
        <v>1000grams</v>
      </c>
      <c r="U48" s="77">
        <f t="shared" si="2"/>
        <v>133</v>
      </c>
      <c r="V48" s="46"/>
      <c r="W48" s="46"/>
      <c r="X48" s="46"/>
    </row>
    <row r="49" spans="1:24" ht="15" customHeight="1" thickBot="1" x14ac:dyDescent="0.35">
      <c r="A49" s="2">
        <v>5</v>
      </c>
      <c r="B49" s="67" t="s">
        <v>54</v>
      </c>
      <c r="C49" s="55"/>
      <c r="D49" s="41"/>
      <c r="E49" s="55"/>
      <c r="F49" s="55"/>
      <c r="G49" s="55"/>
      <c r="H49" s="51"/>
      <c r="I49" s="52"/>
      <c r="J49" s="74" t="s">
        <v>811</v>
      </c>
      <c r="K49" s="57"/>
      <c r="L49" s="75">
        <v>48</v>
      </c>
      <c r="M49" s="60">
        <v>27</v>
      </c>
      <c r="N49" s="76">
        <v>1000</v>
      </c>
      <c r="O49" s="42"/>
      <c r="P49" s="58" t="s">
        <v>36</v>
      </c>
      <c r="Q49" s="61"/>
      <c r="R49" s="62"/>
      <c r="S49" s="78">
        <f t="shared" si="0"/>
        <v>27000</v>
      </c>
      <c r="T49" s="44" t="str">
        <f t="shared" si="1"/>
        <v>27000grams</v>
      </c>
      <c r="U49" s="77">
        <f t="shared" si="2"/>
        <v>1296</v>
      </c>
      <c r="V49" s="46"/>
      <c r="W49" s="46"/>
      <c r="X49" s="46"/>
    </row>
    <row r="50" spans="1:24" ht="15" customHeight="1" thickBot="1" x14ac:dyDescent="0.35">
      <c r="A50" s="2">
        <v>5</v>
      </c>
      <c r="B50" s="67" t="s">
        <v>54</v>
      </c>
      <c r="C50" s="55"/>
      <c r="D50" s="41"/>
      <c r="E50" s="55"/>
      <c r="F50" s="55"/>
      <c r="G50" s="55"/>
      <c r="H50" s="51"/>
      <c r="I50" s="52"/>
      <c r="J50" s="74"/>
      <c r="K50" s="57"/>
      <c r="L50" s="75">
        <v>42</v>
      </c>
      <c r="M50" s="60">
        <v>3</v>
      </c>
      <c r="N50" s="76">
        <v>1</v>
      </c>
      <c r="O50" s="42"/>
      <c r="P50" s="58" t="s">
        <v>88</v>
      </c>
      <c r="Q50" s="61"/>
      <c r="R50" s="62"/>
      <c r="S50" s="78">
        <f t="shared" si="0"/>
        <v>3</v>
      </c>
      <c r="T50" s="44" t="str">
        <f t="shared" si="1"/>
        <v>3kilos</v>
      </c>
      <c r="U50" s="77">
        <f t="shared" si="2"/>
        <v>126</v>
      </c>
      <c r="V50" s="20"/>
      <c r="W50" s="20"/>
      <c r="X50" s="20"/>
    </row>
    <row r="51" spans="1:24" ht="15" customHeight="1" thickBot="1" x14ac:dyDescent="0.35">
      <c r="A51" s="2">
        <v>5</v>
      </c>
      <c r="B51" s="67" t="s">
        <v>54</v>
      </c>
      <c r="C51" s="55"/>
      <c r="D51" s="41"/>
      <c r="E51" s="55"/>
      <c r="F51" s="55"/>
      <c r="G51" s="55"/>
      <c r="H51" s="51"/>
      <c r="I51" s="52"/>
      <c r="J51" s="74" t="s">
        <v>70</v>
      </c>
      <c r="K51" s="57"/>
      <c r="L51" s="75">
        <v>55</v>
      </c>
      <c r="M51" s="60">
        <v>3</v>
      </c>
      <c r="N51" s="76">
        <v>1000</v>
      </c>
      <c r="O51" s="42"/>
      <c r="P51" s="58" t="s">
        <v>88</v>
      </c>
      <c r="Q51" s="61"/>
      <c r="R51" s="62"/>
      <c r="S51" s="78">
        <f t="shared" si="0"/>
        <v>3000</v>
      </c>
      <c r="T51" s="44" t="str">
        <f t="shared" si="1"/>
        <v>3000kilos</v>
      </c>
      <c r="U51" s="77">
        <f t="shared" si="2"/>
        <v>165</v>
      </c>
      <c r="V51" s="20"/>
      <c r="W51" s="20"/>
      <c r="X51" s="20"/>
    </row>
    <row r="52" spans="1:24" ht="15" customHeight="1" thickBot="1" x14ac:dyDescent="0.35">
      <c r="A52" s="2">
        <v>6</v>
      </c>
      <c r="B52" s="68" t="s">
        <v>814</v>
      </c>
      <c r="C52" s="55"/>
      <c r="D52" s="41"/>
      <c r="E52" s="55"/>
      <c r="F52" s="55"/>
      <c r="G52" s="55"/>
      <c r="H52" s="51"/>
      <c r="I52" s="52"/>
      <c r="J52" s="74"/>
      <c r="K52" s="57"/>
      <c r="L52" s="75">
        <v>37.6</v>
      </c>
      <c r="M52" s="60">
        <v>10</v>
      </c>
      <c r="N52" s="76">
        <v>1000</v>
      </c>
      <c r="O52" s="42"/>
      <c r="P52" s="58" t="s">
        <v>36</v>
      </c>
      <c r="Q52" s="61"/>
      <c r="R52" s="62"/>
      <c r="S52" s="78">
        <f t="shared" si="0"/>
        <v>10000</v>
      </c>
      <c r="T52" s="44" t="str">
        <f t="shared" si="1"/>
        <v>10000grams</v>
      </c>
      <c r="U52" s="77">
        <f t="shared" si="2"/>
        <v>376</v>
      </c>
      <c r="V52" s="46"/>
      <c r="W52" s="46"/>
      <c r="X52" s="46"/>
    </row>
    <row r="53" spans="1:24" ht="15" customHeight="1" thickBot="1" x14ac:dyDescent="0.35">
      <c r="A53" s="2">
        <v>7</v>
      </c>
      <c r="B53" s="67" t="s">
        <v>60</v>
      </c>
      <c r="C53" s="55"/>
      <c r="D53" s="41"/>
      <c r="E53" s="55"/>
      <c r="F53" s="55"/>
      <c r="G53" s="55"/>
      <c r="H53" s="51"/>
      <c r="I53" s="52"/>
      <c r="J53" s="74" t="s">
        <v>61</v>
      </c>
      <c r="K53" s="57"/>
      <c r="L53" s="75">
        <v>48</v>
      </c>
      <c r="M53" s="60">
        <v>1</v>
      </c>
      <c r="N53" s="76">
        <v>1</v>
      </c>
      <c r="O53" s="42"/>
      <c r="P53" s="58" t="s">
        <v>88</v>
      </c>
      <c r="Q53" s="61"/>
      <c r="R53" s="62"/>
      <c r="S53" s="78">
        <f t="shared" si="0"/>
        <v>1</v>
      </c>
      <c r="T53" s="44" t="str">
        <f t="shared" si="1"/>
        <v>1kilos</v>
      </c>
      <c r="U53" s="77">
        <f t="shared" si="2"/>
        <v>48</v>
      </c>
      <c r="V53" s="46"/>
      <c r="W53" s="46"/>
      <c r="X53" s="46"/>
    </row>
    <row r="54" spans="1:24" ht="15" customHeight="1" thickBot="1" x14ac:dyDescent="0.35">
      <c r="A54" s="2">
        <v>7</v>
      </c>
      <c r="B54" s="68" t="s">
        <v>60</v>
      </c>
      <c r="C54" s="55"/>
      <c r="D54" s="41"/>
      <c r="E54" s="55"/>
      <c r="F54" s="55"/>
      <c r="G54" s="55"/>
      <c r="H54" s="51"/>
      <c r="I54" s="52"/>
      <c r="J54" s="74"/>
      <c r="K54" s="57"/>
      <c r="L54" s="75">
        <v>50</v>
      </c>
      <c r="M54" s="60">
        <v>18</v>
      </c>
      <c r="N54" s="76">
        <v>1000</v>
      </c>
      <c r="O54" s="42"/>
      <c r="P54" s="58" t="s">
        <v>36</v>
      </c>
      <c r="Q54" s="61"/>
      <c r="R54" s="62"/>
      <c r="S54" s="78">
        <f t="shared" ref="S54:S117" si="3">M54*N54</f>
        <v>18000</v>
      </c>
      <c r="T54" s="44" t="str">
        <f t="shared" ref="T54:T117" si="4">CONCATENATE(S54,Q54,P54)</f>
        <v>18000grams</v>
      </c>
      <c r="U54" s="77">
        <f t="shared" ref="U54:U117" si="5">L54*M54</f>
        <v>900</v>
      </c>
      <c r="V54" s="20"/>
      <c r="W54" s="20"/>
      <c r="X54" s="20"/>
    </row>
    <row r="55" spans="1:24" ht="15" customHeight="1" thickBot="1" x14ac:dyDescent="0.35">
      <c r="A55" s="2">
        <v>8</v>
      </c>
      <c r="B55" s="68" t="s">
        <v>815</v>
      </c>
      <c r="C55" s="55"/>
      <c r="D55" s="41"/>
      <c r="E55" s="55"/>
      <c r="F55" s="55"/>
      <c r="G55" s="55"/>
      <c r="H55" s="51"/>
      <c r="I55" s="52"/>
      <c r="J55" s="74" t="s">
        <v>816</v>
      </c>
      <c r="K55" s="57"/>
      <c r="L55" s="75">
        <v>88</v>
      </c>
      <c r="M55" s="60">
        <v>2</v>
      </c>
      <c r="N55" s="76">
        <v>32</v>
      </c>
      <c r="O55" s="42"/>
      <c r="P55" s="58" t="s">
        <v>36</v>
      </c>
      <c r="Q55" s="61"/>
      <c r="R55" s="62"/>
      <c r="S55" s="78">
        <f t="shared" si="3"/>
        <v>64</v>
      </c>
      <c r="T55" s="44" t="str">
        <f t="shared" si="4"/>
        <v>64grams</v>
      </c>
      <c r="U55" s="77">
        <f t="shared" si="5"/>
        <v>176</v>
      </c>
      <c r="V55" s="46"/>
      <c r="W55" s="46"/>
      <c r="X55" s="46"/>
    </row>
    <row r="56" spans="1:24" ht="15" customHeight="1" thickBot="1" x14ac:dyDescent="0.35">
      <c r="A56" s="2">
        <v>9</v>
      </c>
      <c r="B56" s="67" t="s">
        <v>817</v>
      </c>
      <c r="C56" s="55"/>
      <c r="D56" s="41"/>
      <c r="E56" s="55"/>
      <c r="F56" s="55"/>
      <c r="G56" s="55"/>
      <c r="H56" s="51"/>
      <c r="I56" s="52"/>
      <c r="J56" s="74"/>
      <c r="K56" s="57"/>
      <c r="L56" s="75">
        <v>80</v>
      </c>
      <c r="M56" s="60">
        <v>1</v>
      </c>
      <c r="N56" s="76">
        <v>1</v>
      </c>
      <c r="O56" s="42"/>
      <c r="P56" s="58" t="s">
        <v>88</v>
      </c>
      <c r="Q56" s="61"/>
      <c r="R56" s="62"/>
      <c r="S56" s="78">
        <f t="shared" si="3"/>
        <v>1</v>
      </c>
      <c r="T56" s="44" t="str">
        <f t="shared" si="4"/>
        <v>1kilos</v>
      </c>
      <c r="U56" s="77">
        <f t="shared" si="5"/>
        <v>80</v>
      </c>
      <c r="V56" s="50"/>
      <c r="W56" s="54"/>
      <c r="X56" s="39"/>
    </row>
    <row r="57" spans="1:24" ht="15" customHeight="1" thickBot="1" x14ac:dyDescent="0.35">
      <c r="A57" s="2">
        <v>9</v>
      </c>
      <c r="B57" s="67" t="s">
        <v>817</v>
      </c>
      <c r="C57" s="55"/>
      <c r="D57" s="41"/>
      <c r="E57" s="55"/>
      <c r="F57" s="55"/>
      <c r="G57" s="55"/>
      <c r="H57" s="51"/>
      <c r="I57" s="52"/>
      <c r="J57" s="74"/>
      <c r="K57" s="57"/>
      <c r="L57" s="75">
        <v>60</v>
      </c>
      <c r="M57" s="60">
        <v>1</v>
      </c>
      <c r="N57" s="76">
        <v>1</v>
      </c>
      <c r="O57" s="42"/>
      <c r="P57" s="58" t="s">
        <v>88</v>
      </c>
      <c r="Q57" s="61"/>
      <c r="R57" s="62"/>
      <c r="S57" s="78">
        <f t="shared" si="3"/>
        <v>1</v>
      </c>
      <c r="T57" s="44" t="str">
        <f t="shared" si="4"/>
        <v>1kilos</v>
      </c>
      <c r="U57" s="77">
        <f t="shared" si="5"/>
        <v>60</v>
      </c>
      <c r="V57" s="46"/>
      <c r="W57" s="46"/>
      <c r="X57" s="46"/>
    </row>
    <row r="58" spans="1:24" ht="15" customHeight="1" thickBot="1" x14ac:dyDescent="0.35">
      <c r="A58" s="2">
        <v>10</v>
      </c>
      <c r="B58" s="67" t="s">
        <v>818</v>
      </c>
      <c r="C58" s="55"/>
      <c r="D58" s="41"/>
      <c r="E58" s="55"/>
      <c r="F58" s="55"/>
      <c r="G58" s="55"/>
      <c r="H58" s="51"/>
      <c r="I58" s="52"/>
      <c r="J58" s="74"/>
      <c r="K58" s="57"/>
      <c r="L58" s="75">
        <v>310</v>
      </c>
      <c r="M58" s="60">
        <v>8</v>
      </c>
      <c r="N58" s="76">
        <v>1</v>
      </c>
      <c r="O58" s="42"/>
      <c r="P58" s="58" t="s">
        <v>88</v>
      </c>
      <c r="Q58" s="61"/>
      <c r="R58" s="62"/>
      <c r="S58" s="78">
        <f t="shared" si="3"/>
        <v>8</v>
      </c>
      <c r="T58" s="44" t="str">
        <f t="shared" si="4"/>
        <v>8kilos</v>
      </c>
      <c r="U58" s="77">
        <f t="shared" si="5"/>
        <v>2480</v>
      </c>
      <c r="V58" s="46"/>
      <c r="W58" s="46"/>
      <c r="X58" s="46"/>
    </row>
    <row r="59" spans="1:24" ht="15" customHeight="1" thickBot="1" x14ac:dyDescent="0.35">
      <c r="A59" s="2">
        <v>10</v>
      </c>
      <c r="B59" s="67" t="s">
        <v>818</v>
      </c>
      <c r="C59" s="55"/>
      <c r="D59" s="41"/>
      <c r="E59" s="55"/>
      <c r="F59" s="55"/>
      <c r="G59" s="55"/>
      <c r="H59" s="51"/>
      <c r="I59" s="52"/>
      <c r="J59" s="74"/>
      <c r="K59" s="57"/>
      <c r="L59" s="75">
        <v>220</v>
      </c>
      <c r="M59" s="60">
        <v>3</v>
      </c>
      <c r="N59" s="76">
        <v>1</v>
      </c>
      <c r="O59" s="42"/>
      <c r="P59" s="58" t="s">
        <v>88</v>
      </c>
      <c r="Q59" s="61"/>
      <c r="R59" s="62"/>
      <c r="S59" s="78">
        <f t="shared" si="3"/>
        <v>3</v>
      </c>
      <c r="T59" s="44" t="str">
        <f t="shared" si="4"/>
        <v>3kilos</v>
      </c>
      <c r="U59" s="77">
        <f t="shared" si="5"/>
        <v>660</v>
      </c>
      <c r="V59" s="46"/>
      <c r="W59" s="46"/>
      <c r="X59" s="46"/>
    </row>
    <row r="60" spans="1:24" ht="15" customHeight="1" thickBot="1" x14ac:dyDescent="0.35">
      <c r="A60" s="2">
        <v>11</v>
      </c>
      <c r="B60" s="67" t="s">
        <v>819</v>
      </c>
      <c r="C60" s="55"/>
      <c r="D60" s="41"/>
      <c r="E60" s="55"/>
      <c r="F60" s="55"/>
      <c r="G60" s="55"/>
      <c r="H60" s="51"/>
      <c r="I60" s="52"/>
      <c r="J60" s="74" t="s">
        <v>820</v>
      </c>
      <c r="K60" s="57"/>
      <c r="L60" s="75">
        <v>21.8</v>
      </c>
      <c r="M60" s="60">
        <v>6</v>
      </c>
      <c r="N60" s="76">
        <v>1</v>
      </c>
      <c r="O60" s="42"/>
      <c r="P60" s="58" t="s">
        <v>38</v>
      </c>
      <c r="Q60" s="61"/>
      <c r="R60" s="62"/>
      <c r="S60" s="78">
        <f t="shared" si="3"/>
        <v>6</v>
      </c>
      <c r="T60" s="44" t="str">
        <f t="shared" si="4"/>
        <v>6pieces</v>
      </c>
      <c r="U60" s="77">
        <f t="shared" si="5"/>
        <v>130.80000000000001</v>
      </c>
      <c r="V60" s="46"/>
      <c r="W60" s="46"/>
      <c r="X60" s="46"/>
    </row>
    <row r="61" spans="1:24" ht="15" customHeight="1" thickBot="1" x14ac:dyDescent="0.35">
      <c r="A61" s="2">
        <v>11</v>
      </c>
      <c r="B61" s="68" t="s">
        <v>819</v>
      </c>
      <c r="C61" s="55"/>
      <c r="D61" s="41"/>
      <c r="E61" s="55"/>
      <c r="F61" s="55"/>
      <c r="G61" s="55"/>
      <c r="H61" s="51"/>
      <c r="I61" s="52"/>
      <c r="J61" s="74" t="s">
        <v>821</v>
      </c>
      <c r="K61" s="57"/>
      <c r="L61" s="75">
        <v>700</v>
      </c>
      <c r="M61" s="60">
        <v>1</v>
      </c>
      <c r="N61" s="76">
        <v>1</v>
      </c>
      <c r="O61" s="42"/>
      <c r="P61" s="58" t="s">
        <v>764</v>
      </c>
      <c r="Q61" s="61"/>
      <c r="R61" s="62"/>
      <c r="S61" s="78">
        <f t="shared" si="3"/>
        <v>1</v>
      </c>
      <c r="T61" s="44" t="str">
        <f t="shared" si="4"/>
        <v>1roll</v>
      </c>
      <c r="U61" s="77">
        <f t="shared" si="5"/>
        <v>700</v>
      </c>
      <c r="V61" s="50"/>
      <c r="W61" s="50"/>
      <c r="X61" s="39"/>
    </row>
    <row r="62" spans="1:24" ht="15" customHeight="1" thickBot="1" x14ac:dyDescent="0.35">
      <c r="A62" s="2">
        <v>12</v>
      </c>
      <c r="B62" s="67" t="s">
        <v>822</v>
      </c>
      <c r="C62" s="55"/>
      <c r="D62" s="41"/>
      <c r="E62" s="55"/>
      <c r="F62" s="55"/>
      <c r="G62" s="55"/>
      <c r="H62" s="51"/>
      <c r="I62" s="52"/>
      <c r="J62" s="74"/>
      <c r="K62" s="57"/>
      <c r="L62" s="75">
        <v>150</v>
      </c>
      <c r="M62" s="60">
        <v>1</v>
      </c>
      <c r="N62" s="76">
        <v>1</v>
      </c>
      <c r="O62" s="42"/>
      <c r="P62" s="58" t="s">
        <v>88</v>
      </c>
      <c r="Q62" s="61"/>
      <c r="R62" s="62"/>
      <c r="S62" s="78">
        <f t="shared" si="3"/>
        <v>1</v>
      </c>
      <c r="T62" s="44" t="str">
        <f t="shared" si="4"/>
        <v>1kilos</v>
      </c>
      <c r="U62" s="77">
        <f t="shared" si="5"/>
        <v>150</v>
      </c>
      <c r="V62" s="50"/>
      <c r="W62" s="54"/>
      <c r="X62" s="39"/>
    </row>
    <row r="63" spans="1:24" ht="15" customHeight="1" thickBot="1" x14ac:dyDescent="0.35">
      <c r="A63" s="2">
        <v>12</v>
      </c>
      <c r="B63" s="67" t="s">
        <v>822</v>
      </c>
      <c r="C63" s="55"/>
      <c r="D63" s="41"/>
      <c r="E63" s="55"/>
      <c r="F63" s="55"/>
      <c r="G63" s="55"/>
      <c r="H63" s="51"/>
      <c r="I63" s="52"/>
      <c r="J63" s="74"/>
      <c r="K63" s="57"/>
      <c r="L63" s="75">
        <v>160</v>
      </c>
      <c r="M63" s="60">
        <v>3</v>
      </c>
      <c r="N63" s="76">
        <v>1</v>
      </c>
      <c r="O63" s="42"/>
      <c r="P63" s="58" t="s">
        <v>88</v>
      </c>
      <c r="Q63" s="61"/>
      <c r="R63" s="62"/>
      <c r="S63" s="78">
        <f t="shared" si="3"/>
        <v>3</v>
      </c>
      <c r="T63" s="44" t="str">
        <f t="shared" si="4"/>
        <v>3kilos</v>
      </c>
      <c r="U63" s="77">
        <f t="shared" si="5"/>
        <v>480</v>
      </c>
      <c r="V63" s="46"/>
      <c r="W63" s="46"/>
      <c r="X63" s="46"/>
    </row>
    <row r="64" spans="1:24" ht="15" customHeight="1" thickBot="1" x14ac:dyDescent="0.35">
      <c r="A64" s="2">
        <v>13</v>
      </c>
      <c r="B64" s="67" t="s">
        <v>823</v>
      </c>
      <c r="C64" s="55"/>
      <c r="D64" s="41"/>
      <c r="E64" s="55"/>
      <c r="F64" s="55"/>
      <c r="G64" s="55"/>
      <c r="H64" s="51"/>
      <c r="I64" s="52"/>
      <c r="J64" s="74"/>
      <c r="K64" s="57"/>
      <c r="L64" s="75">
        <v>30</v>
      </c>
      <c r="M64" s="60">
        <v>4</v>
      </c>
      <c r="N64" s="76">
        <v>1</v>
      </c>
      <c r="O64" s="42"/>
      <c r="P64" s="58" t="s">
        <v>38</v>
      </c>
      <c r="Q64" s="61"/>
      <c r="R64" s="62"/>
      <c r="S64" s="78">
        <f t="shared" si="3"/>
        <v>4</v>
      </c>
      <c r="T64" s="44" t="str">
        <f t="shared" si="4"/>
        <v>4pieces</v>
      </c>
      <c r="U64" s="77">
        <f t="shared" si="5"/>
        <v>120</v>
      </c>
      <c r="V64" s="50"/>
      <c r="W64" s="54"/>
      <c r="X64" s="39"/>
    </row>
    <row r="65" spans="1:24" ht="15" customHeight="1" thickBot="1" x14ac:dyDescent="0.35">
      <c r="A65" s="2">
        <v>13</v>
      </c>
      <c r="B65" s="67" t="s">
        <v>823</v>
      </c>
      <c r="C65" s="55"/>
      <c r="D65" s="41"/>
      <c r="E65" s="55"/>
      <c r="F65" s="55"/>
      <c r="G65" s="55"/>
      <c r="H65" s="51"/>
      <c r="I65" s="52"/>
      <c r="J65" s="74"/>
      <c r="K65" s="57"/>
      <c r="L65" s="75">
        <v>40</v>
      </c>
      <c r="M65" s="60">
        <v>2</v>
      </c>
      <c r="N65" s="76">
        <v>1</v>
      </c>
      <c r="O65" s="42"/>
      <c r="P65" s="58" t="s">
        <v>38</v>
      </c>
      <c r="Q65" s="61"/>
      <c r="R65" s="62"/>
      <c r="S65" s="78">
        <f t="shared" si="3"/>
        <v>2</v>
      </c>
      <c r="T65" s="44" t="str">
        <f t="shared" si="4"/>
        <v>2pieces</v>
      </c>
      <c r="U65" s="77">
        <f t="shared" si="5"/>
        <v>80</v>
      </c>
      <c r="V65" s="50"/>
      <c r="W65" s="54"/>
      <c r="X65" s="39"/>
    </row>
    <row r="66" spans="1:24" ht="15" customHeight="1" thickBot="1" x14ac:dyDescent="0.35">
      <c r="A66" s="2">
        <v>14</v>
      </c>
      <c r="B66" s="67" t="s">
        <v>824</v>
      </c>
      <c r="C66" s="55"/>
      <c r="D66" s="41"/>
      <c r="E66" s="55"/>
      <c r="F66" s="55"/>
      <c r="G66" s="55"/>
      <c r="H66" s="51"/>
      <c r="I66" s="52"/>
      <c r="J66" s="74" t="s">
        <v>825</v>
      </c>
      <c r="K66" s="57"/>
      <c r="L66" s="75">
        <v>159.5</v>
      </c>
      <c r="M66" s="60">
        <v>1</v>
      </c>
      <c r="N66" s="76">
        <v>473</v>
      </c>
      <c r="O66" s="42"/>
      <c r="P66" s="58" t="s">
        <v>47</v>
      </c>
      <c r="Q66" s="61"/>
      <c r="R66" s="62"/>
      <c r="S66" s="78">
        <f t="shared" si="3"/>
        <v>473</v>
      </c>
      <c r="T66" s="44" t="str">
        <f t="shared" si="4"/>
        <v>473ml</v>
      </c>
      <c r="U66" s="77">
        <f t="shared" si="5"/>
        <v>159.5</v>
      </c>
      <c r="V66" s="50"/>
      <c r="W66" s="54"/>
      <c r="X66" s="39"/>
    </row>
    <row r="67" spans="1:24" ht="15" customHeight="1" thickBot="1" x14ac:dyDescent="0.35">
      <c r="A67" s="2">
        <v>15</v>
      </c>
      <c r="B67" s="68" t="s">
        <v>826</v>
      </c>
      <c r="C67" s="55"/>
      <c r="D67" s="41"/>
      <c r="E67" s="55"/>
      <c r="F67" s="55"/>
      <c r="G67" s="55"/>
      <c r="H67" s="51"/>
      <c r="I67" s="52"/>
      <c r="J67" s="74" t="s">
        <v>827</v>
      </c>
      <c r="K67" s="57"/>
      <c r="L67" s="75">
        <v>92</v>
      </c>
      <c r="M67" s="60">
        <v>2</v>
      </c>
      <c r="N67" s="76">
        <v>270</v>
      </c>
      <c r="O67" s="42"/>
      <c r="P67" s="58" t="s">
        <v>36</v>
      </c>
      <c r="Q67" s="61"/>
      <c r="R67" s="62"/>
      <c r="S67" s="78">
        <f t="shared" si="3"/>
        <v>540</v>
      </c>
      <c r="T67" s="44" t="str">
        <f t="shared" si="4"/>
        <v>540grams</v>
      </c>
      <c r="U67" s="77">
        <f t="shared" si="5"/>
        <v>184</v>
      </c>
      <c r="V67" s="46"/>
      <c r="W67" s="46"/>
      <c r="X67" s="46"/>
    </row>
    <row r="68" spans="1:24" ht="15" customHeight="1" thickBot="1" x14ac:dyDescent="0.35">
      <c r="A68" s="2">
        <v>16</v>
      </c>
      <c r="B68" s="67" t="s">
        <v>828</v>
      </c>
      <c r="C68" s="55"/>
      <c r="D68" s="41"/>
      <c r="E68" s="55"/>
      <c r="F68" s="55"/>
      <c r="G68" s="55"/>
      <c r="H68" s="51"/>
      <c r="I68" s="52"/>
      <c r="J68" s="74"/>
      <c r="K68" s="57"/>
      <c r="L68" s="75">
        <v>87.5</v>
      </c>
      <c r="M68" s="60">
        <v>1</v>
      </c>
      <c r="N68" s="76">
        <v>250</v>
      </c>
      <c r="O68" s="42"/>
      <c r="P68" s="58" t="s">
        <v>36</v>
      </c>
      <c r="Q68" s="61"/>
      <c r="R68" s="62"/>
      <c r="S68" s="78">
        <f t="shared" si="3"/>
        <v>250</v>
      </c>
      <c r="T68" s="44" t="str">
        <f t="shared" si="4"/>
        <v>250grams</v>
      </c>
      <c r="U68" s="77">
        <f t="shared" si="5"/>
        <v>87.5</v>
      </c>
      <c r="V68" s="46"/>
      <c r="W68" s="46"/>
      <c r="X68" s="46"/>
    </row>
    <row r="69" spans="1:24" ht="15" customHeight="1" thickBot="1" x14ac:dyDescent="0.35">
      <c r="A69" s="2">
        <v>16</v>
      </c>
      <c r="B69" s="67" t="s">
        <v>828</v>
      </c>
      <c r="C69" s="55"/>
      <c r="D69" s="41"/>
      <c r="E69" s="55"/>
      <c r="F69" s="55"/>
      <c r="G69" s="55"/>
      <c r="H69" s="51"/>
      <c r="I69" s="52"/>
      <c r="J69" s="74" t="s">
        <v>829</v>
      </c>
      <c r="K69" s="57"/>
      <c r="L69" s="75">
        <v>550</v>
      </c>
      <c r="M69" s="60">
        <v>0</v>
      </c>
      <c r="N69" s="76">
        <v>1</v>
      </c>
      <c r="O69" s="42"/>
      <c r="P69" s="58" t="s">
        <v>88</v>
      </c>
      <c r="Q69" s="61"/>
      <c r="R69" s="62"/>
      <c r="S69" s="78">
        <f t="shared" si="3"/>
        <v>0</v>
      </c>
      <c r="T69" s="44" t="str">
        <f t="shared" si="4"/>
        <v>0kilos</v>
      </c>
      <c r="U69" s="77">
        <f t="shared" si="5"/>
        <v>0</v>
      </c>
      <c r="V69" s="46"/>
      <c r="W69" s="46"/>
      <c r="X69" s="46"/>
    </row>
    <row r="70" spans="1:24" ht="15" customHeight="1" thickBot="1" x14ac:dyDescent="0.35">
      <c r="A70" s="2">
        <v>16</v>
      </c>
      <c r="B70" s="67" t="s">
        <v>828</v>
      </c>
      <c r="C70" s="55"/>
      <c r="D70" s="41"/>
      <c r="E70" s="55"/>
      <c r="F70" s="55"/>
      <c r="G70" s="55"/>
      <c r="H70" s="51"/>
      <c r="I70" s="52"/>
      <c r="J70" s="74"/>
      <c r="K70" s="57"/>
      <c r="L70" s="75">
        <v>650</v>
      </c>
      <c r="M70" s="60">
        <v>4</v>
      </c>
      <c r="N70" s="76">
        <v>1</v>
      </c>
      <c r="O70" s="42"/>
      <c r="P70" s="58" t="s">
        <v>88</v>
      </c>
      <c r="Q70" s="61"/>
      <c r="R70" s="62"/>
      <c r="S70" s="78">
        <f t="shared" si="3"/>
        <v>4</v>
      </c>
      <c r="T70" s="44" t="str">
        <f t="shared" si="4"/>
        <v>4kilos</v>
      </c>
      <c r="U70" s="77">
        <f t="shared" si="5"/>
        <v>2600</v>
      </c>
      <c r="V70" s="46"/>
      <c r="W70" s="46"/>
      <c r="X70" s="46"/>
    </row>
    <row r="71" spans="1:24" ht="15" customHeight="1" thickBot="1" x14ac:dyDescent="0.35">
      <c r="A71" s="2">
        <v>16</v>
      </c>
      <c r="B71" s="67" t="s">
        <v>828</v>
      </c>
      <c r="C71" s="55"/>
      <c r="D71" s="41"/>
      <c r="E71" s="55"/>
      <c r="F71" s="55"/>
      <c r="G71" s="55"/>
      <c r="H71" s="51"/>
      <c r="I71" s="52"/>
      <c r="J71" s="74" t="s">
        <v>829</v>
      </c>
      <c r="K71" s="57"/>
      <c r="L71" s="75">
        <v>450</v>
      </c>
      <c r="M71" s="60">
        <v>3</v>
      </c>
      <c r="N71" s="76">
        <v>1</v>
      </c>
      <c r="O71" s="42"/>
      <c r="P71" s="58" t="s">
        <v>88</v>
      </c>
      <c r="Q71" s="61"/>
      <c r="R71" s="62"/>
      <c r="S71" s="78">
        <f t="shared" si="3"/>
        <v>3</v>
      </c>
      <c r="T71" s="44" t="str">
        <f t="shared" si="4"/>
        <v>3kilos</v>
      </c>
      <c r="U71" s="77">
        <f t="shared" si="5"/>
        <v>1350</v>
      </c>
      <c r="V71" s="50"/>
      <c r="W71" s="54"/>
      <c r="X71" s="39"/>
    </row>
    <row r="72" spans="1:24" ht="15" customHeight="1" thickBot="1" x14ac:dyDescent="0.35">
      <c r="A72" s="2">
        <v>16</v>
      </c>
      <c r="B72" s="67" t="s">
        <v>828</v>
      </c>
      <c r="C72" s="55"/>
      <c r="D72" s="41"/>
      <c r="E72" s="55"/>
      <c r="F72" s="55"/>
      <c r="G72" s="55"/>
      <c r="H72" s="51"/>
      <c r="I72" s="52"/>
      <c r="J72" s="74"/>
      <c r="K72" s="57"/>
      <c r="L72" s="75">
        <v>220</v>
      </c>
      <c r="M72" s="60">
        <v>1</v>
      </c>
      <c r="N72" s="76">
        <v>100</v>
      </c>
      <c r="O72" s="42"/>
      <c r="P72" s="58" t="s">
        <v>36</v>
      </c>
      <c r="Q72" s="61"/>
      <c r="R72" s="62"/>
      <c r="S72" s="78">
        <f t="shared" si="3"/>
        <v>100</v>
      </c>
      <c r="T72" s="44" t="str">
        <f t="shared" si="4"/>
        <v>100grams</v>
      </c>
      <c r="U72" s="77">
        <f t="shared" si="5"/>
        <v>220</v>
      </c>
      <c r="V72" s="46"/>
      <c r="W72" s="46"/>
      <c r="X72" s="46"/>
    </row>
    <row r="73" spans="1:24" ht="15" customHeight="1" thickBot="1" x14ac:dyDescent="0.35">
      <c r="A73" s="2">
        <v>17</v>
      </c>
      <c r="B73" s="67" t="s">
        <v>830</v>
      </c>
      <c r="C73" s="55"/>
      <c r="D73" s="41"/>
      <c r="E73" s="55"/>
      <c r="F73" s="55"/>
      <c r="G73" s="55"/>
      <c r="H73" s="51"/>
      <c r="I73" s="52"/>
      <c r="J73" s="74" t="s">
        <v>831</v>
      </c>
      <c r="K73" s="57"/>
      <c r="L73" s="75">
        <v>180.25</v>
      </c>
      <c r="M73" s="60">
        <v>2</v>
      </c>
      <c r="N73" s="76">
        <v>250</v>
      </c>
      <c r="O73" s="42"/>
      <c r="P73" s="58" t="s">
        <v>36</v>
      </c>
      <c r="Q73" s="61"/>
      <c r="R73" s="62"/>
      <c r="S73" s="78">
        <f t="shared" si="3"/>
        <v>500</v>
      </c>
      <c r="T73" s="44" t="str">
        <f t="shared" si="4"/>
        <v>500grams</v>
      </c>
      <c r="U73" s="77">
        <f t="shared" si="5"/>
        <v>360.5</v>
      </c>
      <c r="V73" s="46"/>
      <c r="W73" s="46"/>
      <c r="X73" s="46"/>
    </row>
    <row r="74" spans="1:24" ht="15" customHeight="1" thickBot="1" x14ac:dyDescent="0.35">
      <c r="A74" s="2">
        <v>17</v>
      </c>
      <c r="B74" s="67" t="s">
        <v>830</v>
      </c>
      <c r="C74" s="55"/>
      <c r="D74" s="41"/>
      <c r="E74" s="55"/>
      <c r="F74" s="55"/>
      <c r="G74" s="55"/>
      <c r="H74" s="51"/>
      <c r="I74" s="52"/>
      <c r="J74" s="74" t="s">
        <v>832</v>
      </c>
      <c r="K74" s="57"/>
      <c r="L74" s="75">
        <v>185</v>
      </c>
      <c r="M74" s="60">
        <v>1</v>
      </c>
      <c r="N74" s="76">
        <v>200</v>
      </c>
      <c r="O74" s="42"/>
      <c r="P74" s="58" t="s">
        <v>36</v>
      </c>
      <c r="Q74" s="61"/>
      <c r="R74" s="62"/>
      <c r="S74" s="78">
        <f t="shared" si="3"/>
        <v>200</v>
      </c>
      <c r="T74" s="44" t="str">
        <f t="shared" si="4"/>
        <v>200grams</v>
      </c>
      <c r="U74" s="77">
        <f t="shared" si="5"/>
        <v>185</v>
      </c>
      <c r="V74" s="50"/>
      <c r="W74" s="54"/>
      <c r="X74" s="39"/>
    </row>
    <row r="75" spans="1:24" ht="15" customHeight="1" thickBot="1" x14ac:dyDescent="0.35">
      <c r="A75" s="2">
        <v>17</v>
      </c>
      <c r="B75" s="67" t="s">
        <v>830</v>
      </c>
      <c r="C75" s="55"/>
      <c r="D75" s="41"/>
      <c r="E75" s="55"/>
      <c r="F75" s="55"/>
      <c r="G75" s="55"/>
      <c r="H75" s="51"/>
      <c r="I75" s="52"/>
      <c r="J75" s="74" t="s">
        <v>833</v>
      </c>
      <c r="K75" s="57"/>
      <c r="L75" s="75">
        <v>75</v>
      </c>
      <c r="M75" s="60">
        <v>2</v>
      </c>
      <c r="N75" s="76">
        <v>230</v>
      </c>
      <c r="O75" s="42"/>
      <c r="P75" s="58" t="s">
        <v>36</v>
      </c>
      <c r="Q75" s="61"/>
      <c r="R75" s="62"/>
      <c r="S75" s="78">
        <f t="shared" si="3"/>
        <v>460</v>
      </c>
      <c r="T75" s="44" t="str">
        <f t="shared" si="4"/>
        <v>460grams</v>
      </c>
      <c r="U75" s="77">
        <f t="shared" si="5"/>
        <v>150</v>
      </c>
      <c r="V75" s="50"/>
      <c r="W75" s="50"/>
      <c r="X75" s="39"/>
    </row>
    <row r="76" spans="1:24" ht="15" customHeight="1" thickBot="1" x14ac:dyDescent="0.35">
      <c r="A76" s="2">
        <v>18</v>
      </c>
      <c r="B76" s="68" t="s">
        <v>834</v>
      </c>
      <c r="C76" s="55"/>
      <c r="D76" s="41"/>
      <c r="E76" s="55"/>
      <c r="F76" s="55"/>
      <c r="G76" s="55"/>
      <c r="H76" s="51"/>
      <c r="I76" s="52"/>
      <c r="J76" s="74" t="s">
        <v>835</v>
      </c>
      <c r="K76" s="57"/>
      <c r="L76" s="75">
        <v>32</v>
      </c>
      <c r="M76" s="60">
        <v>2</v>
      </c>
      <c r="N76" s="76">
        <v>290</v>
      </c>
      <c r="O76" s="42"/>
      <c r="P76" s="58" t="s">
        <v>36</v>
      </c>
      <c r="Q76" s="61"/>
      <c r="R76" s="62"/>
      <c r="S76" s="78">
        <f t="shared" si="3"/>
        <v>580</v>
      </c>
      <c r="T76" s="44" t="str">
        <f t="shared" si="4"/>
        <v>580grams</v>
      </c>
      <c r="U76" s="77">
        <f t="shared" si="5"/>
        <v>64</v>
      </c>
      <c r="V76" s="46"/>
      <c r="W76" s="46"/>
      <c r="X76" s="46"/>
    </row>
    <row r="77" spans="1:24" ht="15" customHeight="1" thickBot="1" x14ac:dyDescent="0.35">
      <c r="A77" s="2">
        <v>19</v>
      </c>
      <c r="B77" s="68" t="s">
        <v>836</v>
      </c>
      <c r="C77" s="55"/>
      <c r="D77" s="41"/>
      <c r="E77" s="55"/>
      <c r="F77" s="55"/>
      <c r="G77" s="55"/>
      <c r="H77" s="51"/>
      <c r="I77" s="52"/>
      <c r="J77" s="74" t="s">
        <v>837</v>
      </c>
      <c r="K77" s="57"/>
      <c r="L77" s="75">
        <v>110</v>
      </c>
      <c r="M77" s="60">
        <v>1</v>
      </c>
      <c r="N77" s="76">
        <v>250</v>
      </c>
      <c r="O77" s="42"/>
      <c r="P77" s="58" t="s">
        <v>36</v>
      </c>
      <c r="Q77" s="61"/>
      <c r="R77" s="62"/>
      <c r="S77" s="78">
        <f t="shared" si="3"/>
        <v>250</v>
      </c>
      <c r="T77" s="44" t="str">
        <f t="shared" si="4"/>
        <v>250grams</v>
      </c>
      <c r="U77" s="77">
        <f t="shared" si="5"/>
        <v>110</v>
      </c>
      <c r="V77" s="50"/>
      <c r="W77" s="54"/>
      <c r="X77" s="39"/>
    </row>
    <row r="78" spans="1:24" ht="15" customHeight="1" thickBot="1" x14ac:dyDescent="0.35">
      <c r="A78" s="2">
        <v>20</v>
      </c>
      <c r="B78" s="68" t="s">
        <v>838</v>
      </c>
      <c r="C78" s="55"/>
      <c r="D78" s="41"/>
      <c r="E78" s="55"/>
      <c r="F78" s="55"/>
      <c r="G78" s="55"/>
      <c r="H78" s="51"/>
      <c r="I78" s="52"/>
      <c r="J78" s="74" t="s">
        <v>837</v>
      </c>
      <c r="K78" s="57"/>
      <c r="L78" s="75">
        <v>107.5</v>
      </c>
      <c r="M78" s="60">
        <v>1</v>
      </c>
      <c r="N78" s="76">
        <v>250</v>
      </c>
      <c r="O78" s="42"/>
      <c r="P78" s="58" t="s">
        <v>36</v>
      </c>
      <c r="Q78" s="61"/>
      <c r="R78" s="62"/>
      <c r="S78" s="78">
        <f t="shared" si="3"/>
        <v>250</v>
      </c>
      <c r="T78" s="44" t="str">
        <f t="shared" si="4"/>
        <v>250grams</v>
      </c>
      <c r="U78" s="77">
        <f t="shared" si="5"/>
        <v>107.5</v>
      </c>
      <c r="V78" s="46"/>
      <c r="W78" s="46"/>
      <c r="X78" s="46"/>
    </row>
    <row r="79" spans="1:24" ht="15" customHeight="1" thickBot="1" x14ac:dyDescent="0.35">
      <c r="A79" s="2">
        <v>21</v>
      </c>
      <c r="B79" s="67" t="s">
        <v>64</v>
      </c>
      <c r="C79" s="55"/>
      <c r="D79" s="41"/>
      <c r="E79" s="55"/>
      <c r="F79" s="55"/>
      <c r="G79" s="55"/>
      <c r="H79" s="51"/>
      <c r="I79" s="52"/>
      <c r="J79" s="74" t="s">
        <v>839</v>
      </c>
      <c r="K79" s="57"/>
      <c r="L79" s="75">
        <v>35</v>
      </c>
      <c r="M79" s="60">
        <v>2</v>
      </c>
      <c r="N79" s="76">
        <v>340</v>
      </c>
      <c r="O79" s="42"/>
      <c r="P79" s="58" t="s">
        <v>36</v>
      </c>
      <c r="Q79" s="61"/>
      <c r="R79" s="62"/>
      <c r="S79" s="78">
        <f t="shared" si="3"/>
        <v>680</v>
      </c>
      <c r="T79" s="44" t="str">
        <f t="shared" si="4"/>
        <v>680grams</v>
      </c>
      <c r="U79" s="77">
        <f t="shared" si="5"/>
        <v>70</v>
      </c>
      <c r="V79" s="50"/>
      <c r="W79" s="54"/>
      <c r="X79" s="39"/>
    </row>
    <row r="80" spans="1:24" ht="15" customHeight="1" thickBot="1" x14ac:dyDescent="0.35">
      <c r="A80" s="2">
        <v>22</v>
      </c>
      <c r="B80" s="67" t="s">
        <v>840</v>
      </c>
      <c r="C80" s="55"/>
      <c r="D80" s="41"/>
      <c r="E80" s="55"/>
      <c r="F80" s="55"/>
      <c r="G80" s="55"/>
      <c r="H80" s="51"/>
      <c r="I80" s="52"/>
      <c r="J80" s="74"/>
      <c r="K80" s="57"/>
      <c r="L80" s="75">
        <v>60</v>
      </c>
      <c r="M80" s="60">
        <v>5</v>
      </c>
      <c r="N80" s="76">
        <v>1</v>
      </c>
      <c r="O80" s="42"/>
      <c r="P80" s="58" t="s">
        <v>88</v>
      </c>
      <c r="Q80" s="61"/>
      <c r="R80" s="62"/>
      <c r="S80" s="78">
        <f t="shared" si="3"/>
        <v>5</v>
      </c>
      <c r="T80" s="44" t="str">
        <f t="shared" si="4"/>
        <v>5kilos</v>
      </c>
      <c r="U80" s="77">
        <f t="shared" si="5"/>
        <v>300</v>
      </c>
      <c r="V80" s="46"/>
      <c r="W80" s="46"/>
      <c r="X80" s="46"/>
    </row>
    <row r="81" spans="1:24" ht="15" customHeight="1" thickBot="1" x14ac:dyDescent="0.35">
      <c r="A81" s="2">
        <v>22</v>
      </c>
      <c r="B81" s="67" t="s">
        <v>840</v>
      </c>
      <c r="C81" s="55"/>
      <c r="D81" s="41"/>
      <c r="E81" s="55"/>
      <c r="F81" s="55"/>
      <c r="G81" s="55"/>
      <c r="H81" s="51"/>
      <c r="I81" s="52"/>
      <c r="J81" s="74"/>
      <c r="K81" s="57"/>
      <c r="L81" s="75">
        <v>160</v>
      </c>
      <c r="M81" s="60">
        <v>0</v>
      </c>
      <c r="N81" s="76">
        <v>1</v>
      </c>
      <c r="O81" s="42"/>
      <c r="P81" s="58" t="s">
        <v>88</v>
      </c>
      <c r="Q81" s="61"/>
      <c r="R81" s="62"/>
      <c r="S81" s="78">
        <f t="shared" si="3"/>
        <v>0</v>
      </c>
      <c r="T81" s="44" t="str">
        <f t="shared" si="4"/>
        <v>0kilos</v>
      </c>
      <c r="U81" s="77">
        <f t="shared" si="5"/>
        <v>0</v>
      </c>
      <c r="V81" s="46"/>
      <c r="W81" s="46"/>
      <c r="X81" s="46"/>
    </row>
    <row r="82" spans="1:24" ht="15" customHeight="1" thickBot="1" x14ac:dyDescent="0.35">
      <c r="A82" s="2">
        <v>22</v>
      </c>
      <c r="B82" s="67" t="s">
        <v>840</v>
      </c>
      <c r="C82" s="55"/>
      <c r="D82" s="41"/>
      <c r="E82" s="55"/>
      <c r="F82" s="55"/>
      <c r="G82" s="55"/>
      <c r="H82" s="51"/>
      <c r="I82" s="52"/>
      <c r="J82" s="74"/>
      <c r="K82" s="57"/>
      <c r="L82" s="75">
        <v>200</v>
      </c>
      <c r="M82" s="60">
        <v>1</v>
      </c>
      <c r="N82" s="76">
        <v>1</v>
      </c>
      <c r="O82" s="42"/>
      <c r="P82" s="58" t="s">
        <v>88</v>
      </c>
      <c r="Q82" s="61"/>
      <c r="R82" s="62"/>
      <c r="S82" s="78">
        <f t="shared" si="3"/>
        <v>1</v>
      </c>
      <c r="T82" s="44" t="str">
        <f t="shared" si="4"/>
        <v>1kilos</v>
      </c>
      <c r="U82" s="77">
        <f t="shared" si="5"/>
        <v>200</v>
      </c>
      <c r="V82" s="46"/>
      <c r="W82" s="46"/>
      <c r="X82" s="46"/>
    </row>
    <row r="83" spans="1:24" ht="15" customHeight="1" thickBot="1" x14ac:dyDescent="0.35">
      <c r="A83" s="2">
        <v>22</v>
      </c>
      <c r="B83" s="67" t="s">
        <v>840</v>
      </c>
      <c r="C83" s="55"/>
      <c r="D83" s="41"/>
      <c r="E83" s="55"/>
      <c r="F83" s="55"/>
      <c r="G83" s="55"/>
      <c r="H83" s="51"/>
      <c r="I83" s="52"/>
      <c r="J83" s="74"/>
      <c r="K83" s="57"/>
      <c r="L83" s="75">
        <v>170</v>
      </c>
      <c r="M83" s="60">
        <v>0</v>
      </c>
      <c r="N83" s="76">
        <v>1</v>
      </c>
      <c r="O83" s="42"/>
      <c r="P83" s="58" t="s">
        <v>88</v>
      </c>
      <c r="Q83" s="61"/>
      <c r="R83" s="62"/>
      <c r="S83" s="78">
        <f t="shared" si="3"/>
        <v>0</v>
      </c>
      <c r="T83" s="44" t="str">
        <f t="shared" si="4"/>
        <v>0kilos</v>
      </c>
      <c r="U83" s="77">
        <f t="shared" si="5"/>
        <v>0</v>
      </c>
      <c r="V83" s="46"/>
      <c r="W83" s="46"/>
      <c r="X83" s="46"/>
    </row>
    <row r="84" spans="1:24" ht="15" customHeight="1" thickBot="1" x14ac:dyDescent="0.35">
      <c r="A84" s="2">
        <v>23</v>
      </c>
      <c r="B84" s="67" t="s">
        <v>67</v>
      </c>
      <c r="C84" s="55"/>
      <c r="D84" s="41"/>
      <c r="E84" s="55"/>
      <c r="F84" s="55"/>
      <c r="G84" s="55"/>
      <c r="H84" s="51"/>
      <c r="I84" s="52"/>
      <c r="J84" s="74" t="s">
        <v>68</v>
      </c>
      <c r="K84" s="57"/>
      <c r="L84" s="75">
        <v>16.5</v>
      </c>
      <c r="M84" s="60">
        <v>1</v>
      </c>
      <c r="N84" s="76">
        <v>50</v>
      </c>
      <c r="O84" s="42"/>
      <c r="P84" s="58" t="s">
        <v>36</v>
      </c>
      <c r="Q84" s="61"/>
      <c r="R84" s="62"/>
      <c r="S84" s="78">
        <f t="shared" si="3"/>
        <v>50</v>
      </c>
      <c r="T84" s="44" t="str">
        <f t="shared" si="4"/>
        <v>50grams</v>
      </c>
      <c r="U84" s="77">
        <f t="shared" si="5"/>
        <v>16.5</v>
      </c>
      <c r="V84" s="46"/>
      <c r="W84" s="46"/>
      <c r="X84" s="46"/>
    </row>
    <row r="85" spans="1:24" ht="15" customHeight="1" thickBot="1" x14ac:dyDescent="0.35">
      <c r="A85" s="2">
        <v>23</v>
      </c>
      <c r="B85" s="67" t="s">
        <v>67</v>
      </c>
      <c r="C85" s="55"/>
      <c r="D85" s="41"/>
      <c r="E85" s="55"/>
      <c r="F85" s="55"/>
      <c r="G85" s="55"/>
      <c r="H85" s="51"/>
      <c r="I85" s="52"/>
      <c r="J85" s="74" t="s">
        <v>68</v>
      </c>
      <c r="K85" s="57"/>
      <c r="L85" s="75">
        <v>21</v>
      </c>
      <c r="M85" s="60">
        <v>1</v>
      </c>
      <c r="N85" s="76">
        <v>50</v>
      </c>
      <c r="O85" s="42"/>
      <c r="P85" s="58" t="s">
        <v>36</v>
      </c>
      <c r="Q85" s="61"/>
      <c r="R85" s="62"/>
      <c r="S85" s="78">
        <f t="shared" si="3"/>
        <v>50</v>
      </c>
      <c r="T85" s="44" t="str">
        <f t="shared" si="4"/>
        <v>50grams</v>
      </c>
      <c r="U85" s="77">
        <f t="shared" si="5"/>
        <v>21</v>
      </c>
      <c r="V85" s="20"/>
      <c r="W85" s="20"/>
      <c r="X85" s="20"/>
    </row>
    <row r="86" spans="1:24" ht="15" customHeight="1" thickBot="1" x14ac:dyDescent="0.35">
      <c r="A86" s="2">
        <v>23</v>
      </c>
      <c r="B86" s="67" t="s">
        <v>67</v>
      </c>
      <c r="C86" s="55"/>
      <c r="D86" s="41"/>
      <c r="E86" s="55"/>
      <c r="F86" s="55"/>
      <c r="G86" s="55"/>
      <c r="H86" s="51"/>
      <c r="I86" s="52"/>
      <c r="J86" s="74" t="s">
        <v>68</v>
      </c>
      <c r="K86" s="57"/>
      <c r="L86" s="75">
        <v>15.3</v>
      </c>
      <c r="M86" s="60">
        <v>3</v>
      </c>
      <c r="N86" s="76">
        <v>50</v>
      </c>
      <c r="O86" s="42"/>
      <c r="P86" s="58" t="s">
        <v>36</v>
      </c>
      <c r="Q86" s="61"/>
      <c r="R86" s="62"/>
      <c r="S86" s="78">
        <f t="shared" si="3"/>
        <v>150</v>
      </c>
      <c r="T86" s="44" t="str">
        <f t="shared" si="4"/>
        <v>150grams</v>
      </c>
      <c r="U86" s="77">
        <f t="shared" si="5"/>
        <v>45.900000000000006</v>
      </c>
      <c r="V86" s="46"/>
      <c r="W86" s="46"/>
      <c r="X86" s="46"/>
    </row>
    <row r="87" spans="1:24" ht="15" customHeight="1" thickBot="1" x14ac:dyDescent="0.35">
      <c r="A87" s="2">
        <v>23</v>
      </c>
      <c r="B87" s="67" t="s">
        <v>67</v>
      </c>
      <c r="C87" s="55"/>
      <c r="D87" s="41"/>
      <c r="E87" s="55"/>
      <c r="F87" s="55"/>
      <c r="G87" s="55"/>
      <c r="H87" s="51"/>
      <c r="I87" s="52"/>
      <c r="J87" s="74" t="s">
        <v>68</v>
      </c>
      <c r="K87" s="57"/>
      <c r="L87" s="75">
        <v>16.5</v>
      </c>
      <c r="M87" s="60">
        <v>3</v>
      </c>
      <c r="N87" s="76">
        <v>50</v>
      </c>
      <c r="O87" s="42"/>
      <c r="P87" s="58" t="s">
        <v>36</v>
      </c>
      <c r="Q87" s="61"/>
      <c r="R87" s="62"/>
      <c r="S87" s="78">
        <f t="shared" si="3"/>
        <v>150</v>
      </c>
      <c r="T87" s="44" t="str">
        <f t="shared" si="4"/>
        <v>150grams</v>
      </c>
      <c r="U87" s="77">
        <f t="shared" si="5"/>
        <v>49.5</v>
      </c>
      <c r="V87" s="50"/>
      <c r="W87" s="54"/>
      <c r="X87" s="39"/>
    </row>
    <row r="88" spans="1:24" ht="15" customHeight="1" thickBot="1" x14ac:dyDescent="0.35">
      <c r="A88" s="2">
        <v>23</v>
      </c>
      <c r="B88" s="67" t="s">
        <v>67</v>
      </c>
      <c r="C88" s="55"/>
      <c r="D88" s="41"/>
      <c r="E88" s="55"/>
      <c r="F88" s="55"/>
      <c r="G88" s="55"/>
      <c r="H88" s="51"/>
      <c r="I88" s="52"/>
      <c r="J88" s="74" t="s">
        <v>68</v>
      </c>
      <c r="K88" s="57"/>
      <c r="L88" s="75">
        <v>20</v>
      </c>
      <c r="M88" s="60">
        <v>1</v>
      </c>
      <c r="N88" s="76">
        <v>50</v>
      </c>
      <c r="O88" s="42"/>
      <c r="P88" s="58" t="s">
        <v>36</v>
      </c>
      <c r="Q88" s="61"/>
      <c r="R88" s="62"/>
      <c r="S88" s="78">
        <f t="shared" si="3"/>
        <v>50</v>
      </c>
      <c r="T88" s="44" t="str">
        <f t="shared" si="4"/>
        <v>50grams</v>
      </c>
      <c r="U88" s="77">
        <f t="shared" si="5"/>
        <v>20</v>
      </c>
      <c r="V88" s="20"/>
      <c r="W88" s="20"/>
      <c r="X88" s="20"/>
    </row>
    <row r="89" spans="1:24" ht="15" customHeight="1" thickBot="1" x14ac:dyDescent="0.35">
      <c r="A89" s="2">
        <v>23</v>
      </c>
      <c r="B89" s="67" t="s">
        <v>67</v>
      </c>
      <c r="C89" s="55"/>
      <c r="D89" s="41"/>
      <c r="E89" s="55"/>
      <c r="F89" s="55"/>
      <c r="G89" s="55"/>
      <c r="H89" s="51"/>
      <c r="I89" s="52"/>
      <c r="J89" s="74" t="s">
        <v>68</v>
      </c>
      <c r="K89" s="57"/>
      <c r="L89" s="75">
        <v>208</v>
      </c>
      <c r="M89" s="60">
        <v>1</v>
      </c>
      <c r="N89" s="76">
        <v>1000</v>
      </c>
      <c r="O89" s="42"/>
      <c r="P89" s="58" t="s">
        <v>36</v>
      </c>
      <c r="Q89" s="61"/>
      <c r="R89" s="62"/>
      <c r="S89" s="78">
        <f t="shared" si="3"/>
        <v>1000</v>
      </c>
      <c r="T89" s="44" t="str">
        <f t="shared" si="4"/>
        <v>1000grams</v>
      </c>
      <c r="U89" s="77">
        <f t="shared" si="5"/>
        <v>208</v>
      </c>
      <c r="V89" s="46"/>
      <c r="W89" s="46"/>
      <c r="X89" s="46"/>
    </row>
    <row r="90" spans="1:24" ht="15" customHeight="1" thickBot="1" x14ac:dyDescent="0.35">
      <c r="A90" s="2">
        <v>23</v>
      </c>
      <c r="B90" s="67" t="s">
        <v>67</v>
      </c>
      <c r="C90" s="55"/>
      <c r="D90" s="41"/>
      <c r="E90" s="55"/>
      <c r="F90" s="55"/>
      <c r="G90" s="55"/>
      <c r="H90" s="51"/>
      <c r="I90" s="52"/>
      <c r="J90" s="74" t="s">
        <v>68</v>
      </c>
      <c r="K90" s="57"/>
      <c r="L90" s="75">
        <v>15</v>
      </c>
      <c r="M90" s="60">
        <v>44</v>
      </c>
      <c r="N90" s="76">
        <v>50</v>
      </c>
      <c r="O90" s="42"/>
      <c r="P90" s="58" t="s">
        <v>36</v>
      </c>
      <c r="Q90" s="61"/>
      <c r="R90" s="62"/>
      <c r="S90" s="78">
        <f t="shared" si="3"/>
        <v>2200</v>
      </c>
      <c r="T90" s="44" t="str">
        <f t="shared" si="4"/>
        <v>2200grams</v>
      </c>
      <c r="U90" s="77">
        <f t="shared" si="5"/>
        <v>660</v>
      </c>
      <c r="V90" s="20"/>
      <c r="W90" s="20"/>
      <c r="X90" s="20"/>
    </row>
    <row r="91" spans="1:24" ht="15" customHeight="1" thickBot="1" x14ac:dyDescent="0.35">
      <c r="A91" s="2">
        <v>23</v>
      </c>
      <c r="B91" s="67" t="s">
        <v>67</v>
      </c>
      <c r="C91" s="55"/>
      <c r="D91" s="41"/>
      <c r="E91" s="55"/>
      <c r="F91" s="55"/>
      <c r="G91" s="55"/>
      <c r="H91" s="51"/>
      <c r="I91" s="52"/>
      <c r="J91" s="74" t="s">
        <v>68</v>
      </c>
      <c r="K91" s="57"/>
      <c r="L91" s="75">
        <v>20</v>
      </c>
      <c r="M91" s="60">
        <v>5</v>
      </c>
      <c r="N91" s="76">
        <v>50</v>
      </c>
      <c r="O91" s="42"/>
      <c r="P91" s="58" t="s">
        <v>36</v>
      </c>
      <c r="Q91" s="61"/>
      <c r="R91" s="62"/>
      <c r="S91" s="78">
        <f t="shared" si="3"/>
        <v>250</v>
      </c>
      <c r="T91" s="44" t="str">
        <f t="shared" si="4"/>
        <v>250grams</v>
      </c>
      <c r="U91" s="77">
        <f t="shared" si="5"/>
        <v>100</v>
      </c>
      <c r="V91" s="46"/>
      <c r="W91" s="46"/>
      <c r="X91" s="46"/>
    </row>
    <row r="92" spans="1:24" ht="15" customHeight="1" thickBot="1" x14ac:dyDescent="0.35">
      <c r="A92" s="2">
        <v>24</v>
      </c>
      <c r="B92" s="67" t="s">
        <v>69</v>
      </c>
      <c r="C92" s="55"/>
      <c r="D92" s="41"/>
      <c r="E92" s="55"/>
      <c r="F92" s="55"/>
      <c r="G92" s="55"/>
      <c r="H92" s="51"/>
      <c r="I92" s="52"/>
      <c r="J92" s="74" t="s">
        <v>70</v>
      </c>
      <c r="K92" s="57"/>
      <c r="L92" s="75">
        <v>32.1</v>
      </c>
      <c r="M92" s="60">
        <v>3</v>
      </c>
      <c r="N92" s="76">
        <v>250</v>
      </c>
      <c r="O92" s="42"/>
      <c r="P92" s="58" t="s">
        <v>36</v>
      </c>
      <c r="Q92" s="61"/>
      <c r="R92" s="62"/>
      <c r="S92" s="78">
        <f t="shared" si="3"/>
        <v>750</v>
      </c>
      <c r="T92" s="44" t="str">
        <f t="shared" si="4"/>
        <v>750grams</v>
      </c>
      <c r="U92" s="77">
        <f t="shared" si="5"/>
        <v>96.300000000000011</v>
      </c>
      <c r="V92" s="46"/>
      <c r="W92" s="46"/>
      <c r="X92" s="46"/>
    </row>
    <row r="93" spans="1:24" ht="15" customHeight="1" thickBot="1" x14ac:dyDescent="0.35">
      <c r="A93" s="2">
        <v>24</v>
      </c>
      <c r="B93" s="67" t="s">
        <v>69</v>
      </c>
      <c r="C93" s="55"/>
      <c r="D93" s="41"/>
      <c r="E93" s="55"/>
      <c r="F93" s="55"/>
      <c r="G93" s="55"/>
      <c r="H93" s="51"/>
      <c r="I93" s="52"/>
      <c r="J93" s="74" t="s">
        <v>70</v>
      </c>
      <c r="K93" s="57"/>
      <c r="L93" s="75">
        <v>32.1</v>
      </c>
      <c r="M93" s="60">
        <v>1</v>
      </c>
      <c r="N93" s="76">
        <v>250</v>
      </c>
      <c r="O93" s="42"/>
      <c r="P93" s="58" t="s">
        <v>36</v>
      </c>
      <c r="Q93" s="61"/>
      <c r="R93" s="62"/>
      <c r="S93" s="78">
        <f t="shared" si="3"/>
        <v>250</v>
      </c>
      <c r="T93" s="44" t="str">
        <f t="shared" si="4"/>
        <v>250grams</v>
      </c>
      <c r="U93" s="77">
        <f t="shared" si="5"/>
        <v>32.1</v>
      </c>
      <c r="V93" s="20"/>
      <c r="W93" s="20"/>
      <c r="X93" s="20"/>
    </row>
    <row r="94" spans="1:24" ht="15" customHeight="1" thickBot="1" x14ac:dyDescent="0.35">
      <c r="A94" s="2">
        <v>24</v>
      </c>
      <c r="B94" s="67" t="s">
        <v>69</v>
      </c>
      <c r="C94" s="55"/>
      <c r="D94" s="41"/>
      <c r="E94" s="55"/>
      <c r="F94" s="55"/>
      <c r="G94" s="55"/>
      <c r="H94" s="51"/>
      <c r="I94" s="52"/>
      <c r="J94" s="74" t="s">
        <v>841</v>
      </c>
      <c r="K94" s="57"/>
      <c r="L94" s="75">
        <v>64.5</v>
      </c>
      <c r="M94" s="60">
        <v>1</v>
      </c>
      <c r="N94" s="76">
        <v>454</v>
      </c>
      <c r="O94" s="42"/>
      <c r="P94" s="58" t="s">
        <v>36</v>
      </c>
      <c r="Q94" s="61"/>
      <c r="R94" s="62"/>
      <c r="S94" s="78">
        <f t="shared" si="3"/>
        <v>454</v>
      </c>
      <c r="T94" s="44" t="str">
        <f t="shared" si="4"/>
        <v>454grams</v>
      </c>
      <c r="U94" s="77">
        <f t="shared" si="5"/>
        <v>64.5</v>
      </c>
      <c r="V94" s="46"/>
      <c r="W94" s="46"/>
      <c r="X94" s="46"/>
    </row>
    <row r="95" spans="1:24" ht="15" customHeight="1" thickBot="1" x14ac:dyDescent="0.35">
      <c r="A95" s="2">
        <v>24</v>
      </c>
      <c r="B95" s="67" t="s">
        <v>69</v>
      </c>
      <c r="C95" s="55"/>
      <c r="D95" s="41"/>
      <c r="E95" s="55"/>
      <c r="F95" s="55"/>
      <c r="G95" s="55"/>
      <c r="H95" s="51"/>
      <c r="I95" s="52"/>
      <c r="J95" s="74" t="s">
        <v>70</v>
      </c>
      <c r="K95" s="57"/>
      <c r="L95" s="75">
        <v>118</v>
      </c>
      <c r="M95" s="60">
        <v>3</v>
      </c>
      <c r="N95" s="76">
        <v>250</v>
      </c>
      <c r="O95" s="42"/>
      <c r="P95" s="58" t="s">
        <v>36</v>
      </c>
      <c r="Q95" s="61"/>
      <c r="R95" s="62"/>
      <c r="S95" s="78">
        <f t="shared" si="3"/>
        <v>750</v>
      </c>
      <c r="T95" s="44" t="str">
        <f t="shared" si="4"/>
        <v>750grams</v>
      </c>
      <c r="U95" s="77">
        <f t="shared" si="5"/>
        <v>354</v>
      </c>
      <c r="V95" s="46"/>
      <c r="W95" s="46"/>
      <c r="X95" s="46"/>
    </row>
    <row r="96" spans="1:24" ht="15" customHeight="1" thickBot="1" x14ac:dyDescent="0.35">
      <c r="A96" s="2">
        <v>24</v>
      </c>
      <c r="B96" s="67" t="s">
        <v>69</v>
      </c>
      <c r="C96" s="55"/>
      <c r="D96" s="41"/>
      <c r="E96" s="55"/>
      <c r="F96" s="55"/>
      <c r="G96" s="55"/>
      <c r="H96" s="51"/>
      <c r="I96" s="52"/>
      <c r="J96" s="74" t="s">
        <v>70</v>
      </c>
      <c r="K96" s="57"/>
      <c r="L96" s="75">
        <v>26</v>
      </c>
      <c r="M96" s="60">
        <v>1</v>
      </c>
      <c r="N96" s="76">
        <v>250</v>
      </c>
      <c r="O96" s="42"/>
      <c r="P96" s="58" t="s">
        <v>36</v>
      </c>
      <c r="Q96" s="61"/>
      <c r="R96" s="62"/>
      <c r="S96" s="78">
        <f t="shared" si="3"/>
        <v>250</v>
      </c>
      <c r="T96" s="44" t="str">
        <f t="shared" si="4"/>
        <v>250grams</v>
      </c>
      <c r="U96" s="77">
        <f t="shared" si="5"/>
        <v>26</v>
      </c>
      <c r="V96" s="20"/>
      <c r="W96" s="20"/>
      <c r="X96" s="20"/>
    </row>
    <row r="97" spans="1:24" ht="15" customHeight="1" thickBot="1" x14ac:dyDescent="0.35">
      <c r="A97" s="2">
        <v>24</v>
      </c>
      <c r="B97" s="67" t="s">
        <v>69</v>
      </c>
      <c r="C97" s="55"/>
      <c r="D97" s="41"/>
      <c r="E97" s="55"/>
      <c r="F97" s="55"/>
      <c r="G97" s="55"/>
      <c r="H97" s="51"/>
      <c r="I97" s="52"/>
      <c r="J97" s="74" t="s">
        <v>70</v>
      </c>
      <c r="K97" s="57"/>
      <c r="L97" s="75">
        <v>13.8</v>
      </c>
      <c r="M97" s="60">
        <v>1</v>
      </c>
      <c r="N97" s="76">
        <v>125</v>
      </c>
      <c r="O97" s="42"/>
      <c r="P97" s="58" t="s">
        <v>36</v>
      </c>
      <c r="Q97" s="61"/>
      <c r="R97" s="62"/>
      <c r="S97" s="78">
        <f t="shared" si="3"/>
        <v>125</v>
      </c>
      <c r="T97" s="44" t="str">
        <f t="shared" si="4"/>
        <v>125grams</v>
      </c>
      <c r="U97" s="77">
        <f t="shared" si="5"/>
        <v>13.8</v>
      </c>
      <c r="V97" s="46"/>
      <c r="W97" s="46"/>
      <c r="X97" s="46"/>
    </row>
    <row r="98" spans="1:24" ht="15" customHeight="1" thickBot="1" x14ac:dyDescent="0.35">
      <c r="A98" s="2">
        <v>25</v>
      </c>
      <c r="B98" s="67" t="s">
        <v>71</v>
      </c>
      <c r="C98" s="55"/>
      <c r="D98" s="41"/>
      <c r="E98" s="55"/>
      <c r="F98" s="55"/>
      <c r="G98" s="55"/>
      <c r="H98" s="51"/>
      <c r="I98" s="52"/>
      <c r="J98" s="74" t="s">
        <v>842</v>
      </c>
      <c r="K98" s="57"/>
      <c r="L98" s="75">
        <v>169.8</v>
      </c>
      <c r="M98" s="60">
        <v>1</v>
      </c>
      <c r="N98" s="76">
        <v>250</v>
      </c>
      <c r="O98" s="42"/>
      <c r="P98" s="58" t="s">
        <v>47</v>
      </c>
      <c r="Q98" s="61"/>
      <c r="R98" s="62"/>
      <c r="S98" s="78">
        <f t="shared" si="3"/>
        <v>250</v>
      </c>
      <c r="T98" s="44" t="str">
        <f t="shared" si="4"/>
        <v>250ml</v>
      </c>
      <c r="U98" s="77">
        <f t="shared" si="5"/>
        <v>169.8</v>
      </c>
      <c r="V98" s="46"/>
      <c r="W98" s="46"/>
      <c r="X98" s="46"/>
    </row>
    <row r="99" spans="1:24" ht="15" customHeight="1" thickBot="1" x14ac:dyDescent="0.35">
      <c r="A99" s="2">
        <v>25</v>
      </c>
      <c r="B99" s="67" t="s">
        <v>71</v>
      </c>
      <c r="C99" s="55"/>
      <c r="D99" s="41"/>
      <c r="E99" s="55"/>
      <c r="F99" s="55"/>
      <c r="G99" s="55"/>
      <c r="H99" s="51"/>
      <c r="I99" s="52"/>
      <c r="J99" s="74" t="s">
        <v>842</v>
      </c>
      <c r="K99" s="57"/>
      <c r="L99" s="75">
        <v>198</v>
      </c>
      <c r="M99" s="60">
        <v>1</v>
      </c>
      <c r="N99" s="76">
        <v>330</v>
      </c>
      <c r="O99" s="42"/>
      <c r="P99" s="58" t="s">
        <v>47</v>
      </c>
      <c r="Q99" s="61"/>
      <c r="R99" s="62"/>
      <c r="S99" s="78">
        <f t="shared" si="3"/>
        <v>330</v>
      </c>
      <c r="T99" s="44" t="str">
        <f t="shared" si="4"/>
        <v>330ml</v>
      </c>
      <c r="U99" s="77">
        <f t="shared" si="5"/>
        <v>198</v>
      </c>
      <c r="V99" s="53"/>
      <c r="W99" s="54"/>
      <c r="X99" s="39"/>
    </row>
    <row r="100" spans="1:24" ht="15" customHeight="1" thickBot="1" x14ac:dyDescent="0.35">
      <c r="A100" s="2">
        <v>25</v>
      </c>
      <c r="B100" s="67" t="s">
        <v>71</v>
      </c>
      <c r="C100" s="55"/>
      <c r="D100" s="41"/>
      <c r="E100" s="55"/>
      <c r="F100" s="55"/>
      <c r="G100" s="55"/>
      <c r="H100" s="51"/>
      <c r="I100" s="52"/>
      <c r="J100" s="74" t="s">
        <v>843</v>
      </c>
      <c r="K100" s="57"/>
      <c r="L100" s="75">
        <v>256</v>
      </c>
      <c r="M100" s="60">
        <v>1</v>
      </c>
      <c r="N100" s="76">
        <v>500</v>
      </c>
      <c r="O100" s="42"/>
      <c r="P100" s="58" t="s">
        <v>47</v>
      </c>
      <c r="Q100" s="61"/>
      <c r="R100" s="62"/>
      <c r="S100" s="78">
        <f t="shared" si="3"/>
        <v>500</v>
      </c>
      <c r="T100" s="44" t="str">
        <f t="shared" si="4"/>
        <v>500ml</v>
      </c>
      <c r="U100" s="77">
        <f t="shared" si="5"/>
        <v>256</v>
      </c>
      <c r="V100" s="46"/>
      <c r="W100" s="46"/>
      <c r="X100" s="46"/>
    </row>
    <row r="101" spans="1:24" ht="15" customHeight="1" thickBot="1" x14ac:dyDescent="0.35">
      <c r="A101" s="2">
        <v>26</v>
      </c>
      <c r="B101" s="68" t="s">
        <v>844</v>
      </c>
      <c r="C101" s="55"/>
      <c r="D101" s="41"/>
      <c r="E101" s="55"/>
      <c r="F101" s="55"/>
      <c r="G101" s="55"/>
      <c r="H101" s="51"/>
      <c r="I101" s="52"/>
      <c r="J101" s="74" t="s">
        <v>845</v>
      </c>
      <c r="K101" s="57"/>
      <c r="L101" s="75">
        <v>145</v>
      </c>
      <c r="M101" s="60">
        <v>2</v>
      </c>
      <c r="N101" s="76">
        <v>1</v>
      </c>
      <c r="O101" s="42"/>
      <c r="P101" s="58" t="s">
        <v>77</v>
      </c>
      <c r="Q101" s="61"/>
      <c r="R101" s="62"/>
      <c r="S101" s="78">
        <f t="shared" si="3"/>
        <v>2</v>
      </c>
      <c r="T101" s="44" t="str">
        <f t="shared" si="4"/>
        <v>2packs</v>
      </c>
      <c r="U101" s="77">
        <f t="shared" si="5"/>
        <v>290</v>
      </c>
      <c r="V101" s="50"/>
      <c r="W101" s="54"/>
      <c r="X101" s="39"/>
    </row>
    <row r="102" spans="1:24" ht="15" customHeight="1" thickBot="1" x14ac:dyDescent="0.35">
      <c r="A102" s="2">
        <v>27</v>
      </c>
      <c r="B102" s="67" t="s">
        <v>846</v>
      </c>
      <c r="C102" s="55"/>
      <c r="D102" s="41"/>
      <c r="E102" s="55"/>
      <c r="F102" s="55"/>
      <c r="G102" s="55"/>
      <c r="H102" s="51"/>
      <c r="I102" s="52"/>
      <c r="J102" s="74"/>
      <c r="K102" s="57"/>
      <c r="L102" s="75">
        <v>40</v>
      </c>
      <c r="M102" s="60">
        <v>1</v>
      </c>
      <c r="N102" s="76">
        <v>1</v>
      </c>
      <c r="O102" s="42"/>
      <c r="P102" s="58" t="s">
        <v>88</v>
      </c>
      <c r="Q102" s="61"/>
      <c r="R102" s="62"/>
      <c r="S102" s="78">
        <f t="shared" si="3"/>
        <v>1</v>
      </c>
      <c r="T102" s="44" t="str">
        <f t="shared" si="4"/>
        <v>1kilos</v>
      </c>
      <c r="U102" s="77">
        <f t="shared" si="5"/>
        <v>40</v>
      </c>
      <c r="V102" s="46"/>
      <c r="W102" s="46"/>
      <c r="X102" s="46"/>
    </row>
    <row r="103" spans="1:24" ht="15" customHeight="1" thickBot="1" x14ac:dyDescent="0.35">
      <c r="A103" s="2">
        <v>28</v>
      </c>
      <c r="B103" s="67" t="s">
        <v>847</v>
      </c>
      <c r="C103" s="55"/>
      <c r="D103" s="41"/>
      <c r="E103" s="55"/>
      <c r="F103" s="55"/>
      <c r="G103" s="55"/>
      <c r="H103" s="51"/>
      <c r="I103" s="52"/>
      <c r="J103" s="74"/>
      <c r="K103" s="57"/>
      <c r="L103" s="75">
        <v>110</v>
      </c>
      <c r="M103" s="60">
        <v>2</v>
      </c>
      <c r="N103" s="76">
        <v>1</v>
      </c>
      <c r="O103" s="42"/>
      <c r="P103" s="58" t="s">
        <v>88</v>
      </c>
      <c r="Q103" s="61"/>
      <c r="R103" s="62"/>
      <c r="S103" s="78">
        <f t="shared" si="3"/>
        <v>2</v>
      </c>
      <c r="T103" s="44" t="str">
        <f t="shared" si="4"/>
        <v>2kilos</v>
      </c>
      <c r="U103" s="77">
        <f t="shared" si="5"/>
        <v>220</v>
      </c>
      <c r="V103" s="46"/>
      <c r="W103" s="46"/>
      <c r="X103" s="46"/>
    </row>
    <row r="104" spans="1:24" ht="15" customHeight="1" thickBot="1" x14ac:dyDescent="0.35">
      <c r="A104" s="2">
        <v>29</v>
      </c>
      <c r="B104" s="67" t="s">
        <v>848</v>
      </c>
      <c r="C104" s="55"/>
      <c r="D104" s="41"/>
      <c r="E104" s="55"/>
      <c r="F104" s="55"/>
      <c r="G104" s="55"/>
      <c r="H104" s="51"/>
      <c r="I104" s="52"/>
      <c r="J104" s="74" t="s">
        <v>849</v>
      </c>
      <c r="K104" s="57"/>
      <c r="L104" s="75">
        <v>36</v>
      </c>
      <c r="M104" s="60">
        <v>2</v>
      </c>
      <c r="N104" s="76">
        <v>30</v>
      </c>
      <c r="O104" s="42"/>
      <c r="P104" s="58" t="s">
        <v>36</v>
      </c>
      <c r="Q104" s="61"/>
      <c r="R104" s="62"/>
      <c r="S104" s="78">
        <f t="shared" si="3"/>
        <v>60</v>
      </c>
      <c r="T104" s="44" t="str">
        <f t="shared" si="4"/>
        <v>60grams</v>
      </c>
      <c r="U104" s="77">
        <f t="shared" si="5"/>
        <v>72</v>
      </c>
      <c r="V104" s="46"/>
      <c r="W104" s="46"/>
      <c r="X104" s="46"/>
    </row>
    <row r="105" spans="1:24" ht="15" customHeight="1" thickBot="1" x14ac:dyDescent="0.35">
      <c r="A105" s="2">
        <v>30</v>
      </c>
      <c r="B105" s="68" t="s">
        <v>850</v>
      </c>
      <c r="C105" s="55"/>
      <c r="D105" s="41"/>
      <c r="E105" s="55"/>
      <c r="F105" s="55"/>
      <c r="G105" s="55"/>
      <c r="H105" s="51"/>
      <c r="I105" s="52"/>
      <c r="J105" s="74" t="s">
        <v>851</v>
      </c>
      <c r="K105" s="57"/>
      <c r="L105" s="75">
        <v>55</v>
      </c>
      <c r="M105" s="60">
        <v>1</v>
      </c>
      <c r="N105" s="76">
        <v>25</v>
      </c>
      <c r="O105" s="42"/>
      <c r="P105" s="58" t="s">
        <v>47</v>
      </c>
      <c r="Q105" s="61"/>
      <c r="R105" s="62"/>
      <c r="S105" s="78">
        <f t="shared" si="3"/>
        <v>25</v>
      </c>
      <c r="T105" s="44" t="str">
        <f t="shared" si="4"/>
        <v>25ml</v>
      </c>
      <c r="U105" s="77">
        <f t="shared" si="5"/>
        <v>55</v>
      </c>
      <c r="V105" s="50"/>
      <c r="W105" s="54"/>
      <c r="X105" s="39"/>
    </row>
    <row r="106" spans="1:24" ht="15" customHeight="1" thickBot="1" x14ac:dyDescent="0.35">
      <c r="A106" s="2">
        <v>30</v>
      </c>
      <c r="B106" s="68" t="s">
        <v>850</v>
      </c>
      <c r="C106" s="55"/>
      <c r="D106" s="41"/>
      <c r="E106" s="55"/>
      <c r="F106" s="55"/>
      <c r="G106" s="55"/>
      <c r="H106" s="51"/>
      <c r="I106" s="52"/>
      <c r="J106" s="74" t="s">
        <v>852</v>
      </c>
      <c r="K106" s="57"/>
      <c r="L106" s="75">
        <v>41</v>
      </c>
      <c r="M106" s="60">
        <v>2</v>
      </c>
      <c r="N106" s="76">
        <v>25</v>
      </c>
      <c r="O106" s="42"/>
      <c r="P106" s="58" t="s">
        <v>47</v>
      </c>
      <c r="Q106" s="61"/>
      <c r="R106" s="62"/>
      <c r="S106" s="78">
        <f t="shared" si="3"/>
        <v>50</v>
      </c>
      <c r="T106" s="44" t="str">
        <f t="shared" si="4"/>
        <v>50ml</v>
      </c>
      <c r="U106" s="77">
        <f t="shared" si="5"/>
        <v>82</v>
      </c>
      <c r="V106" s="46"/>
      <c r="W106" s="46"/>
      <c r="X106" s="46"/>
    </row>
    <row r="107" spans="1:24" ht="15" customHeight="1" thickBot="1" x14ac:dyDescent="0.35">
      <c r="A107" s="2">
        <v>31</v>
      </c>
      <c r="B107" s="67" t="s">
        <v>73</v>
      </c>
      <c r="C107" s="55"/>
      <c r="D107" s="41"/>
      <c r="E107" s="55"/>
      <c r="F107" s="55"/>
      <c r="G107" s="55"/>
      <c r="H107" s="51"/>
      <c r="I107" s="52"/>
      <c r="J107" s="74"/>
      <c r="K107" s="57"/>
      <c r="L107" s="75">
        <v>260</v>
      </c>
      <c r="M107" s="60">
        <v>20</v>
      </c>
      <c r="N107" s="76">
        <v>1</v>
      </c>
      <c r="O107" s="42"/>
      <c r="P107" s="58" t="s">
        <v>88</v>
      </c>
      <c r="Q107" s="61"/>
      <c r="R107" s="62"/>
      <c r="S107" s="78">
        <f t="shared" si="3"/>
        <v>20</v>
      </c>
      <c r="T107" s="44" t="str">
        <f t="shared" si="4"/>
        <v>20kilos</v>
      </c>
      <c r="U107" s="77">
        <f t="shared" si="5"/>
        <v>5200</v>
      </c>
      <c r="V107" s="46"/>
      <c r="W107" s="46"/>
      <c r="X107" s="46"/>
    </row>
    <row r="108" spans="1:24" ht="15" customHeight="1" thickBot="1" x14ac:dyDescent="0.35">
      <c r="A108" s="2">
        <v>31</v>
      </c>
      <c r="B108" s="67" t="s">
        <v>73</v>
      </c>
      <c r="C108" s="55"/>
      <c r="D108" s="41"/>
      <c r="E108" s="55"/>
      <c r="F108" s="55"/>
      <c r="G108" s="55"/>
      <c r="H108" s="51"/>
      <c r="I108" s="52"/>
      <c r="J108" s="74"/>
      <c r="K108" s="57"/>
      <c r="L108" s="75">
        <v>200</v>
      </c>
      <c r="M108" s="60">
        <v>4</v>
      </c>
      <c r="N108" s="76">
        <v>1</v>
      </c>
      <c r="O108" s="42"/>
      <c r="P108" s="58" t="s">
        <v>88</v>
      </c>
      <c r="Q108" s="61"/>
      <c r="R108" s="62"/>
      <c r="S108" s="78">
        <f t="shared" si="3"/>
        <v>4</v>
      </c>
      <c r="T108" s="44" t="str">
        <f t="shared" si="4"/>
        <v>4kilos</v>
      </c>
      <c r="U108" s="77">
        <f t="shared" si="5"/>
        <v>800</v>
      </c>
      <c r="V108" s="53"/>
      <c r="W108" s="54"/>
      <c r="X108" s="39"/>
    </row>
    <row r="109" spans="1:24" ht="15" customHeight="1" thickBot="1" x14ac:dyDescent="0.35">
      <c r="A109" s="2">
        <v>31</v>
      </c>
      <c r="B109" s="67" t="s">
        <v>73</v>
      </c>
      <c r="C109" s="55"/>
      <c r="D109" s="41"/>
      <c r="E109" s="55"/>
      <c r="F109" s="55"/>
      <c r="G109" s="55"/>
      <c r="H109" s="51"/>
      <c r="I109" s="52"/>
      <c r="J109" s="74"/>
      <c r="K109" s="57"/>
      <c r="L109" s="75">
        <v>280</v>
      </c>
      <c r="M109" s="60">
        <v>3</v>
      </c>
      <c r="N109" s="76">
        <v>1</v>
      </c>
      <c r="O109" s="42"/>
      <c r="P109" s="58" t="s">
        <v>88</v>
      </c>
      <c r="Q109" s="61"/>
      <c r="R109" s="62"/>
      <c r="S109" s="78">
        <f t="shared" si="3"/>
        <v>3</v>
      </c>
      <c r="T109" s="44" t="str">
        <f t="shared" si="4"/>
        <v>3kilos</v>
      </c>
      <c r="U109" s="77">
        <f t="shared" si="5"/>
        <v>840</v>
      </c>
      <c r="V109" s="46"/>
      <c r="W109" s="46"/>
      <c r="X109" s="46"/>
    </row>
    <row r="110" spans="1:24" ht="15" customHeight="1" thickBot="1" x14ac:dyDescent="0.35">
      <c r="A110" s="2">
        <v>31</v>
      </c>
      <c r="B110" s="67" t="s">
        <v>73</v>
      </c>
      <c r="C110" s="55"/>
      <c r="D110" s="41"/>
      <c r="E110" s="55"/>
      <c r="F110" s="55"/>
      <c r="G110" s="55"/>
      <c r="H110" s="51"/>
      <c r="I110" s="52"/>
      <c r="J110" s="74"/>
      <c r="K110" s="57"/>
      <c r="L110" s="75">
        <v>200</v>
      </c>
      <c r="M110" s="60">
        <v>7</v>
      </c>
      <c r="N110" s="76">
        <v>1</v>
      </c>
      <c r="O110" s="42"/>
      <c r="P110" s="58" t="s">
        <v>88</v>
      </c>
      <c r="Q110" s="61"/>
      <c r="R110" s="62"/>
      <c r="S110" s="78">
        <f t="shared" si="3"/>
        <v>7</v>
      </c>
      <c r="T110" s="44" t="str">
        <f t="shared" si="4"/>
        <v>7kilos</v>
      </c>
      <c r="U110" s="77">
        <f t="shared" si="5"/>
        <v>1400</v>
      </c>
      <c r="V110" s="46"/>
      <c r="W110" s="46"/>
      <c r="X110" s="46"/>
    </row>
    <row r="111" spans="1:24" ht="15" customHeight="1" thickBot="1" x14ac:dyDescent="0.35">
      <c r="A111" s="2">
        <v>31</v>
      </c>
      <c r="B111" s="67" t="s">
        <v>73</v>
      </c>
      <c r="C111" s="55"/>
      <c r="D111" s="41"/>
      <c r="E111" s="55"/>
      <c r="F111" s="55"/>
      <c r="G111" s="55"/>
      <c r="H111" s="51"/>
      <c r="I111" s="52"/>
      <c r="J111" s="74"/>
      <c r="K111" s="57"/>
      <c r="L111" s="75">
        <v>300</v>
      </c>
      <c r="M111" s="60">
        <v>3</v>
      </c>
      <c r="N111" s="76">
        <v>1</v>
      </c>
      <c r="O111" s="42"/>
      <c r="P111" s="58" t="s">
        <v>88</v>
      </c>
      <c r="Q111" s="61"/>
      <c r="R111" s="62"/>
      <c r="S111" s="78">
        <f t="shared" si="3"/>
        <v>3</v>
      </c>
      <c r="T111" s="44" t="str">
        <f t="shared" si="4"/>
        <v>3kilos</v>
      </c>
      <c r="U111" s="77">
        <f t="shared" si="5"/>
        <v>900</v>
      </c>
      <c r="V111" s="46"/>
      <c r="W111" s="46"/>
      <c r="X111" s="46"/>
    </row>
    <row r="112" spans="1:24" ht="15" customHeight="1" thickBot="1" x14ac:dyDescent="0.35">
      <c r="A112" s="2">
        <v>31</v>
      </c>
      <c r="B112" s="67" t="s">
        <v>73</v>
      </c>
      <c r="C112" s="55"/>
      <c r="D112" s="41"/>
      <c r="E112" s="55"/>
      <c r="F112" s="55"/>
      <c r="G112" s="55"/>
      <c r="H112" s="51"/>
      <c r="I112" s="52"/>
      <c r="J112" s="74"/>
      <c r="K112" s="57"/>
      <c r="L112" s="75">
        <v>220</v>
      </c>
      <c r="M112" s="60">
        <v>1</v>
      </c>
      <c r="N112" s="76">
        <v>1</v>
      </c>
      <c r="O112" s="42"/>
      <c r="P112" s="58" t="s">
        <v>88</v>
      </c>
      <c r="Q112" s="61"/>
      <c r="R112" s="62"/>
      <c r="S112" s="78">
        <f t="shared" si="3"/>
        <v>1</v>
      </c>
      <c r="T112" s="44" t="str">
        <f t="shared" si="4"/>
        <v>1kilos</v>
      </c>
      <c r="U112" s="77">
        <f t="shared" si="5"/>
        <v>220</v>
      </c>
      <c r="V112" s="46"/>
      <c r="W112" s="46"/>
      <c r="X112" s="46"/>
    </row>
    <row r="113" spans="1:24" ht="15" customHeight="1" thickBot="1" x14ac:dyDescent="0.35">
      <c r="A113" s="2">
        <v>31</v>
      </c>
      <c r="B113" s="67" t="s">
        <v>73</v>
      </c>
      <c r="C113" s="55"/>
      <c r="D113" s="41"/>
      <c r="E113" s="55"/>
      <c r="F113" s="55"/>
      <c r="G113" s="55"/>
      <c r="H113" s="51"/>
      <c r="I113" s="52"/>
      <c r="J113" s="74"/>
      <c r="K113" s="57"/>
      <c r="L113" s="75">
        <v>150</v>
      </c>
      <c r="M113" s="60">
        <v>5</v>
      </c>
      <c r="N113" s="76">
        <v>1</v>
      </c>
      <c r="O113" s="42"/>
      <c r="P113" s="58" t="s">
        <v>88</v>
      </c>
      <c r="Q113" s="61"/>
      <c r="R113" s="62"/>
      <c r="S113" s="78">
        <f t="shared" si="3"/>
        <v>5</v>
      </c>
      <c r="T113" s="44" t="str">
        <f t="shared" si="4"/>
        <v>5kilos</v>
      </c>
      <c r="U113" s="77">
        <f t="shared" si="5"/>
        <v>750</v>
      </c>
      <c r="V113" s="46"/>
      <c r="W113" s="46"/>
      <c r="X113" s="46"/>
    </row>
    <row r="114" spans="1:24" ht="15" customHeight="1" thickBot="1" x14ac:dyDescent="0.35">
      <c r="A114" s="2">
        <v>32</v>
      </c>
      <c r="B114" s="67" t="s">
        <v>853</v>
      </c>
      <c r="C114" s="55"/>
      <c r="D114" s="41"/>
      <c r="E114" s="55"/>
      <c r="F114" s="55"/>
      <c r="G114" s="55"/>
      <c r="H114" s="51"/>
      <c r="I114" s="52"/>
      <c r="J114" s="74" t="s">
        <v>854</v>
      </c>
      <c r="K114" s="57"/>
      <c r="L114" s="75">
        <v>265</v>
      </c>
      <c r="M114" s="60">
        <v>1</v>
      </c>
      <c r="N114" s="76">
        <v>1</v>
      </c>
      <c r="O114" s="42"/>
      <c r="P114" s="58" t="s">
        <v>88</v>
      </c>
      <c r="Q114" s="61"/>
      <c r="R114" s="62"/>
      <c r="S114" s="78">
        <f t="shared" si="3"/>
        <v>1</v>
      </c>
      <c r="T114" s="44" t="str">
        <f t="shared" si="4"/>
        <v>1kilos</v>
      </c>
      <c r="U114" s="77">
        <f t="shared" si="5"/>
        <v>265</v>
      </c>
      <c r="V114" s="46"/>
      <c r="W114" s="46"/>
      <c r="X114" s="46"/>
    </row>
    <row r="115" spans="1:24" ht="15" customHeight="1" thickBot="1" x14ac:dyDescent="0.35">
      <c r="A115" s="2">
        <v>33</v>
      </c>
      <c r="B115" s="68" t="s">
        <v>855</v>
      </c>
      <c r="C115" s="55"/>
      <c r="D115" s="41"/>
      <c r="E115" s="55"/>
      <c r="F115" s="55"/>
      <c r="G115" s="55"/>
      <c r="H115" s="51"/>
      <c r="I115" s="52"/>
      <c r="J115" s="74" t="s">
        <v>856</v>
      </c>
      <c r="K115" s="57"/>
      <c r="L115" s="75">
        <v>559</v>
      </c>
      <c r="M115" s="60">
        <v>1</v>
      </c>
      <c r="N115" s="76">
        <v>1000</v>
      </c>
      <c r="O115" s="42"/>
      <c r="P115" s="58" t="s">
        <v>36</v>
      </c>
      <c r="Q115" s="61"/>
      <c r="R115" s="62"/>
      <c r="S115" s="78">
        <f t="shared" si="3"/>
        <v>1000</v>
      </c>
      <c r="T115" s="44" t="str">
        <f t="shared" si="4"/>
        <v>1000grams</v>
      </c>
      <c r="U115" s="77">
        <f t="shared" si="5"/>
        <v>559</v>
      </c>
      <c r="V115" s="46"/>
      <c r="W115" s="46"/>
      <c r="X115" s="46"/>
    </row>
    <row r="116" spans="1:24" ht="15" customHeight="1" thickBot="1" x14ac:dyDescent="0.35">
      <c r="A116" s="2">
        <v>34</v>
      </c>
      <c r="B116" s="67" t="s">
        <v>857</v>
      </c>
      <c r="C116" s="55"/>
      <c r="D116" s="41"/>
      <c r="E116" s="55"/>
      <c r="F116" s="55"/>
      <c r="G116" s="55"/>
      <c r="H116" s="51"/>
      <c r="I116" s="52"/>
      <c r="J116" s="74" t="s">
        <v>858</v>
      </c>
      <c r="K116" s="57"/>
      <c r="L116" s="75">
        <v>34.75</v>
      </c>
      <c r="M116" s="60">
        <v>2</v>
      </c>
      <c r="N116" s="76">
        <v>1</v>
      </c>
      <c r="O116" s="42"/>
      <c r="P116" s="58" t="s">
        <v>77</v>
      </c>
      <c r="Q116" s="61"/>
      <c r="R116" s="62"/>
      <c r="S116" s="78">
        <f t="shared" si="3"/>
        <v>2</v>
      </c>
      <c r="T116" s="44" t="str">
        <f t="shared" si="4"/>
        <v>2packs</v>
      </c>
      <c r="U116" s="77">
        <f t="shared" si="5"/>
        <v>69.5</v>
      </c>
      <c r="V116" s="20"/>
      <c r="W116" s="20"/>
      <c r="X116" s="20"/>
    </row>
    <row r="117" spans="1:24" ht="15.75" customHeight="1" thickBot="1" x14ac:dyDescent="0.35">
      <c r="A117" s="2">
        <v>34</v>
      </c>
      <c r="B117" s="67" t="s">
        <v>857</v>
      </c>
      <c r="C117" s="55"/>
      <c r="D117" s="41"/>
      <c r="E117" s="55"/>
      <c r="F117" s="55"/>
      <c r="G117" s="55"/>
      <c r="H117" s="51"/>
      <c r="I117" s="52"/>
      <c r="J117" s="74" t="s">
        <v>859</v>
      </c>
      <c r="K117" s="57"/>
      <c r="L117" s="75">
        <v>32</v>
      </c>
      <c r="M117" s="60">
        <v>1</v>
      </c>
      <c r="N117" s="76">
        <v>110</v>
      </c>
      <c r="O117" s="42"/>
      <c r="P117" s="58" t="s">
        <v>36</v>
      </c>
      <c r="Q117" s="61"/>
      <c r="R117" s="62"/>
      <c r="S117" s="78">
        <f t="shared" si="3"/>
        <v>110</v>
      </c>
      <c r="T117" s="44" t="str">
        <f t="shared" si="4"/>
        <v>110grams</v>
      </c>
      <c r="U117" s="77">
        <f t="shared" si="5"/>
        <v>32</v>
      </c>
      <c r="V117" s="46"/>
      <c r="W117" s="46"/>
      <c r="X117" s="46"/>
    </row>
    <row r="118" spans="1:24" ht="14.25" customHeight="1" thickBot="1" x14ac:dyDescent="0.35">
      <c r="A118" s="2">
        <v>35</v>
      </c>
      <c r="B118" s="68" t="s">
        <v>860</v>
      </c>
      <c r="C118" s="55"/>
      <c r="D118" s="41"/>
      <c r="E118" s="55"/>
      <c r="F118" s="55"/>
      <c r="G118" s="55"/>
      <c r="H118" s="51"/>
      <c r="I118" s="52"/>
      <c r="J118" s="74" t="s">
        <v>859</v>
      </c>
      <c r="K118" s="57"/>
      <c r="L118" s="75">
        <v>77</v>
      </c>
      <c r="M118" s="60">
        <v>1</v>
      </c>
      <c r="N118" s="76">
        <v>350</v>
      </c>
      <c r="O118" s="42"/>
      <c r="P118" s="58" t="s">
        <v>47</v>
      </c>
      <c r="Q118" s="61"/>
      <c r="R118" s="62"/>
      <c r="S118" s="78">
        <f t="shared" ref="S118:S181" si="6">M118*N118</f>
        <v>350</v>
      </c>
      <c r="T118" s="44" t="str">
        <f t="shared" ref="T118:T181" si="7">CONCATENATE(S118,Q118,P118)</f>
        <v>350ml</v>
      </c>
      <c r="U118" s="77">
        <f t="shared" ref="U118:U181" si="8">L118*M118</f>
        <v>77</v>
      </c>
      <c r="V118" s="50"/>
      <c r="W118" s="54"/>
      <c r="X118" s="39"/>
    </row>
    <row r="119" spans="1:24" ht="14.25" customHeight="1" thickBot="1" x14ac:dyDescent="0.35">
      <c r="A119" s="2">
        <v>36</v>
      </c>
      <c r="B119" s="67" t="s">
        <v>861</v>
      </c>
      <c r="C119" s="55"/>
      <c r="D119" s="41"/>
      <c r="E119" s="55"/>
      <c r="F119" s="55"/>
      <c r="G119" s="55"/>
      <c r="H119" s="51"/>
      <c r="I119" s="52"/>
      <c r="J119" s="74" t="s">
        <v>862</v>
      </c>
      <c r="K119" s="57"/>
      <c r="L119" s="75">
        <v>17</v>
      </c>
      <c r="M119" s="60">
        <v>3</v>
      </c>
      <c r="N119" s="76">
        <v>1</v>
      </c>
      <c r="O119" s="42"/>
      <c r="P119" s="58" t="s">
        <v>77</v>
      </c>
      <c r="Q119" s="61"/>
      <c r="R119" s="62"/>
      <c r="S119" s="78">
        <f t="shared" si="6"/>
        <v>3</v>
      </c>
      <c r="T119" s="44" t="str">
        <f t="shared" si="7"/>
        <v>3packs</v>
      </c>
      <c r="U119" s="77">
        <f t="shared" si="8"/>
        <v>51</v>
      </c>
      <c r="V119" s="20"/>
      <c r="W119" s="20"/>
      <c r="X119" s="20"/>
    </row>
    <row r="120" spans="1:24" ht="14.25" customHeight="1" thickBot="1" x14ac:dyDescent="0.35">
      <c r="A120" s="2">
        <v>36</v>
      </c>
      <c r="B120" s="67" t="s">
        <v>861</v>
      </c>
      <c r="C120" s="55"/>
      <c r="D120" s="41"/>
      <c r="E120" s="55"/>
      <c r="F120" s="55"/>
      <c r="G120" s="55"/>
      <c r="H120" s="51"/>
      <c r="I120" s="52"/>
      <c r="J120" s="74" t="s">
        <v>820</v>
      </c>
      <c r="K120" s="57"/>
      <c r="L120" s="75">
        <v>25.56</v>
      </c>
      <c r="M120" s="60">
        <v>9</v>
      </c>
      <c r="N120" s="76">
        <v>100</v>
      </c>
      <c r="O120" s="42"/>
      <c r="P120" s="58" t="s">
        <v>38</v>
      </c>
      <c r="Q120" s="61"/>
      <c r="R120" s="62"/>
      <c r="S120" s="78">
        <f t="shared" si="6"/>
        <v>900</v>
      </c>
      <c r="T120" s="44" t="str">
        <f t="shared" si="7"/>
        <v>900pieces</v>
      </c>
      <c r="U120" s="77">
        <f t="shared" si="8"/>
        <v>230.04</v>
      </c>
      <c r="V120" s="46"/>
      <c r="W120" s="46"/>
      <c r="X120" s="46"/>
    </row>
    <row r="121" spans="1:24" ht="14.25" customHeight="1" thickBot="1" x14ac:dyDescent="0.35">
      <c r="A121" s="2">
        <v>36</v>
      </c>
      <c r="B121" s="67" t="s">
        <v>861</v>
      </c>
      <c r="C121" s="55"/>
      <c r="D121" s="41"/>
      <c r="E121" s="55"/>
      <c r="F121" s="55"/>
      <c r="G121" s="55"/>
      <c r="H121" s="51"/>
      <c r="I121" s="52"/>
      <c r="J121" s="74" t="s">
        <v>862</v>
      </c>
      <c r="K121" s="57"/>
      <c r="L121" s="75">
        <v>25</v>
      </c>
      <c r="M121" s="60">
        <v>1</v>
      </c>
      <c r="N121" s="76">
        <v>1</v>
      </c>
      <c r="O121" s="42"/>
      <c r="P121" s="58" t="s">
        <v>77</v>
      </c>
      <c r="Q121" s="61"/>
      <c r="R121" s="62"/>
      <c r="S121" s="78">
        <f t="shared" si="6"/>
        <v>1</v>
      </c>
      <c r="T121" s="44" t="str">
        <f t="shared" si="7"/>
        <v>1packs</v>
      </c>
      <c r="U121" s="77">
        <f t="shared" si="8"/>
        <v>25</v>
      </c>
      <c r="V121" s="46"/>
      <c r="W121" s="46"/>
      <c r="X121" s="46"/>
    </row>
    <row r="122" spans="1:24" ht="14.25" customHeight="1" thickBot="1" x14ac:dyDescent="0.35">
      <c r="A122" s="2">
        <v>36</v>
      </c>
      <c r="B122" s="67" t="s">
        <v>861</v>
      </c>
      <c r="C122" s="55"/>
      <c r="D122" s="41"/>
      <c r="E122" s="55"/>
      <c r="F122" s="55"/>
      <c r="G122" s="55"/>
      <c r="H122" s="51"/>
      <c r="I122" s="52"/>
      <c r="J122" s="74" t="s">
        <v>863</v>
      </c>
      <c r="K122" s="57"/>
      <c r="L122" s="75">
        <v>18</v>
      </c>
      <c r="M122" s="60">
        <v>4</v>
      </c>
      <c r="N122" s="76">
        <v>1</v>
      </c>
      <c r="O122" s="42"/>
      <c r="P122" s="58" t="s">
        <v>77</v>
      </c>
      <c r="Q122" s="61"/>
      <c r="R122" s="62"/>
      <c r="S122" s="78">
        <f t="shared" si="6"/>
        <v>4</v>
      </c>
      <c r="T122" s="44" t="str">
        <f t="shared" si="7"/>
        <v>4packs</v>
      </c>
      <c r="U122" s="77">
        <f t="shared" si="8"/>
        <v>72</v>
      </c>
      <c r="V122" s="46"/>
      <c r="W122" s="46"/>
      <c r="X122" s="46"/>
    </row>
    <row r="123" spans="1:24" ht="14.25" customHeight="1" thickBot="1" x14ac:dyDescent="0.35">
      <c r="A123" s="2">
        <v>36</v>
      </c>
      <c r="B123" s="67" t="s">
        <v>861</v>
      </c>
      <c r="C123" s="55"/>
      <c r="D123" s="41"/>
      <c r="E123" s="55"/>
      <c r="F123" s="55"/>
      <c r="G123" s="55"/>
      <c r="H123" s="51"/>
      <c r="I123" s="52"/>
      <c r="J123" s="74"/>
      <c r="K123" s="57"/>
      <c r="L123" s="75">
        <v>22.27</v>
      </c>
      <c r="M123" s="60">
        <v>1</v>
      </c>
      <c r="N123" s="76">
        <v>100</v>
      </c>
      <c r="O123" s="42"/>
      <c r="P123" s="58" t="s">
        <v>38</v>
      </c>
      <c r="Q123" s="61"/>
      <c r="R123" s="62"/>
      <c r="S123" s="78">
        <f t="shared" si="6"/>
        <v>100</v>
      </c>
      <c r="T123" s="44" t="str">
        <f t="shared" si="7"/>
        <v>100pieces</v>
      </c>
      <c r="U123" s="77">
        <f t="shared" si="8"/>
        <v>22.27</v>
      </c>
      <c r="V123" s="46"/>
      <c r="W123" s="46"/>
      <c r="X123" s="46"/>
    </row>
    <row r="124" spans="1:24" ht="14.25" customHeight="1" thickBot="1" x14ac:dyDescent="0.35">
      <c r="A124" s="2">
        <v>37</v>
      </c>
      <c r="B124" s="68" t="s">
        <v>864</v>
      </c>
      <c r="C124" s="55"/>
      <c r="D124" s="41"/>
      <c r="E124" s="55"/>
      <c r="F124" s="55"/>
      <c r="G124" s="55"/>
      <c r="H124" s="51"/>
      <c r="I124" s="52"/>
      <c r="J124" s="74" t="s">
        <v>816</v>
      </c>
      <c r="K124" s="57"/>
      <c r="L124" s="75">
        <v>68</v>
      </c>
      <c r="M124" s="60">
        <v>1</v>
      </c>
      <c r="N124" s="76">
        <v>9</v>
      </c>
      <c r="O124" s="42"/>
      <c r="P124" s="58" t="s">
        <v>36</v>
      </c>
      <c r="Q124" s="61"/>
      <c r="R124" s="62"/>
      <c r="S124" s="78">
        <f t="shared" si="6"/>
        <v>9</v>
      </c>
      <c r="T124" s="44" t="str">
        <f t="shared" si="7"/>
        <v>9grams</v>
      </c>
      <c r="U124" s="77">
        <f t="shared" si="8"/>
        <v>68</v>
      </c>
      <c r="V124" s="50"/>
      <c r="W124" s="54"/>
      <c r="X124" s="39"/>
    </row>
    <row r="125" spans="1:24" ht="14.25" customHeight="1" thickBot="1" x14ac:dyDescent="0.35">
      <c r="A125" s="2">
        <v>37</v>
      </c>
      <c r="B125" s="68" t="s">
        <v>864</v>
      </c>
      <c r="C125" s="55"/>
      <c r="D125" s="41"/>
      <c r="E125" s="55"/>
      <c r="F125" s="55"/>
      <c r="G125" s="55"/>
      <c r="H125" s="51"/>
      <c r="I125" s="52"/>
      <c r="J125" s="74" t="s">
        <v>816</v>
      </c>
      <c r="K125" s="57"/>
      <c r="L125" s="75">
        <v>59.5</v>
      </c>
      <c r="M125" s="60">
        <v>4</v>
      </c>
      <c r="N125" s="76">
        <v>9</v>
      </c>
      <c r="O125" s="42"/>
      <c r="P125" s="58" t="s">
        <v>36</v>
      </c>
      <c r="Q125" s="61"/>
      <c r="R125" s="62"/>
      <c r="S125" s="78">
        <f t="shared" si="6"/>
        <v>36</v>
      </c>
      <c r="T125" s="44" t="str">
        <f t="shared" si="7"/>
        <v>36grams</v>
      </c>
      <c r="U125" s="77">
        <f t="shared" si="8"/>
        <v>238</v>
      </c>
      <c r="V125" s="50"/>
      <c r="W125" s="54"/>
      <c r="X125" s="39"/>
    </row>
    <row r="126" spans="1:24" ht="14.25" customHeight="1" thickBot="1" x14ac:dyDescent="0.35">
      <c r="A126" s="2">
        <v>38</v>
      </c>
      <c r="B126" s="68" t="s">
        <v>865</v>
      </c>
      <c r="C126" s="55"/>
      <c r="D126" s="41"/>
      <c r="E126" s="55"/>
      <c r="F126" s="55"/>
      <c r="G126" s="55"/>
      <c r="H126" s="51"/>
      <c r="I126" s="52"/>
      <c r="J126" s="74" t="s">
        <v>866</v>
      </c>
      <c r="K126" s="57"/>
      <c r="L126" s="75">
        <v>252</v>
      </c>
      <c r="M126" s="60">
        <v>1</v>
      </c>
      <c r="N126" s="76">
        <v>2</v>
      </c>
      <c r="O126" s="42"/>
      <c r="P126" s="58" t="s">
        <v>88</v>
      </c>
      <c r="Q126" s="61"/>
      <c r="R126" s="62"/>
      <c r="S126" s="78">
        <f t="shared" si="6"/>
        <v>2</v>
      </c>
      <c r="T126" s="44" t="str">
        <f t="shared" si="7"/>
        <v>2kilos</v>
      </c>
      <c r="U126" s="77">
        <f t="shared" si="8"/>
        <v>252</v>
      </c>
      <c r="V126" s="50"/>
      <c r="W126" s="54"/>
      <c r="X126" s="39"/>
    </row>
    <row r="127" spans="1:24" ht="14.25" customHeight="1" thickBot="1" x14ac:dyDescent="0.35">
      <c r="A127" s="2">
        <v>39</v>
      </c>
      <c r="B127" s="67" t="s">
        <v>867</v>
      </c>
      <c r="C127" s="55"/>
      <c r="D127" s="41"/>
      <c r="E127" s="55"/>
      <c r="F127" s="55"/>
      <c r="G127" s="55"/>
      <c r="H127" s="51"/>
      <c r="I127" s="52"/>
      <c r="J127" s="74"/>
      <c r="K127" s="57"/>
      <c r="L127" s="75">
        <v>130</v>
      </c>
      <c r="M127" s="60">
        <v>2</v>
      </c>
      <c r="N127" s="76">
        <v>2</v>
      </c>
      <c r="O127" s="42"/>
      <c r="P127" s="58" t="s">
        <v>88</v>
      </c>
      <c r="Q127" s="61"/>
      <c r="R127" s="62"/>
      <c r="S127" s="78">
        <f t="shared" si="6"/>
        <v>4</v>
      </c>
      <c r="T127" s="44" t="str">
        <f t="shared" si="7"/>
        <v>4kilos</v>
      </c>
      <c r="U127" s="77">
        <f t="shared" si="8"/>
        <v>260</v>
      </c>
      <c r="V127" s="46"/>
      <c r="W127" s="46"/>
      <c r="X127" s="46"/>
    </row>
    <row r="128" spans="1:24" ht="14.25" customHeight="1" thickBot="1" x14ac:dyDescent="0.35">
      <c r="A128" s="2">
        <v>40</v>
      </c>
      <c r="B128" s="67" t="s">
        <v>868</v>
      </c>
      <c r="C128" s="55"/>
      <c r="D128" s="41"/>
      <c r="E128" s="55"/>
      <c r="F128" s="55"/>
      <c r="G128" s="55"/>
      <c r="H128" s="51"/>
      <c r="I128" s="52"/>
      <c r="J128" s="74" t="s">
        <v>869</v>
      </c>
      <c r="K128" s="57"/>
      <c r="L128" s="75">
        <v>380</v>
      </c>
      <c r="M128" s="60">
        <v>7</v>
      </c>
      <c r="N128" s="76">
        <v>2</v>
      </c>
      <c r="O128" s="42"/>
      <c r="P128" s="58" t="s">
        <v>88</v>
      </c>
      <c r="Q128" s="61"/>
      <c r="R128" s="62"/>
      <c r="S128" s="78">
        <f t="shared" si="6"/>
        <v>14</v>
      </c>
      <c r="T128" s="44" t="str">
        <f t="shared" si="7"/>
        <v>14kilos</v>
      </c>
      <c r="U128" s="77">
        <f t="shared" si="8"/>
        <v>2660</v>
      </c>
      <c r="V128" s="46"/>
      <c r="W128" s="46"/>
      <c r="X128" s="46"/>
    </row>
    <row r="129" spans="1:24" ht="14.25" customHeight="1" thickBot="1" x14ac:dyDescent="0.35">
      <c r="A129" s="2">
        <v>40</v>
      </c>
      <c r="B129" s="67" t="s">
        <v>868</v>
      </c>
      <c r="C129" s="55"/>
      <c r="D129" s="41"/>
      <c r="E129" s="55"/>
      <c r="F129" s="55"/>
      <c r="G129" s="55"/>
      <c r="H129" s="51"/>
      <c r="I129" s="52"/>
      <c r="J129" s="74" t="s">
        <v>869</v>
      </c>
      <c r="K129" s="57"/>
      <c r="L129" s="75">
        <v>385</v>
      </c>
      <c r="M129" s="60">
        <v>3</v>
      </c>
      <c r="N129" s="76">
        <v>1</v>
      </c>
      <c r="O129" s="42"/>
      <c r="P129" s="58" t="s">
        <v>88</v>
      </c>
      <c r="Q129" s="61"/>
      <c r="R129" s="62"/>
      <c r="S129" s="78">
        <f t="shared" si="6"/>
        <v>3</v>
      </c>
      <c r="T129" s="44" t="str">
        <f t="shared" si="7"/>
        <v>3kilos</v>
      </c>
      <c r="U129" s="77">
        <f t="shared" si="8"/>
        <v>1155</v>
      </c>
      <c r="V129" s="46"/>
      <c r="W129" s="46"/>
      <c r="X129" s="46"/>
    </row>
    <row r="130" spans="1:24" ht="15.75" customHeight="1" thickBot="1" x14ac:dyDescent="0.35">
      <c r="A130" s="2">
        <v>41</v>
      </c>
      <c r="B130" s="67" t="s">
        <v>870</v>
      </c>
      <c r="C130" s="55"/>
      <c r="D130" s="41"/>
      <c r="E130" s="55"/>
      <c r="F130" s="55"/>
      <c r="G130" s="55"/>
      <c r="H130" s="51"/>
      <c r="I130" s="52"/>
      <c r="J130" s="74"/>
      <c r="K130" s="57"/>
      <c r="L130" s="75">
        <v>312</v>
      </c>
      <c r="M130" s="60">
        <v>20</v>
      </c>
      <c r="N130" s="76">
        <v>1</v>
      </c>
      <c r="O130" s="42"/>
      <c r="P130" s="58" t="s">
        <v>88</v>
      </c>
      <c r="Q130" s="61"/>
      <c r="R130" s="62"/>
      <c r="S130" s="78">
        <f t="shared" si="6"/>
        <v>20</v>
      </c>
      <c r="T130" s="44" t="str">
        <f t="shared" si="7"/>
        <v>20kilos</v>
      </c>
      <c r="U130" s="77">
        <f t="shared" si="8"/>
        <v>6240</v>
      </c>
      <c r="V130" s="46"/>
      <c r="W130" s="46"/>
      <c r="X130" s="46"/>
    </row>
    <row r="131" spans="1:24" ht="15.75" customHeight="1" thickBot="1" x14ac:dyDescent="0.35">
      <c r="A131" s="2">
        <v>41</v>
      </c>
      <c r="B131" s="67" t="s">
        <v>870</v>
      </c>
      <c r="C131" s="55"/>
      <c r="D131" s="41"/>
      <c r="E131" s="55"/>
      <c r="F131" s="55"/>
      <c r="G131" s="55"/>
      <c r="H131" s="51"/>
      <c r="I131" s="52"/>
      <c r="J131" s="74"/>
      <c r="K131" s="57"/>
      <c r="L131" s="75">
        <v>385</v>
      </c>
      <c r="M131" s="60">
        <v>13</v>
      </c>
      <c r="N131" s="76">
        <v>1</v>
      </c>
      <c r="O131" s="42"/>
      <c r="P131" s="58" t="s">
        <v>88</v>
      </c>
      <c r="Q131" s="61"/>
      <c r="R131" s="62"/>
      <c r="S131" s="78">
        <f t="shared" si="6"/>
        <v>13</v>
      </c>
      <c r="T131" s="44" t="str">
        <f t="shared" si="7"/>
        <v>13kilos</v>
      </c>
      <c r="U131" s="77">
        <f t="shared" si="8"/>
        <v>5005</v>
      </c>
      <c r="V131" s="46"/>
      <c r="W131" s="46"/>
      <c r="X131" s="46"/>
    </row>
    <row r="132" spans="1:24" ht="15.75" customHeight="1" thickBot="1" x14ac:dyDescent="0.35">
      <c r="A132" s="2">
        <v>41</v>
      </c>
      <c r="B132" s="67" t="s">
        <v>870</v>
      </c>
      <c r="C132" s="55"/>
      <c r="D132" s="41"/>
      <c r="E132" s="55"/>
      <c r="F132" s="55"/>
      <c r="G132" s="55"/>
      <c r="H132" s="51"/>
      <c r="I132" s="52"/>
      <c r="J132" s="74" t="s">
        <v>869</v>
      </c>
      <c r="K132" s="57"/>
      <c r="L132" s="75">
        <v>380</v>
      </c>
      <c r="M132" s="60">
        <v>20</v>
      </c>
      <c r="N132" s="76">
        <v>1</v>
      </c>
      <c r="O132" s="42"/>
      <c r="P132" s="58" t="s">
        <v>88</v>
      </c>
      <c r="Q132" s="61"/>
      <c r="R132" s="62"/>
      <c r="S132" s="78">
        <f t="shared" si="6"/>
        <v>20</v>
      </c>
      <c r="T132" s="44" t="str">
        <f t="shared" si="7"/>
        <v>20kilos</v>
      </c>
      <c r="U132" s="77">
        <f t="shared" si="8"/>
        <v>7600</v>
      </c>
      <c r="V132" s="46"/>
      <c r="W132" s="46"/>
      <c r="X132" s="46"/>
    </row>
    <row r="133" spans="1:24" ht="15.75" customHeight="1" thickBot="1" x14ac:dyDescent="0.35">
      <c r="A133" s="2">
        <v>41</v>
      </c>
      <c r="B133" s="67" t="s">
        <v>870</v>
      </c>
      <c r="C133" s="55"/>
      <c r="D133" s="41"/>
      <c r="E133" s="55"/>
      <c r="F133" s="55"/>
      <c r="G133" s="55"/>
      <c r="H133" s="51"/>
      <c r="I133" s="52"/>
      <c r="J133" s="74" t="s">
        <v>869</v>
      </c>
      <c r="K133" s="57"/>
      <c r="L133" s="75">
        <v>385</v>
      </c>
      <c r="M133" s="60">
        <v>17</v>
      </c>
      <c r="N133" s="76">
        <v>1</v>
      </c>
      <c r="O133" s="42"/>
      <c r="P133" s="58" t="s">
        <v>88</v>
      </c>
      <c r="Q133" s="61"/>
      <c r="R133" s="62"/>
      <c r="S133" s="78">
        <f t="shared" si="6"/>
        <v>17</v>
      </c>
      <c r="T133" s="44" t="str">
        <f t="shared" si="7"/>
        <v>17kilos</v>
      </c>
      <c r="U133" s="77">
        <f t="shared" si="8"/>
        <v>6545</v>
      </c>
      <c r="V133" s="50"/>
      <c r="W133" s="54"/>
      <c r="X133" s="39"/>
    </row>
    <row r="134" spans="1:24" ht="15.75" customHeight="1" thickBot="1" x14ac:dyDescent="0.35">
      <c r="A134" s="2">
        <v>41</v>
      </c>
      <c r="B134" s="67" t="s">
        <v>870</v>
      </c>
      <c r="C134" s="55"/>
      <c r="D134" s="41"/>
      <c r="E134" s="55"/>
      <c r="F134" s="55"/>
      <c r="G134" s="55"/>
      <c r="H134" s="51"/>
      <c r="I134" s="52"/>
      <c r="J134" s="74" t="s">
        <v>871</v>
      </c>
      <c r="K134" s="57"/>
      <c r="L134" s="75">
        <v>320</v>
      </c>
      <c r="M134" s="60">
        <v>62</v>
      </c>
      <c r="N134" s="76">
        <v>1</v>
      </c>
      <c r="O134" s="42"/>
      <c r="P134" s="58" t="s">
        <v>88</v>
      </c>
      <c r="Q134" s="61"/>
      <c r="R134" s="62"/>
      <c r="S134" s="78">
        <f t="shared" si="6"/>
        <v>62</v>
      </c>
      <c r="T134" s="44" t="str">
        <f t="shared" si="7"/>
        <v>62kilos</v>
      </c>
      <c r="U134" s="77">
        <f t="shared" si="8"/>
        <v>19840</v>
      </c>
      <c r="V134" s="20"/>
      <c r="W134" s="20"/>
      <c r="X134" s="20"/>
    </row>
    <row r="135" spans="1:24" ht="15.75" customHeight="1" thickBot="1" x14ac:dyDescent="0.35">
      <c r="A135" s="2">
        <v>42</v>
      </c>
      <c r="B135" s="67" t="s">
        <v>89</v>
      </c>
      <c r="C135" s="55"/>
      <c r="D135" s="41"/>
      <c r="E135" s="55"/>
      <c r="F135" s="55"/>
      <c r="G135" s="55"/>
      <c r="H135" s="51"/>
      <c r="I135" s="52"/>
      <c r="J135" s="74" t="s">
        <v>872</v>
      </c>
      <c r="K135" s="57"/>
      <c r="L135" s="75">
        <v>31</v>
      </c>
      <c r="M135" s="60">
        <v>4</v>
      </c>
      <c r="N135" s="76">
        <v>250</v>
      </c>
      <c r="O135" s="42"/>
      <c r="P135" s="58" t="s">
        <v>36</v>
      </c>
      <c r="Q135" s="61"/>
      <c r="R135" s="62"/>
      <c r="S135" s="78">
        <f t="shared" si="6"/>
        <v>1000</v>
      </c>
      <c r="T135" s="44" t="str">
        <f t="shared" si="7"/>
        <v>1000grams</v>
      </c>
      <c r="U135" s="77">
        <f t="shared" si="8"/>
        <v>124</v>
      </c>
      <c r="V135" s="46"/>
      <c r="W135" s="46"/>
      <c r="X135" s="46"/>
    </row>
    <row r="136" spans="1:24" ht="15.75" customHeight="1" thickBot="1" x14ac:dyDescent="0.35">
      <c r="A136" s="2">
        <v>42</v>
      </c>
      <c r="B136" s="67" t="s">
        <v>89</v>
      </c>
      <c r="C136" s="55"/>
      <c r="D136" s="41"/>
      <c r="E136" s="55"/>
      <c r="F136" s="55"/>
      <c r="G136" s="55"/>
      <c r="H136" s="51"/>
      <c r="I136" s="52"/>
      <c r="J136" s="74" t="s">
        <v>872</v>
      </c>
      <c r="K136" s="57"/>
      <c r="L136" s="75">
        <v>35</v>
      </c>
      <c r="M136" s="60">
        <v>10</v>
      </c>
      <c r="N136" s="76">
        <v>250</v>
      </c>
      <c r="O136" s="42"/>
      <c r="P136" s="58" t="s">
        <v>36</v>
      </c>
      <c r="Q136" s="61"/>
      <c r="R136" s="62"/>
      <c r="S136" s="78">
        <f t="shared" si="6"/>
        <v>2500</v>
      </c>
      <c r="T136" s="44" t="str">
        <f t="shared" si="7"/>
        <v>2500grams</v>
      </c>
      <c r="U136" s="77">
        <f t="shared" si="8"/>
        <v>350</v>
      </c>
      <c r="V136" s="20"/>
      <c r="W136" s="20"/>
      <c r="X136" s="20"/>
    </row>
    <row r="137" spans="1:24" ht="15.75" customHeight="1" thickBot="1" x14ac:dyDescent="0.35">
      <c r="A137" s="2">
        <v>42</v>
      </c>
      <c r="B137" s="67" t="s">
        <v>89</v>
      </c>
      <c r="C137" s="55"/>
      <c r="D137" s="41"/>
      <c r="E137" s="55"/>
      <c r="F137" s="55"/>
      <c r="G137" s="55"/>
      <c r="H137" s="51"/>
      <c r="I137" s="52"/>
      <c r="J137" s="74" t="s">
        <v>872</v>
      </c>
      <c r="K137" s="57"/>
      <c r="L137" s="75">
        <v>31</v>
      </c>
      <c r="M137" s="60">
        <v>3</v>
      </c>
      <c r="N137" s="76">
        <v>250</v>
      </c>
      <c r="O137" s="42"/>
      <c r="P137" s="58" t="s">
        <v>36</v>
      </c>
      <c r="Q137" s="61"/>
      <c r="R137" s="62"/>
      <c r="S137" s="78">
        <f t="shared" si="6"/>
        <v>750</v>
      </c>
      <c r="T137" s="44" t="str">
        <f t="shared" si="7"/>
        <v>750grams</v>
      </c>
      <c r="U137" s="77">
        <f t="shared" si="8"/>
        <v>93</v>
      </c>
      <c r="V137" s="20"/>
      <c r="W137" s="20"/>
      <c r="X137" s="20"/>
    </row>
    <row r="138" spans="1:24" ht="15.75" customHeight="1" thickBot="1" x14ac:dyDescent="0.35">
      <c r="A138" s="2">
        <v>42</v>
      </c>
      <c r="B138" s="67" t="s">
        <v>89</v>
      </c>
      <c r="C138" s="55"/>
      <c r="D138" s="41"/>
      <c r="E138" s="55"/>
      <c r="F138" s="55"/>
      <c r="G138" s="55"/>
      <c r="H138" s="51"/>
      <c r="I138" s="52"/>
      <c r="J138" s="74" t="s">
        <v>872</v>
      </c>
      <c r="K138" s="57"/>
      <c r="L138" s="75">
        <v>31</v>
      </c>
      <c r="M138" s="60">
        <v>6</v>
      </c>
      <c r="N138" s="76">
        <v>250</v>
      </c>
      <c r="O138" s="42"/>
      <c r="P138" s="58" t="s">
        <v>36</v>
      </c>
      <c r="Q138" s="61"/>
      <c r="R138" s="62"/>
      <c r="S138" s="78">
        <f t="shared" si="6"/>
        <v>1500</v>
      </c>
      <c r="T138" s="44" t="str">
        <f t="shared" si="7"/>
        <v>1500grams</v>
      </c>
      <c r="U138" s="77">
        <f t="shared" si="8"/>
        <v>186</v>
      </c>
      <c r="V138" s="46"/>
      <c r="W138" s="46"/>
      <c r="X138" s="46"/>
    </row>
    <row r="139" spans="1:24" ht="15.75" customHeight="1" thickBot="1" x14ac:dyDescent="0.35">
      <c r="A139" s="2">
        <v>43</v>
      </c>
      <c r="B139" s="67" t="s">
        <v>873</v>
      </c>
      <c r="C139" s="55"/>
      <c r="D139" s="41"/>
      <c r="E139" s="55"/>
      <c r="F139" s="55"/>
      <c r="G139" s="55"/>
      <c r="H139" s="51"/>
      <c r="I139" s="52"/>
      <c r="J139" s="74"/>
      <c r="K139" s="57"/>
      <c r="L139" s="75">
        <v>700</v>
      </c>
      <c r="M139" s="60">
        <v>0</v>
      </c>
      <c r="N139" s="76">
        <v>1000</v>
      </c>
      <c r="O139" s="42"/>
      <c r="P139" s="58" t="s">
        <v>36</v>
      </c>
      <c r="Q139" s="61"/>
      <c r="R139" s="62"/>
      <c r="S139" s="78">
        <f t="shared" si="6"/>
        <v>0</v>
      </c>
      <c r="T139" s="44" t="str">
        <f t="shared" si="7"/>
        <v>0grams</v>
      </c>
      <c r="U139" s="77">
        <f t="shared" si="8"/>
        <v>0</v>
      </c>
      <c r="V139" s="46"/>
      <c r="W139" s="46"/>
      <c r="X139" s="46"/>
    </row>
    <row r="140" spans="1:24" ht="15.75" customHeight="1" thickBot="1" x14ac:dyDescent="0.35">
      <c r="A140" s="2">
        <v>43</v>
      </c>
      <c r="B140" s="67" t="s">
        <v>873</v>
      </c>
      <c r="C140" s="55"/>
      <c r="D140" s="41"/>
      <c r="E140" s="55"/>
      <c r="F140" s="55"/>
      <c r="G140" s="55"/>
      <c r="H140" s="51"/>
      <c r="I140" s="52"/>
      <c r="J140" s="74"/>
      <c r="K140" s="57"/>
      <c r="L140" s="75">
        <v>195</v>
      </c>
      <c r="M140" s="60">
        <v>0</v>
      </c>
      <c r="N140" s="76">
        <v>1000</v>
      </c>
      <c r="O140" s="42"/>
      <c r="P140" s="58" t="s">
        <v>36</v>
      </c>
      <c r="Q140" s="61"/>
      <c r="R140" s="62"/>
      <c r="S140" s="78">
        <f t="shared" si="6"/>
        <v>0</v>
      </c>
      <c r="T140" s="44" t="str">
        <f t="shared" si="7"/>
        <v>0grams</v>
      </c>
      <c r="U140" s="77">
        <f t="shared" si="8"/>
        <v>0</v>
      </c>
      <c r="V140" s="53"/>
      <c r="W140" s="54"/>
      <c r="X140" s="39"/>
    </row>
    <row r="141" spans="1:24" ht="15.75" customHeight="1" thickBot="1" x14ac:dyDescent="0.35">
      <c r="A141" s="2">
        <v>43</v>
      </c>
      <c r="B141" s="67" t="s">
        <v>873</v>
      </c>
      <c r="C141" s="55"/>
      <c r="D141" s="41"/>
      <c r="E141" s="55"/>
      <c r="F141" s="55"/>
      <c r="G141" s="55"/>
      <c r="H141" s="51"/>
      <c r="I141" s="52"/>
      <c r="J141" s="74" t="s">
        <v>874</v>
      </c>
      <c r="K141" s="57"/>
      <c r="L141" s="75">
        <v>195</v>
      </c>
      <c r="M141" s="60">
        <v>0</v>
      </c>
      <c r="N141" s="76">
        <v>1000</v>
      </c>
      <c r="O141" s="42"/>
      <c r="P141" s="58" t="s">
        <v>36</v>
      </c>
      <c r="Q141" s="61"/>
      <c r="R141" s="62"/>
      <c r="S141" s="78">
        <f t="shared" si="6"/>
        <v>0</v>
      </c>
      <c r="T141" s="44" t="str">
        <f t="shared" si="7"/>
        <v>0grams</v>
      </c>
      <c r="U141" s="77">
        <f t="shared" si="8"/>
        <v>0</v>
      </c>
      <c r="V141" s="46"/>
      <c r="W141" s="46"/>
      <c r="X141" s="46"/>
    </row>
    <row r="142" spans="1:24" ht="15.75" customHeight="1" thickBot="1" x14ac:dyDescent="0.35">
      <c r="A142" s="2">
        <v>44</v>
      </c>
      <c r="B142" s="67" t="s">
        <v>875</v>
      </c>
      <c r="C142" s="55"/>
      <c r="D142" s="41"/>
      <c r="E142" s="55"/>
      <c r="F142" s="55"/>
      <c r="G142" s="55"/>
      <c r="H142" s="51"/>
      <c r="I142" s="52"/>
      <c r="J142" s="74"/>
      <c r="K142" s="57"/>
      <c r="L142" s="75">
        <v>7</v>
      </c>
      <c r="M142" s="60">
        <v>8</v>
      </c>
      <c r="N142" s="76">
        <v>1</v>
      </c>
      <c r="O142" s="42"/>
      <c r="P142" s="58" t="s">
        <v>38</v>
      </c>
      <c r="Q142" s="61"/>
      <c r="R142" s="62"/>
      <c r="S142" s="78">
        <f t="shared" si="6"/>
        <v>8</v>
      </c>
      <c r="T142" s="44" t="str">
        <f t="shared" si="7"/>
        <v>8pieces</v>
      </c>
      <c r="U142" s="77">
        <f t="shared" si="8"/>
        <v>56</v>
      </c>
      <c r="V142" s="46"/>
      <c r="W142" s="46"/>
      <c r="X142" s="46"/>
    </row>
    <row r="143" spans="1:24" ht="15.75" customHeight="1" thickBot="1" x14ac:dyDescent="0.35">
      <c r="A143" s="2">
        <v>45</v>
      </c>
      <c r="B143" s="67" t="s">
        <v>876</v>
      </c>
      <c r="C143" s="55"/>
      <c r="D143" s="41"/>
      <c r="E143" s="55"/>
      <c r="F143" s="55"/>
      <c r="G143" s="55"/>
      <c r="H143" s="51"/>
      <c r="I143" s="52"/>
      <c r="J143" s="74" t="s">
        <v>877</v>
      </c>
      <c r="K143" s="57"/>
      <c r="L143" s="75">
        <v>10</v>
      </c>
      <c r="M143" s="60">
        <v>33</v>
      </c>
      <c r="N143" s="76">
        <v>1</v>
      </c>
      <c r="O143" s="42"/>
      <c r="P143" s="58" t="s">
        <v>38</v>
      </c>
      <c r="Q143" s="61"/>
      <c r="R143" s="62"/>
      <c r="S143" s="78">
        <f t="shared" si="6"/>
        <v>33</v>
      </c>
      <c r="T143" s="44" t="str">
        <f t="shared" si="7"/>
        <v>33pieces</v>
      </c>
      <c r="U143" s="77">
        <f t="shared" si="8"/>
        <v>330</v>
      </c>
      <c r="V143" s="46"/>
      <c r="W143" s="46"/>
      <c r="X143" s="46"/>
    </row>
    <row r="144" spans="1:24" ht="15.75" customHeight="1" thickBot="1" x14ac:dyDescent="0.35">
      <c r="A144" s="2">
        <v>46</v>
      </c>
      <c r="B144" s="68" t="s">
        <v>878</v>
      </c>
      <c r="C144" s="55"/>
      <c r="D144" s="41"/>
      <c r="E144" s="55"/>
      <c r="F144" s="55"/>
      <c r="G144" s="55"/>
      <c r="H144" s="51"/>
      <c r="I144" s="52"/>
      <c r="J144" s="74" t="s">
        <v>879</v>
      </c>
      <c r="K144" s="57"/>
      <c r="L144" s="75">
        <v>102</v>
      </c>
      <c r="M144" s="60">
        <v>3</v>
      </c>
      <c r="N144" s="76">
        <v>500</v>
      </c>
      <c r="O144" s="42"/>
      <c r="P144" s="58" t="s">
        <v>36</v>
      </c>
      <c r="Q144" s="61"/>
      <c r="R144" s="62"/>
      <c r="S144" s="78">
        <f t="shared" si="6"/>
        <v>1500</v>
      </c>
      <c r="T144" s="44" t="str">
        <f t="shared" si="7"/>
        <v>1500grams</v>
      </c>
      <c r="U144" s="77">
        <f t="shared" si="8"/>
        <v>306</v>
      </c>
      <c r="V144" s="46"/>
      <c r="W144" s="46"/>
      <c r="X144" s="46"/>
    </row>
    <row r="145" spans="1:24" ht="15.75" customHeight="1" thickBot="1" x14ac:dyDescent="0.35">
      <c r="A145" s="2">
        <v>46</v>
      </c>
      <c r="B145" s="68" t="s">
        <v>878</v>
      </c>
      <c r="C145" s="55"/>
      <c r="D145" s="41"/>
      <c r="E145" s="55"/>
      <c r="F145" s="55"/>
      <c r="G145" s="55"/>
      <c r="H145" s="51"/>
      <c r="I145" s="52"/>
      <c r="J145" s="74" t="s">
        <v>880</v>
      </c>
      <c r="K145" s="57"/>
      <c r="L145" s="75">
        <v>89</v>
      </c>
      <c r="M145" s="60">
        <v>2</v>
      </c>
      <c r="N145" s="76">
        <v>320</v>
      </c>
      <c r="O145" s="42"/>
      <c r="P145" s="58" t="s">
        <v>36</v>
      </c>
      <c r="Q145" s="61"/>
      <c r="R145" s="62"/>
      <c r="S145" s="78">
        <f t="shared" si="6"/>
        <v>640</v>
      </c>
      <c r="T145" s="44" t="str">
        <f t="shared" si="7"/>
        <v>640grams</v>
      </c>
      <c r="U145" s="77">
        <f t="shared" si="8"/>
        <v>178</v>
      </c>
      <c r="V145" s="46"/>
      <c r="W145" s="46"/>
      <c r="X145" s="46"/>
    </row>
    <row r="146" spans="1:24" ht="15.75" customHeight="1" thickBot="1" x14ac:dyDescent="0.35">
      <c r="A146" s="2">
        <v>47</v>
      </c>
      <c r="B146" s="67" t="s">
        <v>93</v>
      </c>
      <c r="C146" s="55"/>
      <c r="D146" s="41"/>
      <c r="E146" s="55"/>
      <c r="F146" s="55"/>
      <c r="G146" s="55"/>
      <c r="H146" s="51"/>
      <c r="I146" s="52"/>
      <c r="J146" s="74" t="s">
        <v>881</v>
      </c>
      <c r="K146" s="57"/>
      <c r="L146" s="75">
        <v>41.9</v>
      </c>
      <c r="M146" s="60">
        <v>6</v>
      </c>
      <c r="N146" s="76">
        <v>500</v>
      </c>
      <c r="O146" s="42"/>
      <c r="P146" s="58" t="s">
        <v>36</v>
      </c>
      <c r="Q146" s="61"/>
      <c r="R146" s="62"/>
      <c r="S146" s="78">
        <f t="shared" si="6"/>
        <v>3000</v>
      </c>
      <c r="T146" s="44" t="str">
        <f t="shared" si="7"/>
        <v>3000grams</v>
      </c>
      <c r="U146" s="77">
        <f t="shared" si="8"/>
        <v>251.39999999999998</v>
      </c>
      <c r="V146" s="46"/>
      <c r="W146" s="46"/>
      <c r="X146" s="46"/>
    </row>
    <row r="147" spans="1:24" ht="15.75" customHeight="1" thickBot="1" x14ac:dyDescent="0.35">
      <c r="A147" s="2">
        <v>47</v>
      </c>
      <c r="B147" s="67" t="s">
        <v>93</v>
      </c>
      <c r="C147" s="55"/>
      <c r="D147" s="41"/>
      <c r="E147" s="55"/>
      <c r="F147" s="55"/>
      <c r="G147" s="55"/>
      <c r="H147" s="51"/>
      <c r="I147" s="52"/>
      <c r="J147" s="74" t="s">
        <v>881</v>
      </c>
      <c r="K147" s="57"/>
      <c r="L147" s="75">
        <v>41.9</v>
      </c>
      <c r="M147" s="60">
        <v>28</v>
      </c>
      <c r="N147" s="76">
        <v>500</v>
      </c>
      <c r="O147" s="42"/>
      <c r="P147" s="58" t="s">
        <v>36</v>
      </c>
      <c r="Q147" s="61"/>
      <c r="R147" s="62"/>
      <c r="S147" s="78">
        <f t="shared" si="6"/>
        <v>14000</v>
      </c>
      <c r="T147" s="44" t="str">
        <f t="shared" si="7"/>
        <v>14000grams</v>
      </c>
      <c r="U147" s="77">
        <f t="shared" si="8"/>
        <v>1173.2</v>
      </c>
      <c r="V147" s="46"/>
      <c r="W147" s="46"/>
      <c r="X147" s="46"/>
    </row>
    <row r="148" spans="1:24" ht="15.75" customHeight="1" thickBot="1" x14ac:dyDescent="0.35">
      <c r="A148" s="2">
        <v>47</v>
      </c>
      <c r="B148" s="67" t="s">
        <v>93</v>
      </c>
      <c r="C148" s="55"/>
      <c r="D148" s="41"/>
      <c r="E148" s="55"/>
      <c r="F148" s="55"/>
      <c r="G148" s="55"/>
      <c r="H148" s="51"/>
      <c r="I148" s="52"/>
      <c r="J148" s="74" t="s">
        <v>881</v>
      </c>
      <c r="K148" s="57"/>
      <c r="L148" s="75">
        <v>41.9</v>
      </c>
      <c r="M148" s="60">
        <v>4</v>
      </c>
      <c r="N148" s="76">
        <v>500</v>
      </c>
      <c r="O148" s="42"/>
      <c r="P148" s="58" t="s">
        <v>36</v>
      </c>
      <c r="Q148" s="61"/>
      <c r="R148" s="62"/>
      <c r="S148" s="78">
        <f t="shared" si="6"/>
        <v>2000</v>
      </c>
      <c r="T148" s="44" t="str">
        <f t="shared" si="7"/>
        <v>2000grams</v>
      </c>
      <c r="U148" s="77">
        <f t="shared" si="8"/>
        <v>167.6</v>
      </c>
      <c r="V148" s="46"/>
      <c r="W148" s="46"/>
      <c r="X148" s="46"/>
    </row>
    <row r="149" spans="1:24" ht="15.75" customHeight="1" thickBot="1" x14ac:dyDescent="0.35">
      <c r="A149" s="2">
        <v>47</v>
      </c>
      <c r="B149" s="67" t="s">
        <v>93</v>
      </c>
      <c r="C149" s="55"/>
      <c r="D149" s="41"/>
      <c r="E149" s="55"/>
      <c r="F149" s="55"/>
      <c r="G149" s="55"/>
      <c r="H149" s="51"/>
      <c r="I149" s="52"/>
      <c r="J149" s="74" t="s">
        <v>881</v>
      </c>
      <c r="K149" s="57"/>
      <c r="L149" s="75">
        <v>41.9</v>
      </c>
      <c r="M149" s="60">
        <v>2</v>
      </c>
      <c r="N149" s="76">
        <v>500</v>
      </c>
      <c r="O149" s="42"/>
      <c r="P149" s="58" t="s">
        <v>36</v>
      </c>
      <c r="Q149" s="61"/>
      <c r="R149" s="62"/>
      <c r="S149" s="78">
        <f t="shared" si="6"/>
        <v>1000</v>
      </c>
      <c r="T149" s="44" t="str">
        <f t="shared" si="7"/>
        <v>1000grams</v>
      </c>
      <c r="U149" s="77">
        <f t="shared" si="8"/>
        <v>83.8</v>
      </c>
      <c r="V149" s="50"/>
      <c r="W149" s="54"/>
      <c r="X149" s="39"/>
    </row>
    <row r="150" spans="1:24" ht="15.75" customHeight="1" thickBot="1" x14ac:dyDescent="0.35">
      <c r="A150" s="2">
        <v>47</v>
      </c>
      <c r="B150" s="67" t="s">
        <v>93</v>
      </c>
      <c r="C150" s="55"/>
      <c r="D150" s="41"/>
      <c r="E150" s="55"/>
      <c r="F150" s="55"/>
      <c r="G150" s="55"/>
      <c r="H150" s="51"/>
      <c r="I150" s="52"/>
      <c r="J150" s="74" t="s">
        <v>882</v>
      </c>
      <c r="K150" s="57"/>
      <c r="L150" s="75">
        <v>78.5</v>
      </c>
      <c r="M150" s="60">
        <v>1</v>
      </c>
      <c r="N150" s="76">
        <v>907</v>
      </c>
      <c r="O150" s="42"/>
      <c r="P150" s="58" t="s">
        <v>36</v>
      </c>
      <c r="Q150" s="61"/>
      <c r="R150" s="62"/>
      <c r="S150" s="78">
        <f t="shared" si="6"/>
        <v>907</v>
      </c>
      <c r="T150" s="44" t="str">
        <f t="shared" si="7"/>
        <v>907grams</v>
      </c>
      <c r="U150" s="77">
        <f t="shared" si="8"/>
        <v>78.5</v>
      </c>
      <c r="V150" s="46"/>
      <c r="W150" s="46"/>
      <c r="X150" s="46"/>
    </row>
    <row r="151" spans="1:24" ht="15.75" customHeight="1" thickBot="1" x14ac:dyDescent="0.35">
      <c r="A151" s="2">
        <v>47</v>
      </c>
      <c r="B151" s="67" t="s">
        <v>93</v>
      </c>
      <c r="C151" s="55"/>
      <c r="D151" s="41"/>
      <c r="E151" s="55"/>
      <c r="F151" s="55"/>
      <c r="G151" s="55"/>
      <c r="H151" s="51"/>
      <c r="I151" s="52"/>
      <c r="J151" s="74" t="s">
        <v>881</v>
      </c>
      <c r="K151" s="57"/>
      <c r="L151" s="75">
        <v>41.9</v>
      </c>
      <c r="M151" s="60">
        <v>7</v>
      </c>
      <c r="N151" s="76">
        <v>500</v>
      </c>
      <c r="O151" s="42"/>
      <c r="P151" s="58" t="s">
        <v>36</v>
      </c>
      <c r="Q151" s="61"/>
      <c r="R151" s="62"/>
      <c r="S151" s="78">
        <f t="shared" si="6"/>
        <v>3500</v>
      </c>
      <c r="T151" s="44" t="str">
        <f t="shared" si="7"/>
        <v>3500grams</v>
      </c>
      <c r="U151" s="77">
        <f t="shared" si="8"/>
        <v>293.3</v>
      </c>
      <c r="V151" s="46"/>
      <c r="W151" s="46"/>
      <c r="X151" s="46"/>
    </row>
    <row r="152" spans="1:24" ht="15.75" customHeight="1" thickBot="1" x14ac:dyDescent="0.35">
      <c r="A152" s="2">
        <v>47</v>
      </c>
      <c r="B152" s="67" t="s">
        <v>93</v>
      </c>
      <c r="C152" s="55"/>
      <c r="D152" s="41"/>
      <c r="E152" s="55"/>
      <c r="F152" s="55"/>
      <c r="G152" s="55"/>
      <c r="H152" s="51"/>
      <c r="I152" s="52"/>
      <c r="J152" s="74" t="s">
        <v>874</v>
      </c>
      <c r="K152" s="57"/>
      <c r="L152" s="75">
        <v>45</v>
      </c>
      <c r="M152" s="60">
        <v>7</v>
      </c>
      <c r="N152" s="76">
        <v>500</v>
      </c>
      <c r="O152" s="42"/>
      <c r="P152" s="58" t="s">
        <v>36</v>
      </c>
      <c r="Q152" s="61"/>
      <c r="R152" s="62"/>
      <c r="S152" s="78">
        <f t="shared" si="6"/>
        <v>3500</v>
      </c>
      <c r="T152" s="44" t="str">
        <f t="shared" si="7"/>
        <v>3500grams</v>
      </c>
      <c r="U152" s="77">
        <f t="shared" si="8"/>
        <v>315</v>
      </c>
      <c r="V152" s="46"/>
      <c r="W152" s="46"/>
      <c r="X152" s="46"/>
    </row>
    <row r="153" spans="1:24" ht="15.75" customHeight="1" thickBot="1" x14ac:dyDescent="0.35">
      <c r="A153" s="2">
        <v>47</v>
      </c>
      <c r="B153" s="67" t="s">
        <v>93</v>
      </c>
      <c r="C153" s="55"/>
      <c r="D153" s="41"/>
      <c r="E153" s="55"/>
      <c r="F153" s="55"/>
      <c r="G153" s="55"/>
      <c r="H153" s="51"/>
      <c r="I153" s="52"/>
      <c r="J153" s="74" t="s">
        <v>881</v>
      </c>
      <c r="K153" s="57"/>
      <c r="L153" s="75">
        <v>42</v>
      </c>
      <c r="M153" s="60">
        <v>3</v>
      </c>
      <c r="N153" s="76">
        <v>500</v>
      </c>
      <c r="O153" s="42"/>
      <c r="P153" s="58" t="s">
        <v>36</v>
      </c>
      <c r="Q153" s="61"/>
      <c r="R153" s="62"/>
      <c r="S153" s="78">
        <f t="shared" si="6"/>
        <v>1500</v>
      </c>
      <c r="T153" s="44" t="str">
        <f t="shared" si="7"/>
        <v>1500grams</v>
      </c>
      <c r="U153" s="77">
        <f t="shared" si="8"/>
        <v>126</v>
      </c>
      <c r="V153" s="46"/>
      <c r="W153" s="46"/>
      <c r="X153" s="46"/>
    </row>
    <row r="154" spans="1:24" ht="15.75" customHeight="1" thickBot="1" x14ac:dyDescent="0.35">
      <c r="A154" s="2">
        <v>47</v>
      </c>
      <c r="B154" s="67" t="s">
        <v>93</v>
      </c>
      <c r="C154" s="55"/>
      <c r="D154" s="41"/>
      <c r="E154" s="55"/>
      <c r="F154" s="55"/>
      <c r="G154" s="55"/>
      <c r="H154" s="51"/>
      <c r="I154" s="52"/>
      <c r="J154" s="74" t="s">
        <v>881</v>
      </c>
      <c r="K154" s="57"/>
      <c r="L154" s="75">
        <v>41.9</v>
      </c>
      <c r="M154" s="60">
        <v>3</v>
      </c>
      <c r="N154" s="76">
        <v>500</v>
      </c>
      <c r="O154" s="42"/>
      <c r="P154" s="58" t="s">
        <v>36</v>
      </c>
      <c r="Q154" s="61"/>
      <c r="R154" s="62"/>
      <c r="S154" s="78">
        <f t="shared" si="6"/>
        <v>1500</v>
      </c>
      <c r="T154" s="44" t="str">
        <f t="shared" si="7"/>
        <v>1500grams</v>
      </c>
      <c r="U154" s="77">
        <f t="shared" si="8"/>
        <v>125.69999999999999</v>
      </c>
      <c r="V154" s="46"/>
      <c r="W154" s="46"/>
      <c r="X154" s="46"/>
    </row>
    <row r="155" spans="1:24" ht="15.75" customHeight="1" thickBot="1" x14ac:dyDescent="0.35">
      <c r="A155" s="2">
        <v>48</v>
      </c>
      <c r="B155" s="68" t="s">
        <v>883</v>
      </c>
      <c r="C155" s="55"/>
      <c r="D155" s="41"/>
      <c r="E155" s="55"/>
      <c r="F155" s="55"/>
      <c r="G155" s="55"/>
      <c r="H155" s="51"/>
      <c r="I155" s="52"/>
      <c r="J155" s="74" t="s">
        <v>884</v>
      </c>
      <c r="K155" s="57"/>
      <c r="L155" s="75">
        <v>12.1</v>
      </c>
      <c r="M155" s="60">
        <v>1</v>
      </c>
      <c r="N155" s="76">
        <v>1</v>
      </c>
      <c r="O155" s="42"/>
      <c r="P155" s="58" t="s">
        <v>38</v>
      </c>
      <c r="Q155" s="61"/>
      <c r="R155" s="62"/>
      <c r="S155" s="78">
        <f t="shared" si="6"/>
        <v>1</v>
      </c>
      <c r="T155" s="44" t="str">
        <f t="shared" si="7"/>
        <v>1pieces</v>
      </c>
      <c r="U155" s="77">
        <f t="shared" si="8"/>
        <v>12.1</v>
      </c>
      <c r="V155" s="50"/>
      <c r="W155" s="54"/>
      <c r="X155" s="39"/>
    </row>
    <row r="156" spans="1:24" ht="15.75" customHeight="1" thickBot="1" x14ac:dyDescent="0.35">
      <c r="A156" s="2">
        <v>48</v>
      </c>
      <c r="B156" s="68" t="s">
        <v>883</v>
      </c>
      <c r="C156" s="55"/>
      <c r="D156" s="41"/>
      <c r="E156" s="55"/>
      <c r="F156" s="55"/>
      <c r="G156" s="55"/>
      <c r="H156" s="51"/>
      <c r="I156" s="52"/>
      <c r="J156" s="74" t="s">
        <v>600</v>
      </c>
      <c r="K156" s="57"/>
      <c r="L156" s="75">
        <v>25.52</v>
      </c>
      <c r="M156" s="60">
        <v>2</v>
      </c>
      <c r="N156" s="76">
        <v>20</v>
      </c>
      <c r="O156" s="42"/>
      <c r="P156" s="58" t="s">
        <v>36</v>
      </c>
      <c r="Q156" s="61"/>
      <c r="R156" s="62"/>
      <c r="S156" s="78">
        <f t="shared" si="6"/>
        <v>40</v>
      </c>
      <c r="T156" s="44" t="str">
        <f t="shared" si="7"/>
        <v>40grams</v>
      </c>
      <c r="U156" s="77">
        <f t="shared" si="8"/>
        <v>51.04</v>
      </c>
      <c r="V156" s="46"/>
      <c r="W156" s="46"/>
      <c r="X156" s="46"/>
    </row>
    <row r="157" spans="1:24" ht="15.75" customHeight="1" thickBot="1" x14ac:dyDescent="0.35">
      <c r="A157" s="2">
        <v>49</v>
      </c>
      <c r="B157" s="68" t="s">
        <v>885</v>
      </c>
      <c r="C157" s="55"/>
      <c r="D157" s="41"/>
      <c r="E157" s="55"/>
      <c r="F157" s="55"/>
      <c r="G157" s="55"/>
      <c r="H157" s="51"/>
      <c r="I157" s="52"/>
      <c r="J157" s="74" t="s">
        <v>600</v>
      </c>
      <c r="K157" s="57"/>
      <c r="L157" s="75">
        <v>25.52</v>
      </c>
      <c r="M157" s="60">
        <v>3</v>
      </c>
      <c r="N157" s="76">
        <v>19</v>
      </c>
      <c r="O157" s="42"/>
      <c r="P157" s="58" t="s">
        <v>36</v>
      </c>
      <c r="Q157" s="61"/>
      <c r="R157" s="62"/>
      <c r="S157" s="78">
        <f t="shared" si="6"/>
        <v>57</v>
      </c>
      <c r="T157" s="44" t="str">
        <f t="shared" si="7"/>
        <v>57grams</v>
      </c>
      <c r="U157" s="77">
        <f t="shared" si="8"/>
        <v>76.56</v>
      </c>
      <c r="V157" s="46"/>
      <c r="W157" s="46"/>
      <c r="X157" s="46"/>
    </row>
    <row r="158" spans="1:24" ht="15.75" customHeight="1" thickBot="1" x14ac:dyDescent="0.35">
      <c r="A158" s="2">
        <v>50</v>
      </c>
      <c r="B158" s="67" t="s">
        <v>886</v>
      </c>
      <c r="C158" s="55"/>
      <c r="D158" s="41"/>
      <c r="E158" s="55"/>
      <c r="F158" s="55"/>
      <c r="G158" s="55"/>
      <c r="H158" s="51"/>
      <c r="I158" s="52"/>
      <c r="J158" s="74" t="s">
        <v>887</v>
      </c>
      <c r="K158" s="57"/>
      <c r="L158" s="75">
        <v>6</v>
      </c>
      <c r="M158" s="60">
        <v>154</v>
      </c>
      <c r="N158" s="76">
        <v>10</v>
      </c>
      <c r="O158" s="42"/>
      <c r="P158" s="58" t="s">
        <v>38</v>
      </c>
      <c r="Q158" s="61"/>
      <c r="R158" s="62"/>
      <c r="S158" s="78">
        <f t="shared" si="6"/>
        <v>1540</v>
      </c>
      <c r="T158" s="44" t="str">
        <f t="shared" si="7"/>
        <v>1540pieces</v>
      </c>
      <c r="U158" s="77">
        <f t="shared" si="8"/>
        <v>924</v>
      </c>
      <c r="V158" s="50"/>
      <c r="W158" s="54"/>
      <c r="X158" s="39"/>
    </row>
    <row r="159" spans="1:24" ht="15.75" customHeight="1" thickBot="1" x14ac:dyDescent="0.35">
      <c r="A159" s="2">
        <v>50</v>
      </c>
      <c r="B159" s="67" t="s">
        <v>886</v>
      </c>
      <c r="C159" s="55"/>
      <c r="D159" s="41"/>
      <c r="E159" s="55"/>
      <c r="F159" s="55"/>
      <c r="G159" s="55"/>
      <c r="H159" s="51"/>
      <c r="I159" s="52"/>
      <c r="J159" s="74" t="s">
        <v>888</v>
      </c>
      <c r="K159" s="57"/>
      <c r="L159" s="75">
        <v>6</v>
      </c>
      <c r="M159" s="60">
        <v>100</v>
      </c>
      <c r="N159" s="76">
        <v>10</v>
      </c>
      <c r="O159" s="42"/>
      <c r="P159" s="58" t="s">
        <v>38</v>
      </c>
      <c r="Q159" s="61"/>
      <c r="R159" s="62"/>
      <c r="S159" s="78">
        <f t="shared" si="6"/>
        <v>1000</v>
      </c>
      <c r="T159" s="44" t="str">
        <f t="shared" si="7"/>
        <v>1000pieces</v>
      </c>
      <c r="U159" s="77">
        <f t="shared" si="8"/>
        <v>600</v>
      </c>
      <c r="V159" s="50"/>
      <c r="W159" s="54"/>
      <c r="X159" s="39"/>
    </row>
    <row r="160" spans="1:24" ht="15.75" customHeight="1" thickBot="1" x14ac:dyDescent="0.35">
      <c r="A160" s="2">
        <v>50</v>
      </c>
      <c r="B160" s="68" t="s">
        <v>886</v>
      </c>
      <c r="C160" s="55"/>
      <c r="D160" s="41"/>
      <c r="E160" s="55"/>
      <c r="F160" s="55"/>
      <c r="G160" s="55"/>
      <c r="H160" s="51"/>
      <c r="I160" s="52"/>
      <c r="J160" s="74" t="s">
        <v>889</v>
      </c>
      <c r="K160" s="57"/>
      <c r="L160" s="75">
        <v>6.8</v>
      </c>
      <c r="M160" s="60">
        <v>3</v>
      </c>
      <c r="N160" s="76">
        <v>28</v>
      </c>
      <c r="O160" s="42"/>
      <c r="P160" s="58" t="s">
        <v>36</v>
      </c>
      <c r="Q160" s="61"/>
      <c r="R160" s="62"/>
      <c r="S160" s="78">
        <f t="shared" si="6"/>
        <v>84</v>
      </c>
      <c r="T160" s="44" t="str">
        <f t="shared" si="7"/>
        <v>84grams</v>
      </c>
      <c r="U160" s="77">
        <f t="shared" si="8"/>
        <v>20.399999999999999</v>
      </c>
      <c r="V160" s="46"/>
      <c r="W160" s="46"/>
      <c r="X160" s="46"/>
    </row>
    <row r="161" spans="1:24" ht="15.75" customHeight="1" thickBot="1" x14ac:dyDescent="0.35">
      <c r="A161" s="2">
        <v>50</v>
      </c>
      <c r="B161" s="67" t="s">
        <v>886</v>
      </c>
      <c r="C161" s="55"/>
      <c r="D161" s="41"/>
      <c r="E161" s="55"/>
      <c r="F161" s="55"/>
      <c r="G161" s="55"/>
      <c r="H161" s="51"/>
      <c r="I161" s="52"/>
      <c r="J161" s="74" t="s">
        <v>890</v>
      </c>
      <c r="K161" s="57"/>
      <c r="L161" s="75">
        <v>6.05</v>
      </c>
      <c r="M161" s="60">
        <v>30</v>
      </c>
      <c r="N161" s="76">
        <v>28</v>
      </c>
      <c r="O161" s="42"/>
      <c r="P161" s="58" t="s">
        <v>36</v>
      </c>
      <c r="Q161" s="61"/>
      <c r="R161" s="62"/>
      <c r="S161" s="78">
        <f t="shared" si="6"/>
        <v>840</v>
      </c>
      <c r="T161" s="44" t="str">
        <f t="shared" si="7"/>
        <v>840grams</v>
      </c>
      <c r="U161" s="77">
        <f t="shared" si="8"/>
        <v>181.5</v>
      </c>
      <c r="V161" s="46"/>
      <c r="W161" s="46"/>
      <c r="X161" s="46"/>
    </row>
    <row r="162" spans="1:24" ht="15.75" customHeight="1" thickBot="1" x14ac:dyDescent="0.35">
      <c r="A162" s="2">
        <v>50</v>
      </c>
      <c r="B162" s="67" t="s">
        <v>886</v>
      </c>
      <c r="C162" s="55"/>
      <c r="D162" s="41"/>
      <c r="E162" s="55"/>
      <c r="F162" s="55"/>
      <c r="G162" s="55"/>
      <c r="H162" s="51"/>
      <c r="I162" s="52"/>
      <c r="J162" s="74" t="s">
        <v>887</v>
      </c>
      <c r="K162" s="57"/>
      <c r="L162" s="75">
        <v>6.05</v>
      </c>
      <c r="M162" s="60">
        <v>60</v>
      </c>
      <c r="N162" s="76">
        <v>28</v>
      </c>
      <c r="O162" s="42"/>
      <c r="P162" s="58" t="s">
        <v>36</v>
      </c>
      <c r="Q162" s="61"/>
      <c r="R162" s="62"/>
      <c r="S162" s="78">
        <f t="shared" si="6"/>
        <v>1680</v>
      </c>
      <c r="T162" s="44" t="str">
        <f t="shared" si="7"/>
        <v>1680grams</v>
      </c>
      <c r="U162" s="77">
        <f t="shared" si="8"/>
        <v>363</v>
      </c>
      <c r="V162" s="46"/>
      <c r="W162" s="46"/>
      <c r="X162" s="46"/>
    </row>
    <row r="163" spans="1:24" ht="15.75" customHeight="1" thickBot="1" x14ac:dyDescent="0.35">
      <c r="A163" s="2">
        <v>50</v>
      </c>
      <c r="B163" s="67" t="s">
        <v>886</v>
      </c>
      <c r="C163" s="55"/>
      <c r="D163" s="41"/>
      <c r="E163" s="55"/>
      <c r="F163" s="55"/>
      <c r="G163" s="55"/>
      <c r="H163" s="51"/>
      <c r="I163" s="52"/>
      <c r="J163" s="74" t="s">
        <v>891</v>
      </c>
      <c r="K163" s="57"/>
      <c r="L163" s="75">
        <v>24.6</v>
      </c>
      <c r="M163" s="60">
        <v>24</v>
      </c>
      <c r="N163" s="76">
        <v>60</v>
      </c>
      <c r="O163" s="42"/>
      <c r="P163" s="58" t="s">
        <v>36</v>
      </c>
      <c r="Q163" s="61"/>
      <c r="R163" s="62"/>
      <c r="S163" s="78">
        <f t="shared" si="6"/>
        <v>1440</v>
      </c>
      <c r="T163" s="44" t="str">
        <f t="shared" si="7"/>
        <v>1440grams</v>
      </c>
      <c r="U163" s="77">
        <f t="shared" si="8"/>
        <v>590.40000000000009</v>
      </c>
      <c r="V163" s="46"/>
      <c r="W163" s="46"/>
      <c r="X163" s="46"/>
    </row>
    <row r="164" spans="1:24" ht="15.75" customHeight="1" thickBot="1" x14ac:dyDescent="0.35">
      <c r="A164" s="2">
        <v>50</v>
      </c>
      <c r="B164" s="67" t="s">
        <v>886</v>
      </c>
      <c r="C164" s="55"/>
      <c r="D164" s="41"/>
      <c r="E164" s="55"/>
      <c r="F164" s="55"/>
      <c r="G164" s="55"/>
      <c r="H164" s="51"/>
      <c r="I164" s="52"/>
      <c r="J164" s="74" t="s">
        <v>892</v>
      </c>
      <c r="K164" s="57"/>
      <c r="L164" s="75">
        <v>36.9</v>
      </c>
      <c r="M164" s="60">
        <v>3</v>
      </c>
      <c r="N164" s="76">
        <v>100</v>
      </c>
      <c r="O164" s="42"/>
      <c r="P164" s="58" t="s">
        <v>36</v>
      </c>
      <c r="Q164" s="61"/>
      <c r="R164" s="62"/>
      <c r="S164" s="78">
        <f t="shared" si="6"/>
        <v>300</v>
      </c>
      <c r="T164" s="44" t="str">
        <f t="shared" si="7"/>
        <v>300grams</v>
      </c>
      <c r="U164" s="77">
        <f t="shared" si="8"/>
        <v>110.69999999999999</v>
      </c>
      <c r="V164" s="53"/>
      <c r="W164" s="54"/>
      <c r="X164" s="39"/>
    </row>
    <row r="165" spans="1:24" ht="15.75" customHeight="1" thickBot="1" x14ac:dyDescent="0.35">
      <c r="A165" s="2">
        <v>50</v>
      </c>
      <c r="B165" s="67" t="s">
        <v>886</v>
      </c>
      <c r="C165" s="55"/>
      <c r="D165" s="41"/>
      <c r="E165" s="55"/>
      <c r="F165" s="55"/>
      <c r="G165" s="55"/>
      <c r="H165" s="51"/>
      <c r="I165" s="52"/>
      <c r="J165" s="74" t="s">
        <v>893</v>
      </c>
      <c r="K165" s="57"/>
      <c r="L165" s="75">
        <v>7.07</v>
      </c>
      <c r="M165" s="60">
        <v>80</v>
      </c>
      <c r="N165" s="76">
        <v>30</v>
      </c>
      <c r="O165" s="42"/>
      <c r="P165" s="58" t="s">
        <v>36</v>
      </c>
      <c r="Q165" s="61"/>
      <c r="R165" s="62"/>
      <c r="S165" s="78">
        <f t="shared" si="6"/>
        <v>2400</v>
      </c>
      <c r="T165" s="44" t="str">
        <f t="shared" si="7"/>
        <v>2400grams</v>
      </c>
      <c r="U165" s="77">
        <f t="shared" si="8"/>
        <v>565.6</v>
      </c>
      <c r="V165" s="46"/>
      <c r="W165" s="46"/>
      <c r="X165" s="46"/>
    </row>
    <row r="166" spans="1:24" ht="15.75" customHeight="1" thickBot="1" x14ac:dyDescent="0.35">
      <c r="A166" s="2">
        <v>50</v>
      </c>
      <c r="B166" s="67" t="s">
        <v>886</v>
      </c>
      <c r="C166" s="55"/>
      <c r="D166" s="41"/>
      <c r="E166" s="55"/>
      <c r="F166" s="55"/>
      <c r="G166" s="55"/>
      <c r="H166" s="51"/>
      <c r="I166" s="52"/>
      <c r="J166" s="74" t="s">
        <v>894</v>
      </c>
      <c r="K166" s="57"/>
      <c r="L166" s="75">
        <v>6.71</v>
      </c>
      <c r="M166" s="60">
        <v>80</v>
      </c>
      <c r="N166" s="76">
        <v>10</v>
      </c>
      <c r="O166" s="42"/>
      <c r="P166" s="58" t="s">
        <v>38</v>
      </c>
      <c r="Q166" s="61"/>
      <c r="R166" s="62"/>
      <c r="S166" s="78">
        <f t="shared" si="6"/>
        <v>800</v>
      </c>
      <c r="T166" s="44" t="str">
        <f t="shared" si="7"/>
        <v>800pieces</v>
      </c>
      <c r="U166" s="77">
        <f t="shared" si="8"/>
        <v>536.79999999999995</v>
      </c>
      <c r="V166" s="46"/>
      <c r="W166" s="46"/>
      <c r="X166" s="46"/>
    </row>
    <row r="167" spans="1:24" ht="15.75" customHeight="1" thickBot="1" x14ac:dyDescent="0.35">
      <c r="A167" s="2">
        <v>50</v>
      </c>
      <c r="B167" s="67" t="s">
        <v>886</v>
      </c>
      <c r="C167" s="55"/>
      <c r="D167" s="41"/>
      <c r="E167" s="55"/>
      <c r="F167" s="55"/>
      <c r="G167" s="55"/>
      <c r="H167" s="51"/>
      <c r="I167" s="52"/>
      <c r="J167" s="74" t="s">
        <v>895</v>
      </c>
      <c r="K167" s="57"/>
      <c r="L167" s="75">
        <v>17.850000000000001</v>
      </c>
      <c r="M167" s="60">
        <v>56</v>
      </c>
      <c r="N167" s="76">
        <v>40</v>
      </c>
      <c r="O167" s="42"/>
      <c r="P167" s="58" t="s">
        <v>38</v>
      </c>
      <c r="Q167" s="61"/>
      <c r="R167" s="62"/>
      <c r="S167" s="78">
        <f t="shared" si="6"/>
        <v>2240</v>
      </c>
      <c r="T167" s="44" t="str">
        <f t="shared" si="7"/>
        <v>2240pieces</v>
      </c>
      <c r="U167" s="77">
        <f t="shared" si="8"/>
        <v>999.60000000000014</v>
      </c>
      <c r="V167" s="46"/>
      <c r="W167" s="46"/>
      <c r="X167" s="46"/>
    </row>
    <row r="168" spans="1:24" ht="15.75" customHeight="1" thickBot="1" x14ac:dyDescent="0.35">
      <c r="A168" s="2">
        <v>50</v>
      </c>
      <c r="B168" s="67" t="s">
        <v>886</v>
      </c>
      <c r="C168" s="55"/>
      <c r="D168" s="41"/>
      <c r="E168" s="55"/>
      <c r="F168" s="55"/>
      <c r="G168" s="55"/>
      <c r="H168" s="51"/>
      <c r="I168" s="52"/>
      <c r="J168" s="74" t="s">
        <v>896</v>
      </c>
      <c r="K168" s="57"/>
      <c r="L168" s="75">
        <v>6.13</v>
      </c>
      <c r="M168" s="60">
        <v>30</v>
      </c>
      <c r="N168" s="76">
        <v>33</v>
      </c>
      <c r="O168" s="42"/>
      <c r="P168" s="58" t="s">
        <v>36</v>
      </c>
      <c r="Q168" s="61"/>
      <c r="R168" s="62"/>
      <c r="S168" s="78">
        <f t="shared" si="6"/>
        <v>990</v>
      </c>
      <c r="T168" s="44" t="str">
        <f t="shared" si="7"/>
        <v>990grams</v>
      </c>
      <c r="U168" s="77">
        <f t="shared" si="8"/>
        <v>183.9</v>
      </c>
      <c r="V168" s="53"/>
      <c r="W168" s="54"/>
      <c r="X168" s="39"/>
    </row>
    <row r="169" spans="1:24" ht="15.75" customHeight="1" thickBot="1" x14ac:dyDescent="0.35">
      <c r="A169" s="2">
        <v>50</v>
      </c>
      <c r="B169" s="67" t="s">
        <v>886</v>
      </c>
      <c r="C169" s="55"/>
      <c r="D169" s="41"/>
      <c r="E169" s="55"/>
      <c r="F169" s="55"/>
      <c r="G169" s="55"/>
      <c r="H169" s="51"/>
      <c r="I169" s="52"/>
      <c r="J169" s="74" t="s">
        <v>897</v>
      </c>
      <c r="K169" s="57"/>
      <c r="L169" s="75">
        <v>6.29</v>
      </c>
      <c r="M169" s="60">
        <v>60</v>
      </c>
      <c r="N169" s="76">
        <v>30</v>
      </c>
      <c r="O169" s="42"/>
      <c r="P169" s="58" t="s">
        <v>36</v>
      </c>
      <c r="Q169" s="61"/>
      <c r="R169" s="62"/>
      <c r="S169" s="78">
        <f t="shared" si="6"/>
        <v>1800</v>
      </c>
      <c r="T169" s="44" t="str">
        <f t="shared" si="7"/>
        <v>1800grams</v>
      </c>
      <c r="U169" s="77">
        <f t="shared" si="8"/>
        <v>377.4</v>
      </c>
      <c r="V169" s="46"/>
      <c r="W169" s="46"/>
      <c r="X169" s="46"/>
    </row>
    <row r="170" spans="1:24" ht="15.75" customHeight="1" thickBot="1" x14ac:dyDescent="0.35">
      <c r="A170" s="2">
        <v>50</v>
      </c>
      <c r="B170" s="67" t="s">
        <v>886</v>
      </c>
      <c r="C170" s="55"/>
      <c r="D170" s="41"/>
      <c r="E170" s="55"/>
      <c r="F170" s="55"/>
      <c r="G170" s="55"/>
      <c r="H170" s="51"/>
      <c r="I170" s="52"/>
      <c r="J170" s="74" t="s">
        <v>898</v>
      </c>
      <c r="K170" s="57"/>
      <c r="L170" s="75">
        <v>6.17</v>
      </c>
      <c r="M170" s="60">
        <v>30</v>
      </c>
      <c r="N170" s="76">
        <v>30</v>
      </c>
      <c r="O170" s="42"/>
      <c r="P170" s="58" t="s">
        <v>36</v>
      </c>
      <c r="Q170" s="61"/>
      <c r="R170" s="62"/>
      <c r="S170" s="78">
        <f t="shared" si="6"/>
        <v>900</v>
      </c>
      <c r="T170" s="44" t="str">
        <f t="shared" si="7"/>
        <v>900grams</v>
      </c>
      <c r="U170" s="77">
        <f t="shared" si="8"/>
        <v>185.1</v>
      </c>
      <c r="V170" s="46"/>
      <c r="W170" s="46"/>
      <c r="X170" s="46"/>
    </row>
    <row r="171" spans="1:24" ht="15.75" customHeight="1" thickBot="1" x14ac:dyDescent="0.35">
      <c r="A171" s="2">
        <v>50</v>
      </c>
      <c r="B171" s="67" t="s">
        <v>886</v>
      </c>
      <c r="C171" s="55"/>
      <c r="D171" s="41"/>
      <c r="E171" s="55"/>
      <c r="F171" s="55"/>
      <c r="G171" s="55"/>
      <c r="H171" s="51"/>
      <c r="I171" s="52"/>
      <c r="J171" s="74" t="s">
        <v>899</v>
      </c>
      <c r="K171" s="57"/>
      <c r="L171" s="75">
        <v>17.899999999999999</v>
      </c>
      <c r="M171" s="60">
        <v>3</v>
      </c>
      <c r="N171" s="76">
        <v>80</v>
      </c>
      <c r="O171" s="42"/>
      <c r="P171" s="58" t="s">
        <v>36</v>
      </c>
      <c r="Q171" s="61"/>
      <c r="R171" s="62"/>
      <c r="S171" s="78">
        <f t="shared" si="6"/>
        <v>240</v>
      </c>
      <c r="T171" s="44" t="str">
        <f t="shared" si="7"/>
        <v>240grams</v>
      </c>
      <c r="U171" s="77">
        <f t="shared" si="8"/>
        <v>53.699999999999996</v>
      </c>
      <c r="V171" s="50"/>
      <c r="W171" s="54"/>
      <c r="X171" s="39"/>
    </row>
    <row r="172" spans="1:24" ht="15.75" customHeight="1" thickBot="1" x14ac:dyDescent="0.35">
      <c r="A172" s="2">
        <v>50</v>
      </c>
      <c r="B172" s="67" t="s">
        <v>886</v>
      </c>
      <c r="C172" s="55"/>
      <c r="D172" s="41"/>
      <c r="E172" s="55"/>
      <c r="F172" s="55"/>
      <c r="G172" s="55"/>
      <c r="H172" s="51"/>
      <c r="I172" s="52"/>
      <c r="J172" s="74" t="s">
        <v>895</v>
      </c>
      <c r="K172" s="57"/>
      <c r="L172" s="75">
        <v>6</v>
      </c>
      <c r="M172" s="60">
        <v>44</v>
      </c>
      <c r="N172" s="76">
        <v>10</v>
      </c>
      <c r="O172" s="42"/>
      <c r="P172" s="58" t="s">
        <v>38</v>
      </c>
      <c r="Q172" s="61"/>
      <c r="R172" s="62"/>
      <c r="S172" s="78">
        <f t="shared" si="6"/>
        <v>440</v>
      </c>
      <c r="T172" s="44" t="str">
        <f t="shared" si="7"/>
        <v>440pieces</v>
      </c>
      <c r="U172" s="77">
        <f t="shared" si="8"/>
        <v>264</v>
      </c>
      <c r="V172" s="46"/>
      <c r="W172" s="46"/>
      <c r="X172" s="46"/>
    </row>
    <row r="173" spans="1:24" ht="15.75" customHeight="1" thickBot="1" x14ac:dyDescent="0.35">
      <c r="A173" s="2">
        <v>50</v>
      </c>
      <c r="B173" s="67" t="s">
        <v>886</v>
      </c>
      <c r="C173" s="55"/>
      <c r="D173" s="41"/>
      <c r="E173" s="55"/>
      <c r="F173" s="55"/>
      <c r="G173" s="55"/>
      <c r="H173" s="51"/>
      <c r="I173" s="52"/>
      <c r="J173" s="74" t="s">
        <v>895</v>
      </c>
      <c r="K173" s="57"/>
      <c r="L173" s="75">
        <v>5.8</v>
      </c>
      <c r="M173" s="60">
        <v>140</v>
      </c>
      <c r="N173" s="76">
        <v>30</v>
      </c>
      <c r="O173" s="42"/>
      <c r="P173" s="58" t="s">
        <v>36</v>
      </c>
      <c r="Q173" s="61"/>
      <c r="R173" s="62"/>
      <c r="S173" s="78">
        <f t="shared" si="6"/>
        <v>4200</v>
      </c>
      <c r="T173" s="44" t="str">
        <f t="shared" si="7"/>
        <v>4200grams</v>
      </c>
      <c r="U173" s="77">
        <f t="shared" si="8"/>
        <v>812</v>
      </c>
      <c r="V173" s="46"/>
      <c r="W173" s="46"/>
      <c r="X173" s="46"/>
    </row>
    <row r="174" spans="1:24" ht="15.75" customHeight="1" thickBot="1" x14ac:dyDescent="0.35">
      <c r="A174" s="2">
        <v>50</v>
      </c>
      <c r="B174" s="67" t="s">
        <v>886</v>
      </c>
      <c r="C174" s="55"/>
      <c r="D174" s="41"/>
      <c r="E174" s="55"/>
      <c r="F174" s="55"/>
      <c r="G174" s="55"/>
      <c r="H174" s="51"/>
      <c r="I174" s="52"/>
      <c r="J174" s="74" t="s">
        <v>900</v>
      </c>
      <c r="K174" s="57"/>
      <c r="L174" s="75">
        <v>5.92</v>
      </c>
      <c r="M174" s="60">
        <v>30</v>
      </c>
      <c r="N174" s="76">
        <v>10</v>
      </c>
      <c r="O174" s="42"/>
      <c r="P174" s="58" t="s">
        <v>38</v>
      </c>
      <c r="Q174" s="61"/>
      <c r="R174" s="62"/>
      <c r="S174" s="78">
        <f t="shared" si="6"/>
        <v>300</v>
      </c>
      <c r="T174" s="44" t="str">
        <f t="shared" si="7"/>
        <v>300pieces</v>
      </c>
      <c r="U174" s="77">
        <f t="shared" si="8"/>
        <v>177.6</v>
      </c>
      <c r="V174" s="46"/>
      <c r="W174" s="46"/>
      <c r="X174" s="46"/>
    </row>
    <row r="175" spans="1:24" ht="15.75" customHeight="1" thickBot="1" x14ac:dyDescent="0.35">
      <c r="A175" s="2">
        <v>50</v>
      </c>
      <c r="B175" s="67" t="s">
        <v>886</v>
      </c>
      <c r="C175" s="55"/>
      <c r="D175" s="41"/>
      <c r="E175" s="55"/>
      <c r="F175" s="55"/>
      <c r="G175" s="55"/>
      <c r="H175" s="51"/>
      <c r="I175" s="52"/>
      <c r="J175" s="74" t="s">
        <v>900</v>
      </c>
      <c r="K175" s="57"/>
      <c r="L175" s="75">
        <v>6</v>
      </c>
      <c r="M175" s="60">
        <v>84</v>
      </c>
      <c r="N175" s="76">
        <v>10</v>
      </c>
      <c r="O175" s="42"/>
      <c r="P175" s="58" t="s">
        <v>38</v>
      </c>
      <c r="Q175" s="61"/>
      <c r="R175" s="62"/>
      <c r="S175" s="78">
        <f t="shared" si="6"/>
        <v>840</v>
      </c>
      <c r="T175" s="44" t="str">
        <f t="shared" si="7"/>
        <v>840pieces</v>
      </c>
      <c r="U175" s="77">
        <f t="shared" si="8"/>
        <v>504</v>
      </c>
      <c r="V175" s="46"/>
      <c r="W175" s="46"/>
      <c r="X175" s="46"/>
    </row>
    <row r="176" spans="1:24" ht="15.75" customHeight="1" thickBot="1" x14ac:dyDescent="0.35">
      <c r="A176" s="2">
        <v>50</v>
      </c>
      <c r="B176" s="67" t="s">
        <v>886</v>
      </c>
      <c r="C176" s="55"/>
      <c r="D176" s="41"/>
      <c r="E176" s="55"/>
      <c r="F176" s="55"/>
      <c r="G176" s="55"/>
      <c r="H176" s="51"/>
      <c r="I176" s="52"/>
      <c r="J176" s="74" t="s">
        <v>901</v>
      </c>
      <c r="K176" s="57"/>
      <c r="L176" s="75">
        <v>5.72</v>
      </c>
      <c r="M176" s="60">
        <v>47</v>
      </c>
      <c r="N176" s="76">
        <v>28</v>
      </c>
      <c r="O176" s="42"/>
      <c r="P176" s="58" t="s">
        <v>36</v>
      </c>
      <c r="Q176" s="61"/>
      <c r="R176" s="62"/>
      <c r="S176" s="78">
        <f t="shared" si="6"/>
        <v>1316</v>
      </c>
      <c r="T176" s="44" t="str">
        <f t="shared" si="7"/>
        <v>1316grams</v>
      </c>
      <c r="U176" s="77">
        <f t="shared" si="8"/>
        <v>268.83999999999997</v>
      </c>
      <c r="V176" s="46"/>
      <c r="W176" s="46"/>
      <c r="X176" s="46"/>
    </row>
    <row r="177" spans="1:24" ht="15.75" customHeight="1" thickBot="1" x14ac:dyDescent="0.35">
      <c r="A177" s="2">
        <v>50</v>
      </c>
      <c r="B177" s="67" t="s">
        <v>886</v>
      </c>
      <c r="C177" s="55"/>
      <c r="D177" s="41"/>
      <c r="E177" s="55"/>
      <c r="F177" s="55"/>
      <c r="G177" s="55"/>
      <c r="H177" s="51"/>
      <c r="I177" s="52"/>
      <c r="J177" s="74" t="s">
        <v>901</v>
      </c>
      <c r="K177" s="57"/>
      <c r="L177" s="75">
        <v>22</v>
      </c>
      <c r="M177" s="60">
        <v>8</v>
      </c>
      <c r="N177" s="76">
        <v>90</v>
      </c>
      <c r="O177" s="42"/>
      <c r="P177" s="58" t="s">
        <v>36</v>
      </c>
      <c r="Q177" s="61"/>
      <c r="R177" s="62"/>
      <c r="S177" s="78">
        <f t="shared" si="6"/>
        <v>720</v>
      </c>
      <c r="T177" s="44" t="str">
        <f t="shared" si="7"/>
        <v>720grams</v>
      </c>
      <c r="U177" s="77">
        <f t="shared" si="8"/>
        <v>176</v>
      </c>
      <c r="V177" s="46"/>
      <c r="W177" s="46"/>
      <c r="X177" s="46"/>
    </row>
    <row r="178" spans="1:24" ht="15.75" customHeight="1" thickBot="1" x14ac:dyDescent="0.35">
      <c r="A178" s="2">
        <v>50</v>
      </c>
      <c r="B178" s="67" t="s">
        <v>886</v>
      </c>
      <c r="C178" s="55"/>
      <c r="D178" s="41"/>
      <c r="E178" s="55"/>
      <c r="F178" s="55"/>
      <c r="G178" s="55"/>
      <c r="H178" s="51"/>
      <c r="I178" s="52"/>
      <c r="J178" s="74" t="s">
        <v>902</v>
      </c>
      <c r="K178" s="57"/>
      <c r="L178" s="75">
        <v>7.39</v>
      </c>
      <c r="M178" s="60">
        <v>43</v>
      </c>
      <c r="N178" s="76">
        <v>33</v>
      </c>
      <c r="O178" s="42"/>
      <c r="P178" s="58" t="s">
        <v>36</v>
      </c>
      <c r="Q178" s="61"/>
      <c r="R178" s="62"/>
      <c r="S178" s="78">
        <f t="shared" si="6"/>
        <v>1419</v>
      </c>
      <c r="T178" s="44" t="str">
        <f t="shared" si="7"/>
        <v>1419grams</v>
      </c>
      <c r="U178" s="77">
        <f t="shared" si="8"/>
        <v>317.77</v>
      </c>
      <c r="V178" s="53"/>
      <c r="W178" s="54"/>
      <c r="X178" s="39"/>
    </row>
    <row r="179" spans="1:24" ht="15.75" customHeight="1" thickBot="1" x14ac:dyDescent="0.35">
      <c r="A179" s="2">
        <v>50</v>
      </c>
      <c r="B179" s="67" t="s">
        <v>886</v>
      </c>
      <c r="C179" s="55"/>
      <c r="D179" s="41"/>
      <c r="E179" s="55"/>
      <c r="F179" s="55"/>
      <c r="G179" s="55"/>
      <c r="H179" s="51"/>
      <c r="I179" s="52"/>
      <c r="J179" s="74" t="s">
        <v>902</v>
      </c>
      <c r="K179" s="57"/>
      <c r="L179" s="75">
        <v>73.900000000000006</v>
      </c>
      <c r="M179" s="60">
        <v>10</v>
      </c>
      <c r="N179" s="76">
        <v>33</v>
      </c>
      <c r="O179" s="42"/>
      <c r="P179" s="58" t="s">
        <v>36</v>
      </c>
      <c r="Q179" s="61"/>
      <c r="R179" s="62"/>
      <c r="S179" s="78">
        <f t="shared" si="6"/>
        <v>330</v>
      </c>
      <c r="T179" s="44" t="str">
        <f t="shared" si="7"/>
        <v>330grams</v>
      </c>
      <c r="U179" s="77">
        <f t="shared" si="8"/>
        <v>739</v>
      </c>
      <c r="V179" s="46"/>
      <c r="W179" s="46"/>
      <c r="X179" s="46"/>
    </row>
    <row r="180" spans="1:24" ht="15.75" customHeight="1" thickBot="1" x14ac:dyDescent="0.35">
      <c r="A180" s="2">
        <v>50</v>
      </c>
      <c r="B180" s="68" t="s">
        <v>886</v>
      </c>
      <c r="C180" s="55"/>
      <c r="D180" s="41"/>
      <c r="E180" s="55"/>
      <c r="F180" s="55"/>
      <c r="G180" s="55"/>
      <c r="H180" s="51"/>
      <c r="I180" s="52"/>
      <c r="J180" s="74" t="s">
        <v>891</v>
      </c>
      <c r="K180" s="57"/>
      <c r="L180" s="75">
        <v>24.5</v>
      </c>
      <c r="M180" s="60">
        <v>3</v>
      </c>
      <c r="N180" s="76">
        <v>60</v>
      </c>
      <c r="O180" s="42"/>
      <c r="P180" s="58" t="s">
        <v>36</v>
      </c>
      <c r="Q180" s="61"/>
      <c r="R180" s="62"/>
      <c r="S180" s="78">
        <f t="shared" si="6"/>
        <v>180</v>
      </c>
      <c r="T180" s="44" t="str">
        <f t="shared" si="7"/>
        <v>180grams</v>
      </c>
      <c r="U180" s="77">
        <f t="shared" si="8"/>
        <v>73.5</v>
      </c>
      <c r="V180" s="46"/>
      <c r="W180" s="46"/>
      <c r="X180" s="46"/>
    </row>
    <row r="181" spans="1:24" ht="15.75" customHeight="1" thickBot="1" x14ac:dyDescent="0.35">
      <c r="A181" s="2">
        <v>50</v>
      </c>
      <c r="B181" s="68" t="s">
        <v>886</v>
      </c>
      <c r="C181" s="55"/>
      <c r="D181" s="41"/>
      <c r="E181" s="55"/>
      <c r="F181" s="55"/>
      <c r="G181" s="55"/>
      <c r="H181" s="51"/>
      <c r="I181" s="52"/>
      <c r="J181" s="74" t="s">
        <v>903</v>
      </c>
      <c r="K181" s="57"/>
      <c r="L181" s="75">
        <v>7.3</v>
      </c>
      <c r="M181" s="60">
        <v>8</v>
      </c>
      <c r="N181" s="76">
        <v>1</v>
      </c>
      <c r="O181" s="42"/>
      <c r="P181" s="58" t="s">
        <v>38</v>
      </c>
      <c r="Q181" s="61"/>
      <c r="R181" s="62"/>
      <c r="S181" s="78">
        <f t="shared" si="6"/>
        <v>8</v>
      </c>
      <c r="T181" s="44" t="str">
        <f t="shared" si="7"/>
        <v>8pieces</v>
      </c>
      <c r="U181" s="77">
        <f t="shared" si="8"/>
        <v>58.4</v>
      </c>
      <c r="V181" s="46"/>
      <c r="W181" s="46"/>
      <c r="X181" s="46"/>
    </row>
    <row r="182" spans="1:24" ht="15.75" customHeight="1" thickBot="1" x14ac:dyDescent="0.35">
      <c r="A182" s="2">
        <v>50</v>
      </c>
      <c r="B182" s="68" t="s">
        <v>886</v>
      </c>
      <c r="C182" s="55"/>
      <c r="D182" s="41"/>
      <c r="E182" s="55"/>
      <c r="F182" s="55"/>
      <c r="G182" s="55"/>
      <c r="H182" s="51"/>
      <c r="I182" s="52"/>
      <c r="J182" s="74" t="s">
        <v>904</v>
      </c>
      <c r="K182" s="57"/>
      <c r="L182" s="75">
        <v>7.77</v>
      </c>
      <c r="M182" s="60">
        <v>5</v>
      </c>
      <c r="N182" s="76">
        <v>1</v>
      </c>
      <c r="O182" s="42"/>
      <c r="P182" s="58" t="s">
        <v>38</v>
      </c>
      <c r="Q182" s="61"/>
      <c r="R182" s="62"/>
      <c r="S182" s="78">
        <f t="shared" ref="S182:S245" si="9">M182*N182</f>
        <v>5</v>
      </c>
      <c r="T182" s="44" t="str">
        <f t="shared" ref="T182:T245" si="10">CONCATENATE(S182,Q182,P182)</f>
        <v>5pieces</v>
      </c>
      <c r="U182" s="77">
        <f t="shared" ref="U182:U245" si="11">L182*M182</f>
        <v>38.849999999999994</v>
      </c>
      <c r="V182" s="46"/>
      <c r="W182" s="46"/>
      <c r="X182" s="46"/>
    </row>
    <row r="183" spans="1:24" ht="15.75" customHeight="1" thickBot="1" x14ac:dyDescent="0.35">
      <c r="A183" s="2">
        <v>50</v>
      </c>
      <c r="B183" s="68" t="s">
        <v>886</v>
      </c>
      <c r="C183" s="55"/>
      <c r="D183" s="41"/>
      <c r="E183" s="55"/>
      <c r="F183" s="55"/>
      <c r="G183" s="55"/>
      <c r="H183" s="51"/>
      <c r="I183" s="52"/>
      <c r="J183" s="74" t="s">
        <v>905</v>
      </c>
      <c r="K183" s="57"/>
      <c r="L183" s="75">
        <v>7.77</v>
      </c>
      <c r="M183" s="60">
        <v>1</v>
      </c>
      <c r="N183" s="76">
        <v>1</v>
      </c>
      <c r="O183" s="42"/>
      <c r="P183" s="58" t="s">
        <v>38</v>
      </c>
      <c r="Q183" s="61"/>
      <c r="R183" s="62"/>
      <c r="S183" s="78">
        <f t="shared" si="9"/>
        <v>1</v>
      </c>
      <c r="T183" s="44" t="str">
        <f t="shared" si="10"/>
        <v>1pieces</v>
      </c>
      <c r="U183" s="77">
        <f t="shared" si="11"/>
        <v>7.77</v>
      </c>
      <c r="V183" s="46"/>
      <c r="W183" s="46"/>
      <c r="X183" s="46"/>
    </row>
    <row r="184" spans="1:24" ht="15.75" customHeight="1" thickBot="1" x14ac:dyDescent="0.35">
      <c r="A184" s="2">
        <v>50</v>
      </c>
      <c r="B184" s="68" t="s">
        <v>886</v>
      </c>
      <c r="C184" s="55"/>
      <c r="D184" s="41"/>
      <c r="E184" s="55"/>
      <c r="F184" s="55"/>
      <c r="G184" s="55"/>
      <c r="H184" s="51"/>
      <c r="I184" s="52"/>
      <c r="J184" s="74" t="s">
        <v>906</v>
      </c>
      <c r="K184" s="57"/>
      <c r="L184" s="75">
        <v>8.42</v>
      </c>
      <c r="M184" s="60">
        <v>7</v>
      </c>
      <c r="N184" s="76">
        <v>57</v>
      </c>
      <c r="O184" s="42"/>
      <c r="P184" s="58" t="s">
        <v>36</v>
      </c>
      <c r="Q184" s="61"/>
      <c r="R184" s="62"/>
      <c r="S184" s="78">
        <f t="shared" si="9"/>
        <v>399</v>
      </c>
      <c r="T184" s="44" t="str">
        <f t="shared" si="10"/>
        <v>399grams</v>
      </c>
      <c r="U184" s="77">
        <f t="shared" si="11"/>
        <v>58.94</v>
      </c>
      <c r="V184" s="20"/>
      <c r="W184" s="20"/>
      <c r="X184" s="20"/>
    </row>
    <row r="185" spans="1:24" ht="15.75" customHeight="1" thickBot="1" x14ac:dyDescent="0.35">
      <c r="A185" s="2">
        <v>50</v>
      </c>
      <c r="B185" s="68" t="s">
        <v>886</v>
      </c>
      <c r="C185" s="55"/>
      <c r="D185" s="41"/>
      <c r="E185" s="55"/>
      <c r="F185" s="55"/>
      <c r="G185" s="55"/>
      <c r="H185" s="51"/>
      <c r="I185" s="52"/>
      <c r="J185" s="74" t="s">
        <v>907</v>
      </c>
      <c r="K185" s="57"/>
      <c r="L185" s="75">
        <v>7.19</v>
      </c>
      <c r="M185" s="60">
        <v>30</v>
      </c>
      <c r="N185" s="76">
        <v>30</v>
      </c>
      <c r="O185" s="42"/>
      <c r="P185" s="58" t="s">
        <v>36</v>
      </c>
      <c r="Q185" s="61"/>
      <c r="R185" s="62"/>
      <c r="S185" s="78">
        <f t="shared" si="9"/>
        <v>900</v>
      </c>
      <c r="T185" s="44" t="str">
        <f t="shared" si="10"/>
        <v>900grams</v>
      </c>
      <c r="U185" s="77">
        <f t="shared" si="11"/>
        <v>215.70000000000002</v>
      </c>
      <c r="V185" s="20"/>
      <c r="W185" s="20"/>
      <c r="X185" s="20"/>
    </row>
    <row r="186" spans="1:24" ht="15.75" customHeight="1" thickBot="1" x14ac:dyDescent="0.35">
      <c r="A186" s="2">
        <v>50</v>
      </c>
      <c r="B186" s="68" t="s">
        <v>886</v>
      </c>
      <c r="C186" s="55"/>
      <c r="D186" s="41"/>
      <c r="E186" s="55"/>
      <c r="F186" s="55"/>
      <c r="G186" s="55"/>
      <c r="H186" s="51"/>
      <c r="I186" s="52"/>
      <c r="J186" s="74" t="s">
        <v>908</v>
      </c>
      <c r="K186" s="57"/>
      <c r="L186" s="75">
        <v>16.12</v>
      </c>
      <c r="M186" s="60">
        <v>36</v>
      </c>
      <c r="N186" s="76">
        <v>40</v>
      </c>
      <c r="O186" s="42"/>
      <c r="P186" s="58" t="s">
        <v>36</v>
      </c>
      <c r="Q186" s="61"/>
      <c r="R186" s="62"/>
      <c r="S186" s="78">
        <f t="shared" si="9"/>
        <v>1440</v>
      </c>
      <c r="T186" s="44" t="str">
        <f t="shared" si="10"/>
        <v>1440grams</v>
      </c>
      <c r="U186" s="77">
        <f t="shared" si="11"/>
        <v>580.32000000000005</v>
      </c>
      <c r="V186" s="50"/>
      <c r="W186" s="54"/>
      <c r="X186" s="39"/>
    </row>
    <row r="187" spans="1:24" ht="15.75" customHeight="1" thickBot="1" x14ac:dyDescent="0.35">
      <c r="A187" s="2">
        <v>50</v>
      </c>
      <c r="B187" s="68" t="s">
        <v>886</v>
      </c>
      <c r="C187" s="55"/>
      <c r="D187" s="41"/>
      <c r="E187" s="55"/>
      <c r="F187" s="55"/>
      <c r="G187" s="55"/>
      <c r="H187" s="51"/>
      <c r="I187" s="52"/>
      <c r="J187" s="74" t="s">
        <v>909</v>
      </c>
      <c r="K187" s="57"/>
      <c r="L187" s="75">
        <v>7.07</v>
      </c>
      <c r="M187" s="60">
        <v>30</v>
      </c>
      <c r="N187" s="76">
        <v>30</v>
      </c>
      <c r="O187" s="42"/>
      <c r="P187" s="58" t="s">
        <v>36</v>
      </c>
      <c r="Q187" s="61"/>
      <c r="R187" s="62"/>
      <c r="S187" s="78">
        <f t="shared" si="9"/>
        <v>900</v>
      </c>
      <c r="T187" s="44" t="str">
        <f t="shared" si="10"/>
        <v>900grams</v>
      </c>
      <c r="U187" s="77">
        <f t="shared" si="11"/>
        <v>212.10000000000002</v>
      </c>
      <c r="V187" s="46"/>
      <c r="W187" s="46"/>
      <c r="X187" s="46"/>
    </row>
    <row r="188" spans="1:24" ht="15.75" customHeight="1" thickBot="1" x14ac:dyDescent="0.35">
      <c r="A188" s="2">
        <v>50</v>
      </c>
      <c r="B188" s="67" t="s">
        <v>886</v>
      </c>
      <c r="C188" s="55"/>
      <c r="D188" s="41"/>
      <c r="E188" s="55"/>
      <c r="F188" s="55"/>
      <c r="G188" s="55"/>
      <c r="H188" s="51"/>
      <c r="I188" s="52"/>
      <c r="J188" s="74" t="s">
        <v>910</v>
      </c>
      <c r="K188" s="57"/>
      <c r="L188" s="75">
        <v>8.17</v>
      </c>
      <c r="M188" s="60">
        <v>30</v>
      </c>
      <c r="N188" s="76">
        <v>25</v>
      </c>
      <c r="O188" s="42"/>
      <c r="P188" s="58" t="s">
        <v>36</v>
      </c>
      <c r="Q188" s="61"/>
      <c r="R188" s="62"/>
      <c r="S188" s="78">
        <f t="shared" si="9"/>
        <v>750</v>
      </c>
      <c r="T188" s="44" t="str">
        <f t="shared" si="10"/>
        <v>750grams</v>
      </c>
      <c r="U188" s="77">
        <f t="shared" si="11"/>
        <v>245.1</v>
      </c>
      <c r="V188" s="46"/>
      <c r="W188" s="46"/>
      <c r="X188" s="46"/>
    </row>
    <row r="189" spans="1:24" ht="15.75" customHeight="1" thickBot="1" x14ac:dyDescent="0.35">
      <c r="A189" s="2">
        <v>50</v>
      </c>
      <c r="B189" s="67" t="s">
        <v>886</v>
      </c>
      <c r="C189" s="55"/>
      <c r="D189" s="41"/>
      <c r="E189" s="55"/>
      <c r="F189" s="55"/>
      <c r="G189" s="55"/>
      <c r="H189" s="51"/>
      <c r="I189" s="52"/>
      <c r="J189" s="74" t="s">
        <v>911</v>
      </c>
      <c r="K189" s="57"/>
      <c r="L189" s="75">
        <v>8.0500000000000007</v>
      </c>
      <c r="M189" s="60">
        <v>30</v>
      </c>
      <c r="N189" s="76">
        <v>25</v>
      </c>
      <c r="O189" s="42"/>
      <c r="P189" s="58" t="s">
        <v>36</v>
      </c>
      <c r="Q189" s="61"/>
      <c r="R189" s="62"/>
      <c r="S189" s="78">
        <f t="shared" si="9"/>
        <v>750</v>
      </c>
      <c r="T189" s="44" t="str">
        <f t="shared" si="10"/>
        <v>750grams</v>
      </c>
      <c r="U189" s="77">
        <f t="shared" si="11"/>
        <v>241.50000000000003</v>
      </c>
      <c r="V189" s="50"/>
      <c r="W189" s="54"/>
      <c r="X189" s="39"/>
    </row>
    <row r="190" spans="1:24" ht="15.75" customHeight="1" thickBot="1" x14ac:dyDescent="0.35">
      <c r="A190" s="2">
        <v>50</v>
      </c>
      <c r="B190" s="68" t="s">
        <v>886</v>
      </c>
      <c r="C190" s="55"/>
      <c r="D190" s="41"/>
      <c r="E190" s="55"/>
      <c r="F190" s="55"/>
      <c r="G190" s="55"/>
      <c r="H190" s="51"/>
      <c r="I190" s="52"/>
      <c r="J190" s="74" t="s">
        <v>895</v>
      </c>
      <c r="K190" s="57"/>
      <c r="L190" s="75">
        <v>5.0999999999999996</v>
      </c>
      <c r="M190" s="60">
        <v>3</v>
      </c>
      <c r="N190" s="76">
        <v>30</v>
      </c>
      <c r="O190" s="42"/>
      <c r="P190" s="58" t="s">
        <v>36</v>
      </c>
      <c r="Q190" s="61"/>
      <c r="R190" s="62"/>
      <c r="S190" s="78">
        <f t="shared" si="9"/>
        <v>90</v>
      </c>
      <c r="T190" s="44" t="str">
        <f t="shared" si="10"/>
        <v>90grams</v>
      </c>
      <c r="U190" s="77">
        <f t="shared" si="11"/>
        <v>15.299999999999999</v>
      </c>
      <c r="V190" s="46"/>
      <c r="W190" s="46"/>
      <c r="X190" s="46"/>
    </row>
    <row r="191" spans="1:24" ht="15.75" customHeight="1" thickBot="1" x14ac:dyDescent="0.35">
      <c r="A191" s="2">
        <v>50</v>
      </c>
      <c r="B191" s="69" t="s">
        <v>886</v>
      </c>
      <c r="C191" s="55"/>
      <c r="D191" s="41"/>
      <c r="E191" s="55"/>
      <c r="F191" s="55"/>
      <c r="G191" s="55"/>
      <c r="H191" s="51"/>
      <c r="I191" s="52"/>
      <c r="J191" s="74" t="s">
        <v>912</v>
      </c>
      <c r="K191" s="57"/>
      <c r="L191" s="75">
        <v>6.03</v>
      </c>
      <c r="M191" s="60">
        <v>50</v>
      </c>
      <c r="N191" s="76">
        <v>31</v>
      </c>
      <c r="O191" s="42"/>
      <c r="P191" s="58" t="s">
        <v>36</v>
      </c>
      <c r="Q191" s="61"/>
      <c r="R191" s="62"/>
      <c r="S191" s="78">
        <f t="shared" si="9"/>
        <v>1550</v>
      </c>
      <c r="T191" s="44" t="str">
        <f t="shared" si="10"/>
        <v>1550grams</v>
      </c>
      <c r="U191" s="77">
        <f t="shared" si="11"/>
        <v>301.5</v>
      </c>
      <c r="V191" s="20"/>
      <c r="W191" s="20"/>
      <c r="X191" s="20"/>
    </row>
    <row r="192" spans="1:24" ht="15.75" customHeight="1" thickBot="1" x14ac:dyDescent="0.35">
      <c r="A192" s="2">
        <v>50</v>
      </c>
      <c r="B192" s="69" t="s">
        <v>886</v>
      </c>
      <c r="C192" s="55"/>
      <c r="D192" s="41"/>
      <c r="E192" s="55"/>
      <c r="F192" s="55"/>
      <c r="G192" s="55"/>
      <c r="H192" s="51"/>
      <c r="I192" s="52"/>
      <c r="J192" s="74" t="s">
        <v>913</v>
      </c>
      <c r="K192" s="57"/>
      <c r="L192" s="75">
        <v>5.92</v>
      </c>
      <c r="M192" s="60">
        <v>30</v>
      </c>
      <c r="N192" s="76">
        <v>32</v>
      </c>
      <c r="O192" s="42"/>
      <c r="P192" s="58" t="s">
        <v>36</v>
      </c>
      <c r="Q192" s="61"/>
      <c r="R192" s="62"/>
      <c r="S192" s="78">
        <f t="shared" si="9"/>
        <v>960</v>
      </c>
      <c r="T192" s="44" t="str">
        <f t="shared" si="10"/>
        <v>960grams</v>
      </c>
      <c r="U192" s="77">
        <f t="shared" si="11"/>
        <v>177.6</v>
      </c>
      <c r="V192" s="50"/>
      <c r="W192" s="50"/>
      <c r="X192" s="39"/>
    </row>
    <row r="193" spans="1:24" ht="15.75" customHeight="1" thickBot="1" x14ac:dyDescent="0.35">
      <c r="A193" s="2">
        <v>50</v>
      </c>
      <c r="B193" s="69" t="s">
        <v>886</v>
      </c>
      <c r="C193" s="55"/>
      <c r="D193" s="41"/>
      <c r="E193" s="55"/>
      <c r="F193" s="55"/>
      <c r="G193" s="55"/>
      <c r="H193" s="51"/>
      <c r="I193" s="52"/>
      <c r="J193" s="74" t="s">
        <v>913</v>
      </c>
      <c r="K193" s="57"/>
      <c r="L193" s="75">
        <v>6.5</v>
      </c>
      <c r="M193" s="60">
        <v>180</v>
      </c>
      <c r="N193" s="76">
        <v>32</v>
      </c>
      <c r="O193" s="42"/>
      <c r="P193" s="58" t="s">
        <v>36</v>
      </c>
      <c r="Q193" s="61"/>
      <c r="R193" s="62"/>
      <c r="S193" s="78">
        <f t="shared" si="9"/>
        <v>5760</v>
      </c>
      <c r="T193" s="44" t="str">
        <f t="shared" si="10"/>
        <v>5760grams</v>
      </c>
      <c r="U193" s="77">
        <f t="shared" si="11"/>
        <v>1170</v>
      </c>
      <c r="V193" s="20"/>
      <c r="W193" s="20"/>
      <c r="X193" s="20"/>
    </row>
    <row r="194" spans="1:24" ht="15.75" customHeight="1" thickBot="1" x14ac:dyDescent="0.35">
      <c r="A194" s="2">
        <v>50</v>
      </c>
      <c r="B194" s="68" t="s">
        <v>886</v>
      </c>
      <c r="C194" s="55"/>
      <c r="D194" s="41"/>
      <c r="E194" s="55"/>
      <c r="F194" s="55"/>
      <c r="G194" s="55"/>
      <c r="H194" s="51"/>
      <c r="I194" s="52"/>
      <c r="J194" s="74" t="s">
        <v>914</v>
      </c>
      <c r="K194" s="57"/>
      <c r="L194" s="75">
        <v>6.13</v>
      </c>
      <c r="M194" s="60">
        <v>10</v>
      </c>
      <c r="N194" s="76">
        <v>33</v>
      </c>
      <c r="O194" s="42"/>
      <c r="P194" s="58" t="s">
        <v>36</v>
      </c>
      <c r="Q194" s="61"/>
      <c r="R194" s="62"/>
      <c r="S194" s="78">
        <f t="shared" si="9"/>
        <v>330</v>
      </c>
      <c r="T194" s="44" t="str">
        <f t="shared" si="10"/>
        <v>330grams</v>
      </c>
      <c r="U194" s="77">
        <f t="shared" si="11"/>
        <v>61.3</v>
      </c>
      <c r="V194" s="46"/>
      <c r="W194" s="46"/>
      <c r="X194" s="46"/>
    </row>
    <row r="195" spans="1:24" ht="15.75" customHeight="1" thickBot="1" x14ac:dyDescent="0.35">
      <c r="A195" s="2">
        <v>50</v>
      </c>
      <c r="B195" s="69" t="s">
        <v>886</v>
      </c>
      <c r="C195" s="55"/>
      <c r="D195" s="41"/>
      <c r="E195" s="55"/>
      <c r="F195" s="55"/>
      <c r="G195" s="55"/>
      <c r="H195" s="51"/>
      <c r="I195" s="52"/>
      <c r="J195" s="74" t="s">
        <v>915</v>
      </c>
      <c r="K195" s="57"/>
      <c r="L195" s="75">
        <v>6</v>
      </c>
      <c r="M195" s="60">
        <v>60</v>
      </c>
      <c r="N195" s="76">
        <v>36</v>
      </c>
      <c r="O195" s="42"/>
      <c r="P195" s="58" t="s">
        <v>36</v>
      </c>
      <c r="Q195" s="61"/>
      <c r="R195" s="62"/>
      <c r="S195" s="78">
        <f t="shared" si="9"/>
        <v>2160</v>
      </c>
      <c r="T195" s="44" t="str">
        <f t="shared" si="10"/>
        <v>2160grams</v>
      </c>
      <c r="U195" s="77">
        <f t="shared" si="11"/>
        <v>360</v>
      </c>
      <c r="V195" s="46"/>
      <c r="W195" s="46"/>
      <c r="X195" s="46"/>
    </row>
    <row r="196" spans="1:24" ht="15.75" customHeight="1" thickBot="1" x14ac:dyDescent="0.35">
      <c r="A196" s="2">
        <v>50</v>
      </c>
      <c r="B196" s="67" t="s">
        <v>886</v>
      </c>
      <c r="C196" s="55"/>
      <c r="D196" s="41"/>
      <c r="E196" s="55"/>
      <c r="F196" s="55"/>
      <c r="G196" s="55"/>
      <c r="H196" s="51"/>
      <c r="I196" s="52"/>
      <c r="J196" s="74" t="s">
        <v>916</v>
      </c>
      <c r="K196" s="57"/>
      <c r="L196" s="75">
        <v>63.75</v>
      </c>
      <c r="M196" s="60">
        <v>2</v>
      </c>
      <c r="N196" s="76">
        <v>1</v>
      </c>
      <c r="O196" s="42"/>
      <c r="P196" s="58" t="s">
        <v>77</v>
      </c>
      <c r="Q196" s="61"/>
      <c r="R196" s="62"/>
      <c r="S196" s="78">
        <f t="shared" si="9"/>
        <v>2</v>
      </c>
      <c r="T196" s="44" t="str">
        <f t="shared" si="10"/>
        <v>2packs</v>
      </c>
      <c r="U196" s="77">
        <f t="shared" si="11"/>
        <v>127.5</v>
      </c>
      <c r="V196" s="46"/>
      <c r="W196" s="46"/>
      <c r="X196" s="46"/>
    </row>
    <row r="197" spans="1:24" ht="15.75" customHeight="1" thickBot="1" x14ac:dyDescent="0.35">
      <c r="A197" s="2">
        <v>50</v>
      </c>
      <c r="B197" s="67" t="s">
        <v>886</v>
      </c>
      <c r="C197" s="55"/>
      <c r="D197" s="41"/>
      <c r="E197" s="55"/>
      <c r="F197" s="55"/>
      <c r="G197" s="55"/>
      <c r="H197" s="51"/>
      <c r="I197" s="52"/>
      <c r="J197" s="74" t="s">
        <v>917</v>
      </c>
      <c r="K197" s="57"/>
      <c r="L197" s="75">
        <v>6.88</v>
      </c>
      <c r="M197" s="60">
        <v>100</v>
      </c>
      <c r="N197" s="76">
        <v>30</v>
      </c>
      <c r="O197" s="42"/>
      <c r="P197" s="58" t="s">
        <v>36</v>
      </c>
      <c r="Q197" s="61"/>
      <c r="R197" s="62"/>
      <c r="S197" s="78">
        <f t="shared" si="9"/>
        <v>3000</v>
      </c>
      <c r="T197" s="44" t="str">
        <f t="shared" si="10"/>
        <v>3000grams</v>
      </c>
      <c r="U197" s="77">
        <f t="shared" si="11"/>
        <v>688</v>
      </c>
      <c r="V197" s="46"/>
      <c r="W197" s="46"/>
      <c r="X197" s="46"/>
    </row>
    <row r="198" spans="1:24" ht="15.75" customHeight="1" thickBot="1" x14ac:dyDescent="0.35">
      <c r="A198" s="2">
        <v>50</v>
      </c>
      <c r="B198" s="67" t="s">
        <v>886</v>
      </c>
      <c r="C198" s="55"/>
      <c r="D198" s="41"/>
      <c r="E198" s="55"/>
      <c r="F198" s="55"/>
      <c r="G198" s="55"/>
      <c r="H198" s="51"/>
      <c r="I198" s="52"/>
      <c r="J198" s="74" t="s">
        <v>897</v>
      </c>
      <c r="K198" s="57"/>
      <c r="L198" s="75">
        <v>6.9</v>
      </c>
      <c r="M198" s="60">
        <v>48</v>
      </c>
      <c r="N198" s="76">
        <v>30</v>
      </c>
      <c r="O198" s="42"/>
      <c r="P198" s="58" t="s">
        <v>36</v>
      </c>
      <c r="Q198" s="61"/>
      <c r="R198" s="62"/>
      <c r="S198" s="78">
        <f t="shared" si="9"/>
        <v>1440</v>
      </c>
      <c r="T198" s="44" t="str">
        <f t="shared" si="10"/>
        <v>1440grams</v>
      </c>
      <c r="U198" s="77">
        <f t="shared" si="11"/>
        <v>331.20000000000005</v>
      </c>
      <c r="V198" s="46"/>
      <c r="W198" s="46"/>
      <c r="X198" s="46"/>
    </row>
    <row r="199" spans="1:24" ht="15.75" customHeight="1" thickBot="1" x14ac:dyDescent="0.35">
      <c r="A199" s="2">
        <v>50</v>
      </c>
      <c r="B199" s="67" t="s">
        <v>886</v>
      </c>
      <c r="C199" s="55"/>
      <c r="D199" s="41"/>
      <c r="E199" s="55"/>
      <c r="F199" s="55"/>
      <c r="G199" s="55"/>
      <c r="H199" s="51"/>
      <c r="I199" s="52"/>
      <c r="J199" s="74" t="s">
        <v>918</v>
      </c>
      <c r="K199" s="57"/>
      <c r="L199" s="75">
        <v>6.14</v>
      </c>
      <c r="M199" s="60">
        <v>30</v>
      </c>
      <c r="N199" s="76">
        <v>30</v>
      </c>
      <c r="O199" s="42"/>
      <c r="P199" s="58" t="s">
        <v>36</v>
      </c>
      <c r="Q199" s="61"/>
      <c r="R199" s="62"/>
      <c r="S199" s="78">
        <f t="shared" si="9"/>
        <v>900</v>
      </c>
      <c r="T199" s="44" t="str">
        <f t="shared" si="10"/>
        <v>900grams</v>
      </c>
      <c r="U199" s="77">
        <f t="shared" si="11"/>
        <v>184.2</v>
      </c>
      <c r="V199" s="46"/>
      <c r="W199" s="46"/>
      <c r="X199" s="46"/>
    </row>
    <row r="200" spans="1:24" ht="15.75" customHeight="1" thickBot="1" x14ac:dyDescent="0.35">
      <c r="A200" s="2">
        <v>50</v>
      </c>
      <c r="B200" s="70" t="s">
        <v>886</v>
      </c>
      <c r="C200" s="55"/>
      <c r="D200" s="41"/>
      <c r="E200" s="55"/>
      <c r="F200" s="55"/>
      <c r="G200" s="55"/>
      <c r="H200" s="51"/>
      <c r="I200" s="52"/>
      <c r="J200" s="74" t="s">
        <v>273</v>
      </c>
      <c r="K200" s="57"/>
      <c r="L200" s="75">
        <v>7.87</v>
      </c>
      <c r="M200" s="60">
        <v>5</v>
      </c>
      <c r="N200" s="76">
        <v>30</v>
      </c>
      <c r="O200" s="42"/>
      <c r="P200" s="58" t="s">
        <v>36</v>
      </c>
      <c r="Q200" s="61"/>
      <c r="R200" s="62"/>
      <c r="S200" s="78">
        <f t="shared" si="9"/>
        <v>150</v>
      </c>
      <c r="T200" s="44" t="str">
        <f t="shared" si="10"/>
        <v>150grams</v>
      </c>
      <c r="U200" s="77">
        <f t="shared" si="11"/>
        <v>39.35</v>
      </c>
      <c r="V200" s="46"/>
      <c r="W200" s="46"/>
      <c r="X200" s="46"/>
    </row>
    <row r="201" spans="1:24" ht="15.75" customHeight="1" thickBot="1" x14ac:dyDescent="0.35">
      <c r="A201" s="2">
        <v>51</v>
      </c>
      <c r="B201" s="67" t="s">
        <v>105</v>
      </c>
      <c r="C201" s="55"/>
      <c r="D201" s="41"/>
      <c r="E201" s="55"/>
      <c r="F201" s="55"/>
      <c r="G201" s="55"/>
      <c r="H201" s="51"/>
      <c r="I201" s="52"/>
      <c r="J201" s="74" t="s">
        <v>827</v>
      </c>
      <c r="K201" s="57"/>
      <c r="L201" s="75">
        <v>17</v>
      </c>
      <c r="M201" s="60">
        <v>5</v>
      </c>
      <c r="N201" s="76">
        <v>100</v>
      </c>
      <c r="O201" s="42"/>
      <c r="P201" s="58" t="s">
        <v>36</v>
      </c>
      <c r="Q201" s="61"/>
      <c r="R201" s="62"/>
      <c r="S201" s="78">
        <f t="shared" si="9"/>
        <v>500</v>
      </c>
      <c r="T201" s="44" t="str">
        <f t="shared" si="10"/>
        <v>500grams</v>
      </c>
      <c r="U201" s="77">
        <f t="shared" si="11"/>
        <v>85</v>
      </c>
      <c r="V201" s="46"/>
      <c r="W201" s="46"/>
      <c r="X201" s="46"/>
    </row>
    <row r="202" spans="1:24" ht="15.75" customHeight="1" thickBot="1" x14ac:dyDescent="0.35">
      <c r="A202" s="2">
        <v>51</v>
      </c>
      <c r="B202" s="67" t="s">
        <v>105</v>
      </c>
      <c r="C202" s="55"/>
      <c r="D202" s="41"/>
      <c r="E202" s="55"/>
      <c r="F202" s="55"/>
      <c r="G202" s="55"/>
      <c r="H202" s="51"/>
      <c r="I202" s="52"/>
      <c r="J202" s="74" t="s">
        <v>919</v>
      </c>
      <c r="K202" s="57"/>
      <c r="L202" s="75">
        <v>28</v>
      </c>
      <c r="M202" s="60">
        <v>1</v>
      </c>
      <c r="N202" s="76">
        <v>180</v>
      </c>
      <c r="O202" s="42"/>
      <c r="P202" s="58" t="s">
        <v>36</v>
      </c>
      <c r="Q202" s="61"/>
      <c r="R202" s="62"/>
      <c r="S202" s="78">
        <f t="shared" si="9"/>
        <v>180</v>
      </c>
      <c r="T202" s="44" t="str">
        <f t="shared" si="10"/>
        <v>180grams</v>
      </c>
      <c r="U202" s="77">
        <f t="shared" si="11"/>
        <v>28</v>
      </c>
      <c r="V202" s="50"/>
      <c r="W202" s="54"/>
      <c r="X202" s="39"/>
    </row>
    <row r="203" spans="1:24" ht="15.75" customHeight="1" thickBot="1" x14ac:dyDescent="0.35">
      <c r="A203" s="2">
        <v>51</v>
      </c>
      <c r="B203" s="67" t="s">
        <v>105</v>
      </c>
      <c r="C203" s="55"/>
      <c r="D203" s="41"/>
      <c r="E203" s="55"/>
      <c r="F203" s="55"/>
      <c r="G203" s="55"/>
      <c r="H203" s="51"/>
      <c r="I203" s="52"/>
      <c r="J203" s="74" t="s">
        <v>920</v>
      </c>
      <c r="K203" s="57"/>
      <c r="L203" s="75">
        <v>28</v>
      </c>
      <c r="M203" s="60">
        <v>14</v>
      </c>
      <c r="N203" s="76">
        <v>180</v>
      </c>
      <c r="O203" s="42"/>
      <c r="P203" s="58" t="s">
        <v>36</v>
      </c>
      <c r="Q203" s="61"/>
      <c r="R203" s="62"/>
      <c r="S203" s="78">
        <f t="shared" si="9"/>
        <v>2520</v>
      </c>
      <c r="T203" s="44" t="str">
        <f t="shared" si="10"/>
        <v>2520grams</v>
      </c>
      <c r="U203" s="77">
        <f t="shared" si="11"/>
        <v>392</v>
      </c>
      <c r="V203" s="50"/>
      <c r="W203" s="50"/>
      <c r="X203" s="39"/>
    </row>
    <row r="204" spans="1:24" ht="15.75" customHeight="1" thickBot="1" x14ac:dyDescent="0.35">
      <c r="A204" s="2">
        <v>51</v>
      </c>
      <c r="B204" s="67" t="s">
        <v>105</v>
      </c>
      <c r="C204" s="55"/>
      <c r="D204" s="41"/>
      <c r="E204" s="55"/>
      <c r="F204" s="55"/>
      <c r="G204" s="55"/>
      <c r="H204" s="51"/>
      <c r="I204" s="52"/>
      <c r="J204" s="74" t="s">
        <v>920</v>
      </c>
      <c r="K204" s="57"/>
      <c r="L204" s="75">
        <v>31.8</v>
      </c>
      <c r="M204" s="60">
        <v>4</v>
      </c>
      <c r="N204" s="76">
        <v>180</v>
      </c>
      <c r="O204" s="42"/>
      <c r="P204" s="58" t="s">
        <v>36</v>
      </c>
      <c r="Q204" s="61"/>
      <c r="R204" s="62"/>
      <c r="S204" s="78">
        <f t="shared" si="9"/>
        <v>720</v>
      </c>
      <c r="T204" s="44" t="str">
        <f t="shared" si="10"/>
        <v>720grams</v>
      </c>
      <c r="U204" s="77">
        <f t="shared" si="11"/>
        <v>127.2</v>
      </c>
      <c r="V204" s="46"/>
      <c r="W204" s="46"/>
      <c r="X204" s="46"/>
    </row>
    <row r="205" spans="1:24" ht="15.75" customHeight="1" thickBot="1" x14ac:dyDescent="0.35">
      <c r="A205" s="2">
        <v>51</v>
      </c>
      <c r="B205" s="67" t="s">
        <v>105</v>
      </c>
      <c r="C205" s="55"/>
      <c r="D205" s="41"/>
      <c r="E205" s="55"/>
      <c r="F205" s="55"/>
      <c r="G205" s="55"/>
      <c r="H205" s="51"/>
      <c r="I205" s="52"/>
      <c r="J205" s="74" t="s">
        <v>921</v>
      </c>
      <c r="K205" s="57"/>
      <c r="L205" s="75">
        <v>15.8</v>
      </c>
      <c r="M205" s="60">
        <v>2</v>
      </c>
      <c r="N205" s="76">
        <v>100</v>
      </c>
      <c r="O205" s="42"/>
      <c r="P205" s="58" t="s">
        <v>36</v>
      </c>
      <c r="Q205" s="61"/>
      <c r="R205" s="62"/>
      <c r="S205" s="78">
        <f t="shared" si="9"/>
        <v>200</v>
      </c>
      <c r="T205" s="44" t="str">
        <f t="shared" si="10"/>
        <v>200grams</v>
      </c>
      <c r="U205" s="77">
        <f t="shared" si="11"/>
        <v>31.6</v>
      </c>
      <c r="V205" s="46"/>
      <c r="W205" s="46"/>
      <c r="X205" s="46"/>
    </row>
    <row r="206" spans="1:24" ht="15.75" customHeight="1" thickBot="1" x14ac:dyDescent="0.35">
      <c r="A206" s="2">
        <v>51</v>
      </c>
      <c r="B206" s="67" t="s">
        <v>105</v>
      </c>
      <c r="C206" s="55"/>
      <c r="D206" s="41"/>
      <c r="E206" s="55"/>
      <c r="F206" s="55"/>
      <c r="G206" s="55"/>
      <c r="H206" s="51"/>
      <c r="I206" s="52"/>
      <c r="J206" s="74" t="s">
        <v>827</v>
      </c>
      <c r="K206" s="57"/>
      <c r="L206" s="75">
        <v>28</v>
      </c>
      <c r="M206" s="60">
        <v>3</v>
      </c>
      <c r="N206" s="76">
        <v>180</v>
      </c>
      <c r="O206" s="42"/>
      <c r="P206" s="58" t="s">
        <v>36</v>
      </c>
      <c r="Q206" s="61"/>
      <c r="R206" s="62"/>
      <c r="S206" s="78">
        <f t="shared" si="9"/>
        <v>540</v>
      </c>
      <c r="T206" s="44" t="str">
        <f t="shared" si="10"/>
        <v>540grams</v>
      </c>
      <c r="U206" s="77">
        <f t="shared" si="11"/>
        <v>84</v>
      </c>
      <c r="V206" s="46"/>
      <c r="W206" s="46"/>
      <c r="X206" s="46"/>
    </row>
    <row r="207" spans="1:24" ht="15.75" customHeight="1" thickBot="1" x14ac:dyDescent="0.35">
      <c r="A207" s="2">
        <v>51</v>
      </c>
      <c r="B207" s="67" t="s">
        <v>105</v>
      </c>
      <c r="C207" s="55"/>
      <c r="D207" s="41"/>
      <c r="E207" s="55"/>
      <c r="F207" s="55"/>
      <c r="G207" s="55"/>
      <c r="H207" s="51"/>
      <c r="I207" s="52"/>
      <c r="J207" s="74" t="s">
        <v>922</v>
      </c>
      <c r="K207" s="57"/>
      <c r="L207" s="75">
        <v>31.1</v>
      </c>
      <c r="M207" s="60">
        <v>10</v>
      </c>
      <c r="N207" s="76">
        <v>110</v>
      </c>
      <c r="O207" s="42"/>
      <c r="P207" s="58" t="s">
        <v>36</v>
      </c>
      <c r="Q207" s="61"/>
      <c r="R207" s="62"/>
      <c r="S207" s="78">
        <f t="shared" si="9"/>
        <v>1100</v>
      </c>
      <c r="T207" s="44" t="str">
        <f t="shared" si="10"/>
        <v>1100grams</v>
      </c>
      <c r="U207" s="77">
        <f t="shared" si="11"/>
        <v>311</v>
      </c>
      <c r="V207" s="46"/>
      <c r="W207" s="46"/>
      <c r="X207" s="46"/>
    </row>
    <row r="208" spans="1:24" ht="15.75" customHeight="1" thickBot="1" x14ac:dyDescent="0.35">
      <c r="A208" s="2">
        <v>52</v>
      </c>
      <c r="B208" s="67" t="s">
        <v>923</v>
      </c>
      <c r="C208" s="55"/>
      <c r="D208" s="41"/>
      <c r="E208" s="55"/>
      <c r="F208" s="55"/>
      <c r="G208" s="55"/>
      <c r="H208" s="51"/>
      <c r="I208" s="52"/>
      <c r="J208" s="74" t="s">
        <v>924</v>
      </c>
      <c r="K208" s="57"/>
      <c r="L208" s="75">
        <v>118</v>
      </c>
      <c r="M208" s="60">
        <v>1</v>
      </c>
      <c r="N208" s="76">
        <v>250</v>
      </c>
      <c r="O208" s="42"/>
      <c r="P208" s="58" t="s">
        <v>36</v>
      </c>
      <c r="Q208" s="61"/>
      <c r="R208" s="62"/>
      <c r="S208" s="78">
        <f t="shared" si="9"/>
        <v>250</v>
      </c>
      <c r="T208" s="44" t="str">
        <f t="shared" si="10"/>
        <v>250grams</v>
      </c>
      <c r="U208" s="77">
        <f t="shared" si="11"/>
        <v>118</v>
      </c>
      <c r="V208" s="46"/>
      <c r="W208" s="46"/>
      <c r="X208" s="46"/>
    </row>
    <row r="209" spans="1:24" ht="15.75" customHeight="1" thickBot="1" x14ac:dyDescent="0.35">
      <c r="A209" s="2">
        <v>53</v>
      </c>
      <c r="B209" s="67" t="s">
        <v>109</v>
      </c>
      <c r="C209" s="55"/>
      <c r="D209" s="41"/>
      <c r="E209" s="55"/>
      <c r="F209" s="55"/>
      <c r="G209" s="55"/>
      <c r="H209" s="51"/>
      <c r="I209" s="52"/>
      <c r="J209" s="74" t="s">
        <v>925</v>
      </c>
      <c r="K209" s="57"/>
      <c r="L209" s="75">
        <v>219</v>
      </c>
      <c r="M209" s="60">
        <v>0</v>
      </c>
      <c r="N209" s="76">
        <v>165</v>
      </c>
      <c r="O209" s="42"/>
      <c r="P209" s="58" t="s">
        <v>138</v>
      </c>
      <c r="Q209" s="61"/>
      <c r="R209" s="62"/>
      <c r="S209" s="78">
        <f t="shared" si="9"/>
        <v>0</v>
      </c>
      <c r="T209" s="44" t="str">
        <f t="shared" si="10"/>
        <v>0drained weight grams</v>
      </c>
      <c r="U209" s="77">
        <f t="shared" si="11"/>
        <v>0</v>
      </c>
      <c r="V209" s="46"/>
      <c r="W209" s="46"/>
      <c r="X209" s="46"/>
    </row>
    <row r="210" spans="1:24" ht="15.75" customHeight="1" thickBot="1" x14ac:dyDescent="0.35">
      <c r="A210" s="2">
        <v>53</v>
      </c>
      <c r="B210" s="67" t="s">
        <v>109</v>
      </c>
      <c r="C210" s="55"/>
      <c r="D210" s="41"/>
      <c r="E210" s="55"/>
      <c r="F210" s="55"/>
      <c r="G210" s="55"/>
      <c r="H210" s="51"/>
      <c r="I210" s="52"/>
      <c r="J210" s="74" t="s">
        <v>925</v>
      </c>
      <c r="K210" s="57"/>
      <c r="L210" s="75">
        <v>161</v>
      </c>
      <c r="M210" s="60">
        <v>2</v>
      </c>
      <c r="N210" s="76">
        <v>165</v>
      </c>
      <c r="O210" s="42"/>
      <c r="P210" s="58" t="s">
        <v>138</v>
      </c>
      <c r="Q210" s="61"/>
      <c r="R210" s="62"/>
      <c r="S210" s="78">
        <f t="shared" si="9"/>
        <v>330</v>
      </c>
      <c r="T210" s="44" t="str">
        <f t="shared" si="10"/>
        <v>330drained weight grams</v>
      </c>
      <c r="U210" s="77">
        <f t="shared" si="11"/>
        <v>322</v>
      </c>
      <c r="V210" s="50"/>
      <c r="W210" s="54"/>
      <c r="X210" s="39"/>
    </row>
    <row r="211" spans="1:24" ht="15.75" customHeight="1" thickBot="1" x14ac:dyDescent="0.35">
      <c r="A211" s="2">
        <v>53</v>
      </c>
      <c r="B211" s="67" t="s">
        <v>109</v>
      </c>
      <c r="C211" s="55"/>
      <c r="D211" s="41"/>
      <c r="E211" s="55"/>
      <c r="F211" s="55"/>
      <c r="G211" s="55"/>
      <c r="H211" s="51"/>
      <c r="I211" s="52"/>
      <c r="J211" s="74" t="s">
        <v>925</v>
      </c>
      <c r="K211" s="57"/>
      <c r="L211" s="75">
        <v>78</v>
      </c>
      <c r="M211" s="60">
        <v>1</v>
      </c>
      <c r="N211" s="76">
        <v>70</v>
      </c>
      <c r="O211" s="42"/>
      <c r="P211" s="58" t="s">
        <v>36</v>
      </c>
      <c r="Q211" s="61"/>
      <c r="R211" s="62"/>
      <c r="S211" s="78">
        <f t="shared" si="9"/>
        <v>70</v>
      </c>
      <c r="T211" s="44" t="str">
        <f t="shared" si="10"/>
        <v>70grams</v>
      </c>
      <c r="U211" s="77">
        <f t="shared" si="11"/>
        <v>78</v>
      </c>
      <c r="V211" s="50"/>
      <c r="W211" s="54"/>
      <c r="X211" s="39"/>
    </row>
    <row r="212" spans="1:24" ht="15.75" customHeight="1" thickBot="1" x14ac:dyDescent="0.35">
      <c r="A212" s="2">
        <v>54</v>
      </c>
      <c r="B212" s="67" t="s">
        <v>926</v>
      </c>
      <c r="C212" s="55"/>
      <c r="D212" s="41"/>
      <c r="E212" s="55"/>
      <c r="F212" s="55"/>
      <c r="G212" s="55"/>
      <c r="H212" s="51"/>
      <c r="I212" s="52"/>
      <c r="J212" s="74" t="s">
        <v>927</v>
      </c>
      <c r="K212" s="57"/>
      <c r="L212" s="75">
        <v>40.4</v>
      </c>
      <c r="M212" s="60">
        <v>3</v>
      </c>
      <c r="N212" s="76">
        <v>100</v>
      </c>
      <c r="O212" s="42"/>
      <c r="P212" s="58" t="s">
        <v>36</v>
      </c>
      <c r="Q212" s="61"/>
      <c r="R212" s="62"/>
      <c r="S212" s="78">
        <f t="shared" si="9"/>
        <v>300</v>
      </c>
      <c r="T212" s="44" t="str">
        <f t="shared" si="10"/>
        <v>300grams</v>
      </c>
      <c r="U212" s="77">
        <f t="shared" si="11"/>
        <v>121.19999999999999</v>
      </c>
      <c r="V212" s="46"/>
      <c r="W212" s="46"/>
      <c r="X212" s="46"/>
    </row>
    <row r="213" spans="1:24" ht="15.75" customHeight="1" thickBot="1" x14ac:dyDescent="0.35">
      <c r="A213" s="2">
        <v>54</v>
      </c>
      <c r="B213" s="67" t="s">
        <v>926</v>
      </c>
      <c r="C213" s="55"/>
      <c r="D213" s="41"/>
      <c r="E213" s="55"/>
      <c r="F213" s="55"/>
      <c r="G213" s="55"/>
      <c r="H213" s="51"/>
      <c r="I213" s="52"/>
      <c r="J213" s="74"/>
      <c r="K213" s="57"/>
      <c r="L213" s="75">
        <v>650</v>
      </c>
      <c r="M213" s="60">
        <v>3</v>
      </c>
      <c r="N213" s="76">
        <v>1000</v>
      </c>
      <c r="O213" s="42"/>
      <c r="P213" s="58" t="s">
        <v>36</v>
      </c>
      <c r="Q213" s="61"/>
      <c r="R213" s="62"/>
      <c r="S213" s="78">
        <f t="shared" si="9"/>
        <v>3000</v>
      </c>
      <c r="T213" s="44" t="str">
        <f t="shared" si="10"/>
        <v>3000grams</v>
      </c>
      <c r="U213" s="77">
        <f t="shared" si="11"/>
        <v>1950</v>
      </c>
      <c r="V213" s="46"/>
      <c r="W213" s="46"/>
      <c r="X213" s="46"/>
    </row>
    <row r="214" spans="1:24" ht="15.75" customHeight="1" thickBot="1" x14ac:dyDescent="0.35">
      <c r="A214" s="2">
        <v>55</v>
      </c>
      <c r="B214" s="67" t="s">
        <v>928</v>
      </c>
      <c r="C214" s="55"/>
      <c r="D214" s="41"/>
      <c r="E214" s="55"/>
      <c r="F214" s="55"/>
      <c r="G214" s="55"/>
      <c r="H214" s="51"/>
      <c r="I214" s="52"/>
      <c r="J214" s="74" t="s">
        <v>929</v>
      </c>
      <c r="K214" s="57"/>
      <c r="L214" s="75">
        <v>590</v>
      </c>
      <c r="M214" s="60">
        <v>0</v>
      </c>
      <c r="N214" s="76">
        <v>1000</v>
      </c>
      <c r="O214" s="42"/>
      <c r="P214" s="58" t="s">
        <v>36</v>
      </c>
      <c r="Q214" s="61"/>
      <c r="R214" s="62"/>
      <c r="S214" s="78">
        <f t="shared" si="9"/>
        <v>0</v>
      </c>
      <c r="T214" s="44" t="str">
        <f t="shared" si="10"/>
        <v>0grams</v>
      </c>
      <c r="U214" s="77">
        <f t="shared" si="11"/>
        <v>0</v>
      </c>
      <c r="V214" s="46"/>
      <c r="W214" s="46"/>
      <c r="X214" s="46"/>
    </row>
    <row r="215" spans="1:24" ht="15.75" customHeight="1" thickBot="1" x14ac:dyDescent="0.35">
      <c r="A215" s="2">
        <v>55</v>
      </c>
      <c r="B215" s="67" t="s">
        <v>928</v>
      </c>
      <c r="C215" s="55"/>
      <c r="D215" s="41"/>
      <c r="E215" s="55"/>
      <c r="F215" s="55"/>
      <c r="G215" s="55"/>
      <c r="H215" s="51"/>
      <c r="I215" s="52"/>
      <c r="J215" s="74" t="s">
        <v>929</v>
      </c>
      <c r="K215" s="57"/>
      <c r="L215" s="75">
        <v>590</v>
      </c>
      <c r="M215" s="60">
        <v>1</v>
      </c>
      <c r="N215" s="76">
        <v>1000</v>
      </c>
      <c r="O215" s="42"/>
      <c r="P215" s="58" t="s">
        <v>36</v>
      </c>
      <c r="Q215" s="61"/>
      <c r="R215" s="62"/>
      <c r="S215" s="78">
        <f t="shared" si="9"/>
        <v>1000</v>
      </c>
      <c r="T215" s="44" t="str">
        <f t="shared" si="10"/>
        <v>1000grams</v>
      </c>
      <c r="U215" s="77">
        <f t="shared" si="11"/>
        <v>590</v>
      </c>
      <c r="V215" s="46"/>
      <c r="W215" s="46"/>
      <c r="X215" s="46"/>
    </row>
    <row r="216" spans="1:24" ht="15.75" customHeight="1" thickBot="1" x14ac:dyDescent="0.35">
      <c r="A216" s="2">
        <v>55</v>
      </c>
      <c r="B216" s="67" t="s">
        <v>928</v>
      </c>
      <c r="C216" s="55"/>
      <c r="D216" s="41"/>
      <c r="E216" s="55"/>
      <c r="F216" s="55"/>
      <c r="G216" s="55"/>
      <c r="H216" s="51"/>
      <c r="I216" s="52"/>
      <c r="J216" s="74" t="s">
        <v>929</v>
      </c>
      <c r="K216" s="57"/>
      <c r="L216" s="75">
        <v>590</v>
      </c>
      <c r="M216" s="60">
        <v>2</v>
      </c>
      <c r="N216" s="76">
        <v>1000</v>
      </c>
      <c r="O216" s="42"/>
      <c r="P216" s="58" t="s">
        <v>36</v>
      </c>
      <c r="Q216" s="61"/>
      <c r="R216" s="62"/>
      <c r="S216" s="78">
        <f t="shared" si="9"/>
        <v>2000</v>
      </c>
      <c r="T216" s="44" t="str">
        <f t="shared" si="10"/>
        <v>2000grams</v>
      </c>
      <c r="U216" s="77">
        <f t="shared" si="11"/>
        <v>1180</v>
      </c>
      <c r="V216" s="20"/>
      <c r="W216" s="20"/>
      <c r="X216" s="20"/>
    </row>
    <row r="217" spans="1:24" ht="15.75" customHeight="1" thickBot="1" x14ac:dyDescent="0.35">
      <c r="A217" s="2">
        <v>55</v>
      </c>
      <c r="B217" s="67" t="s">
        <v>928</v>
      </c>
      <c r="C217" s="55"/>
      <c r="D217" s="41"/>
      <c r="E217" s="55"/>
      <c r="F217" s="55"/>
      <c r="G217" s="55"/>
      <c r="H217" s="51"/>
      <c r="I217" s="52"/>
      <c r="J217" s="74" t="s">
        <v>924</v>
      </c>
      <c r="K217" s="57"/>
      <c r="L217" s="75">
        <v>250</v>
      </c>
      <c r="M217" s="60">
        <v>6</v>
      </c>
      <c r="N217" s="76">
        <v>250</v>
      </c>
      <c r="O217" s="42"/>
      <c r="P217" s="58" t="s">
        <v>36</v>
      </c>
      <c r="Q217" s="61"/>
      <c r="R217" s="62"/>
      <c r="S217" s="78">
        <f t="shared" si="9"/>
        <v>1500</v>
      </c>
      <c r="T217" s="44" t="str">
        <f t="shared" si="10"/>
        <v>1500grams</v>
      </c>
      <c r="U217" s="77">
        <f t="shared" si="11"/>
        <v>1500</v>
      </c>
      <c r="V217" s="46"/>
      <c r="W217" s="46"/>
      <c r="X217" s="46"/>
    </row>
    <row r="218" spans="1:24" ht="15.75" customHeight="1" thickBot="1" x14ac:dyDescent="0.35">
      <c r="A218" s="2">
        <v>56</v>
      </c>
      <c r="B218" s="67" t="s">
        <v>930</v>
      </c>
      <c r="C218" s="55"/>
      <c r="D218" s="41"/>
      <c r="E218" s="55"/>
      <c r="F218" s="55"/>
      <c r="G218" s="55"/>
      <c r="H218" s="51"/>
      <c r="I218" s="52"/>
      <c r="J218" s="74" t="s">
        <v>931</v>
      </c>
      <c r="K218" s="57"/>
      <c r="L218" s="75">
        <v>350</v>
      </c>
      <c r="M218" s="60">
        <v>1</v>
      </c>
      <c r="N218" s="76">
        <v>500</v>
      </c>
      <c r="O218" s="42"/>
      <c r="P218" s="58" t="s">
        <v>36</v>
      </c>
      <c r="Q218" s="61"/>
      <c r="R218" s="62"/>
      <c r="S218" s="78">
        <f t="shared" si="9"/>
        <v>500</v>
      </c>
      <c r="T218" s="44" t="str">
        <f t="shared" si="10"/>
        <v>500grams</v>
      </c>
      <c r="U218" s="77">
        <f t="shared" si="11"/>
        <v>350</v>
      </c>
      <c r="V218" s="46"/>
      <c r="W218" s="46"/>
      <c r="X218" s="46"/>
    </row>
    <row r="219" spans="1:24" ht="15.75" customHeight="1" thickBot="1" x14ac:dyDescent="0.35">
      <c r="A219" s="2">
        <v>57</v>
      </c>
      <c r="B219" s="68" t="s">
        <v>114</v>
      </c>
      <c r="C219" s="55"/>
      <c r="D219" s="41"/>
      <c r="E219" s="55"/>
      <c r="F219" s="55"/>
      <c r="G219" s="55"/>
      <c r="H219" s="51"/>
      <c r="I219" s="52"/>
      <c r="J219" s="74" t="s">
        <v>115</v>
      </c>
      <c r="K219" s="57"/>
      <c r="L219" s="75">
        <v>127</v>
      </c>
      <c r="M219" s="60">
        <v>8</v>
      </c>
      <c r="N219" s="76">
        <v>1</v>
      </c>
      <c r="O219" s="42"/>
      <c r="P219" s="58" t="s">
        <v>53</v>
      </c>
      <c r="Q219" s="61"/>
      <c r="R219" s="62"/>
      <c r="S219" s="78">
        <f t="shared" si="9"/>
        <v>8</v>
      </c>
      <c r="T219" s="44" t="str">
        <f t="shared" si="10"/>
        <v>8gal</v>
      </c>
      <c r="U219" s="77">
        <f t="shared" si="11"/>
        <v>1016</v>
      </c>
      <c r="V219" s="46"/>
      <c r="W219" s="46"/>
      <c r="X219" s="46"/>
    </row>
    <row r="220" spans="1:24" ht="15.75" customHeight="1" thickBot="1" x14ac:dyDescent="0.35">
      <c r="A220" s="2">
        <v>58</v>
      </c>
      <c r="B220" s="67" t="s">
        <v>932</v>
      </c>
      <c r="C220" s="55"/>
      <c r="D220" s="41"/>
      <c r="E220" s="55"/>
      <c r="F220" s="55"/>
      <c r="G220" s="55"/>
      <c r="H220" s="51"/>
      <c r="I220" s="52"/>
      <c r="J220" s="74" t="s">
        <v>933</v>
      </c>
      <c r="K220" s="57"/>
      <c r="L220" s="75">
        <v>47</v>
      </c>
      <c r="M220" s="60">
        <v>3</v>
      </c>
      <c r="N220" s="76">
        <v>240</v>
      </c>
      <c r="O220" s="42"/>
      <c r="P220" s="58" t="s">
        <v>36</v>
      </c>
      <c r="Q220" s="61"/>
      <c r="R220" s="62"/>
      <c r="S220" s="78">
        <f t="shared" si="9"/>
        <v>720</v>
      </c>
      <c r="T220" s="44" t="str">
        <f t="shared" si="10"/>
        <v>720grams</v>
      </c>
      <c r="U220" s="77">
        <f t="shared" si="11"/>
        <v>141</v>
      </c>
      <c r="V220" s="20"/>
      <c r="W220" s="20"/>
      <c r="X220" s="20"/>
    </row>
    <row r="221" spans="1:24" ht="15.75" customHeight="1" thickBot="1" x14ac:dyDescent="0.35">
      <c r="A221" s="2">
        <v>58</v>
      </c>
      <c r="B221" s="67" t="s">
        <v>932</v>
      </c>
      <c r="C221" s="55"/>
      <c r="D221" s="41"/>
      <c r="E221" s="55"/>
      <c r="F221" s="55"/>
      <c r="G221" s="55"/>
      <c r="H221" s="51"/>
      <c r="I221" s="52"/>
      <c r="J221" s="74" t="s">
        <v>933</v>
      </c>
      <c r="K221" s="57"/>
      <c r="L221" s="75">
        <v>44.21</v>
      </c>
      <c r="M221" s="60">
        <v>5</v>
      </c>
      <c r="N221" s="76">
        <v>240</v>
      </c>
      <c r="O221" s="42"/>
      <c r="P221" s="58" t="s">
        <v>36</v>
      </c>
      <c r="Q221" s="61"/>
      <c r="R221" s="62"/>
      <c r="S221" s="78">
        <f t="shared" si="9"/>
        <v>1200</v>
      </c>
      <c r="T221" s="44" t="str">
        <f t="shared" si="10"/>
        <v>1200grams</v>
      </c>
      <c r="U221" s="77">
        <f t="shared" si="11"/>
        <v>221.05</v>
      </c>
      <c r="V221" s="46"/>
      <c r="W221" s="46"/>
      <c r="X221" s="46"/>
    </row>
    <row r="222" spans="1:24" ht="15.75" customHeight="1" thickBot="1" x14ac:dyDescent="0.35">
      <c r="A222" s="2">
        <v>59</v>
      </c>
      <c r="B222" s="68" t="s">
        <v>934</v>
      </c>
      <c r="C222" s="55"/>
      <c r="D222" s="41"/>
      <c r="E222" s="55"/>
      <c r="F222" s="55"/>
      <c r="G222" s="55"/>
      <c r="H222" s="51"/>
      <c r="I222" s="52"/>
      <c r="J222" s="74" t="s">
        <v>933</v>
      </c>
      <c r="K222" s="57"/>
      <c r="L222" s="75">
        <v>47</v>
      </c>
      <c r="M222" s="60">
        <v>2</v>
      </c>
      <c r="N222" s="76">
        <v>240</v>
      </c>
      <c r="O222" s="42"/>
      <c r="P222" s="58" t="s">
        <v>36</v>
      </c>
      <c r="Q222" s="61"/>
      <c r="R222" s="62"/>
      <c r="S222" s="78">
        <f t="shared" si="9"/>
        <v>480</v>
      </c>
      <c r="T222" s="44" t="str">
        <f t="shared" si="10"/>
        <v>480grams</v>
      </c>
      <c r="U222" s="77">
        <f t="shared" si="11"/>
        <v>94</v>
      </c>
      <c r="V222" s="20"/>
      <c r="W222" s="20"/>
      <c r="X222" s="20"/>
    </row>
    <row r="223" spans="1:24" ht="15.75" customHeight="1" thickBot="1" x14ac:dyDescent="0.35">
      <c r="A223" s="2">
        <v>60</v>
      </c>
      <c r="B223" s="67" t="s">
        <v>935</v>
      </c>
      <c r="C223" s="55"/>
      <c r="D223" s="41"/>
      <c r="E223" s="55"/>
      <c r="F223" s="55"/>
      <c r="G223" s="55"/>
      <c r="H223" s="51"/>
      <c r="I223" s="52"/>
      <c r="J223" s="74" t="s">
        <v>936</v>
      </c>
      <c r="K223" s="57"/>
      <c r="L223" s="75">
        <v>25.44</v>
      </c>
      <c r="M223" s="60">
        <v>39</v>
      </c>
      <c r="N223" s="76">
        <v>500</v>
      </c>
      <c r="O223" s="42"/>
      <c r="P223" s="58" t="s">
        <v>47</v>
      </c>
      <c r="Q223" s="61"/>
      <c r="R223" s="62"/>
      <c r="S223" s="78">
        <f t="shared" si="9"/>
        <v>19500</v>
      </c>
      <c r="T223" s="44" t="str">
        <f t="shared" si="10"/>
        <v>19500ml</v>
      </c>
      <c r="U223" s="77">
        <f t="shared" si="11"/>
        <v>992.16000000000008</v>
      </c>
      <c r="V223" s="46"/>
      <c r="W223" s="46"/>
      <c r="X223" s="46"/>
    </row>
    <row r="224" spans="1:24" ht="15.75" customHeight="1" thickBot="1" x14ac:dyDescent="0.35">
      <c r="A224" s="2">
        <v>60</v>
      </c>
      <c r="B224" s="67" t="s">
        <v>935</v>
      </c>
      <c r="C224" s="55"/>
      <c r="D224" s="41"/>
      <c r="E224" s="55"/>
      <c r="F224" s="55"/>
      <c r="G224" s="55"/>
      <c r="H224" s="51"/>
      <c r="I224" s="52"/>
      <c r="J224" s="74" t="s">
        <v>936</v>
      </c>
      <c r="K224" s="57"/>
      <c r="L224" s="75">
        <v>20.75</v>
      </c>
      <c r="M224" s="60">
        <v>221</v>
      </c>
      <c r="N224" s="76">
        <v>350</v>
      </c>
      <c r="O224" s="42"/>
      <c r="P224" s="58" t="s">
        <v>47</v>
      </c>
      <c r="Q224" s="61"/>
      <c r="R224" s="62"/>
      <c r="S224" s="78">
        <f t="shared" si="9"/>
        <v>77350</v>
      </c>
      <c r="T224" s="44" t="str">
        <f t="shared" si="10"/>
        <v>77350ml</v>
      </c>
      <c r="U224" s="77">
        <f t="shared" si="11"/>
        <v>4585.75</v>
      </c>
      <c r="V224" s="46"/>
      <c r="W224" s="46"/>
      <c r="X224" s="46"/>
    </row>
    <row r="225" spans="1:24" ht="15.75" customHeight="1" thickBot="1" x14ac:dyDescent="0.35">
      <c r="A225" s="2">
        <v>60</v>
      </c>
      <c r="B225" s="67" t="s">
        <v>935</v>
      </c>
      <c r="C225" s="55"/>
      <c r="D225" s="41"/>
      <c r="E225" s="55"/>
      <c r="F225" s="55"/>
      <c r="G225" s="55"/>
      <c r="H225" s="51"/>
      <c r="I225" s="52"/>
      <c r="J225" s="74" t="s">
        <v>936</v>
      </c>
      <c r="K225" s="57"/>
      <c r="L225" s="75">
        <v>25.22</v>
      </c>
      <c r="M225" s="60">
        <v>21</v>
      </c>
      <c r="N225" s="76">
        <v>500</v>
      </c>
      <c r="O225" s="42"/>
      <c r="P225" s="58" t="s">
        <v>47</v>
      </c>
      <c r="Q225" s="61"/>
      <c r="R225" s="62"/>
      <c r="S225" s="78">
        <f t="shared" si="9"/>
        <v>10500</v>
      </c>
      <c r="T225" s="44" t="str">
        <f t="shared" si="10"/>
        <v>10500ml</v>
      </c>
      <c r="U225" s="77">
        <f t="shared" si="11"/>
        <v>529.62</v>
      </c>
      <c r="V225" s="46"/>
      <c r="W225" s="46"/>
      <c r="X225" s="46"/>
    </row>
    <row r="226" spans="1:24" ht="15.75" customHeight="1" thickBot="1" x14ac:dyDescent="0.35">
      <c r="A226" s="2">
        <v>61</v>
      </c>
      <c r="B226" s="67" t="s">
        <v>937</v>
      </c>
      <c r="C226" s="55"/>
      <c r="D226" s="41"/>
      <c r="E226" s="55"/>
      <c r="F226" s="55"/>
      <c r="G226" s="55"/>
      <c r="H226" s="51"/>
      <c r="I226" s="52"/>
      <c r="J226" s="74" t="s">
        <v>938</v>
      </c>
      <c r="K226" s="57"/>
      <c r="L226" s="75">
        <v>4</v>
      </c>
      <c r="M226" s="60">
        <v>183</v>
      </c>
      <c r="N226" s="76">
        <v>1</v>
      </c>
      <c r="O226" s="42"/>
      <c r="P226" s="58" t="s">
        <v>38</v>
      </c>
      <c r="Q226" s="61"/>
      <c r="R226" s="62"/>
      <c r="S226" s="78">
        <f t="shared" si="9"/>
        <v>183</v>
      </c>
      <c r="T226" s="44" t="str">
        <f t="shared" si="10"/>
        <v>183pieces</v>
      </c>
      <c r="U226" s="77">
        <f t="shared" si="11"/>
        <v>732</v>
      </c>
      <c r="V226" s="50"/>
      <c r="W226" s="54"/>
      <c r="X226" s="39"/>
    </row>
    <row r="227" spans="1:24" ht="15.75" customHeight="1" thickBot="1" x14ac:dyDescent="0.35">
      <c r="A227" s="2">
        <v>61</v>
      </c>
      <c r="B227" s="67" t="s">
        <v>937</v>
      </c>
      <c r="C227" s="55"/>
      <c r="D227" s="41"/>
      <c r="E227" s="55"/>
      <c r="F227" s="55"/>
      <c r="G227" s="55"/>
      <c r="H227" s="51"/>
      <c r="I227" s="52"/>
      <c r="J227" s="74" t="s">
        <v>939</v>
      </c>
      <c r="K227" s="57"/>
      <c r="L227" s="75">
        <v>6</v>
      </c>
      <c r="M227" s="60">
        <v>20</v>
      </c>
      <c r="N227" s="76">
        <v>1</v>
      </c>
      <c r="O227" s="42"/>
      <c r="P227" s="58" t="s">
        <v>38</v>
      </c>
      <c r="Q227" s="61"/>
      <c r="R227" s="62"/>
      <c r="S227" s="78">
        <f t="shared" si="9"/>
        <v>20</v>
      </c>
      <c r="T227" s="44" t="str">
        <f t="shared" si="10"/>
        <v>20pieces</v>
      </c>
      <c r="U227" s="77">
        <f t="shared" si="11"/>
        <v>120</v>
      </c>
      <c r="V227" s="50"/>
      <c r="W227" s="20"/>
      <c r="X227" s="20"/>
    </row>
    <row r="228" spans="1:24" ht="15.75" customHeight="1" thickBot="1" x14ac:dyDescent="0.35">
      <c r="A228" s="2">
        <v>61</v>
      </c>
      <c r="B228" s="67" t="s">
        <v>937</v>
      </c>
      <c r="C228" s="55"/>
      <c r="D228" s="41"/>
      <c r="E228" s="55"/>
      <c r="F228" s="55"/>
      <c r="G228" s="55"/>
      <c r="H228" s="51"/>
      <c r="I228" s="52"/>
      <c r="J228" s="74" t="s">
        <v>940</v>
      </c>
      <c r="K228" s="57"/>
      <c r="L228" s="75">
        <v>5</v>
      </c>
      <c r="M228" s="60">
        <v>183</v>
      </c>
      <c r="N228" s="76">
        <v>1</v>
      </c>
      <c r="O228" s="42"/>
      <c r="P228" s="58" t="s">
        <v>38</v>
      </c>
      <c r="Q228" s="61"/>
      <c r="R228" s="62"/>
      <c r="S228" s="78">
        <f t="shared" si="9"/>
        <v>183</v>
      </c>
      <c r="T228" s="44" t="str">
        <f t="shared" si="10"/>
        <v>183pieces</v>
      </c>
      <c r="U228" s="77">
        <f t="shared" si="11"/>
        <v>915</v>
      </c>
      <c r="V228" s="46"/>
      <c r="W228" s="46"/>
      <c r="X228" s="46"/>
    </row>
    <row r="229" spans="1:24" ht="15.75" customHeight="1" thickBot="1" x14ac:dyDescent="0.35">
      <c r="A229" s="2">
        <v>62</v>
      </c>
      <c r="B229" s="67" t="s">
        <v>118</v>
      </c>
      <c r="C229" s="55"/>
      <c r="D229" s="41"/>
      <c r="E229" s="55"/>
      <c r="F229" s="55"/>
      <c r="G229" s="55"/>
      <c r="H229" s="51"/>
      <c r="I229" s="52"/>
      <c r="J229" s="74" t="s">
        <v>921</v>
      </c>
      <c r="K229" s="57"/>
      <c r="L229" s="75">
        <v>145</v>
      </c>
      <c r="M229" s="60">
        <v>2</v>
      </c>
      <c r="N229" s="76">
        <v>1</v>
      </c>
      <c r="O229" s="42"/>
      <c r="P229" s="58" t="s">
        <v>88</v>
      </c>
      <c r="Q229" s="61"/>
      <c r="R229" s="62"/>
      <c r="S229" s="78">
        <f t="shared" si="9"/>
        <v>2</v>
      </c>
      <c r="T229" s="44" t="str">
        <f t="shared" si="10"/>
        <v>2kilos</v>
      </c>
      <c r="U229" s="77">
        <f t="shared" si="11"/>
        <v>290</v>
      </c>
      <c r="V229" s="46"/>
      <c r="W229" s="46"/>
      <c r="X229" s="46"/>
    </row>
    <row r="230" spans="1:24" ht="15.75" customHeight="1" thickBot="1" x14ac:dyDescent="0.35">
      <c r="A230" s="2">
        <v>62</v>
      </c>
      <c r="B230" s="67" t="s">
        <v>118</v>
      </c>
      <c r="C230" s="55"/>
      <c r="D230" s="41"/>
      <c r="E230" s="55"/>
      <c r="F230" s="55"/>
      <c r="G230" s="55"/>
      <c r="H230" s="51"/>
      <c r="I230" s="52"/>
      <c r="J230" s="74" t="s">
        <v>941</v>
      </c>
      <c r="K230" s="57"/>
      <c r="L230" s="75">
        <v>36.700000000000003</v>
      </c>
      <c r="M230" s="60">
        <v>2</v>
      </c>
      <c r="N230" s="76">
        <v>230</v>
      </c>
      <c r="O230" s="42"/>
      <c r="P230" s="58" t="s">
        <v>36</v>
      </c>
      <c r="Q230" s="61"/>
      <c r="R230" s="62"/>
      <c r="S230" s="78">
        <f t="shared" si="9"/>
        <v>460</v>
      </c>
      <c r="T230" s="44" t="str">
        <f t="shared" si="10"/>
        <v>460grams</v>
      </c>
      <c r="U230" s="77">
        <f t="shared" si="11"/>
        <v>73.400000000000006</v>
      </c>
      <c r="V230" s="46"/>
      <c r="W230" s="46"/>
      <c r="X230" s="46"/>
    </row>
    <row r="231" spans="1:24" ht="15.75" customHeight="1" thickBot="1" x14ac:dyDescent="0.35">
      <c r="A231" s="2">
        <v>62</v>
      </c>
      <c r="B231" s="67" t="s">
        <v>118</v>
      </c>
      <c r="C231" s="55"/>
      <c r="D231" s="41"/>
      <c r="E231" s="55"/>
      <c r="F231" s="55"/>
      <c r="G231" s="55"/>
      <c r="H231" s="51"/>
      <c r="I231" s="52"/>
      <c r="J231" s="74" t="s">
        <v>942</v>
      </c>
      <c r="K231" s="57"/>
      <c r="L231" s="75">
        <v>41</v>
      </c>
      <c r="M231" s="60">
        <v>5</v>
      </c>
      <c r="N231" s="76">
        <v>230</v>
      </c>
      <c r="O231" s="42"/>
      <c r="P231" s="58" t="s">
        <v>36</v>
      </c>
      <c r="Q231" s="61"/>
      <c r="R231" s="62"/>
      <c r="S231" s="78">
        <f t="shared" si="9"/>
        <v>1150</v>
      </c>
      <c r="T231" s="44" t="str">
        <f t="shared" si="10"/>
        <v>1150grams</v>
      </c>
      <c r="U231" s="77">
        <f t="shared" si="11"/>
        <v>205</v>
      </c>
      <c r="V231" s="50"/>
      <c r="W231" s="54"/>
      <c r="X231" s="39"/>
    </row>
    <row r="232" spans="1:24" ht="15.75" customHeight="1" thickBot="1" x14ac:dyDescent="0.35">
      <c r="A232" s="2">
        <v>62</v>
      </c>
      <c r="B232" s="67" t="s">
        <v>118</v>
      </c>
      <c r="C232" s="55"/>
      <c r="D232" s="41"/>
      <c r="E232" s="55"/>
      <c r="F232" s="55"/>
      <c r="G232" s="55"/>
      <c r="H232" s="51"/>
      <c r="I232" s="52"/>
      <c r="J232" s="74" t="s">
        <v>942</v>
      </c>
      <c r="K232" s="57"/>
      <c r="L232" s="75">
        <v>36.700000000000003</v>
      </c>
      <c r="M232" s="60">
        <v>5</v>
      </c>
      <c r="N232" s="76">
        <v>230</v>
      </c>
      <c r="O232" s="42"/>
      <c r="P232" s="58" t="s">
        <v>36</v>
      </c>
      <c r="Q232" s="61"/>
      <c r="R232" s="62"/>
      <c r="S232" s="78">
        <f t="shared" si="9"/>
        <v>1150</v>
      </c>
      <c r="T232" s="44" t="str">
        <f t="shared" si="10"/>
        <v>1150grams</v>
      </c>
      <c r="U232" s="77">
        <f t="shared" si="11"/>
        <v>183.5</v>
      </c>
      <c r="V232" s="46"/>
      <c r="W232" s="46"/>
      <c r="X232" s="46"/>
    </row>
    <row r="233" spans="1:24" ht="15.75" customHeight="1" thickBot="1" x14ac:dyDescent="0.35">
      <c r="A233" s="2">
        <v>62</v>
      </c>
      <c r="B233" s="67" t="s">
        <v>118</v>
      </c>
      <c r="C233" s="55"/>
      <c r="D233" s="41"/>
      <c r="E233" s="55"/>
      <c r="F233" s="55"/>
      <c r="G233" s="55"/>
      <c r="H233" s="51"/>
      <c r="I233" s="52"/>
      <c r="J233" s="74" t="s">
        <v>943</v>
      </c>
      <c r="K233" s="57"/>
      <c r="L233" s="75">
        <v>38</v>
      </c>
      <c r="M233" s="60">
        <v>16</v>
      </c>
      <c r="N233" s="76">
        <v>230</v>
      </c>
      <c r="O233" s="42"/>
      <c r="P233" s="58" t="s">
        <v>36</v>
      </c>
      <c r="Q233" s="61"/>
      <c r="R233" s="62"/>
      <c r="S233" s="78">
        <f t="shared" si="9"/>
        <v>3680</v>
      </c>
      <c r="T233" s="44" t="str">
        <f t="shared" si="10"/>
        <v>3680grams</v>
      </c>
      <c r="U233" s="77">
        <f t="shared" si="11"/>
        <v>608</v>
      </c>
      <c r="V233" s="46"/>
      <c r="W233" s="46"/>
      <c r="X233" s="46"/>
    </row>
    <row r="234" spans="1:24" ht="15.75" customHeight="1" thickBot="1" x14ac:dyDescent="0.35">
      <c r="A234" s="2">
        <v>62</v>
      </c>
      <c r="B234" s="67" t="s">
        <v>118</v>
      </c>
      <c r="C234" s="55"/>
      <c r="D234" s="41"/>
      <c r="E234" s="55"/>
      <c r="F234" s="55"/>
      <c r="G234" s="55"/>
      <c r="H234" s="51"/>
      <c r="I234" s="52"/>
      <c r="J234" s="74" t="s">
        <v>943</v>
      </c>
      <c r="K234" s="57"/>
      <c r="L234" s="75">
        <v>152</v>
      </c>
      <c r="M234" s="60">
        <v>1</v>
      </c>
      <c r="N234" s="76">
        <v>1</v>
      </c>
      <c r="O234" s="42"/>
      <c r="P234" s="58" t="s">
        <v>88</v>
      </c>
      <c r="Q234" s="61"/>
      <c r="R234" s="62"/>
      <c r="S234" s="78">
        <f t="shared" si="9"/>
        <v>1</v>
      </c>
      <c r="T234" s="44" t="str">
        <f t="shared" si="10"/>
        <v>1kilos</v>
      </c>
      <c r="U234" s="77">
        <f t="shared" si="11"/>
        <v>152</v>
      </c>
      <c r="V234" s="50"/>
      <c r="W234" s="54"/>
      <c r="X234" s="39"/>
    </row>
    <row r="235" spans="1:24" ht="15.75" customHeight="1" thickBot="1" x14ac:dyDescent="0.35">
      <c r="A235" s="2">
        <v>62</v>
      </c>
      <c r="B235" s="67" t="s">
        <v>118</v>
      </c>
      <c r="C235" s="55"/>
      <c r="D235" s="41"/>
      <c r="E235" s="55"/>
      <c r="F235" s="55"/>
      <c r="G235" s="55"/>
      <c r="H235" s="51"/>
      <c r="I235" s="52"/>
      <c r="J235" s="74" t="s">
        <v>944</v>
      </c>
      <c r="K235" s="57"/>
      <c r="L235" s="75">
        <v>31.66</v>
      </c>
      <c r="M235" s="60">
        <v>7</v>
      </c>
      <c r="N235" s="76">
        <v>230</v>
      </c>
      <c r="O235" s="42"/>
      <c r="P235" s="58" t="s">
        <v>36</v>
      </c>
      <c r="Q235" s="61"/>
      <c r="R235" s="62"/>
      <c r="S235" s="78">
        <f t="shared" si="9"/>
        <v>1610</v>
      </c>
      <c r="T235" s="44" t="str">
        <f t="shared" si="10"/>
        <v>1610grams</v>
      </c>
      <c r="U235" s="77">
        <f t="shared" si="11"/>
        <v>221.62</v>
      </c>
      <c r="V235" s="46"/>
      <c r="W235" s="46"/>
      <c r="X235" s="46"/>
    </row>
    <row r="236" spans="1:24" ht="15.75" customHeight="1" thickBot="1" x14ac:dyDescent="0.35">
      <c r="A236" s="2">
        <v>62</v>
      </c>
      <c r="B236" s="67" t="s">
        <v>118</v>
      </c>
      <c r="C236" s="55"/>
      <c r="D236" s="41"/>
      <c r="E236" s="55"/>
      <c r="F236" s="55"/>
      <c r="G236" s="55"/>
      <c r="H236" s="51"/>
      <c r="I236" s="52"/>
      <c r="J236" s="74" t="s">
        <v>941</v>
      </c>
      <c r="K236" s="57"/>
      <c r="L236" s="75">
        <v>143.19999999999999</v>
      </c>
      <c r="M236" s="60">
        <v>2</v>
      </c>
      <c r="N236" s="76">
        <v>1000</v>
      </c>
      <c r="O236" s="42"/>
      <c r="P236" s="58" t="s">
        <v>36</v>
      </c>
      <c r="Q236" s="61"/>
      <c r="R236" s="62"/>
      <c r="S236" s="78">
        <f t="shared" si="9"/>
        <v>2000</v>
      </c>
      <c r="T236" s="44" t="str">
        <f t="shared" si="10"/>
        <v>2000grams</v>
      </c>
      <c r="U236" s="77">
        <f t="shared" si="11"/>
        <v>286.39999999999998</v>
      </c>
      <c r="V236" s="46"/>
      <c r="W236" s="46"/>
      <c r="X236" s="46"/>
    </row>
    <row r="237" spans="1:24" ht="15.75" customHeight="1" thickBot="1" x14ac:dyDescent="0.35">
      <c r="A237" s="2">
        <v>62</v>
      </c>
      <c r="B237" s="67" t="s">
        <v>118</v>
      </c>
      <c r="C237" s="55"/>
      <c r="D237" s="41"/>
      <c r="E237" s="55"/>
      <c r="F237" s="55"/>
      <c r="G237" s="55"/>
      <c r="H237" s="51"/>
      <c r="I237" s="52"/>
      <c r="J237" s="74" t="s">
        <v>941</v>
      </c>
      <c r="K237" s="57"/>
      <c r="L237" s="75">
        <v>36.700000000000003</v>
      </c>
      <c r="M237" s="60">
        <v>1</v>
      </c>
      <c r="N237" s="76">
        <v>230</v>
      </c>
      <c r="O237" s="42"/>
      <c r="P237" s="58" t="s">
        <v>36</v>
      </c>
      <c r="Q237" s="61"/>
      <c r="R237" s="62"/>
      <c r="S237" s="78">
        <f t="shared" si="9"/>
        <v>230</v>
      </c>
      <c r="T237" s="44" t="str">
        <f t="shared" si="10"/>
        <v>230grams</v>
      </c>
      <c r="U237" s="77">
        <f t="shared" si="11"/>
        <v>36.700000000000003</v>
      </c>
      <c r="V237" s="50"/>
      <c r="W237" s="54"/>
      <c r="X237" s="39"/>
    </row>
    <row r="238" spans="1:24" ht="15.75" customHeight="1" thickBot="1" x14ac:dyDescent="0.35">
      <c r="A238" s="2">
        <v>62</v>
      </c>
      <c r="B238" s="67" t="s">
        <v>118</v>
      </c>
      <c r="C238" s="55"/>
      <c r="D238" s="41"/>
      <c r="E238" s="55"/>
      <c r="F238" s="55"/>
      <c r="G238" s="55"/>
      <c r="H238" s="51"/>
      <c r="I238" s="52"/>
      <c r="J238" s="74" t="s">
        <v>943</v>
      </c>
      <c r="K238" s="57"/>
      <c r="L238" s="75">
        <v>120</v>
      </c>
      <c r="M238" s="60">
        <v>1</v>
      </c>
      <c r="N238" s="76">
        <v>1000</v>
      </c>
      <c r="O238" s="42"/>
      <c r="P238" s="58" t="s">
        <v>36</v>
      </c>
      <c r="Q238" s="61"/>
      <c r="R238" s="62"/>
      <c r="S238" s="78">
        <f t="shared" si="9"/>
        <v>1000</v>
      </c>
      <c r="T238" s="44" t="str">
        <f t="shared" si="10"/>
        <v>1000grams</v>
      </c>
      <c r="U238" s="77">
        <f t="shared" si="11"/>
        <v>120</v>
      </c>
      <c r="V238" s="46"/>
      <c r="W238" s="46"/>
      <c r="X238" s="46"/>
    </row>
    <row r="239" spans="1:24" ht="15.75" customHeight="1" thickBot="1" x14ac:dyDescent="0.35">
      <c r="A239" s="2">
        <v>62</v>
      </c>
      <c r="B239" s="67" t="s">
        <v>118</v>
      </c>
      <c r="C239" s="55"/>
      <c r="D239" s="41"/>
      <c r="E239" s="55"/>
      <c r="F239" s="55"/>
      <c r="G239" s="55"/>
      <c r="H239" s="51"/>
      <c r="I239" s="52"/>
      <c r="J239" s="74" t="s">
        <v>945</v>
      </c>
      <c r="K239" s="57"/>
      <c r="L239" s="75">
        <v>21</v>
      </c>
      <c r="M239" s="60">
        <v>1</v>
      </c>
      <c r="N239" s="76">
        <v>62</v>
      </c>
      <c r="O239" s="42"/>
      <c r="P239" s="58" t="s">
        <v>36</v>
      </c>
      <c r="Q239" s="61"/>
      <c r="R239" s="62"/>
      <c r="S239" s="78">
        <f t="shared" si="9"/>
        <v>62</v>
      </c>
      <c r="T239" s="44" t="str">
        <f t="shared" si="10"/>
        <v>62grams</v>
      </c>
      <c r="U239" s="77">
        <f t="shared" si="11"/>
        <v>21</v>
      </c>
      <c r="V239" s="46"/>
      <c r="W239" s="46"/>
      <c r="X239" s="46"/>
    </row>
    <row r="240" spans="1:24" ht="15.75" customHeight="1" thickBot="1" x14ac:dyDescent="0.35">
      <c r="A240" s="2">
        <v>63</v>
      </c>
      <c r="B240" s="67" t="s">
        <v>946</v>
      </c>
      <c r="C240" s="55"/>
      <c r="D240" s="41"/>
      <c r="E240" s="55"/>
      <c r="F240" s="55"/>
      <c r="G240" s="55"/>
      <c r="H240" s="51"/>
      <c r="I240" s="52"/>
      <c r="J240" s="74" t="s">
        <v>947</v>
      </c>
      <c r="K240" s="57"/>
      <c r="L240" s="75">
        <v>18.14</v>
      </c>
      <c r="M240" s="60">
        <v>0</v>
      </c>
      <c r="N240" s="76">
        <v>62</v>
      </c>
      <c r="O240" s="42"/>
      <c r="P240" s="58" t="s">
        <v>36</v>
      </c>
      <c r="Q240" s="61"/>
      <c r="R240" s="62"/>
      <c r="S240" s="78">
        <f t="shared" si="9"/>
        <v>0</v>
      </c>
      <c r="T240" s="44" t="str">
        <f t="shared" si="10"/>
        <v>0grams</v>
      </c>
      <c r="U240" s="77">
        <f t="shared" si="11"/>
        <v>0</v>
      </c>
      <c r="V240" s="46"/>
      <c r="W240" s="46"/>
      <c r="X240" s="46"/>
    </row>
    <row r="241" spans="1:24" ht="15.75" customHeight="1" thickBot="1" x14ac:dyDescent="0.35">
      <c r="A241" s="2">
        <v>64</v>
      </c>
      <c r="B241" s="67" t="s">
        <v>948</v>
      </c>
      <c r="C241" s="55"/>
      <c r="D241" s="41"/>
      <c r="E241" s="55"/>
      <c r="F241" s="55"/>
      <c r="G241" s="55"/>
      <c r="H241" s="51"/>
      <c r="I241" s="52"/>
      <c r="J241" s="74"/>
      <c r="K241" s="57"/>
      <c r="L241" s="75">
        <v>150</v>
      </c>
      <c r="M241" s="60">
        <v>2</v>
      </c>
      <c r="N241" s="76">
        <v>1</v>
      </c>
      <c r="O241" s="42"/>
      <c r="P241" s="58" t="s">
        <v>88</v>
      </c>
      <c r="Q241" s="61"/>
      <c r="R241" s="62"/>
      <c r="S241" s="78">
        <f t="shared" si="9"/>
        <v>2</v>
      </c>
      <c r="T241" s="44" t="str">
        <f t="shared" si="10"/>
        <v>2kilos</v>
      </c>
      <c r="U241" s="77">
        <f t="shared" si="11"/>
        <v>300</v>
      </c>
      <c r="V241" s="46"/>
      <c r="W241" s="46"/>
      <c r="X241" s="46"/>
    </row>
    <row r="242" spans="1:24" ht="15.75" customHeight="1" thickBot="1" x14ac:dyDescent="0.35">
      <c r="A242" s="2">
        <v>64</v>
      </c>
      <c r="B242" s="67" t="s">
        <v>948</v>
      </c>
      <c r="C242" s="55"/>
      <c r="D242" s="41"/>
      <c r="E242" s="55"/>
      <c r="F242" s="55"/>
      <c r="G242" s="55"/>
      <c r="H242" s="51"/>
      <c r="I242" s="52"/>
      <c r="J242" s="74"/>
      <c r="K242" s="57"/>
      <c r="L242" s="75">
        <v>300</v>
      </c>
      <c r="M242" s="60">
        <v>3</v>
      </c>
      <c r="N242" s="76">
        <v>1</v>
      </c>
      <c r="O242" s="42"/>
      <c r="P242" s="58" t="s">
        <v>88</v>
      </c>
      <c r="Q242" s="61"/>
      <c r="R242" s="62"/>
      <c r="S242" s="78">
        <f t="shared" si="9"/>
        <v>3</v>
      </c>
      <c r="T242" s="44" t="str">
        <f t="shared" si="10"/>
        <v>3kilos</v>
      </c>
      <c r="U242" s="77">
        <f t="shared" si="11"/>
        <v>900</v>
      </c>
      <c r="V242" s="46"/>
      <c r="W242" s="46"/>
      <c r="X242" s="46"/>
    </row>
    <row r="243" spans="1:24" ht="15.75" customHeight="1" thickBot="1" x14ac:dyDescent="0.35">
      <c r="A243" s="2">
        <v>64</v>
      </c>
      <c r="B243" s="67" t="s">
        <v>948</v>
      </c>
      <c r="C243" s="55"/>
      <c r="D243" s="41"/>
      <c r="E243" s="55"/>
      <c r="F243" s="55"/>
      <c r="G243" s="55"/>
      <c r="H243" s="51"/>
      <c r="I243" s="52"/>
      <c r="J243" s="74"/>
      <c r="K243" s="57"/>
      <c r="L243" s="75">
        <v>100</v>
      </c>
      <c r="M243" s="60">
        <v>1</v>
      </c>
      <c r="N243" s="76">
        <v>1</v>
      </c>
      <c r="O243" s="42"/>
      <c r="P243" s="58" t="s">
        <v>88</v>
      </c>
      <c r="Q243" s="61"/>
      <c r="R243" s="62"/>
      <c r="S243" s="78">
        <f t="shared" si="9"/>
        <v>1</v>
      </c>
      <c r="T243" s="44" t="str">
        <f t="shared" si="10"/>
        <v>1kilos</v>
      </c>
      <c r="U243" s="77">
        <f t="shared" si="11"/>
        <v>100</v>
      </c>
      <c r="V243" s="46"/>
      <c r="W243" s="46"/>
      <c r="X243" s="46"/>
    </row>
    <row r="244" spans="1:24" ht="15.75" customHeight="1" thickBot="1" x14ac:dyDescent="0.35">
      <c r="A244" s="2">
        <v>65</v>
      </c>
      <c r="B244" s="67" t="s">
        <v>125</v>
      </c>
      <c r="C244" s="55"/>
      <c r="D244" s="41"/>
      <c r="E244" s="55"/>
      <c r="F244" s="55"/>
      <c r="G244" s="55"/>
      <c r="H244" s="51"/>
      <c r="I244" s="52"/>
      <c r="J244" s="74" t="s">
        <v>949</v>
      </c>
      <c r="K244" s="57"/>
      <c r="L244" s="75">
        <v>68.3</v>
      </c>
      <c r="M244" s="60">
        <v>2</v>
      </c>
      <c r="N244" s="76">
        <v>120</v>
      </c>
      <c r="O244" s="42"/>
      <c r="P244" s="58" t="s">
        <v>36</v>
      </c>
      <c r="Q244" s="61"/>
      <c r="R244" s="62"/>
      <c r="S244" s="78">
        <f t="shared" si="9"/>
        <v>240</v>
      </c>
      <c r="T244" s="44" t="str">
        <f t="shared" si="10"/>
        <v>240grams</v>
      </c>
      <c r="U244" s="77">
        <f t="shared" si="11"/>
        <v>136.6</v>
      </c>
      <c r="V244" s="46"/>
      <c r="W244" s="46"/>
      <c r="X244" s="46"/>
    </row>
    <row r="245" spans="1:24" ht="15.75" customHeight="1" thickBot="1" x14ac:dyDescent="0.35">
      <c r="A245" s="2">
        <v>65</v>
      </c>
      <c r="B245" s="67" t="s">
        <v>125</v>
      </c>
      <c r="C245" s="55"/>
      <c r="D245" s="41"/>
      <c r="E245" s="55"/>
      <c r="F245" s="55"/>
      <c r="G245" s="55"/>
      <c r="H245" s="51"/>
      <c r="I245" s="52"/>
      <c r="J245" s="74" t="s">
        <v>949</v>
      </c>
      <c r="K245" s="57"/>
      <c r="L245" s="75">
        <v>35.200000000000003</v>
      </c>
      <c r="M245" s="60">
        <v>3</v>
      </c>
      <c r="N245" s="76">
        <v>60</v>
      </c>
      <c r="O245" s="42"/>
      <c r="P245" s="58" t="s">
        <v>36</v>
      </c>
      <c r="Q245" s="61"/>
      <c r="R245" s="62"/>
      <c r="S245" s="78">
        <f t="shared" si="9"/>
        <v>180</v>
      </c>
      <c r="T245" s="44" t="str">
        <f t="shared" si="10"/>
        <v>180grams</v>
      </c>
      <c r="U245" s="77">
        <f t="shared" si="11"/>
        <v>105.60000000000001</v>
      </c>
      <c r="V245" s="46"/>
      <c r="W245" s="46"/>
      <c r="X245" s="46"/>
    </row>
    <row r="246" spans="1:24" ht="15.75" customHeight="1" thickBot="1" x14ac:dyDescent="0.35">
      <c r="A246" s="2">
        <v>65</v>
      </c>
      <c r="B246" s="67" t="s">
        <v>125</v>
      </c>
      <c r="C246" s="55"/>
      <c r="D246" s="41"/>
      <c r="E246" s="55"/>
      <c r="F246" s="55"/>
      <c r="G246" s="55"/>
      <c r="H246" s="51"/>
      <c r="I246" s="52"/>
      <c r="J246" s="74" t="s">
        <v>949</v>
      </c>
      <c r="K246" s="57"/>
      <c r="L246" s="75">
        <v>68</v>
      </c>
      <c r="M246" s="60">
        <v>7</v>
      </c>
      <c r="N246" s="76">
        <v>120</v>
      </c>
      <c r="O246" s="42"/>
      <c r="P246" s="58" t="s">
        <v>36</v>
      </c>
      <c r="Q246" s="61"/>
      <c r="R246" s="62"/>
      <c r="S246" s="78">
        <f t="shared" ref="S246:S309" si="12">M246*N246</f>
        <v>840</v>
      </c>
      <c r="T246" s="44" t="str">
        <f t="shared" ref="T246:T309" si="13">CONCATENATE(S246,Q246,P246)</f>
        <v>840grams</v>
      </c>
      <c r="U246" s="77">
        <f t="shared" ref="U246:U309" si="14">L246*M246</f>
        <v>476</v>
      </c>
      <c r="V246" s="50"/>
      <c r="W246" s="54"/>
      <c r="X246" s="39"/>
    </row>
    <row r="247" spans="1:24" ht="15.75" customHeight="1" thickBot="1" x14ac:dyDescent="0.35">
      <c r="A247" s="2">
        <v>65</v>
      </c>
      <c r="B247" s="67" t="s">
        <v>125</v>
      </c>
      <c r="C247" s="55"/>
      <c r="D247" s="41"/>
      <c r="E247" s="55"/>
      <c r="F247" s="55"/>
      <c r="G247" s="55"/>
      <c r="H247" s="51"/>
      <c r="I247" s="52"/>
      <c r="J247" s="74" t="s">
        <v>949</v>
      </c>
      <c r="K247" s="57"/>
      <c r="L247" s="75">
        <v>35.200000000000003</v>
      </c>
      <c r="M247" s="60">
        <v>3</v>
      </c>
      <c r="N247" s="76">
        <v>60</v>
      </c>
      <c r="O247" s="42"/>
      <c r="P247" s="58" t="s">
        <v>36</v>
      </c>
      <c r="Q247" s="61"/>
      <c r="R247" s="62"/>
      <c r="S247" s="78">
        <f t="shared" si="12"/>
        <v>180</v>
      </c>
      <c r="T247" s="44" t="str">
        <f t="shared" si="13"/>
        <v>180grams</v>
      </c>
      <c r="U247" s="77">
        <f t="shared" si="14"/>
        <v>105.60000000000001</v>
      </c>
      <c r="V247" s="46"/>
      <c r="W247" s="46"/>
      <c r="X247" s="46"/>
    </row>
    <row r="248" spans="1:24" ht="15.75" customHeight="1" thickBot="1" x14ac:dyDescent="0.35">
      <c r="A248" s="2">
        <v>65</v>
      </c>
      <c r="B248" s="67" t="s">
        <v>125</v>
      </c>
      <c r="C248" s="55"/>
      <c r="D248" s="41"/>
      <c r="E248" s="55"/>
      <c r="F248" s="55"/>
      <c r="G248" s="55"/>
      <c r="H248" s="51"/>
      <c r="I248" s="52"/>
      <c r="J248" s="74" t="s">
        <v>949</v>
      </c>
      <c r="K248" s="57"/>
      <c r="L248" s="75">
        <v>5.67</v>
      </c>
      <c r="M248" s="60">
        <v>12</v>
      </c>
      <c r="N248" s="76">
        <v>10</v>
      </c>
      <c r="O248" s="42"/>
      <c r="P248" s="58" t="s">
        <v>36</v>
      </c>
      <c r="Q248" s="61"/>
      <c r="R248" s="62"/>
      <c r="S248" s="78">
        <f t="shared" si="12"/>
        <v>120</v>
      </c>
      <c r="T248" s="44" t="str">
        <f t="shared" si="13"/>
        <v>120grams</v>
      </c>
      <c r="U248" s="77">
        <f t="shared" si="14"/>
        <v>68.039999999999992</v>
      </c>
      <c r="V248" s="20"/>
      <c r="W248" s="20"/>
      <c r="X248" s="20"/>
    </row>
    <row r="249" spans="1:24" ht="15.75" customHeight="1" thickBot="1" x14ac:dyDescent="0.35">
      <c r="A249" s="2">
        <v>65</v>
      </c>
      <c r="B249" s="67" t="s">
        <v>125</v>
      </c>
      <c r="C249" s="55"/>
      <c r="D249" s="41"/>
      <c r="E249" s="55"/>
      <c r="F249" s="55"/>
      <c r="G249" s="55"/>
      <c r="H249" s="51"/>
      <c r="I249" s="52"/>
      <c r="J249" s="74" t="s">
        <v>949</v>
      </c>
      <c r="K249" s="57"/>
      <c r="L249" s="75">
        <v>5</v>
      </c>
      <c r="M249" s="60">
        <v>36</v>
      </c>
      <c r="N249" s="76">
        <v>10</v>
      </c>
      <c r="O249" s="42"/>
      <c r="P249" s="58" t="s">
        <v>36</v>
      </c>
      <c r="Q249" s="61"/>
      <c r="R249" s="62"/>
      <c r="S249" s="78">
        <f t="shared" si="12"/>
        <v>360</v>
      </c>
      <c r="T249" s="44" t="str">
        <f t="shared" si="13"/>
        <v>360grams</v>
      </c>
      <c r="U249" s="77">
        <f t="shared" si="14"/>
        <v>180</v>
      </c>
      <c r="V249" s="46"/>
      <c r="W249" s="46"/>
      <c r="X249" s="46"/>
    </row>
    <row r="250" spans="1:24" ht="15.75" customHeight="1" thickBot="1" x14ac:dyDescent="0.35">
      <c r="A250" s="2">
        <v>66</v>
      </c>
      <c r="B250" s="67" t="s">
        <v>129</v>
      </c>
      <c r="C250" s="55"/>
      <c r="D250" s="41"/>
      <c r="E250" s="55"/>
      <c r="F250" s="55"/>
      <c r="G250" s="55"/>
      <c r="H250" s="51"/>
      <c r="I250" s="52"/>
      <c r="J250" s="74" t="s">
        <v>949</v>
      </c>
      <c r="K250" s="57"/>
      <c r="L250" s="75">
        <v>5.86</v>
      </c>
      <c r="M250" s="60">
        <v>7</v>
      </c>
      <c r="N250" s="76">
        <v>10</v>
      </c>
      <c r="O250" s="42"/>
      <c r="P250" s="58" t="s">
        <v>36</v>
      </c>
      <c r="Q250" s="61"/>
      <c r="R250" s="62"/>
      <c r="S250" s="78">
        <f t="shared" si="12"/>
        <v>70</v>
      </c>
      <c r="T250" s="44" t="str">
        <f t="shared" si="13"/>
        <v>70grams</v>
      </c>
      <c r="U250" s="77">
        <f t="shared" si="14"/>
        <v>41.02</v>
      </c>
      <c r="V250" s="50"/>
      <c r="W250" s="54"/>
      <c r="X250" s="39"/>
    </row>
    <row r="251" spans="1:24" ht="15.75" customHeight="1" thickBot="1" x14ac:dyDescent="0.35">
      <c r="A251" s="2">
        <v>66</v>
      </c>
      <c r="B251" s="67" t="s">
        <v>129</v>
      </c>
      <c r="C251" s="55"/>
      <c r="D251" s="41"/>
      <c r="E251" s="55"/>
      <c r="F251" s="55"/>
      <c r="G251" s="55"/>
      <c r="H251" s="51"/>
      <c r="I251" s="52"/>
      <c r="J251" s="74" t="s">
        <v>949</v>
      </c>
      <c r="K251" s="57"/>
      <c r="L251" s="75">
        <v>35.200000000000003</v>
      </c>
      <c r="M251" s="60">
        <v>3</v>
      </c>
      <c r="N251" s="76">
        <v>60</v>
      </c>
      <c r="O251" s="42"/>
      <c r="P251" s="58" t="s">
        <v>36</v>
      </c>
      <c r="Q251" s="61"/>
      <c r="R251" s="62"/>
      <c r="S251" s="78">
        <f t="shared" si="12"/>
        <v>180</v>
      </c>
      <c r="T251" s="44" t="str">
        <f t="shared" si="13"/>
        <v>180grams</v>
      </c>
      <c r="U251" s="77">
        <f t="shared" si="14"/>
        <v>105.60000000000001</v>
      </c>
      <c r="V251" s="46"/>
      <c r="W251" s="46"/>
      <c r="X251" s="46"/>
    </row>
    <row r="252" spans="1:24" ht="15.75" customHeight="1" thickBot="1" x14ac:dyDescent="0.35">
      <c r="A252" s="2">
        <v>66</v>
      </c>
      <c r="B252" s="67" t="s">
        <v>129</v>
      </c>
      <c r="C252" s="55"/>
      <c r="D252" s="41"/>
      <c r="E252" s="55"/>
      <c r="F252" s="55"/>
      <c r="G252" s="55"/>
      <c r="H252" s="51"/>
      <c r="I252" s="52"/>
      <c r="J252" s="74" t="s">
        <v>949</v>
      </c>
      <c r="K252" s="57"/>
      <c r="L252" s="75">
        <v>35.200000000000003</v>
      </c>
      <c r="M252" s="60">
        <v>3</v>
      </c>
      <c r="N252" s="76">
        <v>60</v>
      </c>
      <c r="O252" s="42"/>
      <c r="P252" s="58" t="s">
        <v>36</v>
      </c>
      <c r="Q252" s="61"/>
      <c r="R252" s="62"/>
      <c r="S252" s="78">
        <f t="shared" si="12"/>
        <v>180</v>
      </c>
      <c r="T252" s="44" t="str">
        <f t="shared" si="13"/>
        <v>180grams</v>
      </c>
      <c r="U252" s="77">
        <f t="shared" si="14"/>
        <v>105.60000000000001</v>
      </c>
      <c r="V252" s="46"/>
      <c r="W252" s="46"/>
      <c r="X252" s="46"/>
    </row>
    <row r="253" spans="1:24" ht="15.75" customHeight="1" thickBot="1" x14ac:dyDescent="0.35">
      <c r="A253" s="2">
        <v>66</v>
      </c>
      <c r="B253" s="67" t="s">
        <v>129</v>
      </c>
      <c r="C253" s="55"/>
      <c r="D253" s="41"/>
      <c r="E253" s="55"/>
      <c r="F253" s="55"/>
      <c r="G253" s="55"/>
      <c r="H253" s="51"/>
      <c r="I253" s="52"/>
      <c r="J253" s="74" t="s">
        <v>949</v>
      </c>
      <c r="K253" s="57"/>
      <c r="L253" s="75">
        <v>68</v>
      </c>
      <c r="M253" s="60">
        <v>12</v>
      </c>
      <c r="N253" s="76">
        <v>120</v>
      </c>
      <c r="O253" s="42"/>
      <c r="P253" s="58" t="s">
        <v>36</v>
      </c>
      <c r="Q253" s="61"/>
      <c r="R253" s="62"/>
      <c r="S253" s="78">
        <f t="shared" si="12"/>
        <v>1440</v>
      </c>
      <c r="T253" s="44" t="str">
        <f t="shared" si="13"/>
        <v>1440grams</v>
      </c>
      <c r="U253" s="77">
        <f t="shared" si="14"/>
        <v>816</v>
      </c>
      <c r="V253" s="50"/>
      <c r="W253" s="54"/>
      <c r="X253" s="39"/>
    </row>
    <row r="254" spans="1:24" ht="15.75" customHeight="1" thickBot="1" x14ac:dyDescent="0.35">
      <c r="A254" s="2">
        <v>66</v>
      </c>
      <c r="B254" s="67" t="s">
        <v>129</v>
      </c>
      <c r="C254" s="55"/>
      <c r="D254" s="41"/>
      <c r="E254" s="55"/>
      <c r="F254" s="55"/>
      <c r="G254" s="55"/>
      <c r="H254" s="51"/>
      <c r="I254" s="52"/>
      <c r="J254" s="74" t="s">
        <v>949</v>
      </c>
      <c r="K254" s="57"/>
      <c r="L254" s="75">
        <v>5.78</v>
      </c>
      <c r="M254" s="60">
        <v>12</v>
      </c>
      <c r="N254" s="76">
        <v>30</v>
      </c>
      <c r="O254" s="42"/>
      <c r="P254" s="58" t="s">
        <v>36</v>
      </c>
      <c r="Q254" s="61"/>
      <c r="R254" s="62"/>
      <c r="S254" s="78">
        <f t="shared" si="12"/>
        <v>360</v>
      </c>
      <c r="T254" s="44" t="str">
        <f t="shared" si="13"/>
        <v>360grams</v>
      </c>
      <c r="U254" s="77">
        <f t="shared" si="14"/>
        <v>69.36</v>
      </c>
      <c r="V254" s="46"/>
      <c r="W254" s="46"/>
      <c r="X254" s="46"/>
    </row>
    <row r="255" spans="1:24" ht="15.75" customHeight="1" thickBot="1" x14ac:dyDescent="0.35">
      <c r="A255" s="2">
        <v>67</v>
      </c>
      <c r="B255" s="67" t="s">
        <v>131</v>
      </c>
      <c r="C255" s="55"/>
      <c r="D255" s="41"/>
      <c r="E255" s="55"/>
      <c r="F255" s="55"/>
      <c r="G255" s="55"/>
      <c r="H255" s="51"/>
      <c r="I255" s="52"/>
      <c r="J255" s="74" t="s">
        <v>949</v>
      </c>
      <c r="K255" s="57"/>
      <c r="L255" s="75">
        <v>5.86</v>
      </c>
      <c r="M255" s="60">
        <v>8</v>
      </c>
      <c r="N255" s="76">
        <v>60</v>
      </c>
      <c r="O255" s="42"/>
      <c r="P255" s="58" t="s">
        <v>36</v>
      </c>
      <c r="Q255" s="61"/>
      <c r="R255" s="62"/>
      <c r="S255" s="78">
        <f t="shared" si="12"/>
        <v>480</v>
      </c>
      <c r="T255" s="44" t="str">
        <f t="shared" si="13"/>
        <v>480grams</v>
      </c>
      <c r="U255" s="77">
        <f t="shared" si="14"/>
        <v>46.88</v>
      </c>
      <c r="V255" s="46"/>
      <c r="W255" s="46"/>
      <c r="X255" s="46"/>
    </row>
    <row r="256" spans="1:24" ht="15.75" customHeight="1" thickBot="1" x14ac:dyDescent="0.35">
      <c r="A256" s="2">
        <v>67</v>
      </c>
      <c r="B256" s="67" t="s">
        <v>131</v>
      </c>
      <c r="C256" s="55"/>
      <c r="D256" s="41"/>
      <c r="E256" s="55"/>
      <c r="F256" s="55"/>
      <c r="G256" s="55"/>
      <c r="H256" s="51"/>
      <c r="I256" s="52"/>
      <c r="J256" s="74" t="s">
        <v>949</v>
      </c>
      <c r="K256" s="57"/>
      <c r="L256" s="75">
        <v>35.200000000000003</v>
      </c>
      <c r="M256" s="60">
        <v>3</v>
      </c>
      <c r="N256" s="76">
        <v>60</v>
      </c>
      <c r="O256" s="42"/>
      <c r="P256" s="58" t="s">
        <v>36</v>
      </c>
      <c r="Q256" s="61"/>
      <c r="R256" s="62"/>
      <c r="S256" s="78">
        <f t="shared" si="12"/>
        <v>180</v>
      </c>
      <c r="T256" s="44" t="str">
        <f t="shared" si="13"/>
        <v>180grams</v>
      </c>
      <c r="U256" s="77">
        <f t="shared" si="14"/>
        <v>105.60000000000001</v>
      </c>
      <c r="V256" s="46"/>
      <c r="W256" s="46"/>
      <c r="X256" s="46"/>
    </row>
    <row r="257" spans="1:24" ht="15.75" customHeight="1" thickBot="1" x14ac:dyDescent="0.35">
      <c r="A257" s="2">
        <v>67</v>
      </c>
      <c r="B257" s="67" t="s">
        <v>131</v>
      </c>
      <c r="C257" s="55"/>
      <c r="D257" s="41"/>
      <c r="E257" s="55"/>
      <c r="F257" s="55"/>
      <c r="G257" s="55"/>
      <c r="H257" s="51"/>
      <c r="I257" s="52"/>
      <c r="J257" s="74" t="s">
        <v>949</v>
      </c>
      <c r="K257" s="57"/>
      <c r="L257" s="75">
        <v>35.200000000000003</v>
      </c>
      <c r="M257" s="60">
        <v>3</v>
      </c>
      <c r="N257" s="76">
        <v>60</v>
      </c>
      <c r="O257" s="42"/>
      <c r="P257" s="58" t="s">
        <v>36</v>
      </c>
      <c r="Q257" s="61"/>
      <c r="R257" s="62"/>
      <c r="S257" s="78">
        <f t="shared" si="12"/>
        <v>180</v>
      </c>
      <c r="T257" s="44" t="str">
        <f t="shared" si="13"/>
        <v>180grams</v>
      </c>
      <c r="U257" s="77">
        <f t="shared" si="14"/>
        <v>105.60000000000001</v>
      </c>
      <c r="V257" s="46"/>
      <c r="W257" s="46"/>
      <c r="X257" s="46"/>
    </row>
    <row r="258" spans="1:24" ht="15.75" customHeight="1" thickBot="1" x14ac:dyDescent="0.35">
      <c r="A258" s="2">
        <v>67</v>
      </c>
      <c r="B258" s="67" t="s">
        <v>131</v>
      </c>
      <c r="C258" s="55"/>
      <c r="D258" s="41"/>
      <c r="E258" s="55"/>
      <c r="F258" s="55"/>
      <c r="G258" s="55"/>
      <c r="H258" s="51"/>
      <c r="I258" s="52"/>
      <c r="J258" s="74" t="s">
        <v>949</v>
      </c>
      <c r="K258" s="57"/>
      <c r="L258" s="75">
        <v>5.66</v>
      </c>
      <c r="M258" s="60">
        <v>7</v>
      </c>
      <c r="N258" s="76">
        <v>10</v>
      </c>
      <c r="O258" s="42"/>
      <c r="P258" s="58" t="s">
        <v>36</v>
      </c>
      <c r="Q258" s="61"/>
      <c r="R258" s="62"/>
      <c r="S258" s="78">
        <f t="shared" si="12"/>
        <v>70</v>
      </c>
      <c r="T258" s="44" t="str">
        <f t="shared" si="13"/>
        <v>70grams</v>
      </c>
      <c r="U258" s="77">
        <f t="shared" si="14"/>
        <v>39.620000000000005</v>
      </c>
      <c r="V258" s="46"/>
      <c r="W258" s="46"/>
      <c r="X258" s="46"/>
    </row>
    <row r="259" spans="1:24" ht="15.75" customHeight="1" thickBot="1" x14ac:dyDescent="0.35">
      <c r="A259" s="2">
        <v>67</v>
      </c>
      <c r="B259" s="67" t="s">
        <v>131</v>
      </c>
      <c r="C259" s="55"/>
      <c r="D259" s="41"/>
      <c r="E259" s="55"/>
      <c r="F259" s="55"/>
      <c r="G259" s="55"/>
      <c r="H259" s="51"/>
      <c r="I259" s="52"/>
      <c r="J259" s="74" t="s">
        <v>949</v>
      </c>
      <c r="K259" s="57"/>
      <c r="L259" s="75">
        <v>5</v>
      </c>
      <c r="M259" s="60">
        <v>44</v>
      </c>
      <c r="N259" s="76">
        <v>10</v>
      </c>
      <c r="O259" s="42"/>
      <c r="P259" s="58" t="s">
        <v>36</v>
      </c>
      <c r="Q259" s="61"/>
      <c r="R259" s="62"/>
      <c r="S259" s="78">
        <f t="shared" si="12"/>
        <v>440</v>
      </c>
      <c r="T259" s="44" t="str">
        <f t="shared" si="13"/>
        <v>440grams</v>
      </c>
      <c r="U259" s="77">
        <f t="shared" si="14"/>
        <v>220</v>
      </c>
      <c r="V259" s="46"/>
      <c r="W259" s="46"/>
      <c r="X259" s="46"/>
    </row>
    <row r="260" spans="1:24" ht="15.75" customHeight="1" thickBot="1" x14ac:dyDescent="0.35">
      <c r="A260" s="2">
        <v>67</v>
      </c>
      <c r="B260" s="67" t="s">
        <v>131</v>
      </c>
      <c r="C260" s="55"/>
      <c r="D260" s="41"/>
      <c r="E260" s="55"/>
      <c r="F260" s="55"/>
      <c r="G260" s="55"/>
      <c r="H260" s="51"/>
      <c r="I260" s="52"/>
      <c r="J260" s="74" t="s">
        <v>949</v>
      </c>
      <c r="K260" s="57"/>
      <c r="L260" s="75">
        <v>68.3</v>
      </c>
      <c r="M260" s="60">
        <v>2</v>
      </c>
      <c r="N260" s="76">
        <v>120</v>
      </c>
      <c r="O260" s="42"/>
      <c r="P260" s="58" t="s">
        <v>36</v>
      </c>
      <c r="Q260" s="61"/>
      <c r="R260" s="62"/>
      <c r="S260" s="78">
        <f t="shared" si="12"/>
        <v>240</v>
      </c>
      <c r="T260" s="44" t="str">
        <f t="shared" si="13"/>
        <v>240grams</v>
      </c>
      <c r="U260" s="77">
        <f t="shared" si="14"/>
        <v>136.6</v>
      </c>
      <c r="V260" s="46"/>
      <c r="W260" s="46"/>
      <c r="X260" s="46"/>
    </row>
    <row r="261" spans="1:24" ht="15.75" customHeight="1" thickBot="1" x14ac:dyDescent="0.35">
      <c r="A261" s="2">
        <v>68</v>
      </c>
      <c r="B261" s="68" t="s">
        <v>950</v>
      </c>
      <c r="C261" s="55"/>
      <c r="D261" s="41"/>
      <c r="E261" s="55"/>
      <c r="F261" s="55"/>
      <c r="G261" s="55"/>
      <c r="H261" s="51"/>
      <c r="I261" s="52"/>
      <c r="J261" s="74" t="s">
        <v>951</v>
      </c>
      <c r="K261" s="57"/>
      <c r="L261" s="75">
        <v>0.35</v>
      </c>
      <c r="M261" s="60">
        <v>150</v>
      </c>
      <c r="N261" s="76">
        <v>1</v>
      </c>
      <c r="O261" s="42"/>
      <c r="P261" s="58" t="s">
        <v>952</v>
      </c>
      <c r="Q261" s="61"/>
      <c r="R261" s="62"/>
      <c r="S261" s="78">
        <f t="shared" si="12"/>
        <v>150</v>
      </c>
      <c r="T261" s="44" t="str">
        <f t="shared" si="13"/>
        <v>150ream</v>
      </c>
      <c r="U261" s="77">
        <f t="shared" si="14"/>
        <v>52.5</v>
      </c>
      <c r="V261" s="46"/>
      <c r="W261" s="46"/>
      <c r="X261" s="46"/>
    </row>
    <row r="262" spans="1:24" ht="15.75" customHeight="1" thickBot="1" x14ac:dyDescent="0.35">
      <c r="A262" s="2">
        <v>68</v>
      </c>
      <c r="B262" s="67" t="s">
        <v>950</v>
      </c>
      <c r="C262" s="55"/>
      <c r="D262" s="41"/>
      <c r="E262" s="55"/>
      <c r="F262" s="55"/>
      <c r="G262" s="55"/>
      <c r="H262" s="51"/>
      <c r="I262" s="52"/>
      <c r="J262" s="74" t="s">
        <v>953</v>
      </c>
      <c r="K262" s="57"/>
      <c r="L262" s="75">
        <v>25</v>
      </c>
      <c r="M262" s="60">
        <v>3</v>
      </c>
      <c r="N262" s="76">
        <v>1</v>
      </c>
      <c r="O262" s="42"/>
      <c r="P262" s="58" t="s">
        <v>952</v>
      </c>
      <c r="Q262" s="61"/>
      <c r="R262" s="62"/>
      <c r="S262" s="78">
        <f t="shared" si="12"/>
        <v>3</v>
      </c>
      <c r="T262" s="44" t="str">
        <f t="shared" si="13"/>
        <v>3ream</v>
      </c>
      <c r="U262" s="77">
        <f t="shared" si="14"/>
        <v>75</v>
      </c>
      <c r="V262" s="50"/>
      <c r="W262" s="54"/>
      <c r="X262" s="39"/>
    </row>
    <row r="263" spans="1:24" ht="15.75" customHeight="1" thickBot="1" x14ac:dyDescent="0.35">
      <c r="A263" s="2">
        <v>69</v>
      </c>
      <c r="B263" s="67" t="s">
        <v>954</v>
      </c>
      <c r="C263" s="55"/>
      <c r="D263" s="41"/>
      <c r="E263" s="55"/>
      <c r="F263" s="55"/>
      <c r="G263" s="55"/>
      <c r="H263" s="51"/>
      <c r="I263" s="52"/>
      <c r="J263" s="74"/>
      <c r="K263" s="57"/>
      <c r="L263" s="75">
        <v>47</v>
      </c>
      <c r="M263" s="60">
        <v>15</v>
      </c>
      <c r="N263" s="76">
        <v>1</v>
      </c>
      <c r="O263" s="42"/>
      <c r="P263" s="58" t="s">
        <v>952</v>
      </c>
      <c r="Q263" s="61"/>
      <c r="R263" s="62"/>
      <c r="S263" s="78">
        <f t="shared" si="12"/>
        <v>15</v>
      </c>
      <c r="T263" s="44" t="str">
        <f t="shared" si="13"/>
        <v>15ream</v>
      </c>
      <c r="U263" s="77">
        <f t="shared" si="14"/>
        <v>705</v>
      </c>
      <c r="V263" s="46"/>
      <c r="W263" s="46"/>
      <c r="X263" s="46"/>
    </row>
    <row r="264" spans="1:24" ht="15.75" customHeight="1" thickBot="1" x14ac:dyDescent="0.35">
      <c r="A264" s="2">
        <v>69</v>
      </c>
      <c r="B264" s="67" t="s">
        <v>954</v>
      </c>
      <c r="C264" s="55"/>
      <c r="D264" s="41"/>
      <c r="E264" s="55"/>
      <c r="F264" s="55"/>
      <c r="G264" s="55"/>
      <c r="H264" s="51"/>
      <c r="I264" s="52"/>
      <c r="J264" s="74"/>
      <c r="K264" s="57"/>
      <c r="L264" s="75">
        <v>0.6</v>
      </c>
      <c r="M264" s="60">
        <v>50</v>
      </c>
      <c r="N264" s="76">
        <v>1</v>
      </c>
      <c r="O264" s="42"/>
      <c r="P264" s="58" t="s">
        <v>952</v>
      </c>
      <c r="Q264" s="61"/>
      <c r="R264" s="62"/>
      <c r="S264" s="78">
        <f t="shared" si="12"/>
        <v>50</v>
      </c>
      <c r="T264" s="44" t="str">
        <f t="shared" si="13"/>
        <v>50ream</v>
      </c>
      <c r="U264" s="77">
        <f t="shared" si="14"/>
        <v>30</v>
      </c>
      <c r="V264" s="46"/>
      <c r="W264" s="46"/>
      <c r="X264" s="46"/>
    </row>
    <row r="265" spans="1:24" ht="15.75" customHeight="1" thickBot="1" x14ac:dyDescent="0.35">
      <c r="A265" s="2">
        <v>70</v>
      </c>
      <c r="B265" s="68" t="s">
        <v>955</v>
      </c>
      <c r="C265" s="55"/>
      <c r="D265" s="41"/>
      <c r="E265" s="55"/>
      <c r="F265" s="55"/>
      <c r="G265" s="55"/>
      <c r="H265" s="51"/>
      <c r="I265" s="52"/>
      <c r="J265" s="74" t="s">
        <v>951</v>
      </c>
      <c r="K265" s="57"/>
      <c r="L265" s="75">
        <v>1.2</v>
      </c>
      <c r="M265" s="60">
        <v>66</v>
      </c>
      <c r="N265" s="76">
        <v>1</v>
      </c>
      <c r="O265" s="42"/>
      <c r="P265" s="58" t="s">
        <v>952</v>
      </c>
      <c r="Q265" s="61"/>
      <c r="R265" s="62"/>
      <c r="S265" s="78">
        <f t="shared" si="12"/>
        <v>66</v>
      </c>
      <c r="T265" s="44" t="str">
        <f t="shared" si="13"/>
        <v>66ream</v>
      </c>
      <c r="U265" s="77">
        <f t="shared" si="14"/>
        <v>79.2</v>
      </c>
      <c r="V265" s="46"/>
      <c r="W265" s="46"/>
      <c r="X265" s="46"/>
    </row>
    <row r="266" spans="1:24" ht="15.75" customHeight="1" thickBot="1" x14ac:dyDescent="0.35">
      <c r="A266" s="2">
        <v>71</v>
      </c>
      <c r="B266" s="68" t="s">
        <v>956</v>
      </c>
      <c r="C266" s="55"/>
      <c r="D266" s="41"/>
      <c r="E266" s="55"/>
      <c r="F266" s="55"/>
      <c r="G266" s="55"/>
      <c r="H266" s="51"/>
      <c r="I266" s="52"/>
      <c r="J266" s="74" t="s">
        <v>951</v>
      </c>
      <c r="K266" s="57"/>
      <c r="L266" s="75">
        <v>0.4</v>
      </c>
      <c r="M266" s="60">
        <v>165</v>
      </c>
      <c r="N266" s="76">
        <v>1</v>
      </c>
      <c r="O266" s="42"/>
      <c r="P266" s="58" t="s">
        <v>952</v>
      </c>
      <c r="Q266" s="61"/>
      <c r="R266" s="62"/>
      <c r="S266" s="78">
        <f t="shared" si="12"/>
        <v>165</v>
      </c>
      <c r="T266" s="44" t="str">
        <f t="shared" si="13"/>
        <v>165ream</v>
      </c>
      <c r="U266" s="77">
        <f t="shared" si="14"/>
        <v>66</v>
      </c>
      <c r="V266" s="46"/>
      <c r="W266" s="46"/>
      <c r="X266" s="46"/>
    </row>
    <row r="267" spans="1:24" ht="15.75" customHeight="1" thickBot="1" x14ac:dyDescent="0.35">
      <c r="A267" s="2">
        <v>72</v>
      </c>
      <c r="B267" s="67" t="s">
        <v>957</v>
      </c>
      <c r="C267" s="55"/>
      <c r="D267" s="41"/>
      <c r="E267" s="55"/>
      <c r="F267" s="55"/>
      <c r="G267" s="55"/>
      <c r="H267" s="51"/>
      <c r="I267" s="52"/>
      <c r="J267" s="74" t="s">
        <v>951</v>
      </c>
      <c r="K267" s="57"/>
      <c r="L267" s="75">
        <v>55</v>
      </c>
      <c r="M267" s="60">
        <v>5</v>
      </c>
      <c r="N267" s="76">
        <v>1</v>
      </c>
      <c r="O267" s="42"/>
      <c r="P267" s="58" t="s">
        <v>952</v>
      </c>
      <c r="Q267" s="61"/>
      <c r="R267" s="62"/>
      <c r="S267" s="78">
        <f t="shared" si="12"/>
        <v>5</v>
      </c>
      <c r="T267" s="44" t="str">
        <f t="shared" si="13"/>
        <v>5ream</v>
      </c>
      <c r="U267" s="77">
        <f t="shared" si="14"/>
        <v>275</v>
      </c>
      <c r="V267" s="46"/>
      <c r="W267" s="46"/>
      <c r="X267" s="46"/>
    </row>
    <row r="268" spans="1:24" ht="15.75" customHeight="1" thickBot="1" x14ac:dyDescent="0.35">
      <c r="A268" s="2">
        <v>73</v>
      </c>
      <c r="B268" s="67" t="s">
        <v>958</v>
      </c>
      <c r="C268" s="55"/>
      <c r="D268" s="41"/>
      <c r="E268" s="55"/>
      <c r="F268" s="55"/>
      <c r="G268" s="55"/>
      <c r="H268" s="51"/>
      <c r="I268" s="52"/>
      <c r="J268" s="74" t="s">
        <v>951</v>
      </c>
      <c r="K268" s="57"/>
      <c r="L268" s="75">
        <v>0.5</v>
      </c>
      <c r="M268" s="60">
        <v>100</v>
      </c>
      <c r="N268" s="76">
        <v>1</v>
      </c>
      <c r="O268" s="42"/>
      <c r="P268" s="58" t="s">
        <v>952</v>
      </c>
      <c r="Q268" s="61"/>
      <c r="R268" s="62"/>
      <c r="S268" s="78">
        <f t="shared" si="12"/>
        <v>100</v>
      </c>
      <c r="T268" s="44" t="str">
        <f t="shared" si="13"/>
        <v>100ream</v>
      </c>
      <c r="U268" s="77">
        <f t="shared" si="14"/>
        <v>50</v>
      </c>
      <c r="V268" s="46"/>
      <c r="W268" s="46"/>
      <c r="X268" s="46"/>
    </row>
    <row r="269" spans="1:24" ht="15.75" customHeight="1" thickBot="1" x14ac:dyDescent="0.35">
      <c r="A269" s="2">
        <v>73</v>
      </c>
      <c r="B269" s="67" t="s">
        <v>958</v>
      </c>
      <c r="C269" s="55"/>
      <c r="D269" s="41"/>
      <c r="E269" s="55"/>
      <c r="F269" s="55"/>
      <c r="G269" s="55"/>
      <c r="H269" s="51"/>
      <c r="I269" s="52"/>
      <c r="J269" s="74" t="s">
        <v>953</v>
      </c>
      <c r="K269" s="57"/>
      <c r="L269" s="75">
        <v>44.6</v>
      </c>
      <c r="M269" s="60">
        <v>6</v>
      </c>
      <c r="N269" s="76">
        <v>1</v>
      </c>
      <c r="O269" s="42"/>
      <c r="P269" s="58" t="s">
        <v>952</v>
      </c>
      <c r="Q269" s="61"/>
      <c r="R269" s="62"/>
      <c r="S269" s="78">
        <f t="shared" si="12"/>
        <v>6</v>
      </c>
      <c r="T269" s="44" t="str">
        <f t="shared" si="13"/>
        <v>6ream</v>
      </c>
      <c r="U269" s="77">
        <f t="shared" si="14"/>
        <v>267.60000000000002</v>
      </c>
      <c r="V269" s="46"/>
      <c r="W269" s="46"/>
      <c r="X269" s="46"/>
    </row>
    <row r="270" spans="1:24" ht="15.75" customHeight="1" thickBot="1" x14ac:dyDescent="0.35">
      <c r="A270" s="2">
        <v>74</v>
      </c>
      <c r="B270" s="67" t="s">
        <v>959</v>
      </c>
      <c r="C270" s="55"/>
      <c r="D270" s="41"/>
      <c r="E270" s="55"/>
      <c r="F270" s="55"/>
      <c r="G270" s="55"/>
      <c r="H270" s="51"/>
      <c r="I270" s="52"/>
      <c r="J270" s="74" t="s">
        <v>951</v>
      </c>
      <c r="K270" s="57"/>
      <c r="L270" s="75">
        <v>75</v>
      </c>
      <c r="M270" s="60">
        <v>3</v>
      </c>
      <c r="N270" s="76">
        <v>1</v>
      </c>
      <c r="O270" s="42"/>
      <c r="P270" s="58" t="s">
        <v>952</v>
      </c>
      <c r="Q270" s="61"/>
      <c r="R270" s="62"/>
      <c r="S270" s="78">
        <f t="shared" si="12"/>
        <v>3</v>
      </c>
      <c r="T270" s="44" t="str">
        <f t="shared" si="13"/>
        <v>3ream</v>
      </c>
      <c r="U270" s="77">
        <f t="shared" si="14"/>
        <v>225</v>
      </c>
      <c r="V270" s="46"/>
      <c r="W270" s="46"/>
      <c r="X270" s="46"/>
    </row>
    <row r="271" spans="1:24" ht="15.75" customHeight="1" thickBot="1" x14ac:dyDescent="0.35">
      <c r="A271" s="2">
        <v>75</v>
      </c>
      <c r="B271" s="67" t="s">
        <v>960</v>
      </c>
      <c r="C271" s="55"/>
      <c r="D271" s="41"/>
      <c r="E271" s="55"/>
      <c r="F271" s="55"/>
      <c r="G271" s="55"/>
      <c r="H271" s="51"/>
      <c r="I271" s="52"/>
      <c r="J271" s="74" t="s">
        <v>961</v>
      </c>
      <c r="K271" s="57"/>
      <c r="L271" s="75">
        <v>115</v>
      </c>
      <c r="M271" s="60">
        <v>1</v>
      </c>
      <c r="N271" s="76">
        <v>1</v>
      </c>
      <c r="O271" s="42"/>
      <c r="P271" s="58" t="s">
        <v>88</v>
      </c>
      <c r="Q271" s="61"/>
      <c r="R271" s="62"/>
      <c r="S271" s="78">
        <f t="shared" si="12"/>
        <v>1</v>
      </c>
      <c r="T271" s="44" t="str">
        <f t="shared" si="13"/>
        <v>1kilos</v>
      </c>
      <c r="U271" s="77">
        <f t="shared" si="14"/>
        <v>115</v>
      </c>
      <c r="V271" s="46"/>
      <c r="W271" s="46"/>
      <c r="X271" s="46"/>
    </row>
    <row r="272" spans="1:24" ht="15.75" customHeight="1" thickBot="1" x14ac:dyDescent="0.35">
      <c r="A272" s="2">
        <v>75</v>
      </c>
      <c r="B272" s="68" t="s">
        <v>960</v>
      </c>
      <c r="C272" s="55"/>
      <c r="D272" s="41"/>
      <c r="E272" s="55"/>
      <c r="F272" s="55"/>
      <c r="G272" s="55"/>
      <c r="H272" s="51"/>
      <c r="I272" s="52"/>
      <c r="J272" s="74" t="s">
        <v>962</v>
      </c>
      <c r="K272" s="57"/>
      <c r="L272" s="75">
        <v>160</v>
      </c>
      <c r="M272" s="60">
        <v>2</v>
      </c>
      <c r="N272" s="76">
        <v>2</v>
      </c>
      <c r="O272" s="42"/>
      <c r="P272" s="58" t="s">
        <v>88</v>
      </c>
      <c r="Q272" s="61"/>
      <c r="R272" s="62"/>
      <c r="S272" s="78">
        <f t="shared" si="12"/>
        <v>4</v>
      </c>
      <c r="T272" s="44" t="str">
        <f t="shared" si="13"/>
        <v>4kilos</v>
      </c>
      <c r="U272" s="77">
        <f t="shared" si="14"/>
        <v>320</v>
      </c>
      <c r="V272" s="50"/>
      <c r="W272" s="54"/>
      <c r="X272" s="39"/>
    </row>
    <row r="273" spans="1:24" ht="15.75" customHeight="1" thickBot="1" x14ac:dyDescent="0.35">
      <c r="A273" s="2">
        <v>75</v>
      </c>
      <c r="B273" s="68" t="s">
        <v>960</v>
      </c>
      <c r="C273" s="55"/>
      <c r="D273" s="41"/>
      <c r="E273" s="55"/>
      <c r="F273" s="55"/>
      <c r="G273" s="55"/>
      <c r="H273" s="51"/>
      <c r="I273" s="52"/>
      <c r="J273" s="74" t="s">
        <v>866</v>
      </c>
      <c r="K273" s="57"/>
      <c r="L273" s="75">
        <v>126</v>
      </c>
      <c r="M273" s="60">
        <v>1</v>
      </c>
      <c r="N273" s="76">
        <v>800</v>
      </c>
      <c r="O273" s="42"/>
      <c r="P273" s="58" t="s">
        <v>36</v>
      </c>
      <c r="Q273" s="61"/>
      <c r="R273" s="62"/>
      <c r="S273" s="78">
        <f t="shared" si="12"/>
        <v>800</v>
      </c>
      <c r="T273" s="44" t="str">
        <f t="shared" si="13"/>
        <v>800grams</v>
      </c>
      <c r="U273" s="77">
        <f t="shared" si="14"/>
        <v>126</v>
      </c>
      <c r="V273" s="50"/>
      <c r="W273" s="54"/>
      <c r="X273" s="39"/>
    </row>
    <row r="274" spans="1:24" ht="15.75" customHeight="1" thickBot="1" x14ac:dyDescent="0.35">
      <c r="A274" s="2">
        <v>76</v>
      </c>
      <c r="B274" s="67" t="s">
        <v>963</v>
      </c>
      <c r="C274" s="55"/>
      <c r="D274" s="41"/>
      <c r="E274" s="55"/>
      <c r="F274" s="55"/>
      <c r="G274" s="55"/>
      <c r="H274" s="51"/>
      <c r="I274" s="52"/>
      <c r="J274" s="74"/>
      <c r="K274" s="57"/>
      <c r="L274" s="75">
        <v>46</v>
      </c>
      <c r="M274" s="60">
        <v>1</v>
      </c>
      <c r="N274" s="76">
        <v>1</v>
      </c>
      <c r="O274" s="42"/>
      <c r="P274" s="58" t="s">
        <v>38</v>
      </c>
      <c r="Q274" s="61"/>
      <c r="R274" s="62"/>
      <c r="S274" s="78">
        <f t="shared" si="12"/>
        <v>1</v>
      </c>
      <c r="T274" s="44" t="str">
        <f t="shared" si="13"/>
        <v>1pieces</v>
      </c>
      <c r="U274" s="77">
        <f t="shared" si="14"/>
        <v>46</v>
      </c>
      <c r="V274" s="46"/>
      <c r="W274" s="46"/>
      <c r="X274" s="46"/>
    </row>
    <row r="275" spans="1:24" ht="15.75" customHeight="1" thickBot="1" x14ac:dyDescent="0.35">
      <c r="A275" s="2">
        <v>77</v>
      </c>
      <c r="B275" s="67" t="s">
        <v>964</v>
      </c>
      <c r="C275" s="55"/>
      <c r="D275" s="41"/>
      <c r="E275" s="55"/>
      <c r="F275" s="55"/>
      <c r="G275" s="55"/>
      <c r="H275" s="51"/>
      <c r="I275" s="52"/>
      <c r="J275" s="74"/>
      <c r="K275" s="57"/>
      <c r="L275" s="75">
        <v>260</v>
      </c>
      <c r="M275" s="60">
        <v>1</v>
      </c>
      <c r="N275" s="76">
        <v>1</v>
      </c>
      <c r="O275" s="42"/>
      <c r="P275" s="58" t="s">
        <v>88</v>
      </c>
      <c r="Q275" s="61"/>
      <c r="R275" s="62"/>
      <c r="S275" s="78">
        <f t="shared" si="12"/>
        <v>1</v>
      </c>
      <c r="T275" s="44" t="str">
        <f t="shared" si="13"/>
        <v>1kilos</v>
      </c>
      <c r="U275" s="77">
        <f t="shared" si="14"/>
        <v>260</v>
      </c>
      <c r="V275" s="46"/>
      <c r="W275" s="46"/>
      <c r="X275" s="46"/>
    </row>
    <row r="276" spans="1:24" ht="15.75" customHeight="1" thickBot="1" x14ac:dyDescent="0.35">
      <c r="A276" s="2">
        <v>78</v>
      </c>
      <c r="B276" s="67" t="s">
        <v>965</v>
      </c>
      <c r="C276" s="55"/>
      <c r="D276" s="41"/>
      <c r="E276" s="55"/>
      <c r="F276" s="55"/>
      <c r="G276" s="55"/>
      <c r="H276" s="51"/>
      <c r="I276" s="52"/>
      <c r="J276" s="74" t="s">
        <v>966</v>
      </c>
      <c r="K276" s="57"/>
      <c r="L276" s="75">
        <v>5</v>
      </c>
      <c r="M276" s="60">
        <v>120</v>
      </c>
      <c r="N276" s="76">
        <v>1</v>
      </c>
      <c r="O276" s="42"/>
      <c r="P276" s="58" t="s">
        <v>38</v>
      </c>
      <c r="Q276" s="61"/>
      <c r="R276" s="62"/>
      <c r="S276" s="78">
        <f t="shared" si="12"/>
        <v>120</v>
      </c>
      <c r="T276" s="44" t="str">
        <f t="shared" si="13"/>
        <v>120pieces</v>
      </c>
      <c r="U276" s="77">
        <f t="shared" si="14"/>
        <v>600</v>
      </c>
      <c r="V276" s="46"/>
      <c r="W276" s="46"/>
      <c r="X276" s="46"/>
    </row>
    <row r="277" spans="1:24" ht="15.75" customHeight="1" thickBot="1" x14ac:dyDescent="0.35">
      <c r="A277" s="2">
        <v>79</v>
      </c>
      <c r="B277" s="68" t="s">
        <v>967</v>
      </c>
      <c r="C277" s="55"/>
      <c r="D277" s="41"/>
      <c r="E277" s="55"/>
      <c r="F277" s="55"/>
      <c r="G277" s="55"/>
      <c r="H277" s="51"/>
      <c r="I277" s="52"/>
      <c r="J277" s="74" t="s">
        <v>968</v>
      </c>
      <c r="K277" s="57"/>
      <c r="L277" s="75">
        <v>195</v>
      </c>
      <c r="M277" s="60">
        <v>2</v>
      </c>
      <c r="N277" s="76">
        <v>912</v>
      </c>
      <c r="O277" s="42"/>
      <c r="P277" s="58" t="s">
        <v>36</v>
      </c>
      <c r="Q277" s="61"/>
      <c r="R277" s="62"/>
      <c r="S277" s="78">
        <f t="shared" si="12"/>
        <v>1824</v>
      </c>
      <c r="T277" s="44" t="str">
        <f t="shared" si="13"/>
        <v>1824grams</v>
      </c>
      <c r="U277" s="77">
        <f t="shared" si="14"/>
        <v>390</v>
      </c>
      <c r="V277" s="46"/>
      <c r="W277" s="46"/>
      <c r="X277" s="46"/>
    </row>
    <row r="278" spans="1:24" ht="15.75" customHeight="1" thickBot="1" x14ac:dyDescent="0.35">
      <c r="A278" s="2">
        <v>79</v>
      </c>
      <c r="B278" s="67" t="s">
        <v>967</v>
      </c>
      <c r="C278" s="55"/>
      <c r="D278" s="41"/>
      <c r="E278" s="55"/>
      <c r="F278" s="55"/>
      <c r="G278" s="55"/>
      <c r="H278" s="51"/>
      <c r="I278" s="52"/>
      <c r="J278" s="74" t="s">
        <v>968</v>
      </c>
      <c r="K278" s="57"/>
      <c r="L278" s="75">
        <v>268.5</v>
      </c>
      <c r="M278" s="60">
        <v>2</v>
      </c>
      <c r="N278" s="76">
        <v>912</v>
      </c>
      <c r="O278" s="42"/>
      <c r="P278" s="58" t="s">
        <v>36</v>
      </c>
      <c r="Q278" s="61"/>
      <c r="R278" s="62"/>
      <c r="S278" s="78">
        <f t="shared" si="12"/>
        <v>1824</v>
      </c>
      <c r="T278" s="44" t="str">
        <f t="shared" si="13"/>
        <v>1824grams</v>
      </c>
      <c r="U278" s="77">
        <f t="shared" si="14"/>
        <v>537</v>
      </c>
      <c r="V278" s="46"/>
      <c r="W278" s="46"/>
      <c r="X278" s="46"/>
    </row>
    <row r="279" spans="1:24" ht="15.75" customHeight="1" thickBot="1" x14ac:dyDescent="0.35">
      <c r="A279" s="2">
        <v>79</v>
      </c>
      <c r="B279" s="68" t="s">
        <v>967</v>
      </c>
      <c r="C279" s="55"/>
      <c r="D279" s="41"/>
      <c r="E279" s="55"/>
      <c r="F279" s="55"/>
      <c r="G279" s="55"/>
      <c r="H279" s="51"/>
      <c r="I279" s="52"/>
      <c r="J279" s="74" t="s">
        <v>968</v>
      </c>
      <c r="K279" s="57"/>
      <c r="L279" s="75">
        <v>58</v>
      </c>
      <c r="M279" s="60">
        <v>5</v>
      </c>
      <c r="N279" s="76">
        <v>228</v>
      </c>
      <c r="O279" s="42"/>
      <c r="P279" s="58" t="s">
        <v>36</v>
      </c>
      <c r="Q279" s="61"/>
      <c r="R279" s="62"/>
      <c r="S279" s="78">
        <f t="shared" si="12"/>
        <v>1140</v>
      </c>
      <c r="T279" s="44" t="str">
        <f t="shared" si="13"/>
        <v>1140grams</v>
      </c>
      <c r="U279" s="77">
        <f t="shared" si="14"/>
        <v>290</v>
      </c>
      <c r="V279" s="46"/>
      <c r="W279" s="46"/>
      <c r="X279" s="46"/>
    </row>
    <row r="280" spans="1:24" ht="15.75" customHeight="1" thickBot="1" x14ac:dyDescent="0.35">
      <c r="A280" s="2">
        <v>80</v>
      </c>
      <c r="B280" s="68" t="s">
        <v>969</v>
      </c>
      <c r="C280" s="55"/>
      <c r="D280" s="41"/>
      <c r="E280" s="55"/>
      <c r="F280" s="55"/>
      <c r="G280" s="55"/>
      <c r="H280" s="51"/>
      <c r="I280" s="52"/>
      <c r="J280" s="74" t="s">
        <v>970</v>
      </c>
      <c r="K280" s="57"/>
      <c r="L280" s="75">
        <v>54</v>
      </c>
      <c r="M280" s="60">
        <v>4</v>
      </c>
      <c r="N280" s="76">
        <v>200</v>
      </c>
      <c r="O280" s="42"/>
      <c r="P280" s="58" t="s">
        <v>36</v>
      </c>
      <c r="Q280" s="61"/>
      <c r="R280" s="62"/>
      <c r="S280" s="78">
        <f t="shared" si="12"/>
        <v>800</v>
      </c>
      <c r="T280" s="44" t="str">
        <f t="shared" si="13"/>
        <v>800grams</v>
      </c>
      <c r="U280" s="77">
        <f t="shared" si="14"/>
        <v>216</v>
      </c>
      <c r="V280" s="20"/>
      <c r="W280" s="20"/>
      <c r="X280" s="20"/>
    </row>
    <row r="281" spans="1:24" ht="15.75" customHeight="1" thickBot="1" x14ac:dyDescent="0.35">
      <c r="A281" s="2">
        <v>80</v>
      </c>
      <c r="B281" s="67" t="s">
        <v>969</v>
      </c>
      <c r="C281" s="55"/>
      <c r="D281" s="41"/>
      <c r="E281" s="55"/>
      <c r="F281" s="55"/>
      <c r="G281" s="55"/>
      <c r="H281" s="51"/>
      <c r="I281" s="52"/>
      <c r="J281" s="74" t="s">
        <v>971</v>
      </c>
      <c r="K281" s="57"/>
      <c r="L281" s="75">
        <v>52</v>
      </c>
      <c r="M281" s="60">
        <v>4</v>
      </c>
      <c r="N281" s="76">
        <v>200</v>
      </c>
      <c r="O281" s="42"/>
      <c r="P281" s="58" t="s">
        <v>36</v>
      </c>
      <c r="Q281" s="61"/>
      <c r="R281" s="62"/>
      <c r="S281" s="78">
        <f t="shared" si="12"/>
        <v>800</v>
      </c>
      <c r="T281" s="44" t="str">
        <f t="shared" si="13"/>
        <v>800grams</v>
      </c>
      <c r="U281" s="77">
        <f t="shared" si="14"/>
        <v>208</v>
      </c>
      <c r="V281" s="46"/>
      <c r="W281" s="46"/>
      <c r="X281" s="46"/>
    </row>
    <row r="282" spans="1:24" ht="15.75" customHeight="1" thickBot="1" x14ac:dyDescent="0.35">
      <c r="A282" s="2">
        <v>81</v>
      </c>
      <c r="B282" s="67" t="s">
        <v>972</v>
      </c>
      <c r="C282" s="55"/>
      <c r="D282" s="41"/>
      <c r="E282" s="55"/>
      <c r="F282" s="55"/>
      <c r="G282" s="55"/>
      <c r="H282" s="51"/>
      <c r="I282" s="52"/>
      <c r="J282" s="74" t="s">
        <v>973</v>
      </c>
      <c r="K282" s="57"/>
      <c r="L282" s="75">
        <v>62.5</v>
      </c>
      <c r="M282" s="60">
        <v>1</v>
      </c>
      <c r="N282" s="76">
        <v>400</v>
      </c>
      <c r="O282" s="42"/>
      <c r="P282" s="58" t="s">
        <v>36</v>
      </c>
      <c r="Q282" s="61"/>
      <c r="R282" s="62"/>
      <c r="S282" s="78">
        <f t="shared" si="12"/>
        <v>400</v>
      </c>
      <c r="T282" s="44" t="str">
        <f t="shared" si="13"/>
        <v>400grams</v>
      </c>
      <c r="U282" s="77">
        <f t="shared" si="14"/>
        <v>62.5</v>
      </c>
      <c r="V282" s="50"/>
      <c r="W282" s="54"/>
      <c r="X282" s="39"/>
    </row>
    <row r="283" spans="1:24" ht="15.75" customHeight="1" thickBot="1" x14ac:dyDescent="0.35">
      <c r="A283" s="2">
        <v>82</v>
      </c>
      <c r="B283" s="67" t="s">
        <v>136</v>
      </c>
      <c r="C283" s="55"/>
      <c r="D283" s="41"/>
      <c r="E283" s="55"/>
      <c r="F283" s="55"/>
      <c r="G283" s="55"/>
      <c r="H283" s="51"/>
      <c r="I283" s="52"/>
      <c r="J283" s="74" t="s">
        <v>827</v>
      </c>
      <c r="K283" s="57"/>
      <c r="L283" s="75">
        <v>56.9</v>
      </c>
      <c r="M283" s="60">
        <v>6</v>
      </c>
      <c r="N283" s="76">
        <v>156</v>
      </c>
      <c r="O283" s="42"/>
      <c r="P283" s="58" t="s">
        <v>138</v>
      </c>
      <c r="Q283" s="61"/>
      <c r="R283" s="62"/>
      <c r="S283" s="78">
        <f t="shared" si="12"/>
        <v>936</v>
      </c>
      <c r="T283" s="44" t="str">
        <f t="shared" si="13"/>
        <v>936drained weight grams</v>
      </c>
      <c r="U283" s="77">
        <f t="shared" si="14"/>
        <v>341.4</v>
      </c>
      <c r="V283" s="46"/>
      <c r="W283" s="46"/>
      <c r="X283" s="46"/>
    </row>
    <row r="284" spans="1:24" ht="15.75" customHeight="1" thickBot="1" x14ac:dyDescent="0.35">
      <c r="A284" s="2">
        <v>82</v>
      </c>
      <c r="B284" s="67" t="s">
        <v>136</v>
      </c>
      <c r="C284" s="55"/>
      <c r="D284" s="41"/>
      <c r="E284" s="55"/>
      <c r="F284" s="55"/>
      <c r="G284" s="55"/>
      <c r="H284" s="51"/>
      <c r="I284" s="52"/>
      <c r="J284" s="74" t="s">
        <v>944</v>
      </c>
      <c r="K284" s="57"/>
      <c r="L284" s="75">
        <v>50</v>
      </c>
      <c r="M284" s="60">
        <v>8</v>
      </c>
      <c r="N284" s="76">
        <v>180</v>
      </c>
      <c r="O284" s="42"/>
      <c r="P284" s="58" t="s">
        <v>138</v>
      </c>
      <c r="Q284" s="61"/>
      <c r="R284" s="62"/>
      <c r="S284" s="78">
        <f t="shared" si="12"/>
        <v>1440</v>
      </c>
      <c r="T284" s="44" t="str">
        <f t="shared" si="13"/>
        <v>1440drained weight grams</v>
      </c>
      <c r="U284" s="77">
        <f t="shared" si="14"/>
        <v>400</v>
      </c>
      <c r="V284" s="50"/>
      <c r="W284" s="54"/>
      <c r="X284" s="39"/>
    </row>
    <row r="285" spans="1:24" ht="15.75" customHeight="1" thickBot="1" x14ac:dyDescent="0.35">
      <c r="A285" s="2">
        <v>82</v>
      </c>
      <c r="B285" s="67" t="s">
        <v>136</v>
      </c>
      <c r="C285" s="55"/>
      <c r="D285" s="41"/>
      <c r="E285" s="55"/>
      <c r="F285" s="55"/>
      <c r="G285" s="55"/>
      <c r="H285" s="51"/>
      <c r="I285" s="52"/>
      <c r="J285" s="74" t="s">
        <v>944</v>
      </c>
      <c r="K285" s="57"/>
      <c r="L285" s="75">
        <v>50</v>
      </c>
      <c r="M285" s="60">
        <v>22</v>
      </c>
      <c r="N285" s="76">
        <v>180</v>
      </c>
      <c r="O285" s="42"/>
      <c r="P285" s="58" t="s">
        <v>36</v>
      </c>
      <c r="Q285" s="61"/>
      <c r="R285" s="62"/>
      <c r="S285" s="78">
        <f t="shared" si="12"/>
        <v>3960</v>
      </c>
      <c r="T285" s="44" t="str">
        <f t="shared" si="13"/>
        <v>3960grams</v>
      </c>
      <c r="U285" s="77">
        <f t="shared" si="14"/>
        <v>1100</v>
      </c>
      <c r="V285" s="46"/>
      <c r="W285" s="46"/>
      <c r="X285" s="46"/>
    </row>
    <row r="286" spans="1:24" ht="15.75" customHeight="1" thickBot="1" x14ac:dyDescent="0.35">
      <c r="A286" s="2">
        <v>82</v>
      </c>
      <c r="B286" s="68" t="s">
        <v>136</v>
      </c>
      <c r="C286" s="55"/>
      <c r="D286" s="41"/>
      <c r="E286" s="55"/>
      <c r="F286" s="55"/>
      <c r="G286" s="55"/>
      <c r="H286" s="51"/>
      <c r="I286" s="52"/>
      <c r="J286" s="74" t="s">
        <v>944</v>
      </c>
      <c r="K286" s="57"/>
      <c r="L286" s="75">
        <v>50</v>
      </c>
      <c r="M286" s="60">
        <v>7</v>
      </c>
      <c r="N286" s="76">
        <v>180</v>
      </c>
      <c r="O286" s="42"/>
      <c r="P286" s="58" t="s">
        <v>36</v>
      </c>
      <c r="Q286" s="61"/>
      <c r="R286" s="62"/>
      <c r="S286" s="78">
        <f t="shared" si="12"/>
        <v>1260</v>
      </c>
      <c r="T286" s="44" t="str">
        <f t="shared" si="13"/>
        <v>1260grams</v>
      </c>
      <c r="U286" s="77">
        <f t="shared" si="14"/>
        <v>350</v>
      </c>
      <c r="V286" s="46"/>
      <c r="W286" s="46"/>
      <c r="X286" s="46"/>
    </row>
    <row r="287" spans="1:24" ht="15.75" customHeight="1" thickBot="1" x14ac:dyDescent="0.35">
      <c r="A287" s="2">
        <v>83</v>
      </c>
      <c r="B287" s="67" t="s">
        <v>141</v>
      </c>
      <c r="C287" s="55"/>
      <c r="D287" s="41"/>
      <c r="E287" s="55"/>
      <c r="F287" s="55"/>
      <c r="G287" s="55"/>
      <c r="H287" s="51"/>
      <c r="I287" s="52"/>
      <c r="J287" s="74"/>
      <c r="K287" s="57"/>
      <c r="L287" s="75">
        <v>75</v>
      </c>
      <c r="M287" s="60">
        <v>4</v>
      </c>
      <c r="N287" s="76">
        <v>1</v>
      </c>
      <c r="O287" s="42"/>
      <c r="P287" s="58" t="s">
        <v>88</v>
      </c>
      <c r="Q287" s="61"/>
      <c r="R287" s="62"/>
      <c r="S287" s="78">
        <f t="shared" si="12"/>
        <v>4</v>
      </c>
      <c r="T287" s="44" t="str">
        <f t="shared" si="13"/>
        <v>4kilos</v>
      </c>
      <c r="U287" s="77">
        <f t="shared" si="14"/>
        <v>300</v>
      </c>
      <c r="V287" s="46"/>
      <c r="W287" s="46"/>
      <c r="X287" s="46"/>
    </row>
    <row r="288" spans="1:24" ht="15.75" customHeight="1" thickBot="1" x14ac:dyDescent="0.35">
      <c r="A288" s="2">
        <v>83</v>
      </c>
      <c r="B288" s="67" t="s">
        <v>141</v>
      </c>
      <c r="C288" s="55"/>
      <c r="D288" s="41"/>
      <c r="E288" s="55"/>
      <c r="F288" s="55"/>
      <c r="G288" s="55"/>
      <c r="H288" s="51"/>
      <c r="I288" s="52"/>
      <c r="J288" s="74"/>
      <c r="K288" s="57"/>
      <c r="L288" s="75">
        <v>80</v>
      </c>
      <c r="M288" s="60">
        <v>5</v>
      </c>
      <c r="N288" s="76">
        <v>1</v>
      </c>
      <c r="O288" s="42"/>
      <c r="P288" s="58" t="s">
        <v>88</v>
      </c>
      <c r="Q288" s="61"/>
      <c r="R288" s="62"/>
      <c r="S288" s="78">
        <f t="shared" si="12"/>
        <v>5</v>
      </c>
      <c r="T288" s="44" t="str">
        <f t="shared" si="13"/>
        <v>5kilos</v>
      </c>
      <c r="U288" s="77">
        <f t="shared" si="14"/>
        <v>400</v>
      </c>
      <c r="V288" s="46"/>
      <c r="W288" s="46"/>
      <c r="X288" s="46"/>
    </row>
    <row r="289" spans="1:24" ht="15.75" customHeight="1" thickBot="1" x14ac:dyDescent="0.35">
      <c r="A289" s="2">
        <v>83</v>
      </c>
      <c r="B289" s="67" t="s">
        <v>141</v>
      </c>
      <c r="C289" s="55"/>
      <c r="D289" s="41"/>
      <c r="E289" s="55"/>
      <c r="F289" s="55"/>
      <c r="G289" s="55"/>
      <c r="H289" s="51"/>
      <c r="I289" s="52"/>
      <c r="J289" s="74"/>
      <c r="K289" s="57"/>
      <c r="L289" s="75">
        <v>75</v>
      </c>
      <c r="M289" s="60">
        <v>1</v>
      </c>
      <c r="N289" s="76">
        <v>1</v>
      </c>
      <c r="O289" s="42"/>
      <c r="P289" s="58" t="s">
        <v>88</v>
      </c>
      <c r="Q289" s="61"/>
      <c r="R289" s="62"/>
      <c r="S289" s="78">
        <f t="shared" si="12"/>
        <v>1</v>
      </c>
      <c r="T289" s="44" t="str">
        <f t="shared" si="13"/>
        <v>1kilos</v>
      </c>
      <c r="U289" s="77">
        <f t="shared" si="14"/>
        <v>75</v>
      </c>
      <c r="V289" s="50"/>
      <c r="W289" s="54"/>
      <c r="X289" s="39"/>
    </row>
    <row r="290" spans="1:24" ht="15.75" customHeight="1" thickBot="1" x14ac:dyDescent="0.35">
      <c r="A290" s="2">
        <v>83</v>
      </c>
      <c r="B290" s="67" t="s">
        <v>141</v>
      </c>
      <c r="C290" s="55"/>
      <c r="D290" s="41"/>
      <c r="E290" s="55"/>
      <c r="F290" s="55"/>
      <c r="G290" s="55"/>
      <c r="H290" s="51"/>
      <c r="I290" s="52"/>
      <c r="J290" s="74"/>
      <c r="K290" s="57"/>
      <c r="L290" s="75">
        <v>62</v>
      </c>
      <c r="M290" s="60">
        <v>2</v>
      </c>
      <c r="N290" s="76">
        <v>1</v>
      </c>
      <c r="O290" s="42"/>
      <c r="P290" s="58" t="s">
        <v>88</v>
      </c>
      <c r="Q290" s="61"/>
      <c r="R290" s="62"/>
      <c r="S290" s="78">
        <f t="shared" si="12"/>
        <v>2</v>
      </c>
      <c r="T290" s="44" t="str">
        <f t="shared" si="13"/>
        <v>2kilos</v>
      </c>
      <c r="U290" s="77">
        <f t="shared" si="14"/>
        <v>124</v>
      </c>
      <c r="V290" s="50"/>
      <c r="W290" s="54"/>
      <c r="X290" s="39"/>
    </row>
    <row r="291" spans="1:24" ht="15.75" customHeight="1" thickBot="1" x14ac:dyDescent="0.35">
      <c r="A291" s="2">
        <v>84</v>
      </c>
      <c r="B291" s="67" t="s">
        <v>974</v>
      </c>
      <c r="C291" s="55"/>
      <c r="D291" s="41"/>
      <c r="E291" s="55"/>
      <c r="F291" s="55"/>
      <c r="G291" s="55"/>
      <c r="H291" s="51"/>
      <c r="I291" s="52"/>
      <c r="J291" s="74" t="s">
        <v>975</v>
      </c>
      <c r="K291" s="57"/>
      <c r="L291" s="75">
        <v>152.25</v>
      </c>
      <c r="M291" s="60">
        <v>1</v>
      </c>
      <c r="N291" s="76">
        <v>236</v>
      </c>
      <c r="O291" s="42"/>
      <c r="P291" s="58" t="s">
        <v>47</v>
      </c>
      <c r="Q291" s="61"/>
      <c r="R291" s="62"/>
      <c r="S291" s="78">
        <f t="shared" si="12"/>
        <v>236</v>
      </c>
      <c r="T291" s="44" t="str">
        <f t="shared" si="13"/>
        <v>236ml</v>
      </c>
      <c r="U291" s="77">
        <f t="shared" si="14"/>
        <v>152.25</v>
      </c>
      <c r="V291" s="46"/>
      <c r="W291" s="46"/>
      <c r="X291" s="46"/>
    </row>
    <row r="292" spans="1:24" ht="15.75" customHeight="1" thickBot="1" x14ac:dyDescent="0.35">
      <c r="A292" s="2">
        <v>85</v>
      </c>
      <c r="B292" s="68" t="s">
        <v>976</v>
      </c>
      <c r="C292" s="55"/>
      <c r="D292" s="41"/>
      <c r="E292" s="55"/>
      <c r="F292" s="55"/>
      <c r="G292" s="55"/>
      <c r="H292" s="51"/>
      <c r="I292" s="52"/>
      <c r="J292" s="74" t="s">
        <v>816</v>
      </c>
      <c r="K292" s="57"/>
      <c r="L292" s="75">
        <v>37.25</v>
      </c>
      <c r="M292" s="60">
        <v>1</v>
      </c>
      <c r="N292" s="76">
        <v>45</v>
      </c>
      <c r="O292" s="42"/>
      <c r="P292" s="58" t="s">
        <v>36</v>
      </c>
      <c r="Q292" s="61"/>
      <c r="R292" s="62"/>
      <c r="S292" s="78">
        <f t="shared" si="12"/>
        <v>45</v>
      </c>
      <c r="T292" s="44" t="str">
        <f t="shared" si="13"/>
        <v>45grams</v>
      </c>
      <c r="U292" s="77">
        <f t="shared" si="14"/>
        <v>37.25</v>
      </c>
      <c r="V292" s="46"/>
      <c r="W292" s="46"/>
      <c r="X292" s="46"/>
    </row>
    <row r="293" spans="1:24" ht="15.75" customHeight="1" thickBot="1" x14ac:dyDescent="0.35">
      <c r="A293" s="2">
        <v>85</v>
      </c>
      <c r="B293" s="68" t="s">
        <v>976</v>
      </c>
      <c r="C293" s="55"/>
      <c r="D293" s="41"/>
      <c r="E293" s="55"/>
      <c r="F293" s="55"/>
      <c r="G293" s="55"/>
      <c r="H293" s="51"/>
      <c r="I293" s="52"/>
      <c r="J293" s="74" t="s">
        <v>816</v>
      </c>
      <c r="K293" s="57"/>
      <c r="L293" s="75">
        <v>65</v>
      </c>
      <c r="M293" s="60">
        <v>1</v>
      </c>
      <c r="N293" s="76">
        <v>40</v>
      </c>
      <c r="O293" s="42"/>
      <c r="P293" s="58" t="s">
        <v>36</v>
      </c>
      <c r="Q293" s="61"/>
      <c r="R293" s="62"/>
      <c r="S293" s="78">
        <f t="shared" si="12"/>
        <v>40</v>
      </c>
      <c r="T293" s="44" t="str">
        <f t="shared" si="13"/>
        <v>40grams</v>
      </c>
      <c r="U293" s="77">
        <f t="shared" si="14"/>
        <v>65</v>
      </c>
      <c r="V293" s="46"/>
      <c r="W293" s="46"/>
      <c r="X293" s="46"/>
    </row>
    <row r="294" spans="1:24" ht="15.75" customHeight="1" thickBot="1" x14ac:dyDescent="0.35">
      <c r="A294" s="2">
        <v>86</v>
      </c>
      <c r="B294" s="67" t="s">
        <v>977</v>
      </c>
      <c r="C294" s="55"/>
      <c r="D294" s="41"/>
      <c r="E294" s="55"/>
      <c r="F294" s="55"/>
      <c r="G294" s="55"/>
      <c r="H294" s="51"/>
      <c r="I294" s="52"/>
      <c r="J294" s="74" t="s">
        <v>978</v>
      </c>
      <c r="K294" s="57"/>
      <c r="L294" s="75">
        <v>7.43</v>
      </c>
      <c r="M294" s="60">
        <v>30</v>
      </c>
      <c r="N294" s="76">
        <v>38</v>
      </c>
      <c r="O294" s="42"/>
      <c r="P294" s="58" t="s">
        <v>36</v>
      </c>
      <c r="Q294" s="61"/>
      <c r="R294" s="62"/>
      <c r="S294" s="78">
        <f t="shared" si="12"/>
        <v>1140</v>
      </c>
      <c r="T294" s="44" t="str">
        <f t="shared" si="13"/>
        <v>1140grams</v>
      </c>
      <c r="U294" s="77">
        <f t="shared" si="14"/>
        <v>222.89999999999998</v>
      </c>
      <c r="V294" s="46"/>
      <c r="W294" s="46"/>
      <c r="X294" s="46"/>
    </row>
    <row r="295" spans="1:24" ht="15.75" customHeight="1" thickBot="1" x14ac:dyDescent="0.35">
      <c r="A295" s="2">
        <v>86</v>
      </c>
      <c r="B295" s="67" t="s">
        <v>977</v>
      </c>
      <c r="C295" s="55"/>
      <c r="D295" s="41"/>
      <c r="E295" s="55"/>
      <c r="F295" s="55"/>
      <c r="G295" s="55"/>
      <c r="H295" s="51"/>
      <c r="I295" s="52"/>
      <c r="J295" s="74" t="s">
        <v>979</v>
      </c>
      <c r="K295" s="57"/>
      <c r="L295" s="75">
        <v>7</v>
      </c>
      <c r="M295" s="60">
        <v>50</v>
      </c>
      <c r="N295" s="76">
        <v>33</v>
      </c>
      <c r="O295" s="42"/>
      <c r="P295" s="58" t="s">
        <v>36</v>
      </c>
      <c r="Q295" s="61"/>
      <c r="R295" s="62"/>
      <c r="S295" s="78">
        <f t="shared" si="12"/>
        <v>1650</v>
      </c>
      <c r="T295" s="44" t="str">
        <f t="shared" si="13"/>
        <v>1650grams</v>
      </c>
      <c r="U295" s="77">
        <f t="shared" si="14"/>
        <v>350</v>
      </c>
      <c r="V295" s="46"/>
      <c r="W295" s="46"/>
      <c r="X295" s="46"/>
    </row>
    <row r="296" spans="1:24" ht="15.75" customHeight="1" thickBot="1" x14ac:dyDescent="0.35">
      <c r="A296" s="2">
        <v>86</v>
      </c>
      <c r="B296" s="68" t="s">
        <v>977</v>
      </c>
      <c r="C296" s="55"/>
      <c r="D296" s="41"/>
      <c r="E296" s="55"/>
      <c r="F296" s="55"/>
      <c r="G296" s="55"/>
      <c r="H296" s="51"/>
      <c r="I296" s="52"/>
      <c r="J296" s="74" t="s">
        <v>980</v>
      </c>
      <c r="K296" s="57"/>
      <c r="L296" s="75">
        <v>8.42</v>
      </c>
      <c r="M296" s="60">
        <v>30</v>
      </c>
      <c r="N296" s="76">
        <v>37</v>
      </c>
      <c r="O296" s="42"/>
      <c r="P296" s="58" t="s">
        <v>36</v>
      </c>
      <c r="Q296" s="61"/>
      <c r="R296" s="62"/>
      <c r="S296" s="78">
        <f t="shared" si="12"/>
        <v>1110</v>
      </c>
      <c r="T296" s="44" t="str">
        <f t="shared" si="13"/>
        <v>1110grams</v>
      </c>
      <c r="U296" s="77">
        <f t="shared" si="14"/>
        <v>252.6</v>
      </c>
      <c r="V296" s="46"/>
      <c r="W296" s="46"/>
      <c r="X296" s="46"/>
    </row>
    <row r="297" spans="1:24" ht="15.75" customHeight="1" thickBot="1" x14ac:dyDescent="0.35">
      <c r="A297" s="2">
        <v>86</v>
      </c>
      <c r="B297" s="67" t="s">
        <v>977</v>
      </c>
      <c r="C297" s="55"/>
      <c r="D297" s="41"/>
      <c r="E297" s="55"/>
      <c r="F297" s="55"/>
      <c r="G297" s="55"/>
      <c r="H297" s="51"/>
      <c r="I297" s="52"/>
      <c r="J297" s="74" t="s">
        <v>981</v>
      </c>
      <c r="K297" s="57"/>
      <c r="L297" s="75">
        <v>7</v>
      </c>
      <c r="M297" s="60">
        <v>83</v>
      </c>
      <c r="N297" s="76">
        <v>42</v>
      </c>
      <c r="O297" s="42"/>
      <c r="P297" s="58" t="s">
        <v>36</v>
      </c>
      <c r="Q297" s="61"/>
      <c r="R297" s="62"/>
      <c r="S297" s="78">
        <f t="shared" si="12"/>
        <v>3486</v>
      </c>
      <c r="T297" s="44" t="str">
        <f t="shared" si="13"/>
        <v>3486grams</v>
      </c>
      <c r="U297" s="77">
        <f t="shared" si="14"/>
        <v>581</v>
      </c>
      <c r="V297" s="46"/>
      <c r="W297" s="46"/>
      <c r="X297" s="46"/>
    </row>
    <row r="298" spans="1:24" ht="15.75" customHeight="1" thickBot="1" x14ac:dyDescent="0.35">
      <c r="A298" s="2">
        <v>86</v>
      </c>
      <c r="B298" s="67" t="s">
        <v>977</v>
      </c>
      <c r="C298" s="55"/>
      <c r="D298" s="41"/>
      <c r="E298" s="55"/>
      <c r="F298" s="55"/>
      <c r="G298" s="55"/>
      <c r="H298" s="51"/>
      <c r="I298" s="52"/>
      <c r="J298" s="74" t="s">
        <v>982</v>
      </c>
      <c r="K298" s="57"/>
      <c r="L298" s="75">
        <v>7.43</v>
      </c>
      <c r="M298" s="60">
        <v>20</v>
      </c>
      <c r="N298" s="76">
        <v>38</v>
      </c>
      <c r="O298" s="42"/>
      <c r="P298" s="58" t="s">
        <v>36</v>
      </c>
      <c r="Q298" s="61"/>
      <c r="R298" s="62"/>
      <c r="S298" s="78">
        <f t="shared" si="12"/>
        <v>760</v>
      </c>
      <c r="T298" s="44" t="str">
        <f t="shared" si="13"/>
        <v>760grams</v>
      </c>
      <c r="U298" s="77">
        <f t="shared" si="14"/>
        <v>148.6</v>
      </c>
      <c r="V298" s="46"/>
      <c r="W298" s="46"/>
      <c r="X298" s="46"/>
    </row>
    <row r="299" spans="1:24" ht="15.75" customHeight="1" thickBot="1" x14ac:dyDescent="0.35">
      <c r="A299" s="2">
        <v>87</v>
      </c>
      <c r="B299" s="67" t="s">
        <v>146</v>
      </c>
      <c r="C299" s="55"/>
      <c r="D299" s="41"/>
      <c r="E299" s="55"/>
      <c r="F299" s="55"/>
      <c r="G299" s="55"/>
      <c r="H299" s="51"/>
      <c r="I299" s="52"/>
      <c r="J299" s="74" t="s">
        <v>953</v>
      </c>
      <c r="K299" s="57"/>
      <c r="L299" s="75">
        <v>50</v>
      </c>
      <c r="M299" s="60">
        <v>5</v>
      </c>
      <c r="N299" s="76">
        <v>1000</v>
      </c>
      <c r="O299" s="42"/>
      <c r="P299" s="58" t="s">
        <v>88</v>
      </c>
      <c r="Q299" s="61"/>
      <c r="R299" s="62"/>
      <c r="S299" s="78">
        <f t="shared" si="12"/>
        <v>5000</v>
      </c>
      <c r="T299" s="44" t="str">
        <f t="shared" si="13"/>
        <v>5000kilos</v>
      </c>
      <c r="U299" s="77">
        <f t="shared" si="14"/>
        <v>250</v>
      </c>
      <c r="V299" s="46"/>
      <c r="W299" s="46"/>
      <c r="X299" s="46"/>
    </row>
    <row r="300" spans="1:24" ht="15.75" customHeight="1" thickBot="1" x14ac:dyDescent="0.35">
      <c r="A300" s="2">
        <v>88</v>
      </c>
      <c r="B300" s="67" t="s">
        <v>983</v>
      </c>
      <c r="C300" s="55"/>
      <c r="D300" s="41"/>
      <c r="E300" s="55"/>
      <c r="F300" s="55"/>
      <c r="G300" s="55"/>
      <c r="H300" s="51"/>
      <c r="I300" s="52"/>
      <c r="J300" s="74"/>
      <c r="K300" s="57"/>
      <c r="L300" s="75">
        <v>90</v>
      </c>
      <c r="M300" s="60">
        <v>1</v>
      </c>
      <c r="N300" s="76">
        <v>1</v>
      </c>
      <c r="O300" s="42"/>
      <c r="P300" s="58" t="s">
        <v>88</v>
      </c>
      <c r="Q300" s="61"/>
      <c r="R300" s="62"/>
      <c r="S300" s="78">
        <f t="shared" si="12"/>
        <v>1</v>
      </c>
      <c r="T300" s="44" t="str">
        <f t="shared" si="13"/>
        <v>1kilos</v>
      </c>
      <c r="U300" s="77">
        <f t="shared" si="14"/>
        <v>90</v>
      </c>
      <c r="V300" s="46"/>
      <c r="W300" s="46"/>
      <c r="X300" s="46"/>
    </row>
    <row r="301" spans="1:24" ht="15.75" customHeight="1" thickBot="1" x14ac:dyDescent="0.35">
      <c r="A301" s="2">
        <v>88</v>
      </c>
      <c r="B301" s="67" t="s">
        <v>983</v>
      </c>
      <c r="C301" s="55"/>
      <c r="D301" s="41"/>
      <c r="E301" s="55"/>
      <c r="F301" s="55"/>
      <c r="G301" s="55"/>
      <c r="H301" s="51"/>
      <c r="I301" s="52"/>
      <c r="J301" s="74" t="s">
        <v>142</v>
      </c>
      <c r="K301" s="57"/>
      <c r="L301" s="75">
        <v>180</v>
      </c>
      <c r="M301" s="60">
        <v>3</v>
      </c>
      <c r="N301" s="76">
        <v>1000</v>
      </c>
      <c r="O301" s="42"/>
      <c r="P301" s="58" t="s">
        <v>36</v>
      </c>
      <c r="Q301" s="61"/>
      <c r="R301" s="62"/>
      <c r="S301" s="78">
        <f t="shared" si="12"/>
        <v>3000</v>
      </c>
      <c r="T301" s="44" t="str">
        <f t="shared" si="13"/>
        <v>3000grams</v>
      </c>
      <c r="U301" s="77">
        <f t="shared" si="14"/>
        <v>540</v>
      </c>
      <c r="V301" s="46"/>
      <c r="W301" s="46"/>
      <c r="X301" s="46"/>
    </row>
    <row r="302" spans="1:24" ht="15.75" customHeight="1" thickBot="1" x14ac:dyDescent="0.35">
      <c r="A302" s="2">
        <v>88</v>
      </c>
      <c r="B302" s="67" t="s">
        <v>983</v>
      </c>
      <c r="C302" s="55"/>
      <c r="D302" s="41"/>
      <c r="E302" s="55"/>
      <c r="F302" s="55"/>
      <c r="G302" s="55"/>
      <c r="H302" s="51"/>
      <c r="I302" s="52"/>
      <c r="J302" s="74"/>
      <c r="K302" s="57"/>
      <c r="L302" s="75">
        <v>45</v>
      </c>
      <c r="M302" s="60">
        <v>4</v>
      </c>
      <c r="N302" s="76">
        <v>1000</v>
      </c>
      <c r="O302" s="42"/>
      <c r="P302" s="58" t="s">
        <v>36</v>
      </c>
      <c r="Q302" s="61"/>
      <c r="R302" s="62"/>
      <c r="S302" s="78">
        <f t="shared" si="12"/>
        <v>4000</v>
      </c>
      <c r="T302" s="44" t="str">
        <f t="shared" si="13"/>
        <v>4000grams</v>
      </c>
      <c r="U302" s="77">
        <f t="shared" si="14"/>
        <v>180</v>
      </c>
      <c r="V302" s="46"/>
      <c r="W302" s="46"/>
      <c r="X302" s="46"/>
    </row>
    <row r="303" spans="1:24" ht="15.75" customHeight="1" thickBot="1" x14ac:dyDescent="0.35">
      <c r="A303" s="2">
        <v>89</v>
      </c>
      <c r="B303" s="68" t="s">
        <v>984</v>
      </c>
      <c r="C303" s="55"/>
      <c r="D303" s="41"/>
      <c r="E303" s="55"/>
      <c r="F303" s="55"/>
      <c r="G303" s="55"/>
      <c r="H303" s="51"/>
      <c r="I303" s="52"/>
      <c r="J303" s="74" t="s">
        <v>985</v>
      </c>
      <c r="K303" s="57"/>
      <c r="L303" s="75">
        <v>0.71</v>
      </c>
      <c r="M303" s="60">
        <v>343</v>
      </c>
      <c r="N303" s="76">
        <v>1</v>
      </c>
      <c r="O303" s="42"/>
      <c r="P303" s="58" t="s">
        <v>38</v>
      </c>
      <c r="Q303" s="61"/>
      <c r="R303" s="62"/>
      <c r="S303" s="78">
        <f t="shared" si="12"/>
        <v>343</v>
      </c>
      <c r="T303" s="44" t="str">
        <f t="shared" si="13"/>
        <v>343pieces</v>
      </c>
      <c r="U303" s="77">
        <f t="shared" si="14"/>
        <v>243.53</v>
      </c>
      <c r="V303" s="46"/>
      <c r="W303" s="46"/>
      <c r="X303" s="46"/>
    </row>
    <row r="304" spans="1:24" ht="15.75" customHeight="1" thickBot="1" x14ac:dyDescent="0.35">
      <c r="A304" s="2">
        <v>90</v>
      </c>
      <c r="B304" s="68" t="s">
        <v>986</v>
      </c>
      <c r="C304" s="55"/>
      <c r="D304" s="41"/>
      <c r="E304" s="55"/>
      <c r="F304" s="55"/>
      <c r="G304" s="55"/>
      <c r="H304" s="51"/>
      <c r="I304" s="52"/>
      <c r="J304" s="74" t="s">
        <v>987</v>
      </c>
      <c r="K304" s="57"/>
      <c r="L304" s="75">
        <v>0.78</v>
      </c>
      <c r="M304" s="60">
        <v>50</v>
      </c>
      <c r="N304" s="76">
        <v>1</v>
      </c>
      <c r="O304" s="42"/>
      <c r="P304" s="58" t="s">
        <v>38</v>
      </c>
      <c r="Q304" s="61"/>
      <c r="R304" s="62"/>
      <c r="S304" s="78">
        <f t="shared" si="12"/>
        <v>50</v>
      </c>
      <c r="T304" s="44" t="str">
        <f t="shared" si="13"/>
        <v>50pieces</v>
      </c>
      <c r="U304" s="77">
        <f t="shared" si="14"/>
        <v>39</v>
      </c>
      <c r="V304" s="46"/>
      <c r="W304" s="46"/>
      <c r="X304" s="46"/>
    </row>
    <row r="305" spans="1:24" ht="15.75" customHeight="1" thickBot="1" x14ac:dyDescent="0.35">
      <c r="A305" s="2">
        <v>91</v>
      </c>
      <c r="B305" s="68" t="s">
        <v>988</v>
      </c>
      <c r="C305" s="55"/>
      <c r="D305" s="41"/>
      <c r="E305" s="55"/>
      <c r="F305" s="55"/>
      <c r="G305" s="55"/>
      <c r="H305" s="51"/>
      <c r="I305" s="52"/>
      <c r="J305" s="74" t="s">
        <v>989</v>
      </c>
      <c r="K305" s="57"/>
      <c r="L305" s="75">
        <v>0.79</v>
      </c>
      <c r="M305" s="60">
        <v>45</v>
      </c>
      <c r="N305" s="76">
        <v>1</v>
      </c>
      <c r="O305" s="42"/>
      <c r="P305" s="58" t="s">
        <v>38</v>
      </c>
      <c r="Q305" s="61"/>
      <c r="R305" s="62"/>
      <c r="S305" s="78">
        <f t="shared" si="12"/>
        <v>45</v>
      </c>
      <c r="T305" s="44" t="str">
        <f t="shared" si="13"/>
        <v>45pieces</v>
      </c>
      <c r="U305" s="77">
        <f t="shared" si="14"/>
        <v>35.550000000000004</v>
      </c>
      <c r="V305" s="46"/>
      <c r="W305" s="46"/>
      <c r="X305" s="46"/>
    </row>
    <row r="306" spans="1:24" ht="15.75" customHeight="1" thickBot="1" x14ac:dyDescent="0.35">
      <c r="A306" s="2">
        <v>92</v>
      </c>
      <c r="B306" s="68" t="s">
        <v>990</v>
      </c>
      <c r="C306" s="55"/>
      <c r="D306" s="41"/>
      <c r="E306" s="55"/>
      <c r="F306" s="55"/>
      <c r="G306" s="55"/>
      <c r="H306" s="51"/>
      <c r="I306" s="52"/>
      <c r="J306" s="74" t="s">
        <v>991</v>
      </c>
      <c r="K306" s="57"/>
      <c r="L306" s="75">
        <v>36</v>
      </c>
      <c r="M306" s="60">
        <v>28</v>
      </c>
      <c r="N306" s="76">
        <v>24</v>
      </c>
      <c r="O306" s="42"/>
      <c r="P306" s="58" t="s">
        <v>38</v>
      </c>
      <c r="Q306" s="61"/>
      <c r="R306" s="62"/>
      <c r="S306" s="78">
        <f t="shared" si="12"/>
        <v>672</v>
      </c>
      <c r="T306" s="44" t="str">
        <f t="shared" si="13"/>
        <v>672pieces</v>
      </c>
      <c r="U306" s="77">
        <f t="shared" si="14"/>
        <v>1008</v>
      </c>
      <c r="V306" s="46"/>
      <c r="W306" s="46"/>
      <c r="X306" s="46"/>
    </row>
    <row r="307" spans="1:24" ht="15.75" customHeight="1" thickBot="1" x14ac:dyDescent="0.35">
      <c r="A307" s="2">
        <v>93</v>
      </c>
      <c r="B307" s="68" t="s">
        <v>992</v>
      </c>
      <c r="C307" s="55"/>
      <c r="D307" s="41"/>
      <c r="E307" s="55"/>
      <c r="F307" s="55"/>
      <c r="G307" s="55"/>
      <c r="H307" s="51"/>
      <c r="I307" s="52"/>
      <c r="J307" s="74" t="s">
        <v>993</v>
      </c>
      <c r="K307" s="57"/>
      <c r="L307" s="75">
        <v>0.83</v>
      </c>
      <c r="M307" s="60">
        <v>74</v>
      </c>
      <c r="N307" s="76">
        <v>1</v>
      </c>
      <c r="O307" s="42"/>
      <c r="P307" s="58" t="s">
        <v>38</v>
      </c>
      <c r="Q307" s="61"/>
      <c r="R307" s="62"/>
      <c r="S307" s="78">
        <f t="shared" si="12"/>
        <v>74</v>
      </c>
      <c r="T307" s="44" t="str">
        <f t="shared" si="13"/>
        <v>74pieces</v>
      </c>
      <c r="U307" s="77">
        <f t="shared" si="14"/>
        <v>61.419999999999995</v>
      </c>
      <c r="V307" s="46"/>
      <c r="W307" s="46"/>
      <c r="X307" s="46"/>
    </row>
    <row r="308" spans="1:24" ht="15.75" customHeight="1" thickBot="1" x14ac:dyDescent="0.35">
      <c r="A308" s="2">
        <v>94</v>
      </c>
      <c r="B308" s="68" t="s">
        <v>994</v>
      </c>
      <c r="C308" s="55"/>
      <c r="D308" s="41"/>
      <c r="E308" s="55"/>
      <c r="F308" s="55"/>
      <c r="G308" s="55"/>
      <c r="H308" s="51"/>
      <c r="I308" s="52"/>
      <c r="J308" s="74" t="s">
        <v>995</v>
      </c>
      <c r="K308" s="57"/>
      <c r="L308" s="75">
        <v>0.8</v>
      </c>
      <c r="M308" s="60">
        <v>62</v>
      </c>
      <c r="N308" s="76">
        <v>1</v>
      </c>
      <c r="O308" s="42"/>
      <c r="P308" s="58" t="s">
        <v>38</v>
      </c>
      <c r="Q308" s="61"/>
      <c r="R308" s="62"/>
      <c r="S308" s="78">
        <f t="shared" si="12"/>
        <v>62</v>
      </c>
      <c r="T308" s="44" t="str">
        <f t="shared" si="13"/>
        <v>62pieces</v>
      </c>
      <c r="U308" s="77">
        <f t="shared" si="14"/>
        <v>49.6</v>
      </c>
      <c r="V308" s="46"/>
      <c r="W308" s="46"/>
      <c r="X308" s="46"/>
    </row>
    <row r="309" spans="1:24" ht="15.75" customHeight="1" thickBot="1" x14ac:dyDescent="0.35">
      <c r="A309" s="2">
        <v>95</v>
      </c>
      <c r="B309" s="68" t="s">
        <v>996</v>
      </c>
      <c r="C309" s="55"/>
      <c r="D309" s="41"/>
      <c r="E309" s="55"/>
      <c r="F309" s="55"/>
      <c r="G309" s="55"/>
      <c r="H309" s="51"/>
      <c r="I309" s="52"/>
      <c r="J309" s="74" t="s">
        <v>997</v>
      </c>
      <c r="K309" s="57"/>
      <c r="L309" s="75">
        <v>1.19</v>
      </c>
      <c r="M309" s="60">
        <v>28</v>
      </c>
      <c r="N309" s="76">
        <v>1</v>
      </c>
      <c r="O309" s="42"/>
      <c r="P309" s="58" t="s">
        <v>38</v>
      </c>
      <c r="Q309" s="61"/>
      <c r="R309" s="62"/>
      <c r="S309" s="78">
        <f t="shared" si="12"/>
        <v>28</v>
      </c>
      <c r="T309" s="44" t="str">
        <f t="shared" si="13"/>
        <v>28pieces</v>
      </c>
      <c r="U309" s="77">
        <f t="shared" si="14"/>
        <v>33.32</v>
      </c>
      <c r="V309" s="46"/>
      <c r="W309" s="46"/>
      <c r="X309" s="46"/>
    </row>
    <row r="310" spans="1:24" ht="15.75" customHeight="1" thickBot="1" x14ac:dyDescent="0.35">
      <c r="A310" s="2">
        <v>96</v>
      </c>
      <c r="B310" s="67" t="s">
        <v>998</v>
      </c>
      <c r="C310" s="55"/>
      <c r="D310" s="41"/>
      <c r="E310" s="55"/>
      <c r="F310" s="55"/>
      <c r="G310" s="55"/>
      <c r="H310" s="51"/>
      <c r="I310" s="52"/>
      <c r="J310" s="74" t="s">
        <v>999</v>
      </c>
      <c r="K310" s="57"/>
      <c r="L310" s="75">
        <v>60.3</v>
      </c>
      <c r="M310" s="60">
        <v>8</v>
      </c>
      <c r="N310" s="76">
        <v>425</v>
      </c>
      <c r="O310" s="42"/>
      <c r="P310" s="58" t="s">
        <v>36</v>
      </c>
      <c r="Q310" s="61"/>
      <c r="R310" s="62"/>
      <c r="S310" s="78">
        <f t="shared" ref="S310:S373" si="15">M310*N310</f>
        <v>3400</v>
      </c>
      <c r="T310" s="44" t="str">
        <f t="shared" ref="T310:T373" si="16">CONCATENATE(S310,Q310,P310)</f>
        <v>3400grams</v>
      </c>
      <c r="U310" s="77">
        <f t="shared" ref="U310:U373" si="17">L310*M310</f>
        <v>482.4</v>
      </c>
      <c r="V310" s="20"/>
      <c r="W310" s="20"/>
      <c r="X310" s="20"/>
    </row>
    <row r="311" spans="1:24" ht="15.75" customHeight="1" thickBot="1" x14ac:dyDescent="0.35">
      <c r="A311" s="2">
        <v>96</v>
      </c>
      <c r="B311" s="67" t="s">
        <v>998</v>
      </c>
      <c r="C311" s="55"/>
      <c r="D311" s="41"/>
      <c r="E311" s="55"/>
      <c r="F311" s="55"/>
      <c r="G311" s="55"/>
      <c r="H311" s="51"/>
      <c r="I311" s="52"/>
      <c r="J311" s="74">
        <v>555</v>
      </c>
      <c r="K311" s="57"/>
      <c r="L311" s="75">
        <v>63.1</v>
      </c>
      <c r="M311" s="60">
        <v>9</v>
      </c>
      <c r="N311" s="76">
        <v>425</v>
      </c>
      <c r="O311" s="42"/>
      <c r="P311" s="58" t="s">
        <v>36</v>
      </c>
      <c r="Q311" s="61"/>
      <c r="R311" s="62"/>
      <c r="S311" s="78">
        <f t="shared" si="15"/>
        <v>3825</v>
      </c>
      <c r="T311" s="44" t="str">
        <f t="shared" si="16"/>
        <v>3825grams</v>
      </c>
      <c r="U311" s="77">
        <f t="shared" si="17"/>
        <v>567.9</v>
      </c>
      <c r="V311" s="46"/>
      <c r="W311" s="46"/>
      <c r="X311" s="46"/>
    </row>
    <row r="312" spans="1:24" ht="15.75" customHeight="1" thickBot="1" x14ac:dyDescent="0.35">
      <c r="A312" s="2">
        <v>96</v>
      </c>
      <c r="B312" s="67" t="s">
        <v>998</v>
      </c>
      <c r="C312" s="55"/>
      <c r="D312" s="41"/>
      <c r="E312" s="55"/>
      <c r="F312" s="55"/>
      <c r="G312" s="55"/>
      <c r="H312" s="51"/>
      <c r="I312" s="52"/>
      <c r="J312" s="74">
        <v>555</v>
      </c>
      <c r="K312" s="57"/>
      <c r="L312" s="75">
        <v>24.3</v>
      </c>
      <c r="M312" s="60">
        <v>3</v>
      </c>
      <c r="N312" s="76">
        <v>155</v>
      </c>
      <c r="O312" s="42"/>
      <c r="P312" s="58" t="s">
        <v>36</v>
      </c>
      <c r="Q312" s="61"/>
      <c r="R312" s="62"/>
      <c r="S312" s="78">
        <f t="shared" si="15"/>
        <v>465</v>
      </c>
      <c r="T312" s="44" t="str">
        <f t="shared" si="16"/>
        <v>465grams</v>
      </c>
      <c r="U312" s="77">
        <f t="shared" si="17"/>
        <v>72.900000000000006</v>
      </c>
      <c r="V312" s="46"/>
      <c r="W312" s="46"/>
      <c r="X312" s="46"/>
    </row>
    <row r="313" spans="1:24" ht="15.75" customHeight="1" thickBot="1" x14ac:dyDescent="0.35">
      <c r="A313" s="2">
        <v>96</v>
      </c>
      <c r="B313" s="67" t="s">
        <v>998</v>
      </c>
      <c r="C313" s="55"/>
      <c r="D313" s="41"/>
      <c r="E313" s="55"/>
      <c r="F313" s="55"/>
      <c r="G313" s="55"/>
      <c r="H313" s="51"/>
      <c r="I313" s="52"/>
      <c r="J313" s="74" t="s">
        <v>1000</v>
      </c>
      <c r="K313" s="57"/>
      <c r="L313" s="75">
        <v>64.400000000000006</v>
      </c>
      <c r="M313" s="60">
        <v>5</v>
      </c>
      <c r="N313" s="76">
        <v>425</v>
      </c>
      <c r="O313" s="42"/>
      <c r="P313" s="58" t="s">
        <v>36</v>
      </c>
      <c r="Q313" s="61"/>
      <c r="R313" s="62"/>
      <c r="S313" s="78">
        <f t="shared" si="15"/>
        <v>2125</v>
      </c>
      <c r="T313" s="44" t="str">
        <f t="shared" si="16"/>
        <v>2125grams</v>
      </c>
      <c r="U313" s="77">
        <f t="shared" si="17"/>
        <v>322</v>
      </c>
      <c r="V313" s="46"/>
      <c r="W313" s="46"/>
      <c r="X313" s="46"/>
    </row>
    <row r="314" spans="1:24" ht="15.75" customHeight="1" thickBot="1" x14ac:dyDescent="0.35">
      <c r="A314" s="2">
        <v>97</v>
      </c>
      <c r="B314" s="67" t="s">
        <v>1001</v>
      </c>
      <c r="C314" s="55"/>
      <c r="D314" s="41"/>
      <c r="E314" s="55"/>
      <c r="F314" s="55"/>
      <c r="G314" s="55"/>
      <c r="H314" s="51"/>
      <c r="I314" s="52"/>
      <c r="J314" s="74">
        <v>555</v>
      </c>
      <c r="K314" s="57"/>
      <c r="L314" s="75">
        <v>60.3</v>
      </c>
      <c r="M314" s="60">
        <v>12</v>
      </c>
      <c r="N314" s="76">
        <v>425</v>
      </c>
      <c r="O314" s="42"/>
      <c r="P314" s="58" t="s">
        <v>36</v>
      </c>
      <c r="Q314" s="61"/>
      <c r="R314" s="62"/>
      <c r="S314" s="78">
        <f t="shared" si="15"/>
        <v>5100</v>
      </c>
      <c r="T314" s="44" t="str">
        <f t="shared" si="16"/>
        <v>5100grams</v>
      </c>
      <c r="U314" s="77">
        <f t="shared" si="17"/>
        <v>723.59999999999991</v>
      </c>
      <c r="V314" s="46"/>
      <c r="W314" s="46"/>
      <c r="X314" s="46"/>
    </row>
    <row r="315" spans="1:24" ht="15.75" customHeight="1" thickBot="1" x14ac:dyDescent="0.35">
      <c r="A315" s="2">
        <v>97</v>
      </c>
      <c r="B315" s="67" t="s">
        <v>1001</v>
      </c>
      <c r="C315" s="55"/>
      <c r="D315" s="41"/>
      <c r="E315" s="55"/>
      <c r="F315" s="55"/>
      <c r="G315" s="55"/>
      <c r="H315" s="51"/>
      <c r="I315" s="52"/>
      <c r="J315" s="74" t="s">
        <v>1002</v>
      </c>
      <c r="K315" s="57"/>
      <c r="L315" s="75">
        <v>59.9</v>
      </c>
      <c r="M315" s="60">
        <v>10</v>
      </c>
      <c r="N315" s="76">
        <v>425</v>
      </c>
      <c r="O315" s="42"/>
      <c r="P315" s="58" t="s">
        <v>36</v>
      </c>
      <c r="Q315" s="61"/>
      <c r="R315" s="62"/>
      <c r="S315" s="78">
        <f t="shared" si="15"/>
        <v>4250</v>
      </c>
      <c r="T315" s="44" t="str">
        <f t="shared" si="16"/>
        <v>4250grams</v>
      </c>
      <c r="U315" s="77">
        <f t="shared" si="17"/>
        <v>599</v>
      </c>
      <c r="V315" s="46"/>
      <c r="W315" s="46"/>
      <c r="X315" s="46"/>
    </row>
    <row r="316" spans="1:24" ht="15.75" customHeight="1" thickBot="1" x14ac:dyDescent="0.35">
      <c r="A316" s="2">
        <v>97</v>
      </c>
      <c r="B316" s="67" t="s">
        <v>1001</v>
      </c>
      <c r="C316" s="55"/>
      <c r="D316" s="41"/>
      <c r="E316" s="55"/>
      <c r="F316" s="55"/>
      <c r="G316" s="55"/>
      <c r="H316" s="51"/>
      <c r="I316" s="52"/>
      <c r="J316" s="74">
        <v>555</v>
      </c>
      <c r="K316" s="57"/>
      <c r="L316" s="75">
        <v>60.3</v>
      </c>
      <c r="M316" s="60">
        <v>21</v>
      </c>
      <c r="N316" s="76">
        <v>425</v>
      </c>
      <c r="O316" s="42"/>
      <c r="P316" s="58" t="s">
        <v>36</v>
      </c>
      <c r="Q316" s="61"/>
      <c r="R316" s="62"/>
      <c r="S316" s="78">
        <f t="shared" si="15"/>
        <v>8925</v>
      </c>
      <c r="T316" s="44" t="str">
        <f t="shared" si="16"/>
        <v>8925grams</v>
      </c>
      <c r="U316" s="77">
        <f t="shared" si="17"/>
        <v>1266.3</v>
      </c>
      <c r="V316" s="50"/>
      <c r="W316" s="54"/>
      <c r="X316" s="39"/>
    </row>
    <row r="317" spans="1:24" ht="15.75" customHeight="1" thickBot="1" x14ac:dyDescent="0.35">
      <c r="A317" s="2">
        <v>97</v>
      </c>
      <c r="B317" s="67" t="s">
        <v>1001</v>
      </c>
      <c r="C317" s="55"/>
      <c r="D317" s="41"/>
      <c r="E317" s="55"/>
      <c r="F317" s="55"/>
      <c r="G317" s="55"/>
      <c r="H317" s="51"/>
      <c r="I317" s="52"/>
      <c r="J317" s="74">
        <v>555</v>
      </c>
      <c r="K317" s="57"/>
      <c r="L317" s="75">
        <v>60</v>
      </c>
      <c r="M317" s="60">
        <v>19</v>
      </c>
      <c r="N317" s="76">
        <v>425</v>
      </c>
      <c r="O317" s="42"/>
      <c r="P317" s="58" t="s">
        <v>36</v>
      </c>
      <c r="Q317" s="61"/>
      <c r="R317" s="62"/>
      <c r="S317" s="78">
        <f t="shared" si="15"/>
        <v>8075</v>
      </c>
      <c r="T317" s="44" t="str">
        <f t="shared" si="16"/>
        <v>8075grams</v>
      </c>
      <c r="U317" s="77">
        <f t="shared" si="17"/>
        <v>1140</v>
      </c>
      <c r="V317" s="46"/>
      <c r="W317" s="46"/>
      <c r="X317" s="46"/>
    </row>
    <row r="318" spans="1:24" ht="15.75" customHeight="1" thickBot="1" x14ac:dyDescent="0.35">
      <c r="A318" s="2">
        <v>98</v>
      </c>
      <c r="B318" s="68" t="s">
        <v>1003</v>
      </c>
      <c r="C318" s="55"/>
      <c r="D318" s="41"/>
      <c r="E318" s="55"/>
      <c r="F318" s="55"/>
      <c r="G318" s="55"/>
      <c r="H318" s="51"/>
      <c r="I318" s="52"/>
      <c r="J318" s="74" t="s">
        <v>1004</v>
      </c>
      <c r="K318" s="57"/>
      <c r="L318" s="75">
        <v>258</v>
      </c>
      <c r="M318" s="60">
        <v>1</v>
      </c>
      <c r="N318" s="76">
        <v>595</v>
      </c>
      <c r="O318" s="42"/>
      <c r="P318" s="58" t="s">
        <v>36</v>
      </c>
      <c r="Q318" s="61"/>
      <c r="R318" s="62"/>
      <c r="S318" s="78">
        <f t="shared" si="15"/>
        <v>595</v>
      </c>
      <c r="T318" s="44" t="str">
        <f t="shared" si="16"/>
        <v>595grams</v>
      </c>
      <c r="U318" s="77">
        <f t="shared" si="17"/>
        <v>258</v>
      </c>
      <c r="V318" s="50"/>
      <c r="W318" s="54"/>
      <c r="X318" s="39"/>
    </row>
    <row r="319" spans="1:24" ht="15.75" customHeight="1" thickBot="1" x14ac:dyDescent="0.35">
      <c r="A319" s="2">
        <v>99</v>
      </c>
      <c r="B319" s="67" t="s">
        <v>1005</v>
      </c>
      <c r="C319" s="55"/>
      <c r="D319" s="41"/>
      <c r="E319" s="55"/>
      <c r="F319" s="55"/>
      <c r="G319" s="55"/>
      <c r="H319" s="51"/>
      <c r="I319" s="52"/>
      <c r="J319" s="74" t="s">
        <v>1006</v>
      </c>
      <c r="K319" s="57"/>
      <c r="L319" s="75">
        <v>102.5</v>
      </c>
      <c r="M319" s="60">
        <v>1</v>
      </c>
      <c r="N319" s="76">
        <v>425</v>
      </c>
      <c r="O319" s="42"/>
      <c r="P319" s="58" t="s">
        <v>36</v>
      </c>
      <c r="Q319" s="61"/>
      <c r="R319" s="62"/>
      <c r="S319" s="78">
        <f t="shared" si="15"/>
        <v>425</v>
      </c>
      <c r="T319" s="44" t="str">
        <f t="shared" si="16"/>
        <v>425grams</v>
      </c>
      <c r="U319" s="77">
        <f t="shared" si="17"/>
        <v>102.5</v>
      </c>
      <c r="V319" s="50"/>
      <c r="W319" s="54"/>
      <c r="X319" s="39"/>
    </row>
    <row r="320" spans="1:24" ht="15.75" customHeight="1" thickBot="1" x14ac:dyDescent="0.35">
      <c r="A320" s="2">
        <v>100</v>
      </c>
      <c r="B320" s="67" t="s">
        <v>1007</v>
      </c>
      <c r="C320" s="55"/>
      <c r="D320" s="41"/>
      <c r="E320" s="55"/>
      <c r="F320" s="55"/>
      <c r="G320" s="55"/>
      <c r="H320" s="51"/>
      <c r="I320" s="52"/>
      <c r="J320" s="74">
        <v>555</v>
      </c>
      <c r="K320" s="57"/>
      <c r="L320" s="75">
        <v>28.95</v>
      </c>
      <c r="M320" s="60">
        <v>4</v>
      </c>
      <c r="N320" s="76">
        <v>155</v>
      </c>
      <c r="O320" s="42"/>
      <c r="P320" s="58" t="s">
        <v>36</v>
      </c>
      <c r="Q320" s="61"/>
      <c r="R320" s="62"/>
      <c r="S320" s="78">
        <f t="shared" si="15"/>
        <v>620</v>
      </c>
      <c r="T320" s="44" t="str">
        <f t="shared" si="16"/>
        <v>620grams</v>
      </c>
      <c r="U320" s="77">
        <f t="shared" si="17"/>
        <v>115.8</v>
      </c>
      <c r="V320" s="46"/>
      <c r="W320" s="46"/>
      <c r="X320" s="46"/>
    </row>
    <row r="321" spans="1:24" ht="15.75" customHeight="1" thickBot="1" x14ac:dyDescent="0.35">
      <c r="A321" s="2">
        <v>101</v>
      </c>
      <c r="B321" s="67" t="s">
        <v>1008</v>
      </c>
      <c r="C321" s="55"/>
      <c r="D321" s="41"/>
      <c r="E321" s="55"/>
      <c r="F321" s="55"/>
      <c r="G321" s="55"/>
      <c r="H321" s="51"/>
      <c r="I321" s="52"/>
      <c r="J321" s="74">
        <v>555</v>
      </c>
      <c r="K321" s="57"/>
      <c r="L321" s="75">
        <v>28.95</v>
      </c>
      <c r="M321" s="60">
        <v>20</v>
      </c>
      <c r="N321" s="76">
        <v>155</v>
      </c>
      <c r="O321" s="42"/>
      <c r="P321" s="58" t="s">
        <v>36</v>
      </c>
      <c r="Q321" s="61"/>
      <c r="R321" s="62"/>
      <c r="S321" s="78">
        <f t="shared" si="15"/>
        <v>3100</v>
      </c>
      <c r="T321" s="44" t="str">
        <f t="shared" si="16"/>
        <v>3100grams</v>
      </c>
      <c r="U321" s="77">
        <f t="shared" si="17"/>
        <v>579</v>
      </c>
      <c r="V321" s="46"/>
      <c r="W321" s="46"/>
      <c r="X321" s="46"/>
    </row>
    <row r="322" spans="1:24" ht="15.75" customHeight="1" thickBot="1" x14ac:dyDescent="0.35">
      <c r="A322" s="2">
        <v>101</v>
      </c>
      <c r="B322" s="67" t="s">
        <v>1008</v>
      </c>
      <c r="C322" s="55"/>
      <c r="D322" s="41"/>
      <c r="E322" s="55"/>
      <c r="F322" s="55"/>
      <c r="G322" s="55"/>
      <c r="H322" s="51"/>
      <c r="I322" s="52"/>
      <c r="J322" s="74">
        <v>555</v>
      </c>
      <c r="K322" s="57"/>
      <c r="L322" s="75">
        <v>22</v>
      </c>
      <c r="M322" s="60">
        <v>7</v>
      </c>
      <c r="N322" s="76">
        <v>155</v>
      </c>
      <c r="O322" s="42"/>
      <c r="P322" s="58" t="s">
        <v>36</v>
      </c>
      <c r="Q322" s="61"/>
      <c r="R322" s="62"/>
      <c r="S322" s="78">
        <f t="shared" si="15"/>
        <v>1085</v>
      </c>
      <c r="T322" s="44" t="str">
        <f t="shared" si="16"/>
        <v>1085grams</v>
      </c>
      <c r="U322" s="77">
        <f t="shared" si="17"/>
        <v>154</v>
      </c>
      <c r="V322" s="46"/>
      <c r="W322" s="46"/>
      <c r="X322" s="46"/>
    </row>
    <row r="323" spans="1:24" ht="15.75" customHeight="1" thickBot="1" x14ac:dyDescent="0.35">
      <c r="A323" s="2">
        <v>102</v>
      </c>
      <c r="B323" s="67" t="s">
        <v>1009</v>
      </c>
      <c r="C323" s="55"/>
      <c r="D323" s="41"/>
      <c r="E323" s="55"/>
      <c r="F323" s="55"/>
      <c r="G323" s="55"/>
      <c r="H323" s="51"/>
      <c r="I323" s="52"/>
      <c r="J323" s="74">
        <v>555</v>
      </c>
      <c r="K323" s="57"/>
      <c r="L323" s="75">
        <v>28.95</v>
      </c>
      <c r="M323" s="60">
        <v>5</v>
      </c>
      <c r="N323" s="76">
        <v>155</v>
      </c>
      <c r="O323" s="42"/>
      <c r="P323" s="58" t="s">
        <v>36</v>
      </c>
      <c r="Q323" s="61"/>
      <c r="R323" s="62"/>
      <c r="S323" s="78">
        <f t="shared" si="15"/>
        <v>775</v>
      </c>
      <c r="T323" s="44" t="str">
        <f t="shared" si="16"/>
        <v>775grams</v>
      </c>
      <c r="U323" s="77">
        <f t="shared" si="17"/>
        <v>144.75</v>
      </c>
      <c r="V323" s="46"/>
      <c r="W323" s="46"/>
      <c r="X323" s="46"/>
    </row>
    <row r="324" spans="1:24" ht="15.75" customHeight="1" thickBot="1" x14ac:dyDescent="0.35">
      <c r="A324" s="2">
        <v>103</v>
      </c>
      <c r="B324" s="67" t="s">
        <v>1010</v>
      </c>
      <c r="C324" s="55"/>
      <c r="D324" s="41"/>
      <c r="E324" s="55"/>
      <c r="F324" s="55"/>
      <c r="G324" s="55"/>
      <c r="H324" s="51"/>
      <c r="I324" s="52"/>
      <c r="J324" s="74" t="s">
        <v>1011</v>
      </c>
      <c r="K324" s="57"/>
      <c r="L324" s="75">
        <v>37.5</v>
      </c>
      <c r="M324" s="60">
        <v>7</v>
      </c>
      <c r="N324" s="76">
        <v>150</v>
      </c>
      <c r="O324" s="42"/>
      <c r="P324" s="58" t="s">
        <v>36</v>
      </c>
      <c r="Q324" s="61"/>
      <c r="R324" s="62"/>
      <c r="S324" s="78">
        <f t="shared" si="15"/>
        <v>1050</v>
      </c>
      <c r="T324" s="44" t="str">
        <f t="shared" si="16"/>
        <v>1050grams</v>
      </c>
      <c r="U324" s="77">
        <f t="shared" si="17"/>
        <v>262.5</v>
      </c>
      <c r="V324" s="46"/>
      <c r="W324" s="46"/>
      <c r="X324" s="46"/>
    </row>
    <row r="325" spans="1:24" ht="15.75" customHeight="1" thickBot="1" x14ac:dyDescent="0.35">
      <c r="A325" s="2">
        <v>104</v>
      </c>
      <c r="B325" s="67" t="s">
        <v>1012</v>
      </c>
      <c r="C325" s="55"/>
      <c r="D325" s="41"/>
      <c r="E325" s="55"/>
      <c r="F325" s="55"/>
      <c r="G325" s="55"/>
      <c r="H325" s="51"/>
      <c r="I325" s="52"/>
      <c r="J325" s="74" t="s">
        <v>1011</v>
      </c>
      <c r="K325" s="57"/>
      <c r="L325" s="75">
        <v>45.2</v>
      </c>
      <c r="M325" s="60">
        <v>8</v>
      </c>
      <c r="N325" s="76">
        <v>180</v>
      </c>
      <c r="O325" s="42"/>
      <c r="P325" s="58" t="s">
        <v>36</v>
      </c>
      <c r="Q325" s="61"/>
      <c r="R325" s="62"/>
      <c r="S325" s="78">
        <f t="shared" si="15"/>
        <v>1440</v>
      </c>
      <c r="T325" s="44" t="str">
        <f t="shared" si="16"/>
        <v>1440grams</v>
      </c>
      <c r="U325" s="77">
        <f t="shared" si="17"/>
        <v>361.6</v>
      </c>
      <c r="V325" s="46"/>
      <c r="W325" s="46"/>
      <c r="X325" s="46"/>
    </row>
    <row r="326" spans="1:24" ht="15.75" customHeight="1" thickBot="1" x14ac:dyDescent="0.35">
      <c r="A326" s="2">
        <v>104</v>
      </c>
      <c r="B326" s="69" t="s">
        <v>1012</v>
      </c>
      <c r="C326" s="55"/>
      <c r="D326" s="41"/>
      <c r="E326" s="55"/>
      <c r="F326" s="55"/>
      <c r="G326" s="55"/>
      <c r="H326" s="51"/>
      <c r="I326" s="52"/>
      <c r="J326" s="74" t="s">
        <v>1013</v>
      </c>
      <c r="K326" s="57"/>
      <c r="L326" s="75">
        <v>28.5</v>
      </c>
      <c r="M326" s="60">
        <v>33</v>
      </c>
      <c r="N326" s="76">
        <v>85</v>
      </c>
      <c r="O326" s="42"/>
      <c r="P326" s="58" t="s">
        <v>36</v>
      </c>
      <c r="Q326" s="61"/>
      <c r="R326" s="62"/>
      <c r="S326" s="78">
        <f t="shared" si="15"/>
        <v>2805</v>
      </c>
      <c r="T326" s="44" t="str">
        <f t="shared" si="16"/>
        <v>2805grams</v>
      </c>
      <c r="U326" s="77">
        <f t="shared" si="17"/>
        <v>940.5</v>
      </c>
      <c r="V326" s="46"/>
      <c r="W326" s="46"/>
      <c r="X326" s="46"/>
    </row>
    <row r="327" spans="1:24" ht="15.75" customHeight="1" thickBot="1" x14ac:dyDescent="0.35">
      <c r="A327" s="2">
        <v>104</v>
      </c>
      <c r="B327" s="69" t="s">
        <v>1012</v>
      </c>
      <c r="C327" s="55"/>
      <c r="D327" s="41"/>
      <c r="E327" s="55"/>
      <c r="F327" s="55"/>
      <c r="G327" s="55"/>
      <c r="H327" s="51"/>
      <c r="I327" s="52"/>
      <c r="J327" s="74" t="s">
        <v>1014</v>
      </c>
      <c r="K327" s="57"/>
      <c r="L327" s="75">
        <v>28.5</v>
      </c>
      <c r="M327" s="60">
        <v>18</v>
      </c>
      <c r="N327" s="76">
        <v>85</v>
      </c>
      <c r="O327" s="42"/>
      <c r="P327" s="58" t="s">
        <v>36</v>
      </c>
      <c r="Q327" s="61"/>
      <c r="R327" s="62"/>
      <c r="S327" s="78">
        <f t="shared" si="15"/>
        <v>1530</v>
      </c>
      <c r="T327" s="44" t="str">
        <f t="shared" si="16"/>
        <v>1530grams</v>
      </c>
      <c r="U327" s="77">
        <f t="shared" si="17"/>
        <v>513</v>
      </c>
      <c r="V327" s="50"/>
      <c r="W327" s="54"/>
      <c r="X327" s="39"/>
    </row>
    <row r="328" spans="1:24" ht="15.75" customHeight="1" thickBot="1" x14ac:dyDescent="0.35">
      <c r="A328" s="2">
        <v>105</v>
      </c>
      <c r="B328" s="67" t="s">
        <v>1015</v>
      </c>
      <c r="C328" s="55"/>
      <c r="D328" s="41"/>
      <c r="E328" s="55"/>
      <c r="F328" s="55"/>
      <c r="G328" s="55"/>
      <c r="H328" s="51"/>
      <c r="I328" s="52"/>
      <c r="J328" s="74" t="s">
        <v>1006</v>
      </c>
      <c r="K328" s="57"/>
      <c r="L328" s="75">
        <v>36.200000000000003</v>
      </c>
      <c r="M328" s="60">
        <v>5</v>
      </c>
      <c r="N328" s="76">
        <v>155</v>
      </c>
      <c r="O328" s="42"/>
      <c r="P328" s="58" t="s">
        <v>36</v>
      </c>
      <c r="Q328" s="61"/>
      <c r="R328" s="62"/>
      <c r="S328" s="78">
        <f t="shared" si="15"/>
        <v>775</v>
      </c>
      <c r="T328" s="44" t="str">
        <f t="shared" si="16"/>
        <v>775grams</v>
      </c>
      <c r="U328" s="77">
        <f t="shared" si="17"/>
        <v>181</v>
      </c>
      <c r="V328" s="20"/>
      <c r="W328" s="20"/>
      <c r="X328" s="20"/>
    </row>
    <row r="329" spans="1:24" ht="15.75" customHeight="1" thickBot="1" x14ac:dyDescent="0.35">
      <c r="A329" s="2">
        <v>105</v>
      </c>
      <c r="B329" s="67" t="s">
        <v>1015</v>
      </c>
      <c r="C329" s="55"/>
      <c r="D329" s="41"/>
      <c r="E329" s="55"/>
      <c r="F329" s="55"/>
      <c r="G329" s="55"/>
      <c r="H329" s="51"/>
      <c r="I329" s="52"/>
      <c r="J329" s="74" t="s">
        <v>1006</v>
      </c>
      <c r="K329" s="57"/>
      <c r="L329" s="75">
        <v>98.4</v>
      </c>
      <c r="M329" s="60">
        <v>19</v>
      </c>
      <c r="N329" s="76">
        <v>420</v>
      </c>
      <c r="O329" s="42"/>
      <c r="P329" s="58" t="s">
        <v>36</v>
      </c>
      <c r="Q329" s="61"/>
      <c r="R329" s="62"/>
      <c r="S329" s="78">
        <f t="shared" si="15"/>
        <v>7980</v>
      </c>
      <c r="T329" s="44" t="str">
        <f t="shared" si="16"/>
        <v>7980grams</v>
      </c>
      <c r="U329" s="77">
        <f t="shared" si="17"/>
        <v>1869.6000000000001</v>
      </c>
      <c r="V329" s="46"/>
      <c r="W329" s="46"/>
      <c r="X329" s="46"/>
    </row>
    <row r="330" spans="1:24" ht="15.75" customHeight="1" thickBot="1" x14ac:dyDescent="0.35">
      <c r="A330" s="2">
        <v>105</v>
      </c>
      <c r="B330" s="67" t="s">
        <v>1015</v>
      </c>
      <c r="C330" s="55"/>
      <c r="D330" s="41"/>
      <c r="E330" s="55"/>
      <c r="F330" s="55"/>
      <c r="G330" s="55"/>
      <c r="H330" s="51"/>
      <c r="I330" s="52"/>
      <c r="J330" s="74" t="s">
        <v>1006</v>
      </c>
      <c r="K330" s="57"/>
      <c r="L330" s="75">
        <v>98.4</v>
      </c>
      <c r="M330" s="60">
        <v>16</v>
      </c>
      <c r="N330" s="76">
        <v>420</v>
      </c>
      <c r="O330" s="42"/>
      <c r="P330" s="58" t="s">
        <v>36</v>
      </c>
      <c r="Q330" s="61"/>
      <c r="R330" s="62"/>
      <c r="S330" s="78">
        <f t="shared" si="15"/>
        <v>6720</v>
      </c>
      <c r="T330" s="44" t="str">
        <f t="shared" si="16"/>
        <v>6720grams</v>
      </c>
      <c r="U330" s="77">
        <f t="shared" si="17"/>
        <v>1574.4</v>
      </c>
      <c r="V330" s="20"/>
      <c r="W330" s="20"/>
      <c r="X330" s="20"/>
    </row>
    <row r="331" spans="1:24" ht="15.75" customHeight="1" thickBot="1" x14ac:dyDescent="0.35">
      <c r="A331" s="2">
        <v>105</v>
      </c>
      <c r="B331" s="67" t="s">
        <v>1015</v>
      </c>
      <c r="C331" s="55"/>
      <c r="D331" s="41"/>
      <c r="E331" s="55"/>
      <c r="F331" s="55"/>
      <c r="G331" s="55"/>
      <c r="H331" s="51"/>
      <c r="I331" s="52"/>
      <c r="J331" s="74" t="s">
        <v>1006</v>
      </c>
      <c r="K331" s="57"/>
      <c r="L331" s="75">
        <v>98.8</v>
      </c>
      <c r="M331" s="60">
        <v>2</v>
      </c>
      <c r="N331" s="76">
        <v>420</v>
      </c>
      <c r="O331" s="42"/>
      <c r="P331" s="58" t="s">
        <v>36</v>
      </c>
      <c r="Q331" s="61"/>
      <c r="R331" s="62"/>
      <c r="S331" s="78">
        <f t="shared" si="15"/>
        <v>840</v>
      </c>
      <c r="T331" s="44" t="str">
        <f t="shared" si="16"/>
        <v>840grams</v>
      </c>
      <c r="U331" s="77">
        <f t="shared" si="17"/>
        <v>197.6</v>
      </c>
      <c r="V331" s="46"/>
      <c r="W331" s="46"/>
      <c r="X331" s="46"/>
    </row>
    <row r="332" spans="1:24" ht="15.75" customHeight="1" thickBot="1" x14ac:dyDescent="0.35">
      <c r="A332" s="2">
        <v>105</v>
      </c>
      <c r="B332" s="67" t="s">
        <v>1015</v>
      </c>
      <c r="C332" s="55"/>
      <c r="D332" s="41"/>
      <c r="E332" s="55"/>
      <c r="F332" s="55"/>
      <c r="G332" s="55"/>
      <c r="H332" s="51"/>
      <c r="I332" s="52"/>
      <c r="J332" s="74" t="s">
        <v>1006</v>
      </c>
      <c r="K332" s="57"/>
      <c r="L332" s="75">
        <v>98.4</v>
      </c>
      <c r="M332" s="60">
        <v>2</v>
      </c>
      <c r="N332" s="76">
        <v>425</v>
      </c>
      <c r="O332" s="42"/>
      <c r="P332" s="58" t="s">
        <v>36</v>
      </c>
      <c r="Q332" s="61"/>
      <c r="R332" s="62"/>
      <c r="S332" s="78">
        <f t="shared" si="15"/>
        <v>850</v>
      </c>
      <c r="T332" s="44" t="str">
        <f t="shared" si="16"/>
        <v>850grams</v>
      </c>
      <c r="U332" s="77">
        <f t="shared" si="17"/>
        <v>196.8</v>
      </c>
      <c r="V332" s="46"/>
      <c r="W332" s="46"/>
      <c r="X332" s="46"/>
    </row>
    <row r="333" spans="1:24" ht="15.75" customHeight="1" thickBot="1" x14ac:dyDescent="0.35">
      <c r="A333" s="2">
        <v>106</v>
      </c>
      <c r="B333" s="67" t="s">
        <v>1016</v>
      </c>
      <c r="C333" s="55"/>
      <c r="D333" s="41"/>
      <c r="E333" s="55"/>
      <c r="F333" s="55"/>
      <c r="G333" s="55"/>
      <c r="H333" s="51"/>
      <c r="I333" s="52"/>
      <c r="J333" s="74" t="s">
        <v>1006</v>
      </c>
      <c r="K333" s="57"/>
      <c r="L333" s="75">
        <v>36.200000000000003</v>
      </c>
      <c r="M333" s="60">
        <v>4</v>
      </c>
      <c r="N333" s="76">
        <v>155</v>
      </c>
      <c r="O333" s="42"/>
      <c r="P333" s="58" t="s">
        <v>36</v>
      </c>
      <c r="Q333" s="61"/>
      <c r="R333" s="62"/>
      <c r="S333" s="78">
        <f t="shared" si="15"/>
        <v>620</v>
      </c>
      <c r="T333" s="44" t="str">
        <f t="shared" si="16"/>
        <v>620grams</v>
      </c>
      <c r="U333" s="77">
        <f t="shared" si="17"/>
        <v>144.80000000000001</v>
      </c>
      <c r="V333" s="46"/>
      <c r="W333" s="46"/>
      <c r="X333" s="46"/>
    </row>
    <row r="334" spans="1:24" ht="15.75" customHeight="1" thickBot="1" x14ac:dyDescent="0.35">
      <c r="A334" s="2">
        <v>107</v>
      </c>
      <c r="B334" s="68" t="s">
        <v>1017</v>
      </c>
      <c r="C334" s="55"/>
      <c r="D334" s="41"/>
      <c r="E334" s="55"/>
      <c r="F334" s="55"/>
      <c r="G334" s="55"/>
      <c r="H334" s="51"/>
      <c r="I334" s="52"/>
      <c r="J334" s="74">
        <v>555</v>
      </c>
      <c r="K334" s="57"/>
      <c r="L334" s="75">
        <v>27.4</v>
      </c>
      <c r="M334" s="60">
        <v>2</v>
      </c>
      <c r="N334" s="76">
        <v>155</v>
      </c>
      <c r="O334" s="42"/>
      <c r="P334" s="58" t="s">
        <v>36</v>
      </c>
      <c r="Q334" s="61"/>
      <c r="R334" s="62"/>
      <c r="S334" s="78">
        <f t="shared" si="15"/>
        <v>310</v>
      </c>
      <c r="T334" s="44" t="str">
        <f t="shared" si="16"/>
        <v>310grams</v>
      </c>
      <c r="U334" s="77">
        <f t="shared" si="17"/>
        <v>54.8</v>
      </c>
      <c r="V334" s="46"/>
      <c r="W334" s="46"/>
      <c r="X334" s="46"/>
    </row>
    <row r="335" spans="1:24" ht="15.75" customHeight="1" thickBot="1" x14ac:dyDescent="0.35">
      <c r="A335" s="2">
        <v>108</v>
      </c>
      <c r="B335" s="67" t="s">
        <v>150</v>
      </c>
      <c r="C335" s="55"/>
      <c r="D335" s="41"/>
      <c r="E335" s="55"/>
      <c r="F335" s="55"/>
      <c r="G335" s="55"/>
      <c r="H335" s="51"/>
      <c r="I335" s="52"/>
      <c r="J335" s="74" t="s">
        <v>1018</v>
      </c>
      <c r="K335" s="57"/>
      <c r="L335" s="75">
        <v>132.5</v>
      </c>
      <c r="M335" s="60">
        <v>3</v>
      </c>
      <c r="N335" s="76">
        <v>500</v>
      </c>
      <c r="O335" s="42"/>
      <c r="P335" s="58" t="s">
        <v>36</v>
      </c>
      <c r="Q335" s="61"/>
      <c r="R335" s="62"/>
      <c r="S335" s="78">
        <f t="shared" si="15"/>
        <v>1500</v>
      </c>
      <c r="T335" s="44" t="str">
        <f t="shared" si="16"/>
        <v>1500grams</v>
      </c>
      <c r="U335" s="77">
        <f t="shared" si="17"/>
        <v>397.5</v>
      </c>
      <c r="V335" s="46"/>
      <c r="W335" s="46"/>
      <c r="X335" s="46"/>
    </row>
    <row r="336" spans="1:24" ht="15.75" customHeight="1" thickBot="1" x14ac:dyDescent="0.35">
      <c r="A336" s="2">
        <v>108</v>
      </c>
      <c r="B336" s="67" t="s">
        <v>150</v>
      </c>
      <c r="C336" s="55"/>
      <c r="D336" s="41"/>
      <c r="E336" s="55"/>
      <c r="F336" s="55"/>
      <c r="G336" s="55"/>
      <c r="H336" s="51"/>
      <c r="I336" s="52"/>
      <c r="J336" s="74" t="s">
        <v>1018</v>
      </c>
      <c r="K336" s="57"/>
      <c r="L336" s="75">
        <v>132.5</v>
      </c>
      <c r="M336" s="60">
        <v>3</v>
      </c>
      <c r="N336" s="76">
        <v>500</v>
      </c>
      <c r="O336" s="42"/>
      <c r="P336" s="58" t="s">
        <v>36</v>
      </c>
      <c r="Q336" s="61"/>
      <c r="R336" s="62"/>
      <c r="S336" s="78">
        <f t="shared" si="15"/>
        <v>1500</v>
      </c>
      <c r="T336" s="44" t="str">
        <f t="shared" si="16"/>
        <v>1500grams</v>
      </c>
      <c r="U336" s="77">
        <f t="shared" si="17"/>
        <v>397.5</v>
      </c>
      <c r="V336" s="46"/>
      <c r="W336" s="46"/>
      <c r="X336" s="46"/>
    </row>
    <row r="337" spans="1:24" ht="15.75" customHeight="1" thickBot="1" x14ac:dyDescent="0.35">
      <c r="A337" s="2">
        <v>108</v>
      </c>
      <c r="B337" s="67" t="s">
        <v>150</v>
      </c>
      <c r="C337" s="55"/>
      <c r="D337" s="41"/>
      <c r="E337" s="55"/>
      <c r="F337" s="55"/>
      <c r="G337" s="55"/>
      <c r="H337" s="51"/>
      <c r="I337" s="52"/>
      <c r="J337" s="74" t="s">
        <v>1019</v>
      </c>
      <c r="K337" s="57"/>
      <c r="L337" s="75">
        <v>118.75</v>
      </c>
      <c r="M337" s="60">
        <v>2</v>
      </c>
      <c r="N337" s="76">
        <v>400</v>
      </c>
      <c r="O337" s="42"/>
      <c r="P337" s="58" t="s">
        <v>36</v>
      </c>
      <c r="Q337" s="61"/>
      <c r="R337" s="62"/>
      <c r="S337" s="78">
        <f t="shared" si="15"/>
        <v>800</v>
      </c>
      <c r="T337" s="44" t="str">
        <f t="shared" si="16"/>
        <v>800grams</v>
      </c>
      <c r="U337" s="77">
        <f t="shared" si="17"/>
        <v>237.5</v>
      </c>
      <c r="V337" s="50"/>
      <c r="W337" s="54"/>
      <c r="X337" s="39"/>
    </row>
    <row r="338" spans="1:24" ht="15.75" customHeight="1" thickBot="1" x14ac:dyDescent="0.35">
      <c r="A338" s="2">
        <v>108</v>
      </c>
      <c r="B338" s="67" t="s">
        <v>150</v>
      </c>
      <c r="C338" s="55"/>
      <c r="D338" s="41"/>
      <c r="E338" s="55"/>
      <c r="F338" s="55"/>
      <c r="G338" s="55"/>
      <c r="H338" s="51"/>
      <c r="I338" s="52"/>
      <c r="J338" s="74" t="s">
        <v>1018</v>
      </c>
      <c r="K338" s="57"/>
      <c r="L338" s="75">
        <v>143</v>
      </c>
      <c r="M338" s="60">
        <v>1</v>
      </c>
      <c r="N338" s="76">
        <v>500</v>
      </c>
      <c r="O338" s="42"/>
      <c r="P338" s="58" t="s">
        <v>36</v>
      </c>
      <c r="Q338" s="61"/>
      <c r="R338" s="62"/>
      <c r="S338" s="78">
        <f t="shared" si="15"/>
        <v>500</v>
      </c>
      <c r="T338" s="44" t="str">
        <f t="shared" si="16"/>
        <v>500grams</v>
      </c>
      <c r="U338" s="77">
        <f t="shared" si="17"/>
        <v>143</v>
      </c>
      <c r="V338" s="46"/>
      <c r="W338" s="46"/>
      <c r="X338" s="46"/>
    </row>
    <row r="339" spans="1:24" ht="15.75" customHeight="1" thickBot="1" x14ac:dyDescent="0.35">
      <c r="A339" s="2">
        <v>108</v>
      </c>
      <c r="B339" s="67" t="s">
        <v>150</v>
      </c>
      <c r="C339" s="55"/>
      <c r="D339" s="41"/>
      <c r="E339" s="55"/>
      <c r="F339" s="55"/>
      <c r="G339" s="55"/>
      <c r="H339" s="51"/>
      <c r="I339" s="52"/>
      <c r="J339" s="74" t="s">
        <v>874</v>
      </c>
      <c r="K339" s="57"/>
      <c r="L339" s="75">
        <v>150</v>
      </c>
      <c r="M339" s="60">
        <v>1</v>
      </c>
      <c r="N339" s="76">
        <v>1000</v>
      </c>
      <c r="O339" s="42"/>
      <c r="P339" s="58" t="s">
        <v>88</v>
      </c>
      <c r="Q339" s="61"/>
      <c r="R339" s="62"/>
      <c r="S339" s="78">
        <f t="shared" si="15"/>
        <v>1000</v>
      </c>
      <c r="T339" s="44" t="str">
        <f t="shared" si="16"/>
        <v>1000kilos</v>
      </c>
      <c r="U339" s="77">
        <f t="shared" si="17"/>
        <v>150</v>
      </c>
      <c r="V339" s="46"/>
      <c r="W339" s="46"/>
      <c r="X339" s="46"/>
    </row>
    <row r="340" spans="1:24" ht="15.75" customHeight="1" thickBot="1" x14ac:dyDescent="0.35">
      <c r="A340" s="2">
        <v>108</v>
      </c>
      <c r="B340" s="67" t="s">
        <v>150</v>
      </c>
      <c r="C340" s="55"/>
      <c r="D340" s="41"/>
      <c r="E340" s="55"/>
      <c r="F340" s="55"/>
      <c r="G340" s="55"/>
      <c r="H340" s="51"/>
      <c r="I340" s="52"/>
      <c r="J340" s="74" t="s">
        <v>1020</v>
      </c>
      <c r="K340" s="57"/>
      <c r="L340" s="75">
        <v>125</v>
      </c>
      <c r="M340" s="60">
        <v>1</v>
      </c>
      <c r="N340" s="76">
        <v>1000</v>
      </c>
      <c r="O340" s="42"/>
      <c r="P340" s="58" t="s">
        <v>36</v>
      </c>
      <c r="Q340" s="61"/>
      <c r="R340" s="62"/>
      <c r="S340" s="78">
        <f t="shared" si="15"/>
        <v>1000</v>
      </c>
      <c r="T340" s="44" t="str">
        <f t="shared" si="16"/>
        <v>1000grams</v>
      </c>
      <c r="U340" s="77">
        <f t="shared" si="17"/>
        <v>125</v>
      </c>
      <c r="V340" s="50"/>
      <c r="W340" s="54"/>
      <c r="X340" s="39"/>
    </row>
    <row r="341" spans="1:24" ht="15.75" customHeight="1" thickBot="1" x14ac:dyDescent="0.35">
      <c r="A341" s="2">
        <v>108</v>
      </c>
      <c r="B341" s="67" t="s">
        <v>150</v>
      </c>
      <c r="C341" s="55"/>
      <c r="D341" s="41"/>
      <c r="E341" s="55"/>
      <c r="F341" s="55"/>
      <c r="G341" s="55"/>
      <c r="H341" s="51"/>
      <c r="I341" s="52"/>
      <c r="J341" s="74" t="s">
        <v>1021</v>
      </c>
      <c r="K341" s="57"/>
      <c r="L341" s="75">
        <v>90.73</v>
      </c>
      <c r="M341" s="60">
        <v>3</v>
      </c>
      <c r="N341" s="76">
        <v>500</v>
      </c>
      <c r="O341" s="42"/>
      <c r="P341" s="58" t="s">
        <v>36</v>
      </c>
      <c r="Q341" s="61"/>
      <c r="R341" s="62"/>
      <c r="S341" s="78">
        <f t="shared" si="15"/>
        <v>1500</v>
      </c>
      <c r="T341" s="44" t="str">
        <f t="shared" si="16"/>
        <v>1500grams</v>
      </c>
      <c r="U341" s="77">
        <f t="shared" si="17"/>
        <v>272.19</v>
      </c>
      <c r="V341" s="46"/>
      <c r="W341" s="46"/>
      <c r="X341" s="46"/>
    </row>
    <row r="342" spans="1:24" ht="15.75" customHeight="1" thickBot="1" x14ac:dyDescent="0.35">
      <c r="A342" s="2">
        <v>108</v>
      </c>
      <c r="B342" s="67" t="s">
        <v>150</v>
      </c>
      <c r="C342" s="55"/>
      <c r="D342" s="41"/>
      <c r="E342" s="55"/>
      <c r="F342" s="55"/>
      <c r="G342" s="55"/>
      <c r="H342" s="51"/>
      <c r="I342" s="52"/>
      <c r="J342" s="74" t="s">
        <v>1021</v>
      </c>
      <c r="K342" s="57"/>
      <c r="L342" s="75">
        <v>90.73</v>
      </c>
      <c r="M342" s="60">
        <v>30</v>
      </c>
      <c r="N342" s="76">
        <v>500</v>
      </c>
      <c r="O342" s="42"/>
      <c r="P342" s="58" t="s">
        <v>36</v>
      </c>
      <c r="Q342" s="61"/>
      <c r="R342" s="62"/>
      <c r="S342" s="78">
        <f t="shared" si="15"/>
        <v>15000</v>
      </c>
      <c r="T342" s="44" t="str">
        <f t="shared" si="16"/>
        <v>15000grams</v>
      </c>
      <c r="U342" s="77">
        <f t="shared" si="17"/>
        <v>2721.9</v>
      </c>
      <c r="V342" s="46"/>
      <c r="W342" s="46"/>
      <c r="X342" s="46"/>
    </row>
    <row r="343" spans="1:24" ht="15.75" customHeight="1" thickBot="1" x14ac:dyDescent="0.35">
      <c r="A343" s="2">
        <v>109</v>
      </c>
      <c r="B343" s="67" t="s">
        <v>155</v>
      </c>
      <c r="C343" s="55"/>
      <c r="D343" s="41"/>
      <c r="E343" s="55"/>
      <c r="F343" s="55"/>
      <c r="G343" s="55"/>
      <c r="H343" s="51"/>
      <c r="I343" s="52"/>
      <c r="J343" s="74"/>
      <c r="K343" s="57"/>
      <c r="L343" s="75">
        <v>225</v>
      </c>
      <c r="M343" s="60">
        <v>0</v>
      </c>
      <c r="N343" s="76">
        <v>1</v>
      </c>
      <c r="O343" s="42"/>
      <c r="P343" s="58" t="s">
        <v>88</v>
      </c>
      <c r="Q343" s="61"/>
      <c r="R343" s="62"/>
      <c r="S343" s="78">
        <f t="shared" si="15"/>
        <v>0</v>
      </c>
      <c r="T343" s="44" t="str">
        <f t="shared" si="16"/>
        <v>0kilos</v>
      </c>
      <c r="U343" s="77">
        <f t="shared" si="17"/>
        <v>0</v>
      </c>
      <c r="V343" s="46"/>
      <c r="W343" s="46"/>
      <c r="X343" s="46"/>
    </row>
    <row r="344" spans="1:24" ht="15.75" customHeight="1" thickBot="1" x14ac:dyDescent="0.35">
      <c r="A344" s="2">
        <v>109</v>
      </c>
      <c r="B344" s="67" t="s">
        <v>155</v>
      </c>
      <c r="C344" s="55"/>
      <c r="D344" s="41"/>
      <c r="E344" s="55"/>
      <c r="F344" s="55"/>
      <c r="G344" s="55"/>
      <c r="H344" s="51"/>
      <c r="I344" s="52"/>
      <c r="J344" s="74"/>
      <c r="K344" s="57"/>
      <c r="L344" s="75">
        <v>70</v>
      </c>
      <c r="M344" s="60">
        <v>3</v>
      </c>
      <c r="N344" s="76">
        <v>1</v>
      </c>
      <c r="O344" s="42"/>
      <c r="P344" s="58" t="s">
        <v>88</v>
      </c>
      <c r="Q344" s="61"/>
      <c r="R344" s="62"/>
      <c r="S344" s="78">
        <f t="shared" si="15"/>
        <v>3</v>
      </c>
      <c r="T344" s="44" t="str">
        <f t="shared" si="16"/>
        <v>3kilos</v>
      </c>
      <c r="U344" s="77">
        <f t="shared" si="17"/>
        <v>210</v>
      </c>
      <c r="V344" s="50"/>
      <c r="W344" s="54"/>
      <c r="X344" s="39"/>
    </row>
    <row r="345" spans="1:24" ht="15.75" customHeight="1" thickBot="1" x14ac:dyDescent="0.35">
      <c r="A345" s="2">
        <v>109</v>
      </c>
      <c r="B345" s="67" t="s">
        <v>155</v>
      </c>
      <c r="C345" s="55"/>
      <c r="D345" s="41"/>
      <c r="E345" s="55"/>
      <c r="F345" s="55"/>
      <c r="G345" s="55"/>
      <c r="H345" s="51"/>
      <c r="I345" s="52"/>
      <c r="J345" s="74"/>
      <c r="K345" s="57"/>
      <c r="L345" s="75">
        <v>120</v>
      </c>
      <c r="M345" s="60">
        <v>2</v>
      </c>
      <c r="N345" s="76">
        <v>1000</v>
      </c>
      <c r="O345" s="42"/>
      <c r="P345" s="58" t="s">
        <v>36</v>
      </c>
      <c r="Q345" s="61"/>
      <c r="R345" s="62"/>
      <c r="S345" s="78">
        <f t="shared" si="15"/>
        <v>2000</v>
      </c>
      <c r="T345" s="44" t="str">
        <f t="shared" si="16"/>
        <v>2000grams</v>
      </c>
      <c r="U345" s="77">
        <f t="shared" si="17"/>
        <v>240</v>
      </c>
      <c r="V345" s="46"/>
      <c r="W345" s="46"/>
      <c r="X345" s="46"/>
    </row>
    <row r="346" spans="1:24" ht="15.75" customHeight="1" thickBot="1" x14ac:dyDescent="0.35">
      <c r="A346" s="2">
        <v>109</v>
      </c>
      <c r="B346" s="67" t="s">
        <v>155</v>
      </c>
      <c r="C346" s="55"/>
      <c r="D346" s="41"/>
      <c r="E346" s="55"/>
      <c r="F346" s="55"/>
      <c r="G346" s="55"/>
      <c r="H346" s="51"/>
      <c r="I346" s="52"/>
      <c r="J346" s="74"/>
      <c r="K346" s="57"/>
      <c r="L346" s="75">
        <v>35</v>
      </c>
      <c r="M346" s="60">
        <v>3</v>
      </c>
      <c r="N346" s="76">
        <v>1000</v>
      </c>
      <c r="O346" s="42"/>
      <c r="P346" s="58" t="s">
        <v>36</v>
      </c>
      <c r="Q346" s="61"/>
      <c r="R346" s="62"/>
      <c r="S346" s="78">
        <f t="shared" si="15"/>
        <v>3000</v>
      </c>
      <c r="T346" s="44" t="str">
        <f t="shared" si="16"/>
        <v>3000grams</v>
      </c>
      <c r="U346" s="77">
        <f t="shared" si="17"/>
        <v>105</v>
      </c>
      <c r="V346" s="46"/>
      <c r="W346" s="46"/>
      <c r="X346" s="46"/>
    </row>
    <row r="347" spans="1:24" ht="15.75" customHeight="1" thickBot="1" x14ac:dyDescent="0.35">
      <c r="A347" s="2">
        <v>109</v>
      </c>
      <c r="B347" s="67" t="s">
        <v>155</v>
      </c>
      <c r="C347" s="55"/>
      <c r="D347" s="41"/>
      <c r="E347" s="55"/>
      <c r="F347" s="55"/>
      <c r="G347" s="55"/>
      <c r="H347" s="51"/>
      <c r="I347" s="52"/>
      <c r="J347" s="74"/>
      <c r="K347" s="57"/>
      <c r="L347" s="75">
        <v>160</v>
      </c>
      <c r="M347" s="60">
        <v>2</v>
      </c>
      <c r="N347" s="76">
        <v>1000</v>
      </c>
      <c r="O347" s="42"/>
      <c r="P347" s="58" t="s">
        <v>36</v>
      </c>
      <c r="Q347" s="61"/>
      <c r="R347" s="62"/>
      <c r="S347" s="78">
        <f t="shared" si="15"/>
        <v>2000</v>
      </c>
      <c r="T347" s="44" t="str">
        <f t="shared" si="16"/>
        <v>2000grams</v>
      </c>
      <c r="U347" s="77">
        <f t="shared" si="17"/>
        <v>320</v>
      </c>
      <c r="V347" s="46"/>
      <c r="W347" s="46"/>
      <c r="X347" s="46"/>
    </row>
    <row r="348" spans="1:24" ht="15.75" customHeight="1" thickBot="1" x14ac:dyDescent="0.35">
      <c r="A348" s="2">
        <v>109</v>
      </c>
      <c r="B348" s="67" t="s">
        <v>155</v>
      </c>
      <c r="C348" s="55"/>
      <c r="D348" s="41"/>
      <c r="E348" s="55"/>
      <c r="F348" s="55"/>
      <c r="G348" s="55"/>
      <c r="H348" s="51"/>
      <c r="I348" s="52"/>
      <c r="J348" s="74" t="s">
        <v>1022</v>
      </c>
      <c r="K348" s="57"/>
      <c r="L348" s="75">
        <v>190</v>
      </c>
      <c r="M348" s="60">
        <v>4</v>
      </c>
      <c r="N348" s="76">
        <v>1000</v>
      </c>
      <c r="O348" s="42"/>
      <c r="P348" s="58" t="s">
        <v>88</v>
      </c>
      <c r="Q348" s="61"/>
      <c r="R348" s="62"/>
      <c r="S348" s="78">
        <f t="shared" si="15"/>
        <v>4000</v>
      </c>
      <c r="T348" s="44" t="str">
        <f t="shared" si="16"/>
        <v>4000kilos</v>
      </c>
      <c r="U348" s="77">
        <f t="shared" si="17"/>
        <v>760</v>
      </c>
      <c r="V348" s="20"/>
      <c r="W348" s="20"/>
      <c r="X348" s="20"/>
    </row>
    <row r="349" spans="1:24" ht="15.75" customHeight="1" thickBot="1" x14ac:dyDescent="0.35">
      <c r="A349" s="2">
        <v>110</v>
      </c>
      <c r="B349" s="68" t="s">
        <v>1023</v>
      </c>
      <c r="C349" s="55"/>
      <c r="D349" s="41"/>
      <c r="E349" s="55"/>
      <c r="F349" s="55"/>
      <c r="G349" s="55"/>
      <c r="H349" s="51"/>
      <c r="I349" s="52"/>
      <c r="J349" s="74" t="s">
        <v>1024</v>
      </c>
      <c r="K349" s="57"/>
      <c r="L349" s="75">
        <v>90</v>
      </c>
      <c r="M349" s="60">
        <v>4</v>
      </c>
      <c r="N349" s="76">
        <v>1</v>
      </c>
      <c r="O349" s="42"/>
      <c r="P349" s="58" t="s">
        <v>1025</v>
      </c>
      <c r="Q349" s="61"/>
      <c r="R349" s="62"/>
      <c r="S349" s="78">
        <f t="shared" si="15"/>
        <v>4</v>
      </c>
      <c r="T349" s="44" t="str">
        <f t="shared" si="16"/>
        <v>4pouch</v>
      </c>
      <c r="U349" s="77">
        <f t="shared" si="17"/>
        <v>360</v>
      </c>
      <c r="V349" s="46"/>
      <c r="W349" s="46"/>
      <c r="X349" s="46"/>
    </row>
    <row r="350" spans="1:24" ht="15.75" customHeight="1" thickBot="1" x14ac:dyDescent="0.35">
      <c r="A350" s="2">
        <v>110</v>
      </c>
      <c r="B350" s="68" t="s">
        <v>1023</v>
      </c>
      <c r="C350" s="55"/>
      <c r="D350" s="41"/>
      <c r="E350" s="55"/>
      <c r="F350" s="55"/>
      <c r="G350" s="55"/>
      <c r="H350" s="51"/>
      <c r="I350" s="52"/>
      <c r="J350" s="74" t="s">
        <v>1024</v>
      </c>
      <c r="K350" s="57"/>
      <c r="L350" s="75">
        <v>245</v>
      </c>
      <c r="M350" s="60">
        <v>4</v>
      </c>
      <c r="N350" s="76">
        <v>1</v>
      </c>
      <c r="O350" s="42"/>
      <c r="P350" s="58" t="s">
        <v>1026</v>
      </c>
      <c r="Q350" s="61"/>
      <c r="R350" s="62"/>
      <c r="S350" s="78">
        <f t="shared" si="15"/>
        <v>4</v>
      </c>
      <c r="T350" s="44" t="str">
        <f t="shared" si="16"/>
        <v>4jar</v>
      </c>
      <c r="U350" s="77">
        <f t="shared" si="17"/>
        <v>980</v>
      </c>
      <c r="V350" s="50"/>
      <c r="W350" s="54"/>
      <c r="X350" s="39"/>
    </row>
    <row r="351" spans="1:24" ht="15.75" customHeight="1" thickBot="1" x14ac:dyDescent="0.35">
      <c r="A351" s="2">
        <v>111</v>
      </c>
      <c r="B351" s="67" t="s">
        <v>1027</v>
      </c>
      <c r="C351" s="55"/>
      <c r="D351" s="41"/>
      <c r="E351" s="55"/>
      <c r="F351" s="55"/>
      <c r="G351" s="55"/>
      <c r="H351" s="51"/>
      <c r="I351" s="52"/>
      <c r="J351" s="74" t="s">
        <v>1028</v>
      </c>
      <c r="K351" s="57"/>
      <c r="L351" s="75">
        <v>98</v>
      </c>
      <c r="M351" s="60">
        <v>5</v>
      </c>
      <c r="N351" s="76">
        <v>80</v>
      </c>
      <c r="O351" s="42"/>
      <c r="P351" s="58" t="s">
        <v>36</v>
      </c>
      <c r="Q351" s="61"/>
      <c r="R351" s="62"/>
      <c r="S351" s="78">
        <f t="shared" si="15"/>
        <v>400</v>
      </c>
      <c r="T351" s="44" t="str">
        <f t="shared" si="16"/>
        <v>400grams</v>
      </c>
      <c r="U351" s="77">
        <f t="shared" si="17"/>
        <v>490</v>
      </c>
      <c r="V351" s="46"/>
      <c r="W351" s="46"/>
      <c r="X351" s="46"/>
    </row>
    <row r="352" spans="1:24" ht="15.75" customHeight="1" thickBot="1" x14ac:dyDescent="0.35">
      <c r="A352" s="2">
        <v>112</v>
      </c>
      <c r="B352" s="67" t="s">
        <v>1029</v>
      </c>
      <c r="C352" s="55"/>
      <c r="D352" s="41"/>
      <c r="E352" s="55"/>
      <c r="F352" s="55"/>
      <c r="G352" s="55"/>
      <c r="H352" s="51"/>
      <c r="I352" s="52"/>
      <c r="J352" s="74" t="s">
        <v>70</v>
      </c>
      <c r="K352" s="57"/>
      <c r="L352" s="75">
        <v>65</v>
      </c>
      <c r="M352" s="60">
        <v>2</v>
      </c>
      <c r="N352" s="76">
        <v>1000</v>
      </c>
      <c r="O352" s="42"/>
      <c r="P352" s="58" t="s">
        <v>88</v>
      </c>
      <c r="Q352" s="61"/>
      <c r="R352" s="62"/>
      <c r="S352" s="78">
        <f t="shared" si="15"/>
        <v>2000</v>
      </c>
      <c r="T352" s="44" t="str">
        <f t="shared" si="16"/>
        <v>2000kilos</v>
      </c>
      <c r="U352" s="77">
        <f t="shared" si="17"/>
        <v>130</v>
      </c>
      <c r="V352" s="46"/>
      <c r="W352" s="46"/>
      <c r="X352" s="46"/>
    </row>
    <row r="353" spans="1:24" ht="15.75" customHeight="1" thickBot="1" x14ac:dyDescent="0.35">
      <c r="A353" s="2">
        <v>112</v>
      </c>
      <c r="B353" s="67" t="s">
        <v>1029</v>
      </c>
      <c r="C353" s="55"/>
      <c r="D353" s="41"/>
      <c r="E353" s="55"/>
      <c r="F353" s="55"/>
      <c r="G353" s="55"/>
      <c r="H353" s="51"/>
      <c r="I353" s="52"/>
      <c r="J353" s="74" t="s">
        <v>1030</v>
      </c>
      <c r="K353" s="57"/>
      <c r="L353" s="75">
        <v>65</v>
      </c>
      <c r="M353" s="60">
        <v>5</v>
      </c>
      <c r="N353" s="76">
        <v>1</v>
      </c>
      <c r="O353" s="42"/>
      <c r="P353" s="58" t="s">
        <v>88</v>
      </c>
      <c r="Q353" s="61"/>
      <c r="R353" s="62"/>
      <c r="S353" s="78">
        <f t="shared" si="15"/>
        <v>5</v>
      </c>
      <c r="T353" s="44" t="str">
        <f t="shared" si="16"/>
        <v>5kilos</v>
      </c>
      <c r="U353" s="77">
        <f t="shared" si="17"/>
        <v>325</v>
      </c>
      <c r="V353" s="46"/>
      <c r="W353" s="46"/>
      <c r="X353" s="46"/>
    </row>
    <row r="354" spans="1:24" ht="15.75" customHeight="1" thickBot="1" x14ac:dyDescent="0.35">
      <c r="A354" s="2">
        <v>113</v>
      </c>
      <c r="B354" s="67" t="s">
        <v>156</v>
      </c>
      <c r="C354" s="55"/>
      <c r="D354" s="41"/>
      <c r="E354" s="55"/>
      <c r="F354" s="55"/>
      <c r="G354" s="55"/>
      <c r="H354" s="51"/>
      <c r="I354" s="52"/>
      <c r="J354" s="74"/>
      <c r="K354" s="57"/>
      <c r="L354" s="75">
        <v>44</v>
      </c>
      <c r="M354" s="60">
        <v>4</v>
      </c>
      <c r="N354" s="76">
        <v>1</v>
      </c>
      <c r="O354" s="42"/>
      <c r="P354" s="58" t="s">
        <v>88</v>
      </c>
      <c r="Q354" s="61"/>
      <c r="R354" s="62"/>
      <c r="S354" s="78">
        <f t="shared" si="15"/>
        <v>4</v>
      </c>
      <c r="T354" s="44" t="str">
        <f t="shared" si="16"/>
        <v>4kilos</v>
      </c>
      <c r="U354" s="77">
        <f t="shared" si="17"/>
        <v>176</v>
      </c>
      <c r="V354" s="46"/>
      <c r="W354" s="46"/>
      <c r="X354" s="46"/>
    </row>
    <row r="355" spans="1:24" ht="15.75" customHeight="1" thickBot="1" x14ac:dyDescent="0.35">
      <c r="A355" s="2">
        <v>113</v>
      </c>
      <c r="B355" s="67" t="s">
        <v>156</v>
      </c>
      <c r="C355" s="55"/>
      <c r="D355" s="41"/>
      <c r="E355" s="55"/>
      <c r="F355" s="55"/>
      <c r="G355" s="55"/>
      <c r="H355" s="51"/>
      <c r="I355" s="52"/>
      <c r="J355" s="74"/>
      <c r="K355" s="57"/>
      <c r="L355" s="75">
        <v>65</v>
      </c>
      <c r="M355" s="60">
        <v>5</v>
      </c>
      <c r="N355" s="76">
        <v>1000</v>
      </c>
      <c r="O355" s="42"/>
      <c r="P355" s="58" t="s">
        <v>36</v>
      </c>
      <c r="Q355" s="61"/>
      <c r="R355" s="62"/>
      <c r="S355" s="78">
        <f t="shared" si="15"/>
        <v>5000</v>
      </c>
      <c r="T355" s="44" t="str">
        <f t="shared" si="16"/>
        <v>5000grams</v>
      </c>
      <c r="U355" s="77">
        <f t="shared" si="17"/>
        <v>325</v>
      </c>
      <c r="V355" s="50"/>
      <c r="W355" s="54"/>
      <c r="X355" s="39"/>
    </row>
    <row r="356" spans="1:24" ht="15.75" customHeight="1" thickBot="1" x14ac:dyDescent="0.35">
      <c r="A356" s="2">
        <v>114</v>
      </c>
      <c r="B356" s="67" t="s">
        <v>157</v>
      </c>
      <c r="C356" s="55"/>
      <c r="D356" s="41"/>
      <c r="E356" s="55"/>
      <c r="F356" s="55"/>
      <c r="G356" s="55"/>
      <c r="H356" s="51"/>
      <c r="I356" s="52"/>
      <c r="J356" s="74" t="s">
        <v>1031</v>
      </c>
      <c r="K356" s="57"/>
      <c r="L356" s="75">
        <v>88</v>
      </c>
      <c r="M356" s="60">
        <v>2</v>
      </c>
      <c r="N356" s="76">
        <v>3500</v>
      </c>
      <c r="O356" s="42"/>
      <c r="P356" s="58" t="s">
        <v>47</v>
      </c>
      <c r="Q356" s="61"/>
      <c r="R356" s="62"/>
      <c r="S356" s="78">
        <f t="shared" si="15"/>
        <v>7000</v>
      </c>
      <c r="T356" s="44" t="str">
        <f t="shared" si="16"/>
        <v>7000ml</v>
      </c>
      <c r="U356" s="77">
        <f t="shared" si="17"/>
        <v>176</v>
      </c>
      <c r="V356" s="46"/>
      <c r="W356" s="46"/>
      <c r="X356" s="46"/>
    </row>
    <row r="357" spans="1:24" ht="15.75" customHeight="1" thickBot="1" x14ac:dyDescent="0.35">
      <c r="A357" s="2">
        <v>114</v>
      </c>
      <c r="B357" s="67" t="s">
        <v>157</v>
      </c>
      <c r="C357" s="55"/>
      <c r="D357" s="41"/>
      <c r="E357" s="55"/>
      <c r="F357" s="55"/>
      <c r="G357" s="55"/>
      <c r="H357" s="51"/>
      <c r="I357" s="52"/>
      <c r="J357" s="74" t="s">
        <v>1031</v>
      </c>
      <c r="K357" s="57"/>
      <c r="L357" s="75">
        <v>88</v>
      </c>
      <c r="M357" s="60">
        <v>11</v>
      </c>
      <c r="N357" s="76">
        <v>3500</v>
      </c>
      <c r="O357" s="42"/>
      <c r="P357" s="58" t="s">
        <v>47</v>
      </c>
      <c r="Q357" s="61"/>
      <c r="R357" s="62"/>
      <c r="S357" s="78">
        <f t="shared" si="15"/>
        <v>38500</v>
      </c>
      <c r="T357" s="44" t="str">
        <f t="shared" si="16"/>
        <v>38500ml</v>
      </c>
      <c r="U357" s="77">
        <f t="shared" si="17"/>
        <v>968</v>
      </c>
      <c r="V357" s="46"/>
      <c r="W357" s="46"/>
      <c r="X357" s="46"/>
    </row>
    <row r="358" spans="1:24" ht="15.75" customHeight="1" thickBot="1" x14ac:dyDescent="0.35">
      <c r="A358" s="2">
        <v>114</v>
      </c>
      <c r="B358" s="67" t="s">
        <v>157</v>
      </c>
      <c r="C358" s="55"/>
      <c r="D358" s="41"/>
      <c r="E358" s="55"/>
      <c r="F358" s="55"/>
      <c r="G358" s="55"/>
      <c r="H358" s="51"/>
      <c r="I358" s="52"/>
      <c r="J358" s="74" t="s">
        <v>1032</v>
      </c>
      <c r="K358" s="57"/>
      <c r="L358" s="75">
        <v>228.7</v>
      </c>
      <c r="M358" s="60">
        <v>3</v>
      </c>
      <c r="N358" s="76">
        <v>4</v>
      </c>
      <c r="O358" s="42"/>
      <c r="P358" s="58" t="s">
        <v>685</v>
      </c>
      <c r="Q358" s="61"/>
      <c r="R358" s="62"/>
      <c r="S358" s="78">
        <f t="shared" si="15"/>
        <v>12</v>
      </c>
      <c r="T358" s="44" t="str">
        <f t="shared" si="16"/>
        <v>12liters</v>
      </c>
      <c r="U358" s="77">
        <f t="shared" si="17"/>
        <v>686.09999999999991</v>
      </c>
      <c r="V358" s="46"/>
      <c r="W358" s="46"/>
      <c r="X358" s="46"/>
    </row>
    <row r="359" spans="1:24" ht="15.75" customHeight="1" thickBot="1" x14ac:dyDescent="0.35">
      <c r="A359" s="2">
        <v>114</v>
      </c>
      <c r="B359" s="68" t="s">
        <v>157</v>
      </c>
      <c r="C359" s="55"/>
      <c r="D359" s="41"/>
      <c r="E359" s="55"/>
      <c r="F359" s="55"/>
      <c r="G359" s="55"/>
      <c r="H359" s="51"/>
      <c r="I359" s="52"/>
      <c r="J359" s="74" t="s">
        <v>1031</v>
      </c>
      <c r="K359" s="57"/>
      <c r="L359" s="75">
        <v>88</v>
      </c>
      <c r="M359" s="60">
        <v>1</v>
      </c>
      <c r="N359" s="76">
        <v>3500</v>
      </c>
      <c r="O359" s="42"/>
      <c r="P359" s="58" t="s">
        <v>53</v>
      </c>
      <c r="Q359" s="61"/>
      <c r="R359" s="62"/>
      <c r="S359" s="78">
        <f t="shared" si="15"/>
        <v>3500</v>
      </c>
      <c r="T359" s="44" t="str">
        <f t="shared" si="16"/>
        <v>3500gal</v>
      </c>
      <c r="U359" s="77">
        <f t="shared" si="17"/>
        <v>88</v>
      </c>
      <c r="V359" s="46"/>
      <c r="W359" s="46"/>
      <c r="X359" s="46"/>
    </row>
    <row r="360" spans="1:24" ht="15.75" customHeight="1" thickBot="1" x14ac:dyDescent="0.35">
      <c r="A360" s="2">
        <v>114</v>
      </c>
      <c r="B360" s="67" t="s">
        <v>157</v>
      </c>
      <c r="C360" s="55"/>
      <c r="D360" s="41"/>
      <c r="E360" s="55"/>
      <c r="F360" s="55"/>
      <c r="G360" s="55"/>
      <c r="H360" s="51"/>
      <c r="I360" s="52"/>
      <c r="J360" s="74" t="s">
        <v>1031</v>
      </c>
      <c r="K360" s="57"/>
      <c r="L360" s="75">
        <v>80</v>
      </c>
      <c r="M360" s="60">
        <v>13</v>
      </c>
      <c r="N360" s="76">
        <v>3500</v>
      </c>
      <c r="O360" s="42"/>
      <c r="P360" s="58" t="s">
        <v>53</v>
      </c>
      <c r="Q360" s="61"/>
      <c r="R360" s="62"/>
      <c r="S360" s="78">
        <f t="shared" si="15"/>
        <v>45500</v>
      </c>
      <c r="T360" s="44" t="str">
        <f t="shared" si="16"/>
        <v>45500gal</v>
      </c>
      <c r="U360" s="77">
        <f t="shared" si="17"/>
        <v>1040</v>
      </c>
      <c r="V360" s="46"/>
      <c r="W360" s="46"/>
      <c r="X360" s="46"/>
    </row>
    <row r="361" spans="1:24" ht="15.75" customHeight="1" thickBot="1" x14ac:dyDescent="0.35">
      <c r="A361" s="2">
        <v>114</v>
      </c>
      <c r="B361" s="67" t="s">
        <v>157</v>
      </c>
      <c r="C361" s="55"/>
      <c r="D361" s="41"/>
      <c r="E361" s="55"/>
      <c r="F361" s="55"/>
      <c r="G361" s="55"/>
      <c r="H361" s="51"/>
      <c r="I361" s="52"/>
      <c r="J361" s="74" t="s">
        <v>1033</v>
      </c>
      <c r="K361" s="57"/>
      <c r="L361" s="75">
        <v>85</v>
      </c>
      <c r="M361" s="60">
        <v>8</v>
      </c>
      <c r="N361" s="76">
        <v>1</v>
      </c>
      <c r="O361" s="42"/>
      <c r="P361" s="58" t="s">
        <v>53</v>
      </c>
      <c r="Q361" s="61"/>
      <c r="R361" s="62"/>
      <c r="S361" s="78">
        <f t="shared" si="15"/>
        <v>8</v>
      </c>
      <c r="T361" s="44" t="str">
        <f t="shared" si="16"/>
        <v>8gal</v>
      </c>
      <c r="U361" s="77">
        <f t="shared" si="17"/>
        <v>680</v>
      </c>
      <c r="V361" s="50"/>
      <c r="W361" s="54"/>
      <c r="X361" s="39"/>
    </row>
    <row r="362" spans="1:24" ht="15.75" customHeight="1" thickBot="1" x14ac:dyDescent="0.35">
      <c r="A362" s="2">
        <v>114</v>
      </c>
      <c r="B362" s="68" t="s">
        <v>157</v>
      </c>
      <c r="C362" s="55"/>
      <c r="D362" s="41"/>
      <c r="E362" s="55"/>
      <c r="F362" s="55"/>
      <c r="G362" s="55"/>
      <c r="H362" s="51"/>
      <c r="I362" s="52"/>
      <c r="J362" s="74" t="s">
        <v>1031</v>
      </c>
      <c r="K362" s="57"/>
      <c r="L362" s="75">
        <v>76</v>
      </c>
      <c r="M362" s="60">
        <v>7</v>
      </c>
      <c r="N362" s="76">
        <v>3500</v>
      </c>
      <c r="O362" s="42"/>
      <c r="P362" s="58" t="s">
        <v>53</v>
      </c>
      <c r="Q362" s="61"/>
      <c r="R362" s="62"/>
      <c r="S362" s="78">
        <f t="shared" si="15"/>
        <v>24500</v>
      </c>
      <c r="T362" s="44" t="str">
        <f t="shared" si="16"/>
        <v>24500gal</v>
      </c>
      <c r="U362" s="77">
        <f t="shared" si="17"/>
        <v>532</v>
      </c>
      <c r="V362" s="20"/>
      <c r="W362" s="20"/>
      <c r="X362" s="20"/>
    </row>
    <row r="363" spans="1:24" ht="15.75" customHeight="1" thickBot="1" x14ac:dyDescent="0.35">
      <c r="A363" s="2">
        <v>115</v>
      </c>
      <c r="B363" s="67" t="s">
        <v>1034</v>
      </c>
      <c r="C363" s="55"/>
      <c r="D363" s="41"/>
      <c r="E363" s="55"/>
      <c r="F363" s="55"/>
      <c r="G363" s="55"/>
      <c r="H363" s="51"/>
      <c r="I363" s="52"/>
      <c r="J363" s="74"/>
      <c r="K363" s="57"/>
      <c r="L363" s="75">
        <v>100</v>
      </c>
      <c r="M363" s="60">
        <v>1</v>
      </c>
      <c r="N363" s="76">
        <v>1000</v>
      </c>
      <c r="O363" s="42"/>
      <c r="P363" s="58" t="s">
        <v>36</v>
      </c>
      <c r="Q363" s="61"/>
      <c r="R363" s="62"/>
      <c r="S363" s="78">
        <f t="shared" si="15"/>
        <v>1000</v>
      </c>
      <c r="T363" s="44" t="str">
        <f t="shared" si="16"/>
        <v>1000grams</v>
      </c>
      <c r="U363" s="77">
        <f t="shared" si="17"/>
        <v>100</v>
      </c>
      <c r="V363" s="46"/>
      <c r="W363" s="46"/>
      <c r="X363" s="46"/>
    </row>
    <row r="364" spans="1:24" ht="15.75" customHeight="1" thickBot="1" x14ac:dyDescent="0.35">
      <c r="A364" s="2">
        <v>115</v>
      </c>
      <c r="B364" s="67" t="s">
        <v>1034</v>
      </c>
      <c r="C364" s="55"/>
      <c r="D364" s="41"/>
      <c r="E364" s="55"/>
      <c r="F364" s="55"/>
      <c r="G364" s="55"/>
      <c r="H364" s="51"/>
      <c r="I364" s="52"/>
      <c r="J364" s="74"/>
      <c r="K364" s="57"/>
      <c r="L364" s="75">
        <v>160</v>
      </c>
      <c r="M364" s="60">
        <v>1</v>
      </c>
      <c r="N364" s="76">
        <v>1000</v>
      </c>
      <c r="O364" s="42"/>
      <c r="P364" s="58" t="s">
        <v>36</v>
      </c>
      <c r="Q364" s="61"/>
      <c r="R364" s="62"/>
      <c r="S364" s="78">
        <f t="shared" si="15"/>
        <v>1000</v>
      </c>
      <c r="T364" s="44" t="str">
        <f t="shared" si="16"/>
        <v>1000grams</v>
      </c>
      <c r="U364" s="77">
        <f t="shared" si="17"/>
        <v>160</v>
      </c>
      <c r="V364" s="20"/>
      <c r="W364" s="20"/>
      <c r="X364" s="20"/>
    </row>
    <row r="365" spans="1:24" ht="15.75" customHeight="1" thickBot="1" x14ac:dyDescent="0.35">
      <c r="A365" s="2">
        <v>115</v>
      </c>
      <c r="B365" s="67" t="s">
        <v>1034</v>
      </c>
      <c r="C365" s="55"/>
      <c r="D365" s="41"/>
      <c r="E365" s="55"/>
      <c r="F365" s="55"/>
      <c r="G365" s="55"/>
      <c r="H365" s="51"/>
      <c r="I365" s="52"/>
      <c r="J365" s="74"/>
      <c r="K365" s="57"/>
      <c r="L365" s="75">
        <v>235</v>
      </c>
      <c r="M365" s="60">
        <v>1</v>
      </c>
      <c r="N365" s="76">
        <v>1000</v>
      </c>
      <c r="O365" s="42"/>
      <c r="P365" s="58" t="s">
        <v>36</v>
      </c>
      <c r="Q365" s="61"/>
      <c r="R365" s="62"/>
      <c r="S365" s="78">
        <f t="shared" si="15"/>
        <v>1000</v>
      </c>
      <c r="T365" s="44" t="str">
        <f t="shared" si="16"/>
        <v>1000grams</v>
      </c>
      <c r="U365" s="77">
        <f t="shared" si="17"/>
        <v>235</v>
      </c>
      <c r="V365" s="46"/>
      <c r="W365" s="46"/>
      <c r="X365" s="46"/>
    </row>
    <row r="366" spans="1:24" ht="15.75" customHeight="1" thickBot="1" x14ac:dyDescent="0.35">
      <c r="A366" s="2">
        <v>116</v>
      </c>
      <c r="B366" s="68" t="s">
        <v>1035</v>
      </c>
      <c r="C366" s="55"/>
      <c r="D366" s="41"/>
      <c r="E366" s="55"/>
      <c r="F366" s="55"/>
      <c r="G366" s="55"/>
      <c r="H366" s="51"/>
      <c r="I366" s="52"/>
      <c r="J366" s="74" t="s">
        <v>1036</v>
      </c>
      <c r="K366" s="57"/>
      <c r="L366" s="75">
        <v>18.5</v>
      </c>
      <c r="M366" s="60">
        <v>4</v>
      </c>
      <c r="N366" s="76">
        <v>30</v>
      </c>
      <c r="O366" s="42"/>
      <c r="P366" s="58" t="s">
        <v>36</v>
      </c>
      <c r="Q366" s="61"/>
      <c r="R366" s="62"/>
      <c r="S366" s="78">
        <f t="shared" si="15"/>
        <v>120</v>
      </c>
      <c r="T366" s="44" t="str">
        <f t="shared" si="16"/>
        <v>120grams</v>
      </c>
      <c r="U366" s="77">
        <f t="shared" si="17"/>
        <v>74</v>
      </c>
      <c r="V366" s="46"/>
      <c r="W366" s="46"/>
      <c r="X366" s="46"/>
    </row>
    <row r="367" spans="1:24" ht="15.75" customHeight="1" thickBot="1" x14ac:dyDescent="0.35">
      <c r="A367" s="2">
        <v>117</v>
      </c>
      <c r="B367" s="67" t="s">
        <v>159</v>
      </c>
      <c r="C367" s="55"/>
      <c r="D367" s="41"/>
      <c r="E367" s="55"/>
      <c r="F367" s="55"/>
      <c r="G367" s="55"/>
      <c r="H367" s="51"/>
      <c r="I367" s="52"/>
      <c r="J367" s="74" t="s">
        <v>816</v>
      </c>
      <c r="K367" s="57"/>
      <c r="L367" s="75">
        <v>69</v>
      </c>
      <c r="M367" s="60">
        <v>1</v>
      </c>
      <c r="N367" s="76">
        <v>26</v>
      </c>
      <c r="O367" s="42"/>
      <c r="P367" s="58" t="s">
        <v>36</v>
      </c>
      <c r="Q367" s="61"/>
      <c r="R367" s="62"/>
      <c r="S367" s="78">
        <f t="shared" si="15"/>
        <v>26</v>
      </c>
      <c r="T367" s="44" t="str">
        <f t="shared" si="16"/>
        <v>26grams</v>
      </c>
      <c r="U367" s="77">
        <f t="shared" si="17"/>
        <v>69</v>
      </c>
      <c r="V367" s="50"/>
      <c r="W367" s="50"/>
      <c r="X367" s="39"/>
    </row>
    <row r="368" spans="1:24" ht="15.75" customHeight="1" thickBot="1" x14ac:dyDescent="0.35">
      <c r="A368" s="2">
        <v>117</v>
      </c>
      <c r="B368" s="68" t="s">
        <v>159</v>
      </c>
      <c r="C368" s="55"/>
      <c r="D368" s="41"/>
      <c r="E368" s="55"/>
      <c r="F368" s="55"/>
      <c r="G368" s="55"/>
      <c r="H368" s="51"/>
      <c r="I368" s="52"/>
      <c r="J368" s="74" t="s">
        <v>816</v>
      </c>
      <c r="K368" s="57"/>
      <c r="L368" s="75">
        <v>65.5</v>
      </c>
      <c r="M368" s="60">
        <v>2</v>
      </c>
      <c r="N368" s="76">
        <v>26</v>
      </c>
      <c r="O368" s="42"/>
      <c r="P368" s="58" t="s">
        <v>36</v>
      </c>
      <c r="Q368" s="61"/>
      <c r="R368" s="62"/>
      <c r="S368" s="78">
        <f t="shared" si="15"/>
        <v>52</v>
      </c>
      <c r="T368" s="44" t="str">
        <f t="shared" si="16"/>
        <v>52grams</v>
      </c>
      <c r="U368" s="77">
        <f t="shared" si="17"/>
        <v>131</v>
      </c>
      <c r="V368" s="46"/>
      <c r="W368" s="46"/>
      <c r="X368" s="46"/>
    </row>
    <row r="369" spans="1:24" ht="15.75" customHeight="1" thickBot="1" x14ac:dyDescent="0.35">
      <c r="A369" s="2">
        <v>118</v>
      </c>
      <c r="B369" s="67" t="s">
        <v>1037</v>
      </c>
      <c r="C369" s="55"/>
      <c r="D369" s="41"/>
      <c r="E369" s="55"/>
      <c r="F369" s="55"/>
      <c r="G369" s="55"/>
      <c r="H369" s="51"/>
      <c r="I369" s="52"/>
      <c r="J369" s="74" t="s">
        <v>1038</v>
      </c>
      <c r="K369" s="57"/>
      <c r="L369" s="75">
        <v>8.6999999999999993</v>
      </c>
      <c r="M369" s="60">
        <v>31</v>
      </c>
      <c r="N369" s="76">
        <v>40</v>
      </c>
      <c r="O369" s="42"/>
      <c r="P369" s="58" t="s">
        <v>36</v>
      </c>
      <c r="Q369" s="61"/>
      <c r="R369" s="62"/>
      <c r="S369" s="78">
        <f t="shared" si="15"/>
        <v>1240</v>
      </c>
      <c r="T369" s="44" t="str">
        <f t="shared" si="16"/>
        <v>1240grams</v>
      </c>
      <c r="U369" s="77">
        <f t="shared" si="17"/>
        <v>269.7</v>
      </c>
      <c r="V369" s="46"/>
      <c r="W369" s="46"/>
      <c r="X369" s="46"/>
    </row>
    <row r="370" spans="1:24" ht="15.75" customHeight="1" thickBot="1" x14ac:dyDescent="0.35">
      <c r="A370" s="2">
        <v>119</v>
      </c>
      <c r="B370" s="67" t="s">
        <v>1039</v>
      </c>
      <c r="C370" s="55"/>
      <c r="D370" s="41"/>
      <c r="E370" s="55"/>
      <c r="F370" s="55"/>
      <c r="G370" s="55"/>
      <c r="H370" s="51"/>
      <c r="I370" s="52"/>
      <c r="J370" s="74" t="s">
        <v>1040</v>
      </c>
      <c r="K370" s="57"/>
      <c r="L370" s="75">
        <v>8.6999999999999993</v>
      </c>
      <c r="M370" s="60">
        <v>2</v>
      </c>
      <c r="N370" s="76">
        <v>40</v>
      </c>
      <c r="O370" s="42"/>
      <c r="P370" s="58" t="s">
        <v>36</v>
      </c>
      <c r="Q370" s="61"/>
      <c r="R370" s="62"/>
      <c r="S370" s="78">
        <f t="shared" si="15"/>
        <v>80</v>
      </c>
      <c r="T370" s="44" t="str">
        <f t="shared" si="16"/>
        <v>80grams</v>
      </c>
      <c r="U370" s="77">
        <f t="shared" si="17"/>
        <v>17.399999999999999</v>
      </c>
      <c r="V370" s="46"/>
      <c r="W370" s="46"/>
      <c r="X370" s="46"/>
    </row>
    <row r="371" spans="1:24" ht="15.75" customHeight="1" thickBot="1" x14ac:dyDescent="0.35">
      <c r="A371" s="2">
        <v>120</v>
      </c>
      <c r="B371" s="67" t="s">
        <v>1041</v>
      </c>
      <c r="C371" s="55"/>
      <c r="D371" s="41"/>
      <c r="E371" s="55"/>
      <c r="F371" s="55"/>
      <c r="G371" s="55"/>
      <c r="H371" s="51"/>
      <c r="I371" s="52"/>
      <c r="J371" s="74" t="s">
        <v>1042</v>
      </c>
      <c r="K371" s="57"/>
      <c r="L371" s="75">
        <v>8.6999999999999993</v>
      </c>
      <c r="M371" s="60">
        <v>45</v>
      </c>
      <c r="N371" s="76">
        <v>40</v>
      </c>
      <c r="O371" s="42"/>
      <c r="P371" s="58" t="s">
        <v>36</v>
      </c>
      <c r="Q371" s="61"/>
      <c r="R371" s="62"/>
      <c r="S371" s="78">
        <f t="shared" si="15"/>
        <v>1800</v>
      </c>
      <c r="T371" s="44" t="str">
        <f t="shared" si="16"/>
        <v>1800grams</v>
      </c>
      <c r="U371" s="77">
        <f t="shared" si="17"/>
        <v>391.49999999999994</v>
      </c>
      <c r="V371" s="46"/>
      <c r="W371" s="46"/>
      <c r="X371" s="46"/>
    </row>
    <row r="372" spans="1:24" ht="15.75" customHeight="1" thickBot="1" x14ac:dyDescent="0.35">
      <c r="A372" s="2">
        <v>120</v>
      </c>
      <c r="B372" s="67" t="s">
        <v>1041</v>
      </c>
      <c r="C372" s="55"/>
      <c r="D372" s="41"/>
      <c r="E372" s="55"/>
      <c r="F372" s="55"/>
      <c r="G372" s="55"/>
      <c r="H372" s="51"/>
      <c r="I372" s="52"/>
      <c r="J372" s="74" t="s">
        <v>1042</v>
      </c>
      <c r="K372" s="57"/>
      <c r="L372" s="75">
        <v>8.6999999999999993</v>
      </c>
      <c r="M372" s="60">
        <v>6</v>
      </c>
      <c r="N372" s="76">
        <v>40</v>
      </c>
      <c r="O372" s="42"/>
      <c r="P372" s="58" t="s">
        <v>36</v>
      </c>
      <c r="Q372" s="61"/>
      <c r="R372" s="62"/>
      <c r="S372" s="78">
        <f t="shared" si="15"/>
        <v>240</v>
      </c>
      <c r="T372" s="44" t="str">
        <f t="shared" si="16"/>
        <v>240grams</v>
      </c>
      <c r="U372" s="77">
        <f t="shared" si="17"/>
        <v>52.199999999999996</v>
      </c>
      <c r="V372" s="50"/>
      <c r="W372" s="56"/>
      <c r="X372" s="39"/>
    </row>
    <row r="373" spans="1:24" ht="15.75" customHeight="1" thickBot="1" x14ac:dyDescent="0.35">
      <c r="A373" s="2">
        <v>120</v>
      </c>
      <c r="B373" s="67" t="s">
        <v>1041</v>
      </c>
      <c r="C373" s="55"/>
      <c r="D373" s="41"/>
      <c r="E373" s="55"/>
      <c r="F373" s="55"/>
      <c r="G373" s="55"/>
      <c r="H373" s="51"/>
      <c r="I373" s="52"/>
      <c r="J373" s="74" t="s">
        <v>1042</v>
      </c>
      <c r="K373" s="57"/>
      <c r="L373" s="75">
        <v>8.6999999999999993</v>
      </c>
      <c r="M373" s="60">
        <v>52</v>
      </c>
      <c r="N373" s="76">
        <v>40</v>
      </c>
      <c r="O373" s="42"/>
      <c r="P373" s="58" t="s">
        <v>36</v>
      </c>
      <c r="Q373" s="61"/>
      <c r="R373" s="62"/>
      <c r="S373" s="78">
        <f t="shared" si="15"/>
        <v>2080</v>
      </c>
      <c r="T373" s="44" t="str">
        <f t="shared" si="16"/>
        <v>2080grams</v>
      </c>
      <c r="U373" s="77">
        <f t="shared" si="17"/>
        <v>452.4</v>
      </c>
      <c r="V373" s="46"/>
      <c r="W373" s="46"/>
      <c r="X373" s="46"/>
    </row>
    <row r="374" spans="1:24" ht="15.75" customHeight="1" thickBot="1" x14ac:dyDescent="0.35">
      <c r="A374" s="2">
        <v>121</v>
      </c>
      <c r="B374" s="67" t="s">
        <v>1043</v>
      </c>
      <c r="C374" s="55"/>
      <c r="D374" s="41"/>
      <c r="E374" s="55"/>
      <c r="F374" s="55"/>
      <c r="G374" s="55"/>
      <c r="H374" s="51"/>
      <c r="I374" s="52"/>
      <c r="J374" s="74" t="s">
        <v>1044</v>
      </c>
      <c r="K374" s="57"/>
      <c r="L374" s="75">
        <v>95</v>
      </c>
      <c r="M374" s="60">
        <v>2</v>
      </c>
      <c r="N374" s="76">
        <v>200</v>
      </c>
      <c r="O374" s="42"/>
      <c r="P374" s="58" t="s">
        <v>36</v>
      </c>
      <c r="Q374" s="61"/>
      <c r="R374" s="62"/>
      <c r="S374" s="78">
        <f t="shared" ref="S374:S437" si="18">M374*N374</f>
        <v>400</v>
      </c>
      <c r="T374" s="44" t="str">
        <f t="shared" ref="T374:T437" si="19">CONCATENATE(S374,Q374,P374)</f>
        <v>400grams</v>
      </c>
      <c r="U374" s="77">
        <f t="shared" ref="U374:U437" si="20">L374*M374</f>
        <v>190</v>
      </c>
      <c r="V374" s="46"/>
      <c r="W374" s="46"/>
      <c r="X374" s="46"/>
    </row>
    <row r="375" spans="1:24" ht="15.75" customHeight="1" thickBot="1" x14ac:dyDescent="0.35">
      <c r="A375" s="2">
        <v>122</v>
      </c>
      <c r="B375" s="67" t="s">
        <v>164</v>
      </c>
      <c r="C375" s="55"/>
      <c r="D375" s="41"/>
      <c r="E375" s="55"/>
      <c r="F375" s="55"/>
      <c r="G375" s="55"/>
      <c r="H375" s="51"/>
      <c r="I375" s="52"/>
      <c r="J375" s="74" t="s">
        <v>1045</v>
      </c>
      <c r="K375" s="57"/>
      <c r="L375" s="75">
        <v>36.4</v>
      </c>
      <c r="M375" s="60">
        <v>5</v>
      </c>
      <c r="N375" s="76">
        <v>160</v>
      </c>
      <c r="O375" s="42"/>
      <c r="P375" s="58" t="s">
        <v>36</v>
      </c>
      <c r="Q375" s="61"/>
      <c r="R375" s="62"/>
      <c r="S375" s="78">
        <f t="shared" si="18"/>
        <v>800</v>
      </c>
      <c r="T375" s="44" t="str">
        <f t="shared" si="19"/>
        <v>800grams</v>
      </c>
      <c r="U375" s="77">
        <f t="shared" si="20"/>
        <v>182</v>
      </c>
      <c r="V375" s="20"/>
      <c r="W375" s="20"/>
      <c r="X375" s="20"/>
    </row>
    <row r="376" spans="1:24" ht="15.75" customHeight="1" thickBot="1" x14ac:dyDescent="0.35">
      <c r="A376" s="2">
        <v>122</v>
      </c>
      <c r="B376" s="67" t="s">
        <v>164</v>
      </c>
      <c r="C376" s="55"/>
      <c r="D376" s="41"/>
      <c r="E376" s="55"/>
      <c r="F376" s="55"/>
      <c r="G376" s="55"/>
      <c r="H376" s="51"/>
      <c r="I376" s="52"/>
      <c r="J376" s="74" t="s">
        <v>1045</v>
      </c>
      <c r="K376" s="57"/>
      <c r="L376" s="75">
        <v>35.5</v>
      </c>
      <c r="M376" s="60">
        <v>3</v>
      </c>
      <c r="N376" s="76">
        <v>160</v>
      </c>
      <c r="O376" s="42"/>
      <c r="P376" s="58" t="s">
        <v>36</v>
      </c>
      <c r="Q376" s="61"/>
      <c r="R376" s="62"/>
      <c r="S376" s="78">
        <f t="shared" si="18"/>
        <v>480</v>
      </c>
      <c r="T376" s="44" t="str">
        <f t="shared" si="19"/>
        <v>480grams</v>
      </c>
      <c r="U376" s="77">
        <f t="shared" si="20"/>
        <v>106.5</v>
      </c>
      <c r="V376" s="46"/>
      <c r="W376" s="46"/>
      <c r="X376" s="46"/>
    </row>
    <row r="377" spans="1:24" ht="15.75" customHeight="1" thickBot="1" x14ac:dyDescent="0.35">
      <c r="A377" s="2">
        <v>122</v>
      </c>
      <c r="B377" s="67" t="s">
        <v>164</v>
      </c>
      <c r="C377" s="55"/>
      <c r="D377" s="41"/>
      <c r="E377" s="55"/>
      <c r="F377" s="55"/>
      <c r="G377" s="55"/>
      <c r="H377" s="51"/>
      <c r="I377" s="52"/>
      <c r="J377" s="74" t="s">
        <v>1045</v>
      </c>
      <c r="K377" s="57"/>
      <c r="L377" s="75">
        <v>35.5</v>
      </c>
      <c r="M377" s="60">
        <v>0</v>
      </c>
      <c r="N377" s="76">
        <v>160</v>
      </c>
      <c r="O377" s="42"/>
      <c r="P377" s="58" t="s">
        <v>36</v>
      </c>
      <c r="Q377" s="61"/>
      <c r="R377" s="62"/>
      <c r="S377" s="78">
        <f t="shared" si="18"/>
        <v>0</v>
      </c>
      <c r="T377" s="44" t="str">
        <f t="shared" si="19"/>
        <v>0grams</v>
      </c>
      <c r="U377" s="77">
        <f t="shared" si="20"/>
        <v>0</v>
      </c>
      <c r="V377" s="46"/>
      <c r="W377" s="46"/>
      <c r="X377" s="46"/>
    </row>
    <row r="378" spans="1:24" ht="15.75" customHeight="1" thickBot="1" x14ac:dyDescent="0.35">
      <c r="A378" s="2">
        <v>122</v>
      </c>
      <c r="B378" s="67" t="s">
        <v>164</v>
      </c>
      <c r="C378" s="55"/>
      <c r="D378" s="41"/>
      <c r="E378" s="55"/>
      <c r="F378" s="55"/>
      <c r="G378" s="55"/>
      <c r="H378" s="51"/>
      <c r="I378" s="52"/>
      <c r="J378" s="74" t="s">
        <v>1045</v>
      </c>
      <c r="K378" s="57"/>
      <c r="L378" s="75">
        <v>35.5</v>
      </c>
      <c r="M378" s="60">
        <v>17</v>
      </c>
      <c r="N378" s="76">
        <v>160</v>
      </c>
      <c r="O378" s="42"/>
      <c r="P378" s="58" t="s">
        <v>36</v>
      </c>
      <c r="Q378" s="61"/>
      <c r="R378" s="62"/>
      <c r="S378" s="78">
        <f t="shared" si="18"/>
        <v>2720</v>
      </c>
      <c r="T378" s="44" t="str">
        <f t="shared" si="19"/>
        <v>2720grams</v>
      </c>
      <c r="U378" s="77">
        <f t="shared" si="20"/>
        <v>603.5</v>
      </c>
      <c r="V378" s="46"/>
      <c r="W378" s="46"/>
      <c r="X378" s="46"/>
    </row>
    <row r="379" spans="1:24" ht="15.75" customHeight="1" thickBot="1" x14ac:dyDescent="0.35">
      <c r="A379" s="2">
        <v>122</v>
      </c>
      <c r="B379" s="67" t="s">
        <v>164</v>
      </c>
      <c r="C379" s="55"/>
      <c r="D379" s="41"/>
      <c r="E379" s="55"/>
      <c r="F379" s="55"/>
      <c r="G379" s="55"/>
      <c r="H379" s="51"/>
      <c r="I379" s="52"/>
      <c r="J379" s="74" t="s">
        <v>1046</v>
      </c>
      <c r="K379" s="57"/>
      <c r="L379" s="75">
        <v>56.5</v>
      </c>
      <c r="M379" s="60">
        <v>3</v>
      </c>
      <c r="N379" s="76">
        <v>165</v>
      </c>
      <c r="O379" s="42"/>
      <c r="P379" s="58" t="s">
        <v>36</v>
      </c>
      <c r="Q379" s="61"/>
      <c r="R379" s="62"/>
      <c r="S379" s="78">
        <f t="shared" si="18"/>
        <v>495</v>
      </c>
      <c r="T379" s="44" t="str">
        <f t="shared" si="19"/>
        <v>495grams</v>
      </c>
      <c r="U379" s="77">
        <f t="shared" si="20"/>
        <v>169.5</v>
      </c>
      <c r="V379" s="46"/>
      <c r="W379" s="46"/>
      <c r="X379" s="46"/>
    </row>
    <row r="380" spans="1:24" ht="15.75" customHeight="1" thickBot="1" x14ac:dyDescent="0.35">
      <c r="A380" s="2">
        <v>122</v>
      </c>
      <c r="B380" s="67" t="s">
        <v>164</v>
      </c>
      <c r="C380" s="55"/>
      <c r="D380" s="41"/>
      <c r="E380" s="55"/>
      <c r="F380" s="55"/>
      <c r="G380" s="55"/>
      <c r="H380" s="51"/>
      <c r="I380" s="52"/>
      <c r="J380" s="74" t="s">
        <v>1046</v>
      </c>
      <c r="K380" s="57"/>
      <c r="L380" s="75">
        <v>135</v>
      </c>
      <c r="M380" s="60">
        <v>4</v>
      </c>
      <c r="N380" s="76">
        <v>430</v>
      </c>
      <c r="O380" s="42"/>
      <c r="P380" s="58" t="s">
        <v>36</v>
      </c>
      <c r="Q380" s="61"/>
      <c r="R380" s="62"/>
      <c r="S380" s="78">
        <f t="shared" si="18"/>
        <v>1720</v>
      </c>
      <c r="T380" s="44" t="str">
        <f t="shared" si="19"/>
        <v>1720grams</v>
      </c>
      <c r="U380" s="77">
        <f t="shared" si="20"/>
        <v>540</v>
      </c>
      <c r="V380" s="46"/>
      <c r="W380" s="46"/>
      <c r="X380" s="46"/>
    </row>
    <row r="381" spans="1:24" ht="15.75" customHeight="1" thickBot="1" x14ac:dyDescent="0.35">
      <c r="A381" s="2">
        <v>122</v>
      </c>
      <c r="B381" s="67" t="s">
        <v>164</v>
      </c>
      <c r="C381" s="55"/>
      <c r="D381" s="41"/>
      <c r="E381" s="55"/>
      <c r="F381" s="55"/>
      <c r="G381" s="55"/>
      <c r="H381" s="51"/>
      <c r="I381" s="52"/>
      <c r="J381" s="74" t="s">
        <v>1047</v>
      </c>
      <c r="K381" s="57"/>
      <c r="L381" s="75">
        <v>36.700000000000003</v>
      </c>
      <c r="M381" s="60">
        <v>1</v>
      </c>
      <c r="N381" s="76">
        <v>160</v>
      </c>
      <c r="O381" s="42"/>
      <c r="P381" s="58" t="s">
        <v>36</v>
      </c>
      <c r="Q381" s="61"/>
      <c r="R381" s="62"/>
      <c r="S381" s="78">
        <f t="shared" si="18"/>
        <v>160</v>
      </c>
      <c r="T381" s="44" t="str">
        <f t="shared" si="19"/>
        <v>160grams</v>
      </c>
      <c r="U381" s="77">
        <f t="shared" si="20"/>
        <v>36.700000000000003</v>
      </c>
      <c r="V381" s="46"/>
      <c r="W381" s="46"/>
      <c r="X381" s="46"/>
    </row>
    <row r="382" spans="1:24" ht="15.75" customHeight="1" thickBot="1" x14ac:dyDescent="0.35">
      <c r="A382" s="2">
        <v>122</v>
      </c>
      <c r="B382" s="67" t="s">
        <v>164</v>
      </c>
      <c r="C382" s="55"/>
      <c r="D382" s="41"/>
      <c r="E382" s="55"/>
      <c r="F382" s="55"/>
      <c r="G382" s="55"/>
      <c r="H382" s="51"/>
      <c r="I382" s="52"/>
      <c r="J382" s="74" t="s">
        <v>1045</v>
      </c>
      <c r="K382" s="57"/>
      <c r="L382" s="75">
        <v>105</v>
      </c>
      <c r="M382" s="60">
        <v>2</v>
      </c>
      <c r="N382" s="76">
        <v>430</v>
      </c>
      <c r="O382" s="42"/>
      <c r="P382" s="58" t="s">
        <v>36</v>
      </c>
      <c r="Q382" s="61"/>
      <c r="R382" s="62"/>
      <c r="S382" s="78">
        <f t="shared" si="18"/>
        <v>860</v>
      </c>
      <c r="T382" s="44" t="str">
        <f t="shared" si="19"/>
        <v>860grams</v>
      </c>
      <c r="U382" s="77">
        <f t="shared" si="20"/>
        <v>210</v>
      </c>
      <c r="V382" s="46"/>
      <c r="W382" s="46"/>
      <c r="X382" s="46"/>
    </row>
    <row r="383" spans="1:24" ht="15.75" customHeight="1" thickBot="1" x14ac:dyDescent="0.35">
      <c r="A383" s="2">
        <v>122</v>
      </c>
      <c r="B383" s="67" t="s">
        <v>164</v>
      </c>
      <c r="C383" s="55"/>
      <c r="D383" s="41"/>
      <c r="E383" s="55"/>
      <c r="F383" s="55"/>
      <c r="G383" s="55"/>
      <c r="H383" s="51"/>
      <c r="I383" s="52"/>
      <c r="J383" s="74" t="s">
        <v>1045</v>
      </c>
      <c r="K383" s="57"/>
      <c r="L383" s="75">
        <v>40</v>
      </c>
      <c r="M383" s="60">
        <v>1</v>
      </c>
      <c r="N383" s="76">
        <v>165</v>
      </c>
      <c r="O383" s="42"/>
      <c r="P383" s="58" t="s">
        <v>36</v>
      </c>
      <c r="Q383" s="61"/>
      <c r="R383" s="62"/>
      <c r="S383" s="78">
        <f t="shared" si="18"/>
        <v>165</v>
      </c>
      <c r="T383" s="44" t="str">
        <f t="shared" si="19"/>
        <v>165grams</v>
      </c>
      <c r="U383" s="77">
        <f t="shared" si="20"/>
        <v>40</v>
      </c>
      <c r="V383" s="50"/>
      <c r="W383" s="54"/>
      <c r="X383" s="39"/>
    </row>
    <row r="384" spans="1:24" ht="15.75" customHeight="1" thickBot="1" x14ac:dyDescent="0.35">
      <c r="A384" s="2">
        <v>123</v>
      </c>
      <c r="B384" s="67" t="s">
        <v>1048</v>
      </c>
      <c r="C384" s="55"/>
      <c r="D384" s="41"/>
      <c r="E384" s="55"/>
      <c r="F384" s="55"/>
      <c r="G384" s="55"/>
      <c r="H384" s="51"/>
      <c r="I384" s="52"/>
      <c r="J384" s="74" t="s">
        <v>1046</v>
      </c>
      <c r="K384" s="57"/>
      <c r="L384" s="75">
        <v>120</v>
      </c>
      <c r="M384" s="60">
        <v>6</v>
      </c>
      <c r="N384" s="76">
        <v>200</v>
      </c>
      <c r="O384" s="42"/>
      <c r="P384" s="58" t="s">
        <v>36</v>
      </c>
      <c r="Q384" s="61"/>
      <c r="R384" s="62"/>
      <c r="S384" s="78">
        <f t="shared" si="18"/>
        <v>1200</v>
      </c>
      <c r="T384" s="44" t="str">
        <f t="shared" si="19"/>
        <v>1200grams</v>
      </c>
      <c r="U384" s="77">
        <f t="shared" si="20"/>
        <v>720</v>
      </c>
      <c r="V384" s="46"/>
      <c r="W384" s="46"/>
      <c r="X384" s="46"/>
    </row>
    <row r="385" spans="1:24" ht="15.75" customHeight="1" thickBot="1" x14ac:dyDescent="0.35">
      <c r="A385" s="2">
        <v>123</v>
      </c>
      <c r="B385" s="67" t="s">
        <v>1048</v>
      </c>
      <c r="C385" s="55"/>
      <c r="D385" s="41"/>
      <c r="E385" s="55"/>
      <c r="F385" s="55"/>
      <c r="G385" s="55"/>
      <c r="H385" s="51"/>
      <c r="I385" s="52"/>
      <c r="J385" s="74" t="s">
        <v>1049</v>
      </c>
      <c r="K385" s="57"/>
      <c r="L385" s="75">
        <v>79</v>
      </c>
      <c r="M385" s="60">
        <v>5</v>
      </c>
      <c r="N385" s="76">
        <v>250</v>
      </c>
      <c r="O385" s="42"/>
      <c r="P385" s="58" t="s">
        <v>36</v>
      </c>
      <c r="Q385" s="61"/>
      <c r="R385" s="62"/>
      <c r="S385" s="78">
        <f t="shared" si="18"/>
        <v>1250</v>
      </c>
      <c r="T385" s="44" t="str">
        <f t="shared" si="19"/>
        <v>1250grams</v>
      </c>
      <c r="U385" s="77">
        <f t="shared" si="20"/>
        <v>395</v>
      </c>
      <c r="V385" s="46"/>
      <c r="W385" s="46"/>
      <c r="X385" s="46"/>
    </row>
    <row r="386" spans="1:24" ht="15.75" customHeight="1" thickBot="1" x14ac:dyDescent="0.35">
      <c r="A386" s="2">
        <v>124</v>
      </c>
      <c r="B386" s="67" t="s">
        <v>169</v>
      </c>
      <c r="C386" s="55"/>
      <c r="D386" s="41"/>
      <c r="E386" s="55"/>
      <c r="F386" s="55"/>
      <c r="G386" s="55"/>
      <c r="H386" s="51"/>
      <c r="I386" s="52"/>
      <c r="J386" s="74" t="s">
        <v>1050</v>
      </c>
      <c r="K386" s="57"/>
      <c r="L386" s="75">
        <v>88</v>
      </c>
      <c r="M386" s="60">
        <v>1</v>
      </c>
      <c r="N386" s="76">
        <v>250</v>
      </c>
      <c r="O386" s="42"/>
      <c r="P386" s="58" t="s">
        <v>36</v>
      </c>
      <c r="Q386" s="61"/>
      <c r="R386" s="62"/>
      <c r="S386" s="78">
        <f t="shared" si="18"/>
        <v>250</v>
      </c>
      <c r="T386" s="44" t="str">
        <f t="shared" si="19"/>
        <v>250grams</v>
      </c>
      <c r="U386" s="77">
        <f t="shared" si="20"/>
        <v>88</v>
      </c>
      <c r="V386" s="50"/>
      <c r="W386" s="54"/>
      <c r="X386" s="39"/>
    </row>
    <row r="387" spans="1:24" ht="15.75" customHeight="1" thickBot="1" x14ac:dyDescent="0.35">
      <c r="A387" s="2">
        <v>124</v>
      </c>
      <c r="B387" s="67" t="s">
        <v>169</v>
      </c>
      <c r="C387" s="55"/>
      <c r="D387" s="41"/>
      <c r="E387" s="55"/>
      <c r="F387" s="55"/>
      <c r="G387" s="55"/>
      <c r="H387" s="51"/>
      <c r="I387" s="52"/>
      <c r="J387" s="74" t="s">
        <v>1051</v>
      </c>
      <c r="K387" s="57"/>
      <c r="L387" s="75">
        <v>40</v>
      </c>
      <c r="M387" s="60">
        <v>1</v>
      </c>
      <c r="N387" s="76">
        <v>200</v>
      </c>
      <c r="O387" s="42"/>
      <c r="P387" s="58" t="s">
        <v>36</v>
      </c>
      <c r="Q387" s="61"/>
      <c r="R387" s="62"/>
      <c r="S387" s="78">
        <f t="shared" si="18"/>
        <v>200</v>
      </c>
      <c r="T387" s="44" t="str">
        <f t="shared" si="19"/>
        <v>200grams</v>
      </c>
      <c r="U387" s="77">
        <f t="shared" si="20"/>
        <v>40</v>
      </c>
      <c r="V387" s="46"/>
      <c r="W387" s="46"/>
      <c r="X387" s="46"/>
    </row>
    <row r="388" spans="1:24" ht="15.75" customHeight="1" thickBot="1" x14ac:dyDescent="0.35">
      <c r="A388" s="2">
        <v>124</v>
      </c>
      <c r="B388" s="68" t="s">
        <v>169</v>
      </c>
      <c r="C388" s="55"/>
      <c r="D388" s="41"/>
      <c r="E388" s="55"/>
      <c r="F388" s="55"/>
      <c r="G388" s="55"/>
      <c r="H388" s="51"/>
      <c r="I388" s="52"/>
      <c r="J388" s="74" t="s">
        <v>1050</v>
      </c>
      <c r="K388" s="57"/>
      <c r="L388" s="75">
        <v>88</v>
      </c>
      <c r="M388" s="60">
        <v>1</v>
      </c>
      <c r="N388" s="76">
        <v>250</v>
      </c>
      <c r="O388" s="42"/>
      <c r="P388" s="58" t="s">
        <v>36</v>
      </c>
      <c r="Q388" s="61"/>
      <c r="R388" s="62"/>
      <c r="S388" s="78">
        <f t="shared" si="18"/>
        <v>250</v>
      </c>
      <c r="T388" s="44" t="str">
        <f t="shared" si="19"/>
        <v>250grams</v>
      </c>
      <c r="U388" s="77">
        <f t="shared" si="20"/>
        <v>88</v>
      </c>
      <c r="V388" s="46"/>
      <c r="W388" s="46"/>
      <c r="X388" s="46"/>
    </row>
    <row r="389" spans="1:24" ht="15.75" customHeight="1" thickBot="1" x14ac:dyDescent="0.35">
      <c r="A389" s="2">
        <v>125</v>
      </c>
      <c r="B389" s="67" t="s">
        <v>1052</v>
      </c>
      <c r="C389" s="55"/>
      <c r="D389" s="41"/>
      <c r="E389" s="55"/>
      <c r="F389" s="55"/>
      <c r="G389" s="55"/>
      <c r="H389" s="51"/>
      <c r="I389" s="52"/>
      <c r="J389" s="74" t="s">
        <v>1030</v>
      </c>
      <c r="K389" s="57"/>
      <c r="L389" s="75">
        <v>15</v>
      </c>
      <c r="M389" s="60">
        <v>3</v>
      </c>
      <c r="N389" s="76">
        <v>30</v>
      </c>
      <c r="O389" s="42"/>
      <c r="P389" s="58" t="s">
        <v>36</v>
      </c>
      <c r="Q389" s="61"/>
      <c r="R389" s="62"/>
      <c r="S389" s="78">
        <f t="shared" si="18"/>
        <v>90</v>
      </c>
      <c r="T389" s="44" t="str">
        <f t="shared" si="19"/>
        <v>90grams</v>
      </c>
      <c r="U389" s="77">
        <f t="shared" si="20"/>
        <v>45</v>
      </c>
      <c r="V389" s="46"/>
      <c r="W389" s="46"/>
      <c r="X389" s="46"/>
    </row>
    <row r="390" spans="1:24" ht="15.75" customHeight="1" thickBot="1" x14ac:dyDescent="0.35">
      <c r="A390" s="2">
        <v>125</v>
      </c>
      <c r="B390" s="67" t="s">
        <v>1052</v>
      </c>
      <c r="C390" s="55"/>
      <c r="D390" s="41"/>
      <c r="E390" s="55"/>
      <c r="F390" s="55"/>
      <c r="G390" s="55"/>
      <c r="H390" s="51"/>
      <c r="I390" s="52"/>
      <c r="J390" s="74" t="s">
        <v>966</v>
      </c>
      <c r="K390" s="57"/>
      <c r="L390" s="75">
        <v>55</v>
      </c>
      <c r="M390" s="60">
        <v>22</v>
      </c>
      <c r="N390" s="76">
        <v>1</v>
      </c>
      <c r="O390" s="42"/>
      <c r="P390" s="58" t="s">
        <v>77</v>
      </c>
      <c r="Q390" s="61"/>
      <c r="R390" s="62"/>
      <c r="S390" s="78">
        <f t="shared" si="18"/>
        <v>22</v>
      </c>
      <c r="T390" s="44" t="str">
        <f t="shared" si="19"/>
        <v>22packs</v>
      </c>
      <c r="U390" s="77">
        <f t="shared" si="20"/>
        <v>1210</v>
      </c>
      <c r="V390" s="46"/>
      <c r="W390" s="46"/>
      <c r="X390" s="46"/>
    </row>
    <row r="391" spans="1:24" ht="15.75" customHeight="1" thickBot="1" x14ac:dyDescent="0.35">
      <c r="A391" s="2">
        <v>126</v>
      </c>
      <c r="B391" s="67" t="s">
        <v>1053</v>
      </c>
      <c r="C391" s="55"/>
      <c r="D391" s="41"/>
      <c r="E391" s="55"/>
      <c r="F391" s="55"/>
      <c r="G391" s="55"/>
      <c r="H391" s="51"/>
      <c r="I391" s="52"/>
      <c r="J391" s="74" t="s">
        <v>1030</v>
      </c>
      <c r="K391" s="57"/>
      <c r="L391" s="75">
        <v>60</v>
      </c>
      <c r="M391" s="60">
        <v>1</v>
      </c>
      <c r="N391" s="76">
        <v>1</v>
      </c>
      <c r="O391" s="42"/>
      <c r="P391" s="58" t="s">
        <v>88</v>
      </c>
      <c r="Q391" s="61"/>
      <c r="R391" s="62"/>
      <c r="S391" s="78">
        <f t="shared" si="18"/>
        <v>1</v>
      </c>
      <c r="T391" s="44" t="str">
        <f t="shared" si="19"/>
        <v>1kilos</v>
      </c>
      <c r="U391" s="77">
        <f t="shared" si="20"/>
        <v>60</v>
      </c>
      <c r="V391" s="46"/>
      <c r="W391" s="46"/>
      <c r="X391" s="46"/>
    </row>
    <row r="392" spans="1:24" ht="15.75" customHeight="1" thickBot="1" x14ac:dyDescent="0.35">
      <c r="A392" s="2">
        <v>127</v>
      </c>
      <c r="B392" s="67" t="s">
        <v>1054</v>
      </c>
      <c r="C392" s="55"/>
      <c r="D392" s="41"/>
      <c r="E392" s="55"/>
      <c r="F392" s="55"/>
      <c r="G392" s="55"/>
      <c r="H392" s="51"/>
      <c r="I392" s="52"/>
      <c r="J392" s="74"/>
      <c r="K392" s="57"/>
      <c r="L392" s="75">
        <v>220</v>
      </c>
      <c r="M392" s="60">
        <v>2</v>
      </c>
      <c r="N392" s="76">
        <v>1000</v>
      </c>
      <c r="O392" s="42"/>
      <c r="P392" s="58" t="s">
        <v>36</v>
      </c>
      <c r="Q392" s="61"/>
      <c r="R392" s="62"/>
      <c r="S392" s="78">
        <f t="shared" si="18"/>
        <v>2000</v>
      </c>
      <c r="T392" s="44" t="str">
        <f t="shared" si="19"/>
        <v>2000grams</v>
      </c>
      <c r="U392" s="77">
        <f t="shared" si="20"/>
        <v>440</v>
      </c>
      <c r="V392" s="46"/>
      <c r="W392" s="46"/>
      <c r="X392" s="46"/>
    </row>
    <row r="393" spans="1:24" ht="15.75" customHeight="1" thickBot="1" x14ac:dyDescent="0.35">
      <c r="A393" s="2">
        <v>128</v>
      </c>
      <c r="B393" s="67" t="s">
        <v>1055</v>
      </c>
      <c r="C393" s="55"/>
      <c r="D393" s="41"/>
      <c r="E393" s="55"/>
      <c r="F393" s="55"/>
      <c r="G393" s="55"/>
      <c r="H393" s="51"/>
      <c r="I393" s="52"/>
      <c r="J393" s="74"/>
      <c r="K393" s="57"/>
      <c r="L393" s="75">
        <v>290</v>
      </c>
      <c r="M393" s="60">
        <v>3</v>
      </c>
      <c r="N393" s="76">
        <v>1</v>
      </c>
      <c r="O393" s="42"/>
      <c r="P393" s="58" t="s">
        <v>88</v>
      </c>
      <c r="Q393" s="61"/>
      <c r="R393" s="62"/>
      <c r="S393" s="78">
        <f t="shared" si="18"/>
        <v>3</v>
      </c>
      <c r="T393" s="44" t="str">
        <f t="shared" si="19"/>
        <v>3kilos</v>
      </c>
      <c r="U393" s="77">
        <f t="shared" si="20"/>
        <v>870</v>
      </c>
      <c r="V393" s="46"/>
      <c r="W393" s="46"/>
      <c r="X393" s="46"/>
    </row>
    <row r="394" spans="1:24" ht="15.75" customHeight="1" thickBot="1" x14ac:dyDescent="0.35">
      <c r="A394" s="2">
        <v>129</v>
      </c>
      <c r="B394" s="67" t="s">
        <v>1056</v>
      </c>
      <c r="C394" s="55"/>
      <c r="D394" s="41"/>
      <c r="E394" s="55"/>
      <c r="F394" s="55"/>
      <c r="G394" s="55"/>
      <c r="H394" s="51"/>
      <c r="I394" s="52"/>
      <c r="J394" s="74"/>
      <c r="K394" s="57"/>
      <c r="L394" s="75">
        <v>190</v>
      </c>
      <c r="M394" s="60">
        <v>6</v>
      </c>
      <c r="N394" s="76">
        <v>1</v>
      </c>
      <c r="O394" s="42"/>
      <c r="P394" s="58" t="s">
        <v>88</v>
      </c>
      <c r="Q394" s="61"/>
      <c r="R394" s="62"/>
      <c r="S394" s="78">
        <f t="shared" si="18"/>
        <v>6</v>
      </c>
      <c r="T394" s="44" t="str">
        <f t="shared" si="19"/>
        <v>6kilos</v>
      </c>
      <c r="U394" s="77">
        <f t="shared" si="20"/>
        <v>1140</v>
      </c>
      <c r="V394" s="46"/>
      <c r="W394" s="46"/>
      <c r="X394" s="46"/>
    </row>
    <row r="395" spans="1:24" ht="15.75" customHeight="1" thickBot="1" x14ac:dyDescent="0.35">
      <c r="A395" s="2">
        <v>129</v>
      </c>
      <c r="B395" s="67" t="s">
        <v>1056</v>
      </c>
      <c r="C395" s="55"/>
      <c r="D395" s="41"/>
      <c r="E395" s="55"/>
      <c r="F395" s="55"/>
      <c r="G395" s="55"/>
      <c r="H395" s="51"/>
      <c r="I395" s="52"/>
      <c r="J395" s="74"/>
      <c r="K395" s="57"/>
      <c r="L395" s="75">
        <v>170</v>
      </c>
      <c r="M395" s="60">
        <v>7</v>
      </c>
      <c r="N395" s="76">
        <v>1</v>
      </c>
      <c r="O395" s="42"/>
      <c r="P395" s="58" t="s">
        <v>88</v>
      </c>
      <c r="Q395" s="61"/>
      <c r="R395" s="62"/>
      <c r="S395" s="78">
        <f t="shared" si="18"/>
        <v>7</v>
      </c>
      <c r="T395" s="44" t="str">
        <f t="shared" si="19"/>
        <v>7kilos</v>
      </c>
      <c r="U395" s="77">
        <f t="shared" si="20"/>
        <v>1190</v>
      </c>
      <c r="V395" s="46"/>
      <c r="W395" s="46"/>
      <c r="X395" s="46"/>
    </row>
    <row r="396" spans="1:24" ht="15.75" customHeight="1" thickBot="1" x14ac:dyDescent="0.35">
      <c r="A396" s="2">
        <v>129</v>
      </c>
      <c r="B396" s="67" t="s">
        <v>1056</v>
      </c>
      <c r="C396" s="55"/>
      <c r="D396" s="41"/>
      <c r="E396" s="55"/>
      <c r="F396" s="55"/>
      <c r="G396" s="55"/>
      <c r="H396" s="51"/>
      <c r="I396" s="52"/>
      <c r="J396" s="74"/>
      <c r="K396" s="57"/>
      <c r="L396" s="75">
        <v>190</v>
      </c>
      <c r="M396" s="60">
        <v>11</v>
      </c>
      <c r="N396" s="76">
        <v>1</v>
      </c>
      <c r="O396" s="42"/>
      <c r="P396" s="58" t="s">
        <v>88</v>
      </c>
      <c r="Q396" s="61"/>
      <c r="R396" s="62"/>
      <c r="S396" s="78">
        <f t="shared" si="18"/>
        <v>11</v>
      </c>
      <c r="T396" s="44" t="str">
        <f t="shared" si="19"/>
        <v>11kilos</v>
      </c>
      <c r="U396" s="77">
        <f t="shared" si="20"/>
        <v>2090</v>
      </c>
      <c r="V396" s="20"/>
      <c r="W396" s="20"/>
      <c r="X396" s="20"/>
    </row>
    <row r="397" spans="1:24" ht="15.75" customHeight="1" thickBot="1" x14ac:dyDescent="0.35">
      <c r="A397" s="2">
        <v>128</v>
      </c>
      <c r="B397" s="67" t="s">
        <v>1055</v>
      </c>
      <c r="C397" s="55"/>
      <c r="D397" s="41"/>
      <c r="E397" s="55"/>
      <c r="F397" s="55"/>
      <c r="G397" s="55"/>
      <c r="H397" s="51"/>
      <c r="I397" s="52"/>
      <c r="J397" s="74"/>
      <c r="K397" s="57"/>
      <c r="L397" s="75">
        <v>265</v>
      </c>
      <c r="M397" s="60">
        <v>2</v>
      </c>
      <c r="N397" s="76">
        <v>1</v>
      </c>
      <c r="O397" s="42"/>
      <c r="P397" s="58" t="s">
        <v>88</v>
      </c>
      <c r="Q397" s="61"/>
      <c r="R397" s="62"/>
      <c r="S397" s="78">
        <f t="shared" si="18"/>
        <v>2</v>
      </c>
      <c r="T397" s="44" t="str">
        <f t="shared" si="19"/>
        <v>2kilos</v>
      </c>
      <c r="U397" s="77">
        <f t="shared" si="20"/>
        <v>530</v>
      </c>
      <c r="V397" s="46"/>
      <c r="W397" s="46"/>
      <c r="X397" s="46"/>
    </row>
    <row r="398" spans="1:24" ht="15.75" customHeight="1" thickBot="1" x14ac:dyDescent="0.35">
      <c r="A398" s="2">
        <v>130</v>
      </c>
      <c r="B398" s="67" t="s">
        <v>1057</v>
      </c>
      <c r="C398" s="55"/>
      <c r="D398" s="41"/>
      <c r="E398" s="55"/>
      <c r="F398" s="55"/>
      <c r="G398" s="55"/>
      <c r="H398" s="51"/>
      <c r="I398" s="52"/>
      <c r="J398" s="74" t="s">
        <v>812</v>
      </c>
      <c r="K398" s="57"/>
      <c r="L398" s="75">
        <v>265</v>
      </c>
      <c r="M398" s="60">
        <v>7</v>
      </c>
      <c r="N398" s="76">
        <v>1000</v>
      </c>
      <c r="O398" s="42"/>
      <c r="P398" s="58" t="s">
        <v>36</v>
      </c>
      <c r="Q398" s="61"/>
      <c r="R398" s="62"/>
      <c r="S398" s="78">
        <f t="shared" si="18"/>
        <v>7000</v>
      </c>
      <c r="T398" s="44" t="str">
        <f t="shared" si="19"/>
        <v>7000grams</v>
      </c>
      <c r="U398" s="77">
        <f t="shared" si="20"/>
        <v>1855</v>
      </c>
      <c r="V398" s="46"/>
      <c r="W398" s="46"/>
      <c r="X398" s="46"/>
    </row>
    <row r="399" spans="1:24" ht="15.75" customHeight="1" thickBot="1" x14ac:dyDescent="0.35">
      <c r="A399" s="2">
        <v>131</v>
      </c>
      <c r="B399" s="67" t="s">
        <v>1058</v>
      </c>
      <c r="C399" s="55"/>
      <c r="D399" s="41"/>
      <c r="E399" s="55"/>
      <c r="F399" s="55"/>
      <c r="G399" s="55"/>
      <c r="H399" s="51"/>
      <c r="I399" s="52"/>
      <c r="J399" s="74"/>
      <c r="K399" s="57"/>
      <c r="L399" s="75">
        <v>150</v>
      </c>
      <c r="M399" s="60">
        <v>56</v>
      </c>
      <c r="N399" s="76">
        <v>1</v>
      </c>
      <c r="O399" s="42"/>
      <c r="P399" s="58" t="s">
        <v>88</v>
      </c>
      <c r="Q399" s="61"/>
      <c r="R399" s="62"/>
      <c r="S399" s="78">
        <f t="shared" si="18"/>
        <v>56</v>
      </c>
      <c r="T399" s="44" t="str">
        <f t="shared" si="19"/>
        <v>56kilos</v>
      </c>
      <c r="U399" s="77">
        <f t="shared" si="20"/>
        <v>8400</v>
      </c>
      <c r="V399" s="46"/>
      <c r="W399" s="46"/>
      <c r="X399" s="46"/>
    </row>
    <row r="400" spans="1:24" ht="15.75" customHeight="1" thickBot="1" x14ac:dyDescent="0.35">
      <c r="A400" s="2">
        <v>132</v>
      </c>
      <c r="B400" s="67" t="s">
        <v>1059</v>
      </c>
      <c r="C400" s="55"/>
      <c r="D400" s="41"/>
      <c r="E400" s="55"/>
      <c r="F400" s="55"/>
      <c r="G400" s="55"/>
      <c r="H400" s="51"/>
      <c r="I400" s="52"/>
      <c r="J400" s="74"/>
      <c r="K400" s="57"/>
      <c r="L400" s="75">
        <v>134</v>
      </c>
      <c r="M400" s="60">
        <v>4</v>
      </c>
      <c r="N400" s="76">
        <v>1</v>
      </c>
      <c r="O400" s="42"/>
      <c r="P400" s="58" t="s">
        <v>88</v>
      </c>
      <c r="Q400" s="61"/>
      <c r="R400" s="62"/>
      <c r="S400" s="78">
        <f t="shared" si="18"/>
        <v>4</v>
      </c>
      <c r="T400" s="44" t="str">
        <f t="shared" si="19"/>
        <v>4kilos</v>
      </c>
      <c r="U400" s="77">
        <f t="shared" si="20"/>
        <v>536</v>
      </c>
      <c r="V400" s="50"/>
      <c r="W400" s="54"/>
      <c r="X400" s="39"/>
    </row>
    <row r="401" spans="1:24" ht="15.75" customHeight="1" thickBot="1" x14ac:dyDescent="0.35">
      <c r="A401" s="2">
        <v>132</v>
      </c>
      <c r="B401" s="67" t="s">
        <v>1059</v>
      </c>
      <c r="C401" s="55"/>
      <c r="D401" s="41"/>
      <c r="E401" s="55"/>
      <c r="F401" s="55"/>
      <c r="G401" s="55"/>
      <c r="H401" s="51"/>
      <c r="I401" s="52"/>
      <c r="J401" s="74"/>
      <c r="K401" s="57"/>
      <c r="L401" s="75">
        <v>134</v>
      </c>
      <c r="M401" s="60">
        <v>38</v>
      </c>
      <c r="N401" s="76">
        <v>1</v>
      </c>
      <c r="O401" s="42"/>
      <c r="P401" s="58" t="s">
        <v>88</v>
      </c>
      <c r="Q401" s="61"/>
      <c r="R401" s="62"/>
      <c r="S401" s="78">
        <f t="shared" si="18"/>
        <v>38</v>
      </c>
      <c r="T401" s="44" t="str">
        <f t="shared" si="19"/>
        <v>38kilos</v>
      </c>
      <c r="U401" s="77">
        <f t="shared" si="20"/>
        <v>5092</v>
      </c>
      <c r="V401" s="46"/>
      <c r="W401" s="46"/>
      <c r="X401" s="46"/>
    </row>
    <row r="402" spans="1:24" ht="15.75" customHeight="1" thickBot="1" x14ac:dyDescent="0.35">
      <c r="A402" s="2">
        <v>132</v>
      </c>
      <c r="B402" s="67" t="s">
        <v>1059</v>
      </c>
      <c r="C402" s="55"/>
      <c r="D402" s="41"/>
      <c r="E402" s="55"/>
      <c r="F402" s="55"/>
      <c r="G402" s="55"/>
      <c r="H402" s="51"/>
      <c r="I402" s="52"/>
      <c r="J402" s="74"/>
      <c r="K402" s="57"/>
      <c r="L402" s="75">
        <v>134</v>
      </c>
      <c r="M402" s="60">
        <v>115</v>
      </c>
      <c r="N402" s="76">
        <v>1</v>
      </c>
      <c r="O402" s="42"/>
      <c r="P402" s="58" t="s">
        <v>88</v>
      </c>
      <c r="Q402" s="61"/>
      <c r="R402" s="62"/>
      <c r="S402" s="78">
        <f t="shared" si="18"/>
        <v>115</v>
      </c>
      <c r="T402" s="44" t="str">
        <f t="shared" si="19"/>
        <v>115kilos</v>
      </c>
      <c r="U402" s="77">
        <f t="shared" si="20"/>
        <v>15410</v>
      </c>
      <c r="V402" s="46"/>
      <c r="W402" s="46"/>
      <c r="X402" s="46"/>
    </row>
    <row r="403" spans="1:24" ht="15.75" customHeight="1" thickBot="1" x14ac:dyDescent="0.35">
      <c r="A403" s="2">
        <v>132</v>
      </c>
      <c r="B403" s="67" t="s">
        <v>1059</v>
      </c>
      <c r="C403" s="55"/>
      <c r="D403" s="41"/>
      <c r="E403" s="55"/>
      <c r="F403" s="55"/>
      <c r="G403" s="55"/>
      <c r="H403" s="51"/>
      <c r="I403" s="52"/>
      <c r="J403" s="74"/>
      <c r="K403" s="57"/>
      <c r="L403" s="75">
        <v>134</v>
      </c>
      <c r="M403" s="60">
        <v>64</v>
      </c>
      <c r="N403" s="76">
        <v>1</v>
      </c>
      <c r="O403" s="42"/>
      <c r="P403" s="58" t="s">
        <v>88</v>
      </c>
      <c r="Q403" s="61"/>
      <c r="R403" s="62"/>
      <c r="S403" s="78">
        <f t="shared" si="18"/>
        <v>64</v>
      </c>
      <c r="T403" s="44" t="str">
        <f t="shared" si="19"/>
        <v>64kilos</v>
      </c>
      <c r="U403" s="77">
        <f t="shared" si="20"/>
        <v>8576</v>
      </c>
      <c r="V403" s="46"/>
      <c r="W403" s="46"/>
      <c r="X403" s="46"/>
    </row>
    <row r="404" spans="1:24" ht="15.75" customHeight="1" thickBot="1" x14ac:dyDescent="0.35">
      <c r="A404" s="2">
        <v>132</v>
      </c>
      <c r="B404" s="67" t="s">
        <v>1059</v>
      </c>
      <c r="C404" s="55"/>
      <c r="D404" s="41"/>
      <c r="E404" s="55"/>
      <c r="F404" s="55"/>
      <c r="G404" s="55"/>
      <c r="H404" s="51"/>
      <c r="I404" s="52"/>
      <c r="J404" s="74" t="s">
        <v>1060</v>
      </c>
      <c r="K404" s="57"/>
      <c r="L404" s="75">
        <v>145</v>
      </c>
      <c r="M404" s="60">
        <v>11</v>
      </c>
      <c r="N404" s="76">
        <v>1000</v>
      </c>
      <c r="O404" s="42"/>
      <c r="P404" s="58" t="s">
        <v>88</v>
      </c>
      <c r="Q404" s="61"/>
      <c r="R404" s="62"/>
      <c r="S404" s="78">
        <f t="shared" si="18"/>
        <v>11000</v>
      </c>
      <c r="T404" s="44" t="str">
        <f t="shared" si="19"/>
        <v>11000kilos</v>
      </c>
      <c r="U404" s="77">
        <f t="shared" si="20"/>
        <v>1595</v>
      </c>
      <c r="V404" s="46"/>
      <c r="W404" s="46"/>
      <c r="X404" s="46"/>
    </row>
    <row r="405" spans="1:24" ht="15.75" customHeight="1" thickBot="1" x14ac:dyDescent="0.35">
      <c r="A405" s="2">
        <v>133</v>
      </c>
      <c r="B405" s="67" t="s">
        <v>1061</v>
      </c>
      <c r="C405" s="55"/>
      <c r="D405" s="41"/>
      <c r="E405" s="55"/>
      <c r="F405" s="55"/>
      <c r="G405" s="55"/>
      <c r="H405" s="51"/>
      <c r="I405" s="52"/>
      <c r="J405" s="74" t="s">
        <v>812</v>
      </c>
      <c r="K405" s="57"/>
      <c r="L405" s="75">
        <v>190</v>
      </c>
      <c r="M405" s="60">
        <v>12</v>
      </c>
      <c r="N405" s="76">
        <v>1000</v>
      </c>
      <c r="O405" s="42"/>
      <c r="P405" s="58" t="s">
        <v>36</v>
      </c>
      <c r="Q405" s="61"/>
      <c r="R405" s="62"/>
      <c r="S405" s="78">
        <f t="shared" si="18"/>
        <v>12000</v>
      </c>
      <c r="T405" s="44" t="str">
        <f t="shared" si="19"/>
        <v>12000grams</v>
      </c>
      <c r="U405" s="77">
        <f t="shared" si="20"/>
        <v>2280</v>
      </c>
      <c r="V405" s="46"/>
      <c r="W405" s="46"/>
      <c r="X405" s="46"/>
    </row>
    <row r="406" spans="1:24" ht="15.75" customHeight="1" thickBot="1" x14ac:dyDescent="0.35">
      <c r="A406" s="3">
        <v>129</v>
      </c>
      <c r="B406" s="67" t="s">
        <v>1056</v>
      </c>
      <c r="C406" s="55"/>
      <c r="D406" s="41"/>
      <c r="E406" s="55"/>
      <c r="F406" s="55"/>
      <c r="G406" s="55"/>
      <c r="H406" s="51"/>
      <c r="I406" s="52"/>
      <c r="J406" s="74"/>
      <c r="K406" s="57"/>
      <c r="L406" s="75">
        <v>185</v>
      </c>
      <c r="M406" s="60">
        <v>50</v>
      </c>
      <c r="N406" s="76">
        <v>1</v>
      </c>
      <c r="O406" s="42"/>
      <c r="P406" s="58" t="s">
        <v>88</v>
      </c>
      <c r="Q406" s="61"/>
      <c r="R406" s="62"/>
      <c r="S406" s="78">
        <f t="shared" si="18"/>
        <v>50</v>
      </c>
      <c r="T406" s="44" t="str">
        <f t="shared" si="19"/>
        <v>50kilos</v>
      </c>
      <c r="U406" s="77">
        <f t="shared" si="20"/>
        <v>9250</v>
      </c>
      <c r="V406" s="46"/>
      <c r="W406" s="46"/>
      <c r="X406" s="46"/>
    </row>
    <row r="407" spans="1:24" ht="15.75" customHeight="1" thickBot="1" x14ac:dyDescent="0.35">
      <c r="A407" s="2">
        <v>129</v>
      </c>
      <c r="B407" s="67" t="s">
        <v>1056</v>
      </c>
      <c r="C407" s="55"/>
      <c r="D407" s="41"/>
      <c r="E407" s="55"/>
      <c r="F407" s="55"/>
      <c r="G407" s="55"/>
      <c r="H407" s="51"/>
      <c r="I407" s="52"/>
      <c r="J407" s="74"/>
      <c r="K407" s="57"/>
      <c r="L407" s="75">
        <v>195</v>
      </c>
      <c r="M407" s="60">
        <v>78</v>
      </c>
      <c r="N407" s="76">
        <v>1000</v>
      </c>
      <c r="O407" s="42"/>
      <c r="P407" s="58" t="s">
        <v>36</v>
      </c>
      <c r="Q407" s="61"/>
      <c r="R407" s="62"/>
      <c r="S407" s="78">
        <f t="shared" si="18"/>
        <v>78000</v>
      </c>
      <c r="T407" s="44" t="str">
        <f t="shared" si="19"/>
        <v>78000grams</v>
      </c>
      <c r="U407" s="77">
        <f t="shared" si="20"/>
        <v>15210</v>
      </c>
      <c r="V407" s="46"/>
      <c r="W407" s="46"/>
      <c r="X407" s="46"/>
    </row>
    <row r="408" spans="1:24" ht="15.75" customHeight="1" thickBot="1" x14ac:dyDescent="0.35">
      <c r="A408" s="2">
        <v>134</v>
      </c>
      <c r="B408" s="68" t="s">
        <v>178</v>
      </c>
      <c r="C408" s="55"/>
      <c r="D408" s="41"/>
      <c r="E408" s="55"/>
      <c r="F408" s="55"/>
      <c r="G408" s="55"/>
      <c r="H408" s="51"/>
      <c r="I408" s="52"/>
      <c r="J408" s="74" t="s">
        <v>949</v>
      </c>
      <c r="K408" s="57"/>
      <c r="L408" s="75">
        <v>55</v>
      </c>
      <c r="M408" s="60">
        <v>4</v>
      </c>
      <c r="N408" s="76">
        <v>60</v>
      </c>
      <c r="O408" s="42"/>
      <c r="P408" s="58" t="s">
        <v>36</v>
      </c>
      <c r="Q408" s="61"/>
      <c r="R408" s="62"/>
      <c r="S408" s="78">
        <f t="shared" si="18"/>
        <v>240</v>
      </c>
      <c r="T408" s="44" t="str">
        <f t="shared" si="19"/>
        <v>240grams</v>
      </c>
      <c r="U408" s="77">
        <f t="shared" si="20"/>
        <v>220</v>
      </c>
      <c r="V408" s="46"/>
      <c r="W408" s="46"/>
      <c r="X408" s="46"/>
    </row>
    <row r="409" spans="1:24" ht="15.75" customHeight="1" thickBot="1" x14ac:dyDescent="0.35">
      <c r="A409" s="2">
        <v>135</v>
      </c>
      <c r="B409" s="67" t="s">
        <v>1062</v>
      </c>
      <c r="C409" s="55"/>
      <c r="D409" s="41"/>
      <c r="E409" s="55"/>
      <c r="F409" s="55"/>
      <c r="G409" s="55"/>
      <c r="H409" s="51"/>
      <c r="I409" s="52"/>
      <c r="J409" s="74" t="s">
        <v>1063</v>
      </c>
      <c r="K409" s="57"/>
      <c r="L409" s="75">
        <v>300</v>
      </c>
      <c r="M409" s="60">
        <v>0</v>
      </c>
      <c r="N409" s="76">
        <v>1000</v>
      </c>
      <c r="O409" s="42"/>
      <c r="P409" s="58" t="s">
        <v>36</v>
      </c>
      <c r="Q409" s="61"/>
      <c r="R409" s="62"/>
      <c r="S409" s="78">
        <f t="shared" si="18"/>
        <v>0</v>
      </c>
      <c r="T409" s="44" t="str">
        <f t="shared" si="19"/>
        <v>0grams</v>
      </c>
      <c r="U409" s="77">
        <f t="shared" si="20"/>
        <v>0</v>
      </c>
      <c r="V409" s="46"/>
      <c r="W409" s="46"/>
      <c r="X409" s="46"/>
    </row>
    <row r="410" spans="1:24" ht="15.75" customHeight="1" thickBot="1" x14ac:dyDescent="0.35">
      <c r="A410" s="2">
        <v>136</v>
      </c>
      <c r="B410" s="67" t="s">
        <v>187</v>
      </c>
      <c r="C410" s="55"/>
      <c r="D410" s="41"/>
      <c r="E410" s="55"/>
      <c r="F410" s="55"/>
      <c r="G410" s="55"/>
      <c r="H410" s="51"/>
      <c r="I410" s="52"/>
      <c r="J410" s="74" t="s">
        <v>1064</v>
      </c>
      <c r="K410" s="57"/>
      <c r="L410" s="75">
        <v>157.5</v>
      </c>
      <c r="M410" s="60">
        <v>2</v>
      </c>
      <c r="N410" s="76">
        <v>226</v>
      </c>
      <c r="O410" s="42"/>
      <c r="P410" s="58" t="s">
        <v>36</v>
      </c>
      <c r="Q410" s="61"/>
      <c r="R410" s="62"/>
      <c r="S410" s="78">
        <f t="shared" si="18"/>
        <v>452</v>
      </c>
      <c r="T410" s="44" t="str">
        <f t="shared" si="19"/>
        <v>452grams</v>
      </c>
      <c r="U410" s="77">
        <f t="shared" si="20"/>
        <v>315</v>
      </c>
      <c r="V410" s="46"/>
      <c r="W410" s="46"/>
      <c r="X410" s="46"/>
    </row>
    <row r="411" spans="1:24" ht="15.75" customHeight="1" thickBot="1" x14ac:dyDescent="0.35">
      <c r="A411" s="2">
        <v>137</v>
      </c>
      <c r="B411" s="68" t="s">
        <v>1065</v>
      </c>
      <c r="C411" s="55"/>
      <c r="D411" s="41"/>
      <c r="E411" s="55"/>
      <c r="F411" s="55"/>
      <c r="G411" s="55"/>
      <c r="H411" s="51"/>
      <c r="I411" s="52"/>
      <c r="J411" s="74"/>
      <c r="K411" s="57"/>
      <c r="L411" s="75">
        <v>22</v>
      </c>
      <c r="M411" s="60">
        <v>1</v>
      </c>
      <c r="N411" s="76">
        <v>30</v>
      </c>
      <c r="O411" s="42"/>
      <c r="P411" s="58" t="s">
        <v>36</v>
      </c>
      <c r="Q411" s="61"/>
      <c r="R411" s="62"/>
      <c r="S411" s="78">
        <f t="shared" si="18"/>
        <v>30</v>
      </c>
      <c r="T411" s="44" t="str">
        <f t="shared" si="19"/>
        <v>30grams</v>
      </c>
      <c r="U411" s="77">
        <f t="shared" si="20"/>
        <v>22</v>
      </c>
      <c r="V411" s="20"/>
      <c r="W411" s="20"/>
      <c r="X411" s="20"/>
    </row>
    <row r="412" spans="1:24" ht="15.75" customHeight="1" thickBot="1" x14ac:dyDescent="0.35">
      <c r="A412" s="2">
        <v>137</v>
      </c>
      <c r="B412" s="68" t="s">
        <v>1065</v>
      </c>
      <c r="C412" s="55"/>
      <c r="D412" s="41"/>
      <c r="E412" s="55"/>
      <c r="F412" s="55"/>
      <c r="G412" s="55"/>
      <c r="H412" s="51"/>
      <c r="I412" s="52"/>
      <c r="J412" s="74" t="s">
        <v>816</v>
      </c>
      <c r="K412" s="57"/>
      <c r="L412" s="75">
        <v>87.5</v>
      </c>
      <c r="M412" s="60">
        <v>2</v>
      </c>
      <c r="N412" s="76">
        <v>35</v>
      </c>
      <c r="O412" s="42"/>
      <c r="P412" s="58" t="s">
        <v>36</v>
      </c>
      <c r="Q412" s="61"/>
      <c r="R412" s="62"/>
      <c r="S412" s="78">
        <f t="shared" si="18"/>
        <v>70</v>
      </c>
      <c r="T412" s="44" t="str">
        <f t="shared" si="19"/>
        <v>70grams</v>
      </c>
      <c r="U412" s="77">
        <f t="shared" si="20"/>
        <v>175</v>
      </c>
      <c r="V412" s="46"/>
      <c r="W412" s="46"/>
      <c r="X412" s="46"/>
    </row>
    <row r="413" spans="1:24" ht="15.75" customHeight="1" thickBot="1" x14ac:dyDescent="0.35">
      <c r="A413" s="2">
        <v>137</v>
      </c>
      <c r="B413" s="68" t="s">
        <v>1065</v>
      </c>
      <c r="C413" s="55"/>
      <c r="D413" s="41"/>
      <c r="E413" s="55"/>
      <c r="F413" s="55"/>
      <c r="G413" s="55"/>
      <c r="H413" s="51"/>
      <c r="I413" s="52"/>
      <c r="J413" s="74" t="s">
        <v>816</v>
      </c>
      <c r="K413" s="57"/>
      <c r="L413" s="75">
        <v>87.5</v>
      </c>
      <c r="M413" s="60">
        <v>2</v>
      </c>
      <c r="N413" s="76">
        <v>35</v>
      </c>
      <c r="O413" s="42"/>
      <c r="P413" s="58" t="s">
        <v>36</v>
      </c>
      <c r="Q413" s="61"/>
      <c r="R413" s="62"/>
      <c r="S413" s="78">
        <f t="shared" si="18"/>
        <v>70</v>
      </c>
      <c r="T413" s="44" t="str">
        <f t="shared" si="19"/>
        <v>70grams</v>
      </c>
      <c r="U413" s="77">
        <f t="shared" si="20"/>
        <v>175</v>
      </c>
      <c r="V413" s="46"/>
      <c r="W413" s="46"/>
      <c r="X413" s="46"/>
    </row>
    <row r="414" spans="1:24" ht="15.75" customHeight="1" thickBot="1" x14ac:dyDescent="0.35">
      <c r="A414" s="2">
        <v>138</v>
      </c>
      <c r="B414" s="67" t="s">
        <v>1066</v>
      </c>
      <c r="C414" s="55"/>
      <c r="D414" s="41"/>
      <c r="E414" s="55"/>
      <c r="F414" s="55"/>
      <c r="G414" s="55"/>
      <c r="H414" s="51"/>
      <c r="I414" s="52"/>
      <c r="J414" s="74" t="s">
        <v>816</v>
      </c>
      <c r="K414" s="57"/>
      <c r="L414" s="75">
        <v>87.5</v>
      </c>
      <c r="M414" s="60">
        <v>0</v>
      </c>
      <c r="N414" s="76">
        <v>35</v>
      </c>
      <c r="O414" s="42"/>
      <c r="P414" s="58" t="s">
        <v>36</v>
      </c>
      <c r="Q414" s="61"/>
      <c r="R414" s="62"/>
      <c r="S414" s="78">
        <f t="shared" si="18"/>
        <v>0</v>
      </c>
      <c r="T414" s="44" t="str">
        <f t="shared" si="19"/>
        <v>0grams</v>
      </c>
      <c r="U414" s="77">
        <f t="shared" si="20"/>
        <v>0</v>
      </c>
      <c r="V414" s="20"/>
      <c r="W414" s="20"/>
      <c r="X414" s="20"/>
    </row>
    <row r="415" spans="1:24" ht="15.75" customHeight="1" thickBot="1" x14ac:dyDescent="0.35">
      <c r="A415" s="2">
        <v>139</v>
      </c>
      <c r="B415" s="68" t="s">
        <v>1067</v>
      </c>
      <c r="C415" s="55"/>
      <c r="D415" s="41"/>
      <c r="E415" s="55"/>
      <c r="F415" s="55"/>
      <c r="G415" s="55"/>
      <c r="H415" s="51"/>
      <c r="I415" s="52"/>
      <c r="J415" s="74" t="s">
        <v>1068</v>
      </c>
      <c r="K415" s="57"/>
      <c r="L415" s="75">
        <v>125</v>
      </c>
      <c r="M415" s="60">
        <v>1</v>
      </c>
      <c r="N415" s="76">
        <v>350</v>
      </c>
      <c r="O415" s="42"/>
      <c r="P415" s="58" t="s">
        <v>36</v>
      </c>
      <c r="Q415" s="61"/>
      <c r="R415" s="62"/>
      <c r="S415" s="78">
        <f t="shared" si="18"/>
        <v>350</v>
      </c>
      <c r="T415" s="44" t="str">
        <f t="shared" si="19"/>
        <v>350grams</v>
      </c>
      <c r="U415" s="77">
        <f t="shared" si="20"/>
        <v>125</v>
      </c>
      <c r="V415" s="46"/>
      <c r="W415" s="46"/>
      <c r="X415" s="46"/>
    </row>
    <row r="416" spans="1:24" ht="15.75" customHeight="1" thickBot="1" x14ac:dyDescent="0.35">
      <c r="A416" s="2">
        <v>140</v>
      </c>
      <c r="B416" s="69" t="s">
        <v>1069</v>
      </c>
      <c r="C416" s="55"/>
      <c r="D416" s="41"/>
      <c r="E416" s="55"/>
      <c r="F416" s="55"/>
      <c r="G416" s="55"/>
      <c r="H416" s="51"/>
      <c r="I416" s="52"/>
      <c r="J416" s="74" t="s">
        <v>1070</v>
      </c>
      <c r="K416" s="57"/>
      <c r="L416" s="75">
        <v>8.9</v>
      </c>
      <c r="M416" s="60">
        <v>576</v>
      </c>
      <c r="N416" s="76">
        <v>24</v>
      </c>
      <c r="O416" s="42"/>
      <c r="P416" s="58" t="s">
        <v>36</v>
      </c>
      <c r="Q416" s="61"/>
      <c r="R416" s="62"/>
      <c r="S416" s="78">
        <f t="shared" si="18"/>
        <v>13824</v>
      </c>
      <c r="T416" s="44" t="str">
        <f t="shared" si="19"/>
        <v>13824grams</v>
      </c>
      <c r="U416" s="77">
        <f t="shared" si="20"/>
        <v>5126.4000000000005</v>
      </c>
      <c r="V416" s="46"/>
      <c r="W416" s="46"/>
      <c r="X416" s="46"/>
    </row>
    <row r="417" spans="1:24" ht="15.75" customHeight="1" thickBot="1" x14ac:dyDescent="0.35">
      <c r="A417" s="2">
        <v>140</v>
      </c>
      <c r="B417" s="69" t="s">
        <v>1069</v>
      </c>
      <c r="C417" s="55"/>
      <c r="D417" s="41"/>
      <c r="E417" s="55"/>
      <c r="F417" s="55"/>
      <c r="G417" s="55"/>
      <c r="H417" s="51"/>
      <c r="I417" s="52"/>
      <c r="J417" s="74" t="s">
        <v>1070</v>
      </c>
      <c r="K417" s="57"/>
      <c r="L417" s="75">
        <v>8.16</v>
      </c>
      <c r="M417" s="60">
        <v>35</v>
      </c>
      <c r="N417" s="76">
        <v>24</v>
      </c>
      <c r="O417" s="42"/>
      <c r="P417" s="58" t="s">
        <v>36</v>
      </c>
      <c r="Q417" s="61"/>
      <c r="R417" s="62"/>
      <c r="S417" s="78">
        <f t="shared" si="18"/>
        <v>840</v>
      </c>
      <c r="T417" s="44" t="str">
        <f t="shared" si="19"/>
        <v>840grams</v>
      </c>
      <c r="U417" s="77">
        <f t="shared" si="20"/>
        <v>285.60000000000002</v>
      </c>
      <c r="V417" s="50"/>
      <c r="W417" s="54"/>
      <c r="X417" s="39"/>
    </row>
    <row r="418" spans="1:24" ht="15.75" customHeight="1" thickBot="1" x14ac:dyDescent="0.35">
      <c r="A418" s="2">
        <v>140</v>
      </c>
      <c r="B418" s="69" t="s">
        <v>1069</v>
      </c>
      <c r="C418" s="55"/>
      <c r="D418" s="41"/>
      <c r="E418" s="55"/>
      <c r="F418" s="55"/>
      <c r="G418" s="55"/>
      <c r="H418" s="51"/>
      <c r="I418" s="52"/>
      <c r="J418" s="74" t="s">
        <v>1070</v>
      </c>
      <c r="K418" s="57"/>
      <c r="L418" s="75">
        <v>8.9</v>
      </c>
      <c r="M418" s="60">
        <v>5</v>
      </c>
      <c r="N418" s="76">
        <v>24</v>
      </c>
      <c r="O418" s="42"/>
      <c r="P418" s="58" t="s">
        <v>36</v>
      </c>
      <c r="Q418" s="61"/>
      <c r="R418" s="62"/>
      <c r="S418" s="78">
        <f t="shared" si="18"/>
        <v>120</v>
      </c>
      <c r="T418" s="44" t="str">
        <f t="shared" si="19"/>
        <v>120grams</v>
      </c>
      <c r="U418" s="77">
        <f t="shared" si="20"/>
        <v>44.5</v>
      </c>
      <c r="V418" s="46"/>
      <c r="W418" s="46"/>
      <c r="X418" s="46"/>
    </row>
    <row r="419" spans="1:24" ht="15.75" customHeight="1" thickBot="1" x14ac:dyDescent="0.35">
      <c r="A419" s="2">
        <v>140</v>
      </c>
      <c r="B419" s="69" t="s">
        <v>1069</v>
      </c>
      <c r="C419" s="55"/>
      <c r="D419" s="41"/>
      <c r="E419" s="55"/>
      <c r="F419" s="55"/>
      <c r="G419" s="55"/>
      <c r="H419" s="51"/>
      <c r="I419" s="52"/>
      <c r="J419" s="74" t="s">
        <v>1070</v>
      </c>
      <c r="K419" s="57"/>
      <c r="L419" s="75">
        <v>8.9</v>
      </c>
      <c r="M419" s="60">
        <v>292</v>
      </c>
      <c r="N419" s="76">
        <v>24</v>
      </c>
      <c r="O419" s="42"/>
      <c r="P419" s="58" t="s">
        <v>36</v>
      </c>
      <c r="Q419" s="61"/>
      <c r="R419" s="62"/>
      <c r="S419" s="78">
        <f t="shared" si="18"/>
        <v>7008</v>
      </c>
      <c r="T419" s="44" t="str">
        <f t="shared" si="19"/>
        <v>7008grams</v>
      </c>
      <c r="U419" s="77">
        <f t="shared" si="20"/>
        <v>2598.8000000000002</v>
      </c>
      <c r="V419" s="46"/>
      <c r="W419" s="46"/>
      <c r="X419" s="46"/>
    </row>
    <row r="420" spans="1:24" ht="15.75" customHeight="1" thickBot="1" x14ac:dyDescent="0.35">
      <c r="A420" s="2">
        <v>141</v>
      </c>
      <c r="B420" s="67" t="s">
        <v>198</v>
      </c>
      <c r="C420" s="55"/>
      <c r="D420" s="41"/>
      <c r="E420" s="55"/>
      <c r="F420" s="55"/>
      <c r="G420" s="55"/>
      <c r="H420" s="51"/>
      <c r="I420" s="52"/>
      <c r="J420" s="74" t="s">
        <v>1071</v>
      </c>
      <c r="K420" s="57"/>
      <c r="L420" s="75">
        <v>274.5</v>
      </c>
      <c r="M420" s="60">
        <v>1</v>
      </c>
      <c r="N420" s="76">
        <v>623</v>
      </c>
      <c r="O420" s="42"/>
      <c r="P420" s="58" t="s">
        <v>36</v>
      </c>
      <c r="Q420" s="61"/>
      <c r="R420" s="62"/>
      <c r="S420" s="78">
        <f t="shared" si="18"/>
        <v>623</v>
      </c>
      <c r="T420" s="44" t="str">
        <f t="shared" si="19"/>
        <v>623grams</v>
      </c>
      <c r="U420" s="77">
        <f t="shared" si="20"/>
        <v>274.5</v>
      </c>
      <c r="V420" s="50"/>
      <c r="W420" s="54"/>
      <c r="X420" s="39"/>
    </row>
    <row r="421" spans="1:24" ht="15.75" customHeight="1" thickBot="1" x14ac:dyDescent="0.35">
      <c r="A421" s="2">
        <v>142</v>
      </c>
      <c r="B421" s="68" t="s">
        <v>1072</v>
      </c>
      <c r="C421" s="55"/>
      <c r="D421" s="41"/>
      <c r="E421" s="55"/>
      <c r="F421" s="55"/>
      <c r="G421" s="55"/>
      <c r="H421" s="51"/>
      <c r="I421" s="52"/>
      <c r="J421" s="74" t="s">
        <v>832</v>
      </c>
      <c r="K421" s="57"/>
      <c r="L421" s="75">
        <v>163.5</v>
      </c>
      <c r="M421" s="60">
        <v>1</v>
      </c>
      <c r="N421" s="76">
        <v>210</v>
      </c>
      <c r="O421" s="42"/>
      <c r="P421" s="58" t="s">
        <v>36</v>
      </c>
      <c r="Q421" s="61"/>
      <c r="R421" s="62"/>
      <c r="S421" s="78">
        <f t="shared" si="18"/>
        <v>210</v>
      </c>
      <c r="T421" s="44" t="str">
        <f t="shared" si="19"/>
        <v>210grams</v>
      </c>
      <c r="U421" s="77">
        <f t="shared" si="20"/>
        <v>163.5</v>
      </c>
      <c r="V421" s="46"/>
      <c r="W421" s="46"/>
      <c r="X421" s="46"/>
    </row>
    <row r="422" spans="1:24" ht="15.75" customHeight="1" thickBot="1" x14ac:dyDescent="0.35">
      <c r="A422" s="2">
        <v>143</v>
      </c>
      <c r="B422" s="67" t="s">
        <v>1073</v>
      </c>
      <c r="C422" s="55"/>
      <c r="D422" s="41"/>
      <c r="E422" s="55"/>
      <c r="F422" s="55"/>
      <c r="G422" s="55"/>
      <c r="H422" s="51"/>
      <c r="I422" s="52"/>
      <c r="J422" s="74" t="s">
        <v>874</v>
      </c>
      <c r="K422" s="57"/>
      <c r="L422" s="75">
        <v>185</v>
      </c>
      <c r="M422" s="60">
        <v>2</v>
      </c>
      <c r="N422" s="76">
        <v>500</v>
      </c>
      <c r="O422" s="42"/>
      <c r="P422" s="58" t="s">
        <v>36</v>
      </c>
      <c r="Q422" s="61"/>
      <c r="R422" s="62"/>
      <c r="S422" s="78">
        <f t="shared" si="18"/>
        <v>1000</v>
      </c>
      <c r="T422" s="44" t="str">
        <f t="shared" si="19"/>
        <v>1000grams</v>
      </c>
      <c r="U422" s="77">
        <f t="shared" si="20"/>
        <v>370</v>
      </c>
      <c r="V422" s="46"/>
      <c r="W422" s="46"/>
      <c r="X422" s="46"/>
    </row>
    <row r="423" spans="1:24" ht="15.75" customHeight="1" thickBot="1" x14ac:dyDescent="0.35">
      <c r="A423" s="2">
        <v>144</v>
      </c>
      <c r="B423" s="68" t="s">
        <v>1074</v>
      </c>
      <c r="C423" s="55"/>
      <c r="D423" s="41"/>
      <c r="E423" s="55"/>
      <c r="F423" s="55"/>
      <c r="G423" s="55"/>
      <c r="H423" s="51"/>
      <c r="I423" s="52"/>
      <c r="J423" s="74" t="s">
        <v>816</v>
      </c>
      <c r="K423" s="57"/>
      <c r="L423" s="75">
        <v>59</v>
      </c>
      <c r="M423" s="60">
        <v>3</v>
      </c>
      <c r="N423" s="76">
        <v>30</v>
      </c>
      <c r="O423" s="42"/>
      <c r="P423" s="58" t="s">
        <v>36</v>
      </c>
      <c r="Q423" s="61"/>
      <c r="R423" s="62"/>
      <c r="S423" s="78">
        <f t="shared" si="18"/>
        <v>90</v>
      </c>
      <c r="T423" s="44" t="str">
        <f t="shared" si="19"/>
        <v>90grams</v>
      </c>
      <c r="U423" s="77">
        <f t="shared" si="20"/>
        <v>177</v>
      </c>
      <c r="V423" s="46"/>
      <c r="W423" s="46"/>
      <c r="X423" s="46"/>
    </row>
    <row r="424" spans="1:24" ht="15.75" customHeight="1" thickBot="1" x14ac:dyDescent="0.35">
      <c r="A424" s="2">
        <v>145</v>
      </c>
      <c r="B424" s="67" t="s">
        <v>1075</v>
      </c>
      <c r="C424" s="55"/>
      <c r="D424" s="41"/>
      <c r="E424" s="55"/>
      <c r="F424" s="55"/>
      <c r="G424" s="55"/>
      <c r="H424" s="51"/>
      <c r="I424" s="52"/>
      <c r="J424" s="74" t="s">
        <v>1076</v>
      </c>
      <c r="K424" s="57"/>
      <c r="L424" s="75">
        <v>300</v>
      </c>
      <c r="M424" s="60">
        <v>1</v>
      </c>
      <c r="N424" s="76">
        <v>1</v>
      </c>
      <c r="O424" s="42"/>
      <c r="P424" s="58" t="s">
        <v>764</v>
      </c>
      <c r="Q424" s="61"/>
      <c r="R424" s="62"/>
      <c r="S424" s="78">
        <f t="shared" si="18"/>
        <v>1</v>
      </c>
      <c r="T424" s="44" t="str">
        <f t="shared" si="19"/>
        <v>1roll</v>
      </c>
      <c r="U424" s="77">
        <f t="shared" si="20"/>
        <v>300</v>
      </c>
      <c r="V424" s="50"/>
      <c r="W424" s="54"/>
      <c r="X424" s="39"/>
    </row>
    <row r="425" spans="1:24" ht="15.75" customHeight="1" thickBot="1" x14ac:dyDescent="0.35">
      <c r="A425" s="2">
        <v>145</v>
      </c>
      <c r="B425" s="68" t="s">
        <v>1075</v>
      </c>
      <c r="C425" s="55"/>
      <c r="D425" s="41"/>
      <c r="E425" s="55"/>
      <c r="F425" s="55"/>
      <c r="G425" s="55"/>
      <c r="H425" s="51"/>
      <c r="I425" s="52"/>
      <c r="J425" s="74" t="s">
        <v>1076</v>
      </c>
      <c r="K425" s="57"/>
      <c r="L425" s="75">
        <v>275</v>
      </c>
      <c r="M425" s="60">
        <v>2</v>
      </c>
      <c r="N425" s="76">
        <v>1</v>
      </c>
      <c r="O425" s="42"/>
      <c r="P425" s="58" t="s">
        <v>38</v>
      </c>
      <c r="Q425" s="61"/>
      <c r="R425" s="62"/>
      <c r="S425" s="78">
        <f t="shared" si="18"/>
        <v>2</v>
      </c>
      <c r="T425" s="44" t="str">
        <f t="shared" si="19"/>
        <v>2pieces</v>
      </c>
      <c r="U425" s="77">
        <f t="shared" si="20"/>
        <v>550</v>
      </c>
      <c r="V425" s="50"/>
      <c r="W425" s="54"/>
      <c r="X425" s="39"/>
    </row>
    <row r="426" spans="1:24" ht="15.75" customHeight="1" thickBot="1" x14ac:dyDescent="0.35">
      <c r="A426" s="2">
        <v>145</v>
      </c>
      <c r="B426" s="68" t="s">
        <v>1075</v>
      </c>
      <c r="C426" s="55"/>
      <c r="D426" s="41"/>
      <c r="E426" s="55"/>
      <c r="F426" s="55"/>
      <c r="G426" s="55"/>
      <c r="H426" s="51"/>
      <c r="I426" s="52"/>
      <c r="J426" s="74" t="s">
        <v>1077</v>
      </c>
      <c r="K426" s="57"/>
      <c r="L426" s="75">
        <v>595</v>
      </c>
      <c r="M426" s="60">
        <v>2</v>
      </c>
      <c r="N426" s="76">
        <v>1</v>
      </c>
      <c r="O426" s="42"/>
      <c r="P426" s="58" t="s">
        <v>764</v>
      </c>
      <c r="Q426" s="61"/>
      <c r="R426" s="62"/>
      <c r="S426" s="78">
        <f t="shared" si="18"/>
        <v>2</v>
      </c>
      <c r="T426" s="44" t="str">
        <f t="shared" si="19"/>
        <v>2roll</v>
      </c>
      <c r="U426" s="77">
        <f t="shared" si="20"/>
        <v>1190</v>
      </c>
      <c r="V426" s="46"/>
      <c r="W426" s="46"/>
      <c r="X426" s="46"/>
    </row>
    <row r="427" spans="1:24" ht="15.75" customHeight="1" thickBot="1" x14ac:dyDescent="0.35">
      <c r="A427" s="2">
        <v>145</v>
      </c>
      <c r="B427" s="68" t="s">
        <v>1075</v>
      </c>
      <c r="C427" s="55"/>
      <c r="D427" s="41"/>
      <c r="E427" s="55"/>
      <c r="F427" s="55"/>
      <c r="G427" s="55"/>
      <c r="H427" s="51"/>
      <c r="I427" s="52"/>
      <c r="J427" s="74" t="s">
        <v>1076</v>
      </c>
      <c r="K427" s="57"/>
      <c r="L427" s="75">
        <v>238</v>
      </c>
      <c r="M427" s="60">
        <v>1</v>
      </c>
      <c r="N427" s="76">
        <v>1</v>
      </c>
      <c r="O427" s="42"/>
      <c r="P427" s="58" t="s">
        <v>38</v>
      </c>
      <c r="Q427" s="61"/>
      <c r="R427" s="62"/>
      <c r="S427" s="78">
        <f t="shared" si="18"/>
        <v>1</v>
      </c>
      <c r="T427" s="44" t="str">
        <f t="shared" si="19"/>
        <v>1pieces</v>
      </c>
      <c r="U427" s="77">
        <f t="shared" si="20"/>
        <v>238</v>
      </c>
      <c r="V427" s="50"/>
      <c r="W427" s="54"/>
      <c r="X427" s="39"/>
    </row>
    <row r="428" spans="1:24" ht="15.75" customHeight="1" thickBot="1" x14ac:dyDescent="0.35">
      <c r="A428" s="2">
        <v>145</v>
      </c>
      <c r="B428" s="68" t="s">
        <v>1075</v>
      </c>
      <c r="C428" s="55"/>
      <c r="D428" s="41"/>
      <c r="E428" s="55"/>
      <c r="F428" s="55"/>
      <c r="G428" s="55"/>
      <c r="H428" s="51"/>
      <c r="I428" s="52"/>
      <c r="J428" s="74" t="s">
        <v>1076</v>
      </c>
      <c r="K428" s="57"/>
      <c r="L428" s="75">
        <v>192.5</v>
      </c>
      <c r="M428" s="60">
        <v>1</v>
      </c>
      <c r="N428" s="76">
        <v>1</v>
      </c>
      <c r="O428" s="42"/>
      <c r="P428" s="58" t="s">
        <v>764</v>
      </c>
      <c r="Q428" s="61"/>
      <c r="R428" s="62"/>
      <c r="S428" s="78">
        <f t="shared" si="18"/>
        <v>1</v>
      </c>
      <c r="T428" s="44" t="str">
        <f t="shared" si="19"/>
        <v>1roll</v>
      </c>
      <c r="U428" s="77">
        <f t="shared" si="20"/>
        <v>192.5</v>
      </c>
      <c r="V428" s="46"/>
      <c r="W428" s="46"/>
      <c r="X428" s="46"/>
    </row>
    <row r="429" spans="1:24" ht="15.75" customHeight="1" thickBot="1" x14ac:dyDescent="0.35">
      <c r="A429" s="2">
        <v>145</v>
      </c>
      <c r="B429" s="68" t="s">
        <v>1075</v>
      </c>
      <c r="C429" s="55"/>
      <c r="D429" s="41"/>
      <c r="E429" s="55"/>
      <c r="F429" s="55"/>
      <c r="G429" s="55"/>
      <c r="H429" s="51"/>
      <c r="I429" s="52"/>
      <c r="J429" s="74" t="s">
        <v>1076</v>
      </c>
      <c r="K429" s="57"/>
      <c r="L429" s="75">
        <v>340</v>
      </c>
      <c r="M429" s="60">
        <v>2</v>
      </c>
      <c r="N429" s="76">
        <v>1</v>
      </c>
      <c r="O429" s="42"/>
      <c r="P429" s="58" t="s">
        <v>764</v>
      </c>
      <c r="Q429" s="61"/>
      <c r="R429" s="62"/>
      <c r="S429" s="78">
        <f t="shared" si="18"/>
        <v>2</v>
      </c>
      <c r="T429" s="44" t="str">
        <f t="shared" si="19"/>
        <v>2roll</v>
      </c>
      <c r="U429" s="77">
        <f t="shared" si="20"/>
        <v>680</v>
      </c>
      <c r="V429" s="46"/>
      <c r="W429" s="46"/>
      <c r="X429" s="46"/>
    </row>
    <row r="430" spans="1:24" ht="15.75" customHeight="1" thickBot="1" x14ac:dyDescent="0.35">
      <c r="A430" s="2">
        <v>145</v>
      </c>
      <c r="B430" s="68" t="s">
        <v>1075</v>
      </c>
      <c r="C430" s="55"/>
      <c r="D430" s="41"/>
      <c r="E430" s="55"/>
      <c r="F430" s="55"/>
      <c r="G430" s="55"/>
      <c r="H430" s="51"/>
      <c r="I430" s="52"/>
      <c r="J430" s="74" t="s">
        <v>1077</v>
      </c>
      <c r="K430" s="57"/>
      <c r="L430" s="75">
        <v>300</v>
      </c>
      <c r="M430" s="60">
        <v>5</v>
      </c>
      <c r="N430" s="76">
        <v>1</v>
      </c>
      <c r="O430" s="42"/>
      <c r="P430" s="58" t="s">
        <v>764</v>
      </c>
      <c r="Q430" s="61"/>
      <c r="R430" s="62"/>
      <c r="S430" s="78">
        <f t="shared" si="18"/>
        <v>5</v>
      </c>
      <c r="T430" s="44" t="str">
        <f t="shared" si="19"/>
        <v>5roll</v>
      </c>
      <c r="U430" s="77">
        <f t="shared" si="20"/>
        <v>1500</v>
      </c>
      <c r="V430" s="50"/>
      <c r="W430" s="54"/>
      <c r="X430" s="39"/>
    </row>
    <row r="431" spans="1:24" ht="15.75" customHeight="1" thickBot="1" x14ac:dyDescent="0.35">
      <c r="A431" s="2">
        <v>146</v>
      </c>
      <c r="B431" s="68" t="s">
        <v>1078</v>
      </c>
      <c r="C431" s="55"/>
      <c r="D431" s="41"/>
      <c r="E431" s="55"/>
      <c r="F431" s="55"/>
      <c r="G431" s="55"/>
      <c r="H431" s="51"/>
      <c r="I431" s="52"/>
      <c r="J431" s="74" t="s">
        <v>1036</v>
      </c>
      <c r="K431" s="57"/>
      <c r="L431" s="75">
        <v>43.6</v>
      </c>
      <c r="M431" s="60">
        <v>4</v>
      </c>
      <c r="N431" s="76">
        <v>20</v>
      </c>
      <c r="O431" s="42"/>
      <c r="P431" s="58" t="s">
        <v>36</v>
      </c>
      <c r="Q431" s="61"/>
      <c r="R431" s="62"/>
      <c r="S431" s="78">
        <f t="shared" si="18"/>
        <v>80</v>
      </c>
      <c r="T431" s="44" t="str">
        <f t="shared" si="19"/>
        <v>80grams</v>
      </c>
      <c r="U431" s="77">
        <f t="shared" si="20"/>
        <v>174.4</v>
      </c>
      <c r="V431" s="46"/>
      <c r="W431" s="46"/>
      <c r="X431" s="46"/>
    </row>
    <row r="432" spans="1:24" ht="15.75" customHeight="1" thickBot="1" x14ac:dyDescent="0.35">
      <c r="A432" s="2">
        <v>147</v>
      </c>
      <c r="B432" s="67" t="s">
        <v>1079</v>
      </c>
      <c r="C432" s="55"/>
      <c r="D432" s="41"/>
      <c r="E432" s="55"/>
      <c r="F432" s="55"/>
      <c r="G432" s="55"/>
      <c r="H432" s="51"/>
      <c r="I432" s="52"/>
      <c r="J432" s="74"/>
      <c r="K432" s="57"/>
      <c r="L432" s="75">
        <v>50</v>
      </c>
      <c r="M432" s="60">
        <v>9</v>
      </c>
      <c r="N432" s="76">
        <v>100</v>
      </c>
      <c r="O432" s="42"/>
      <c r="P432" s="58" t="s">
        <v>38</v>
      </c>
      <c r="Q432" s="61"/>
      <c r="R432" s="62"/>
      <c r="S432" s="78">
        <f t="shared" si="18"/>
        <v>900</v>
      </c>
      <c r="T432" s="44" t="str">
        <f t="shared" si="19"/>
        <v>900pieces</v>
      </c>
      <c r="U432" s="77">
        <f t="shared" si="20"/>
        <v>450</v>
      </c>
      <c r="V432" s="46"/>
      <c r="W432" s="46"/>
      <c r="X432" s="46"/>
    </row>
    <row r="433" spans="1:24" ht="15.75" customHeight="1" thickBot="1" x14ac:dyDescent="0.35">
      <c r="A433" s="2">
        <v>147</v>
      </c>
      <c r="B433" s="67" t="s">
        <v>1079</v>
      </c>
      <c r="C433" s="55"/>
      <c r="D433" s="41"/>
      <c r="E433" s="55"/>
      <c r="F433" s="55"/>
      <c r="G433" s="55"/>
      <c r="H433" s="51"/>
      <c r="I433" s="52"/>
      <c r="J433" s="74" t="s">
        <v>1080</v>
      </c>
      <c r="K433" s="57"/>
      <c r="L433" s="75">
        <v>25</v>
      </c>
      <c r="M433" s="60">
        <v>13</v>
      </c>
      <c r="N433" s="76">
        <v>1</v>
      </c>
      <c r="O433" s="42"/>
      <c r="P433" s="58" t="s">
        <v>77</v>
      </c>
      <c r="Q433" s="61"/>
      <c r="R433" s="62"/>
      <c r="S433" s="78">
        <f t="shared" si="18"/>
        <v>13</v>
      </c>
      <c r="T433" s="44" t="str">
        <f t="shared" si="19"/>
        <v>13packs</v>
      </c>
      <c r="U433" s="77">
        <f t="shared" si="20"/>
        <v>325</v>
      </c>
      <c r="V433" s="46"/>
      <c r="W433" s="46"/>
      <c r="X433" s="46"/>
    </row>
    <row r="434" spans="1:24" ht="15.75" customHeight="1" thickBot="1" x14ac:dyDescent="0.35">
      <c r="A434" s="2">
        <v>148</v>
      </c>
      <c r="B434" s="67" t="s">
        <v>1081</v>
      </c>
      <c r="C434" s="55"/>
      <c r="D434" s="41"/>
      <c r="E434" s="55"/>
      <c r="F434" s="55"/>
      <c r="G434" s="55"/>
      <c r="H434" s="51"/>
      <c r="I434" s="52"/>
      <c r="J434" s="74" t="s">
        <v>1082</v>
      </c>
      <c r="K434" s="57"/>
      <c r="L434" s="75">
        <v>60.2</v>
      </c>
      <c r="M434" s="60">
        <v>4</v>
      </c>
      <c r="N434" s="76">
        <v>70</v>
      </c>
      <c r="O434" s="42"/>
      <c r="P434" s="58" t="s">
        <v>36</v>
      </c>
      <c r="Q434" s="61"/>
      <c r="R434" s="62"/>
      <c r="S434" s="78">
        <f t="shared" si="18"/>
        <v>280</v>
      </c>
      <c r="T434" s="44" t="str">
        <f t="shared" si="19"/>
        <v>280grams</v>
      </c>
      <c r="U434" s="77">
        <f t="shared" si="20"/>
        <v>240.8</v>
      </c>
      <c r="V434" s="50"/>
      <c r="W434" s="54"/>
      <c r="X434" s="39"/>
    </row>
    <row r="435" spans="1:24" ht="15.75" customHeight="1" thickBot="1" x14ac:dyDescent="0.35">
      <c r="A435" s="2">
        <v>148</v>
      </c>
      <c r="B435" s="67" t="s">
        <v>1081</v>
      </c>
      <c r="C435" s="55"/>
      <c r="D435" s="41"/>
      <c r="E435" s="55"/>
      <c r="F435" s="55"/>
      <c r="G435" s="55"/>
      <c r="H435" s="51"/>
      <c r="I435" s="52"/>
      <c r="J435" s="74" t="s">
        <v>1082</v>
      </c>
      <c r="K435" s="57"/>
      <c r="L435" s="75">
        <v>60.2</v>
      </c>
      <c r="M435" s="60">
        <v>1</v>
      </c>
      <c r="N435" s="76">
        <v>70</v>
      </c>
      <c r="O435" s="42"/>
      <c r="P435" s="58" t="s">
        <v>36</v>
      </c>
      <c r="Q435" s="61"/>
      <c r="R435" s="62"/>
      <c r="S435" s="78">
        <f t="shared" si="18"/>
        <v>70</v>
      </c>
      <c r="T435" s="44" t="str">
        <f t="shared" si="19"/>
        <v>70grams</v>
      </c>
      <c r="U435" s="77">
        <f t="shared" si="20"/>
        <v>60.2</v>
      </c>
      <c r="V435" s="46"/>
      <c r="W435" s="46"/>
      <c r="X435" s="46"/>
    </row>
    <row r="436" spans="1:24" ht="15.75" customHeight="1" thickBot="1" x14ac:dyDescent="0.35">
      <c r="A436" s="2">
        <v>148</v>
      </c>
      <c r="B436" s="68" t="s">
        <v>1081</v>
      </c>
      <c r="C436" s="55"/>
      <c r="D436" s="41"/>
      <c r="E436" s="55"/>
      <c r="F436" s="55"/>
      <c r="G436" s="55"/>
      <c r="H436" s="51"/>
      <c r="I436" s="52"/>
      <c r="J436" s="74" t="s">
        <v>1083</v>
      </c>
      <c r="K436" s="57"/>
      <c r="L436" s="75">
        <v>340</v>
      </c>
      <c r="M436" s="60">
        <v>1</v>
      </c>
      <c r="N436" s="76">
        <v>500</v>
      </c>
      <c r="O436" s="42"/>
      <c r="P436" s="58" t="s">
        <v>36</v>
      </c>
      <c r="Q436" s="61"/>
      <c r="R436" s="62"/>
      <c r="S436" s="78">
        <f t="shared" si="18"/>
        <v>500</v>
      </c>
      <c r="T436" s="44" t="str">
        <f t="shared" si="19"/>
        <v>500grams</v>
      </c>
      <c r="U436" s="77">
        <f t="shared" si="20"/>
        <v>340</v>
      </c>
      <c r="V436" s="46"/>
      <c r="W436" s="46"/>
      <c r="X436" s="46"/>
    </row>
    <row r="437" spans="1:24" ht="15.75" customHeight="1" thickBot="1" x14ac:dyDescent="0.35">
      <c r="A437" s="2">
        <v>148</v>
      </c>
      <c r="B437" s="68" t="s">
        <v>1081</v>
      </c>
      <c r="C437" s="55"/>
      <c r="D437" s="41"/>
      <c r="E437" s="55"/>
      <c r="F437" s="55"/>
      <c r="G437" s="55"/>
      <c r="H437" s="51"/>
      <c r="I437" s="52"/>
      <c r="J437" s="74" t="s">
        <v>1068</v>
      </c>
      <c r="K437" s="57"/>
      <c r="L437" s="75">
        <v>262</v>
      </c>
      <c r="M437" s="60">
        <v>1</v>
      </c>
      <c r="N437" s="76">
        <v>1000</v>
      </c>
      <c r="O437" s="42"/>
      <c r="P437" s="58" t="s">
        <v>36</v>
      </c>
      <c r="Q437" s="61"/>
      <c r="R437" s="62"/>
      <c r="S437" s="78">
        <f t="shared" si="18"/>
        <v>1000</v>
      </c>
      <c r="T437" s="44" t="str">
        <f t="shared" si="19"/>
        <v>1000grams</v>
      </c>
      <c r="U437" s="77">
        <f t="shared" si="20"/>
        <v>262</v>
      </c>
      <c r="V437" s="46"/>
      <c r="W437" s="46"/>
      <c r="X437" s="46"/>
    </row>
    <row r="438" spans="1:24" ht="15.75" customHeight="1" thickBot="1" x14ac:dyDescent="0.35">
      <c r="A438" s="2">
        <v>149</v>
      </c>
      <c r="B438" s="67" t="s">
        <v>1084</v>
      </c>
      <c r="C438" s="55"/>
      <c r="D438" s="41"/>
      <c r="E438" s="55"/>
      <c r="F438" s="55"/>
      <c r="G438" s="55"/>
      <c r="H438" s="51"/>
      <c r="I438" s="52"/>
      <c r="J438" s="74" t="s">
        <v>1085</v>
      </c>
      <c r="K438" s="57"/>
      <c r="L438" s="75">
        <v>46</v>
      </c>
      <c r="M438" s="60">
        <v>1</v>
      </c>
      <c r="N438" s="76">
        <v>200</v>
      </c>
      <c r="O438" s="42"/>
      <c r="P438" s="58" t="s">
        <v>36</v>
      </c>
      <c r="Q438" s="61"/>
      <c r="R438" s="62"/>
      <c r="S438" s="78">
        <f t="shared" ref="S438:S501" si="21">M438*N438</f>
        <v>200</v>
      </c>
      <c r="T438" s="44" t="str">
        <f t="shared" ref="T438:T501" si="22">CONCATENATE(S438,Q438,P438)</f>
        <v>200grams</v>
      </c>
      <c r="U438" s="77">
        <f t="shared" ref="U438:U501" si="23">L438*M438</f>
        <v>46</v>
      </c>
      <c r="V438" s="46"/>
      <c r="W438" s="46"/>
      <c r="X438" s="46"/>
    </row>
    <row r="439" spans="1:24" ht="15.75" customHeight="1" thickBot="1" x14ac:dyDescent="0.35">
      <c r="A439" s="2">
        <v>150</v>
      </c>
      <c r="B439" s="67" t="s">
        <v>208</v>
      </c>
      <c r="C439" s="55"/>
      <c r="D439" s="41"/>
      <c r="E439" s="55"/>
      <c r="F439" s="55"/>
      <c r="G439" s="55"/>
      <c r="H439" s="51"/>
      <c r="I439" s="52"/>
      <c r="J439" s="74" t="s">
        <v>1086</v>
      </c>
      <c r="K439" s="57"/>
      <c r="L439" s="75">
        <v>28.55</v>
      </c>
      <c r="M439" s="60">
        <v>9</v>
      </c>
      <c r="N439" s="76">
        <v>50</v>
      </c>
      <c r="O439" s="42"/>
      <c r="P439" s="58" t="s">
        <v>36</v>
      </c>
      <c r="Q439" s="61"/>
      <c r="R439" s="62"/>
      <c r="S439" s="78">
        <f t="shared" si="21"/>
        <v>450</v>
      </c>
      <c r="T439" s="44" t="str">
        <f t="shared" si="22"/>
        <v>450grams</v>
      </c>
      <c r="U439" s="77">
        <f t="shared" si="23"/>
        <v>256.95</v>
      </c>
      <c r="V439" s="46"/>
      <c r="W439" s="46"/>
      <c r="X439" s="46"/>
    </row>
    <row r="440" spans="1:24" ht="15.75" customHeight="1" thickBot="1" x14ac:dyDescent="0.35">
      <c r="A440" s="2">
        <v>150</v>
      </c>
      <c r="B440" s="67" t="s">
        <v>208</v>
      </c>
      <c r="C440" s="55"/>
      <c r="D440" s="41"/>
      <c r="E440" s="55"/>
      <c r="F440" s="55"/>
      <c r="G440" s="55"/>
      <c r="H440" s="51"/>
      <c r="I440" s="52"/>
      <c r="J440" s="74" t="s">
        <v>1086</v>
      </c>
      <c r="K440" s="57"/>
      <c r="L440" s="75">
        <v>685</v>
      </c>
      <c r="M440" s="60">
        <v>2</v>
      </c>
      <c r="N440" s="76">
        <v>50</v>
      </c>
      <c r="O440" s="42"/>
      <c r="P440" s="58" t="s">
        <v>36</v>
      </c>
      <c r="Q440" s="61"/>
      <c r="R440" s="62"/>
      <c r="S440" s="78">
        <f t="shared" si="21"/>
        <v>100</v>
      </c>
      <c r="T440" s="44" t="str">
        <f t="shared" si="22"/>
        <v>100grams</v>
      </c>
      <c r="U440" s="77">
        <f t="shared" si="23"/>
        <v>1370</v>
      </c>
      <c r="V440" s="20"/>
      <c r="W440" s="20"/>
      <c r="X440" s="20"/>
    </row>
    <row r="441" spans="1:24" ht="15.75" customHeight="1" thickBot="1" x14ac:dyDescent="0.35">
      <c r="A441" s="2">
        <v>150</v>
      </c>
      <c r="B441" s="67" t="s">
        <v>208</v>
      </c>
      <c r="C441" s="55"/>
      <c r="D441" s="41"/>
      <c r="E441" s="55"/>
      <c r="F441" s="55"/>
      <c r="G441" s="55"/>
      <c r="H441" s="51"/>
      <c r="I441" s="52"/>
      <c r="J441" s="74" t="s">
        <v>1086</v>
      </c>
      <c r="K441" s="57"/>
      <c r="L441" s="75">
        <v>31.55</v>
      </c>
      <c r="M441" s="60">
        <v>13</v>
      </c>
      <c r="N441" s="76">
        <v>50</v>
      </c>
      <c r="O441" s="42"/>
      <c r="P441" s="58" t="s">
        <v>36</v>
      </c>
      <c r="Q441" s="61"/>
      <c r="R441" s="62"/>
      <c r="S441" s="78">
        <f t="shared" si="21"/>
        <v>650</v>
      </c>
      <c r="T441" s="44" t="str">
        <f t="shared" si="22"/>
        <v>650grams</v>
      </c>
      <c r="U441" s="77">
        <f t="shared" si="23"/>
        <v>410.15000000000003</v>
      </c>
      <c r="V441" s="46"/>
      <c r="W441" s="46"/>
      <c r="X441" s="46"/>
    </row>
    <row r="442" spans="1:24" ht="15.75" customHeight="1" thickBot="1" x14ac:dyDescent="0.35">
      <c r="A442" s="2">
        <v>150</v>
      </c>
      <c r="B442" s="67" t="s">
        <v>208</v>
      </c>
      <c r="C442" s="55"/>
      <c r="D442" s="41"/>
      <c r="E442" s="55"/>
      <c r="F442" s="55"/>
      <c r="G442" s="55"/>
      <c r="H442" s="51"/>
      <c r="I442" s="52"/>
      <c r="J442" s="74" t="s">
        <v>1086</v>
      </c>
      <c r="K442" s="57"/>
      <c r="L442" s="75">
        <v>685.1</v>
      </c>
      <c r="M442" s="60">
        <v>72</v>
      </c>
      <c r="N442" s="76">
        <v>50</v>
      </c>
      <c r="O442" s="42"/>
      <c r="P442" s="58" t="s">
        <v>36</v>
      </c>
      <c r="Q442" s="61"/>
      <c r="R442" s="62"/>
      <c r="S442" s="78">
        <f t="shared" si="21"/>
        <v>3600</v>
      </c>
      <c r="T442" s="44" t="str">
        <f t="shared" si="22"/>
        <v>3600grams</v>
      </c>
      <c r="U442" s="77">
        <f t="shared" si="23"/>
        <v>49327.200000000004</v>
      </c>
      <c r="V442" s="50"/>
      <c r="W442" s="54"/>
      <c r="X442" s="39"/>
    </row>
    <row r="443" spans="1:24" ht="15.75" customHeight="1" thickBot="1" x14ac:dyDescent="0.35">
      <c r="A443" s="2">
        <v>151</v>
      </c>
      <c r="B443" s="67" t="s">
        <v>209</v>
      </c>
      <c r="C443" s="55"/>
      <c r="D443" s="41"/>
      <c r="E443" s="55"/>
      <c r="F443" s="55"/>
      <c r="G443" s="55"/>
      <c r="H443" s="51"/>
      <c r="I443" s="52"/>
      <c r="J443" s="74" t="s">
        <v>1086</v>
      </c>
      <c r="K443" s="57"/>
      <c r="L443" s="75">
        <v>26.15</v>
      </c>
      <c r="M443" s="60">
        <v>47</v>
      </c>
      <c r="N443" s="76">
        <v>50</v>
      </c>
      <c r="O443" s="42"/>
      <c r="P443" s="58" t="s">
        <v>36</v>
      </c>
      <c r="Q443" s="61"/>
      <c r="R443" s="62"/>
      <c r="S443" s="78">
        <f t="shared" si="21"/>
        <v>2350</v>
      </c>
      <c r="T443" s="44" t="str">
        <f t="shared" si="22"/>
        <v>2350grams</v>
      </c>
      <c r="U443" s="77">
        <f t="shared" si="23"/>
        <v>1229.05</v>
      </c>
      <c r="V443" s="20"/>
      <c r="W443" s="20"/>
      <c r="X443" s="20"/>
    </row>
    <row r="444" spans="1:24" ht="15.75" customHeight="1" thickBot="1" x14ac:dyDescent="0.35">
      <c r="A444" s="2">
        <v>152</v>
      </c>
      <c r="B444" s="67" t="s">
        <v>1087</v>
      </c>
      <c r="C444" s="55"/>
      <c r="D444" s="41"/>
      <c r="E444" s="55"/>
      <c r="F444" s="55"/>
      <c r="G444" s="55"/>
      <c r="H444" s="51"/>
      <c r="I444" s="52"/>
      <c r="J444" s="74" t="s">
        <v>1088</v>
      </c>
      <c r="K444" s="57"/>
      <c r="L444" s="75">
        <v>840</v>
      </c>
      <c r="M444" s="60">
        <v>4</v>
      </c>
      <c r="N444" s="76">
        <v>1000</v>
      </c>
      <c r="O444" s="42"/>
      <c r="P444" s="58" t="s">
        <v>88</v>
      </c>
      <c r="Q444" s="61"/>
      <c r="R444" s="62"/>
      <c r="S444" s="78">
        <f t="shared" si="21"/>
        <v>4000</v>
      </c>
      <c r="T444" s="44" t="str">
        <f t="shared" si="22"/>
        <v>4000kilos</v>
      </c>
      <c r="U444" s="77">
        <f t="shared" si="23"/>
        <v>3360</v>
      </c>
      <c r="V444" s="46"/>
      <c r="W444" s="46"/>
      <c r="X444" s="46"/>
    </row>
    <row r="445" spans="1:24" ht="15.75" customHeight="1" thickBot="1" x14ac:dyDescent="0.35">
      <c r="A445" s="2">
        <v>153</v>
      </c>
      <c r="B445" s="67" t="s">
        <v>1089</v>
      </c>
      <c r="C445" s="55"/>
      <c r="D445" s="41"/>
      <c r="E445" s="55"/>
      <c r="F445" s="55"/>
      <c r="G445" s="55"/>
      <c r="H445" s="51"/>
      <c r="I445" s="52"/>
      <c r="J445" s="74" t="s">
        <v>1090</v>
      </c>
      <c r="K445" s="57"/>
      <c r="L445" s="75">
        <v>1.96</v>
      </c>
      <c r="M445" s="60">
        <v>528</v>
      </c>
      <c r="N445" s="76">
        <v>5</v>
      </c>
      <c r="O445" s="42"/>
      <c r="P445" s="58" t="s">
        <v>36</v>
      </c>
      <c r="Q445" s="61"/>
      <c r="R445" s="62"/>
      <c r="S445" s="78">
        <f t="shared" si="21"/>
        <v>2640</v>
      </c>
      <c r="T445" s="44" t="str">
        <f t="shared" si="22"/>
        <v>2640grams</v>
      </c>
      <c r="U445" s="77">
        <f t="shared" si="23"/>
        <v>1034.8799999999999</v>
      </c>
      <c r="V445" s="46"/>
      <c r="W445" s="46"/>
      <c r="X445" s="46"/>
    </row>
    <row r="446" spans="1:24" ht="15.75" customHeight="1" thickBot="1" x14ac:dyDescent="0.35">
      <c r="A446" s="2">
        <v>153</v>
      </c>
      <c r="B446" s="67" t="s">
        <v>1089</v>
      </c>
      <c r="C446" s="55"/>
      <c r="D446" s="41"/>
      <c r="E446" s="55"/>
      <c r="F446" s="55"/>
      <c r="G446" s="55"/>
      <c r="H446" s="51"/>
      <c r="I446" s="52"/>
      <c r="J446" s="74" t="s">
        <v>1090</v>
      </c>
      <c r="K446" s="57"/>
      <c r="L446" s="75">
        <v>1.95</v>
      </c>
      <c r="M446" s="60">
        <v>187</v>
      </c>
      <c r="N446" s="76">
        <v>5</v>
      </c>
      <c r="O446" s="42"/>
      <c r="P446" s="58" t="s">
        <v>36</v>
      </c>
      <c r="Q446" s="61"/>
      <c r="R446" s="62"/>
      <c r="S446" s="78">
        <f t="shared" si="21"/>
        <v>935</v>
      </c>
      <c r="T446" s="44" t="str">
        <f t="shared" si="22"/>
        <v>935grams</v>
      </c>
      <c r="U446" s="77">
        <f t="shared" si="23"/>
        <v>364.65</v>
      </c>
      <c r="V446" s="46"/>
      <c r="W446" s="46"/>
      <c r="X446" s="46"/>
    </row>
    <row r="447" spans="1:24" ht="15.75" customHeight="1" thickBot="1" x14ac:dyDescent="0.35">
      <c r="A447" s="2">
        <v>153</v>
      </c>
      <c r="B447" s="68" t="s">
        <v>1089</v>
      </c>
      <c r="C447" s="55"/>
      <c r="D447" s="41"/>
      <c r="E447" s="55"/>
      <c r="F447" s="55"/>
      <c r="G447" s="55"/>
      <c r="H447" s="51"/>
      <c r="I447" s="52"/>
      <c r="J447" s="74" t="s">
        <v>1091</v>
      </c>
      <c r="K447" s="57"/>
      <c r="L447" s="75">
        <v>60.5</v>
      </c>
      <c r="M447" s="60">
        <v>1</v>
      </c>
      <c r="N447" s="76">
        <v>250</v>
      </c>
      <c r="O447" s="42"/>
      <c r="P447" s="58" t="s">
        <v>36</v>
      </c>
      <c r="Q447" s="61"/>
      <c r="R447" s="62"/>
      <c r="S447" s="78">
        <f t="shared" si="21"/>
        <v>250</v>
      </c>
      <c r="T447" s="44" t="str">
        <f t="shared" si="22"/>
        <v>250grams</v>
      </c>
      <c r="U447" s="77">
        <f t="shared" si="23"/>
        <v>60.5</v>
      </c>
      <c r="V447" s="46"/>
      <c r="W447" s="46"/>
      <c r="X447" s="46"/>
    </row>
    <row r="448" spans="1:24" ht="15.75" customHeight="1" thickBot="1" x14ac:dyDescent="0.35">
      <c r="A448" s="2">
        <v>153</v>
      </c>
      <c r="B448" s="68" t="s">
        <v>1089</v>
      </c>
      <c r="C448" s="55"/>
      <c r="D448" s="41"/>
      <c r="E448" s="55"/>
      <c r="F448" s="55"/>
      <c r="G448" s="55"/>
      <c r="H448" s="51"/>
      <c r="I448" s="52"/>
      <c r="J448" s="74" t="s">
        <v>1091</v>
      </c>
      <c r="K448" s="57"/>
      <c r="L448" s="75">
        <v>57</v>
      </c>
      <c r="M448" s="60">
        <v>1</v>
      </c>
      <c r="N448" s="76">
        <v>220</v>
      </c>
      <c r="O448" s="42"/>
      <c r="P448" s="58" t="s">
        <v>36</v>
      </c>
      <c r="Q448" s="61"/>
      <c r="R448" s="62"/>
      <c r="S448" s="78">
        <f t="shared" si="21"/>
        <v>220</v>
      </c>
      <c r="T448" s="44" t="str">
        <f t="shared" si="22"/>
        <v>220grams</v>
      </c>
      <c r="U448" s="77">
        <f t="shared" si="23"/>
        <v>57</v>
      </c>
      <c r="V448" s="46"/>
      <c r="W448" s="46"/>
      <c r="X448" s="46"/>
    </row>
    <row r="449" spans="1:24" ht="15.75" customHeight="1" thickBot="1" x14ac:dyDescent="0.35">
      <c r="A449" s="2">
        <v>154</v>
      </c>
      <c r="B449" s="67" t="s">
        <v>1092</v>
      </c>
      <c r="C449" s="55"/>
      <c r="D449" s="41"/>
      <c r="E449" s="55"/>
      <c r="F449" s="55"/>
      <c r="G449" s="55"/>
      <c r="H449" s="51"/>
      <c r="I449" s="52"/>
      <c r="J449" s="74" t="s">
        <v>1093</v>
      </c>
      <c r="K449" s="57"/>
      <c r="L449" s="75">
        <v>486</v>
      </c>
      <c r="M449" s="60">
        <v>1</v>
      </c>
      <c r="N449" s="76">
        <v>100</v>
      </c>
      <c r="O449" s="42"/>
      <c r="P449" s="58" t="s">
        <v>38</v>
      </c>
      <c r="Q449" s="61"/>
      <c r="R449" s="62"/>
      <c r="S449" s="78">
        <f t="shared" si="21"/>
        <v>100</v>
      </c>
      <c r="T449" s="44" t="str">
        <f t="shared" si="22"/>
        <v>100pieces</v>
      </c>
      <c r="U449" s="77">
        <f t="shared" si="23"/>
        <v>486</v>
      </c>
      <c r="V449" s="46"/>
      <c r="W449" s="46"/>
      <c r="X449" s="46"/>
    </row>
    <row r="450" spans="1:24" ht="15.75" customHeight="1" thickBot="1" x14ac:dyDescent="0.35">
      <c r="A450" s="2">
        <v>154</v>
      </c>
      <c r="B450" s="68" t="s">
        <v>1092</v>
      </c>
      <c r="C450" s="55"/>
      <c r="D450" s="41"/>
      <c r="E450" s="55"/>
      <c r="F450" s="55"/>
      <c r="G450" s="55"/>
      <c r="H450" s="51"/>
      <c r="I450" s="52"/>
      <c r="J450" s="74" t="s">
        <v>1094</v>
      </c>
      <c r="K450" s="57"/>
      <c r="L450" s="75">
        <v>5.6</v>
      </c>
      <c r="M450" s="60">
        <v>300</v>
      </c>
      <c r="N450" s="76">
        <v>1</v>
      </c>
      <c r="O450" s="42"/>
      <c r="P450" s="58" t="s">
        <v>38</v>
      </c>
      <c r="Q450" s="61"/>
      <c r="R450" s="62"/>
      <c r="S450" s="78">
        <f t="shared" si="21"/>
        <v>300</v>
      </c>
      <c r="T450" s="44" t="str">
        <f t="shared" si="22"/>
        <v>300pieces</v>
      </c>
      <c r="U450" s="77">
        <f t="shared" si="23"/>
        <v>1680</v>
      </c>
      <c r="V450" s="46"/>
      <c r="W450" s="46"/>
      <c r="X450" s="46"/>
    </row>
    <row r="451" spans="1:24" ht="15.75" customHeight="1" thickBot="1" x14ac:dyDescent="0.35">
      <c r="A451" s="2">
        <v>155</v>
      </c>
      <c r="B451" s="67" t="s">
        <v>216</v>
      </c>
      <c r="C451" s="55"/>
      <c r="D451" s="41"/>
      <c r="E451" s="55"/>
      <c r="F451" s="55"/>
      <c r="G451" s="55"/>
      <c r="H451" s="51"/>
      <c r="I451" s="52"/>
      <c r="J451" s="74" t="s">
        <v>1095</v>
      </c>
      <c r="K451" s="57"/>
      <c r="L451" s="75">
        <v>2.75</v>
      </c>
      <c r="M451" s="60">
        <v>32</v>
      </c>
      <c r="N451" s="76">
        <v>1</v>
      </c>
      <c r="O451" s="42"/>
      <c r="P451" s="58" t="s">
        <v>38</v>
      </c>
      <c r="Q451" s="61"/>
      <c r="R451" s="62"/>
      <c r="S451" s="78">
        <f t="shared" si="21"/>
        <v>32</v>
      </c>
      <c r="T451" s="44" t="str">
        <f t="shared" si="22"/>
        <v>32pieces</v>
      </c>
      <c r="U451" s="77">
        <f t="shared" si="23"/>
        <v>88</v>
      </c>
      <c r="V451" s="20"/>
      <c r="W451" s="20"/>
      <c r="X451" s="20"/>
    </row>
    <row r="452" spans="1:24" ht="15.75" customHeight="1" thickBot="1" x14ac:dyDescent="0.35">
      <c r="A452" s="2">
        <v>155</v>
      </c>
      <c r="B452" s="67" t="s">
        <v>216</v>
      </c>
      <c r="C452" s="55"/>
      <c r="D452" s="41"/>
      <c r="E452" s="55"/>
      <c r="F452" s="55"/>
      <c r="G452" s="55"/>
      <c r="H452" s="51"/>
      <c r="I452" s="52"/>
      <c r="J452" s="74" t="s">
        <v>1096</v>
      </c>
      <c r="K452" s="57"/>
      <c r="L452" s="75">
        <v>132</v>
      </c>
      <c r="M452" s="60">
        <v>1</v>
      </c>
      <c r="N452" s="76">
        <v>48</v>
      </c>
      <c r="O452" s="42"/>
      <c r="P452" s="58" t="s">
        <v>38</v>
      </c>
      <c r="Q452" s="61"/>
      <c r="R452" s="62"/>
      <c r="S452" s="78">
        <f t="shared" si="21"/>
        <v>48</v>
      </c>
      <c r="T452" s="44" t="str">
        <f t="shared" si="22"/>
        <v>48pieces</v>
      </c>
      <c r="U452" s="77">
        <f t="shared" si="23"/>
        <v>132</v>
      </c>
      <c r="V452" s="46"/>
      <c r="W452" s="46"/>
      <c r="X452" s="46"/>
    </row>
    <row r="453" spans="1:24" ht="15.75" customHeight="1" thickBot="1" x14ac:dyDescent="0.35">
      <c r="A453" s="2">
        <v>155</v>
      </c>
      <c r="B453" s="67" t="s">
        <v>216</v>
      </c>
      <c r="C453" s="55"/>
      <c r="D453" s="41"/>
      <c r="E453" s="55"/>
      <c r="F453" s="55"/>
      <c r="G453" s="55"/>
      <c r="H453" s="51"/>
      <c r="I453" s="52"/>
      <c r="J453" s="74" t="s">
        <v>1095</v>
      </c>
      <c r="K453" s="57"/>
      <c r="L453" s="75">
        <v>2.75</v>
      </c>
      <c r="M453" s="60">
        <v>40</v>
      </c>
      <c r="N453" s="76">
        <v>2</v>
      </c>
      <c r="O453" s="42"/>
      <c r="P453" s="58" t="s">
        <v>36</v>
      </c>
      <c r="Q453" s="61"/>
      <c r="R453" s="62"/>
      <c r="S453" s="78">
        <f t="shared" si="21"/>
        <v>80</v>
      </c>
      <c r="T453" s="44" t="str">
        <f t="shared" si="22"/>
        <v>80grams</v>
      </c>
      <c r="U453" s="77">
        <f t="shared" si="23"/>
        <v>110</v>
      </c>
      <c r="V453" s="50"/>
      <c r="W453" s="54"/>
      <c r="X453" s="39"/>
    </row>
    <row r="454" spans="1:24" ht="15.75" customHeight="1" thickBot="1" x14ac:dyDescent="0.35">
      <c r="A454" s="2">
        <v>155</v>
      </c>
      <c r="B454" s="68" t="s">
        <v>216</v>
      </c>
      <c r="C454" s="55"/>
      <c r="D454" s="41"/>
      <c r="E454" s="55"/>
      <c r="F454" s="55"/>
      <c r="G454" s="55"/>
      <c r="H454" s="51"/>
      <c r="I454" s="52"/>
      <c r="J454" s="74" t="s">
        <v>1097</v>
      </c>
      <c r="K454" s="57"/>
      <c r="L454" s="75">
        <v>3.2</v>
      </c>
      <c r="M454" s="60">
        <v>31</v>
      </c>
      <c r="N454" s="76">
        <v>1</v>
      </c>
      <c r="O454" s="42"/>
      <c r="P454" s="58" t="s">
        <v>36</v>
      </c>
      <c r="Q454" s="61"/>
      <c r="R454" s="62"/>
      <c r="S454" s="78">
        <f t="shared" si="21"/>
        <v>31</v>
      </c>
      <c r="T454" s="44" t="str">
        <f t="shared" si="22"/>
        <v>31grams</v>
      </c>
      <c r="U454" s="77">
        <f t="shared" si="23"/>
        <v>99.2</v>
      </c>
      <c r="V454" s="46"/>
      <c r="W454" s="46"/>
      <c r="X454" s="46"/>
    </row>
    <row r="455" spans="1:24" ht="15.75" customHeight="1" thickBot="1" x14ac:dyDescent="0.35">
      <c r="A455" s="2">
        <v>155</v>
      </c>
      <c r="B455" s="67" t="s">
        <v>216</v>
      </c>
      <c r="C455" s="55"/>
      <c r="D455" s="41"/>
      <c r="E455" s="55"/>
      <c r="F455" s="55"/>
      <c r="G455" s="55"/>
      <c r="H455" s="51"/>
      <c r="I455" s="52"/>
      <c r="J455" s="74" t="s">
        <v>1095</v>
      </c>
      <c r="K455" s="57"/>
      <c r="L455" s="75">
        <v>3.1</v>
      </c>
      <c r="M455" s="60">
        <v>1770</v>
      </c>
      <c r="N455" s="76">
        <v>2</v>
      </c>
      <c r="O455" s="42"/>
      <c r="P455" s="58" t="s">
        <v>36</v>
      </c>
      <c r="Q455" s="61"/>
      <c r="R455" s="62"/>
      <c r="S455" s="78">
        <f t="shared" si="21"/>
        <v>3540</v>
      </c>
      <c r="T455" s="44" t="str">
        <f t="shared" si="22"/>
        <v>3540grams</v>
      </c>
      <c r="U455" s="77">
        <f t="shared" si="23"/>
        <v>5487</v>
      </c>
      <c r="V455" s="20"/>
      <c r="W455" s="20"/>
      <c r="X455" s="20"/>
    </row>
    <row r="456" spans="1:24" ht="15.75" customHeight="1" thickBot="1" x14ac:dyDescent="0.35">
      <c r="A456" s="2">
        <v>156</v>
      </c>
      <c r="B456" s="67" t="s">
        <v>228</v>
      </c>
      <c r="C456" s="55"/>
      <c r="D456" s="41"/>
      <c r="E456" s="55"/>
      <c r="F456" s="55"/>
      <c r="G456" s="55"/>
      <c r="H456" s="51"/>
      <c r="I456" s="52"/>
      <c r="J456" s="74" t="s">
        <v>43</v>
      </c>
      <c r="K456" s="57"/>
      <c r="L456" s="75">
        <v>70.7</v>
      </c>
      <c r="M456" s="60">
        <v>7</v>
      </c>
      <c r="N456" s="76">
        <v>370</v>
      </c>
      <c r="O456" s="42"/>
      <c r="P456" s="58" t="s">
        <v>47</v>
      </c>
      <c r="Q456" s="61"/>
      <c r="R456" s="62"/>
      <c r="S456" s="78">
        <f t="shared" si="21"/>
        <v>2590</v>
      </c>
      <c r="T456" s="44" t="str">
        <f t="shared" si="22"/>
        <v>2590ml</v>
      </c>
      <c r="U456" s="77">
        <f t="shared" si="23"/>
        <v>494.90000000000003</v>
      </c>
      <c r="V456" s="46"/>
      <c r="W456" s="46"/>
      <c r="X456" s="46"/>
    </row>
    <row r="457" spans="1:24" ht="15.75" customHeight="1" thickBot="1" x14ac:dyDescent="0.35">
      <c r="A457" s="2">
        <v>156</v>
      </c>
      <c r="B457" s="67" t="s">
        <v>228</v>
      </c>
      <c r="C457" s="55"/>
      <c r="D457" s="41"/>
      <c r="E457" s="55"/>
      <c r="F457" s="55"/>
      <c r="G457" s="55"/>
      <c r="H457" s="51"/>
      <c r="I457" s="52"/>
      <c r="J457" s="74" t="s">
        <v>43</v>
      </c>
      <c r="K457" s="57"/>
      <c r="L457" s="75">
        <v>56</v>
      </c>
      <c r="M457" s="60">
        <v>14</v>
      </c>
      <c r="N457" s="76">
        <v>370</v>
      </c>
      <c r="O457" s="42"/>
      <c r="P457" s="58" t="s">
        <v>47</v>
      </c>
      <c r="Q457" s="61"/>
      <c r="R457" s="62"/>
      <c r="S457" s="78">
        <f t="shared" si="21"/>
        <v>5180</v>
      </c>
      <c r="T457" s="44" t="str">
        <f t="shared" si="22"/>
        <v>5180ml</v>
      </c>
      <c r="U457" s="77">
        <f t="shared" si="23"/>
        <v>784</v>
      </c>
      <c r="V457" s="46"/>
      <c r="W457" s="46"/>
      <c r="X457" s="46"/>
    </row>
    <row r="458" spans="1:24" ht="15.75" customHeight="1" thickBot="1" x14ac:dyDescent="0.35">
      <c r="A458" s="2">
        <v>156</v>
      </c>
      <c r="B458" s="67" t="s">
        <v>228</v>
      </c>
      <c r="C458" s="55"/>
      <c r="D458" s="41"/>
      <c r="E458" s="55"/>
      <c r="F458" s="55"/>
      <c r="G458" s="55"/>
      <c r="H458" s="51"/>
      <c r="I458" s="52"/>
      <c r="J458" s="74" t="s">
        <v>1098</v>
      </c>
      <c r="K458" s="57"/>
      <c r="L458" s="75">
        <v>52.5</v>
      </c>
      <c r="M458" s="60">
        <v>4</v>
      </c>
      <c r="N458" s="76">
        <v>370</v>
      </c>
      <c r="O458" s="42"/>
      <c r="P458" s="58" t="s">
        <v>47</v>
      </c>
      <c r="Q458" s="61"/>
      <c r="R458" s="62"/>
      <c r="S458" s="78">
        <f t="shared" si="21"/>
        <v>1480</v>
      </c>
      <c r="T458" s="44" t="str">
        <f t="shared" si="22"/>
        <v>1480ml</v>
      </c>
      <c r="U458" s="77">
        <f t="shared" si="23"/>
        <v>210</v>
      </c>
      <c r="V458" s="46"/>
      <c r="W458" s="46"/>
      <c r="X458" s="46"/>
    </row>
    <row r="459" spans="1:24" ht="15.75" customHeight="1" thickBot="1" x14ac:dyDescent="0.35">
      <c r="A459" s="2">
        <v>156</v>
      </c>
      <c r="B459" s="67" t="s">
        <v>228</v>
      </c>
      <c r="C459" s="55"/>
      <c r="D459" s="41"/>
      <c r="E459" s="55"/>
      <c r="F459" s="55"/>
      <c r="G459" s="55"/>
      <c r="H459" s="51"/>
      <c r="I459" s="52"/>
      <c r="J459" s="74" t="s">
        <v>1099</v>
      </c>
      <c r="K459" s="57"/>
      <c r="L459" s="75">
        <v>41.6</v>
      </c>
      <c r="M459" s="60">
        <v>6</v>
      </c>
      <c r="N459" s="76">
        <v>374</v>
      </c>
      <c r="O459" s="42"/>
      <c r="P459" s="58" t="s">
        <v>47</v>
      </c>
      <c r="Q459" s="61"/>
      <c r="R459" s="62"/>
      <c r="S459" s="78">
        <f t="shared" si="21"/>
        <v>2244</v>
      </c>
      <c r="T459" s="44" t="str">
        <f t="shared" si="22"/>
        <v>2244ml</v>
      </c>
      <c r="U459" s="77">
        <f t="shared" si="23"/>
        <v>249.60000000000002</v>
      </c>
      <c r="V459" s="50"/>
      <c r="W459" s="54"/>
      <c r="X459" s="39"/>
    </row>
    <row r="460" spans="1:24" ht="15.75" customHeight="1" thickBot="1" x14ac:dyDescent="0.35">
      <c r="A460" s="2">
        <v>156</v>
      </c>
      <c r="B460" s="67" t="s">
        <v>228</v>
      </c>
      <c r="C460" s="55"/>
      <c r="D460" s="41"/>
      <c r="E460" s="55"/>
      <c r="F460" s="55"/>
      <c r="G460" s="55"/>
      <c r="H460" s="51"/>
      <c r="I460" s="52"/>
      <c r="J460" s="74" t="s">
        <v>1099</v>
      </c>
      <c r="K460" s="57"/>
      <c r="L460" s="75">
        <v>41.6</v>
      </c>
      <c r="M460" s="60">
        <v>3</v>
      </c>
      <c r="N460" s="76">
        <v>374</v>
      </c>
      <c r="O460" s="42"/>
      <c r="P460" s="58" t="s">
        <v>47</v>
      </c>
      <c r="Q460" s="61"/>
      <c r="R460" s="62"/>
      <c r="S460" s="78">
        <f t="shared" si="21"/>
        <v>1122</v>
      </c>
      <c r="T460" s="44" t="str">
        <f t="shared" si="22"/>
        <v>1122ml</v>
      </c>
      <c r="U460" s="77">
        <f t="shared" si="23"/>
        <v>124.80000000000001</v>
      </c>
      <c r="V460" s="46"/>
      <c r="W460" s="46"/>
      <c r="X460" s="46"/>
    </row>
    <row r="461" spans="1:24" ht="15.75" customHeight="1" thickBot="1" x14ac:dyDescent="0.35">
      <c r="A461" s="2">
        <v>156</v>
      </c>
      <c r="B461" s="67" t="s">
        <v>228</v>
      </c>
      <c r="C461" s="55"/>
      <c r="D461" s="41"/>
      <c r="E461" s="55"/>
      <c r="F461" s="55"/>
      <c r="G461" s="55"/>
      <c r="H461" s="51"/>
      <c r="I461" s="52"/>
      <c r="J461" s="74" t="s">
        <v>1099</v>
      </c>
      <c r="K461" s="57"/>
      <c r="L461" s="75">
        <v>41.6</v>
      </c>
      <c r="M461" s="60">
        <v>0</v>
      </c>
      <c r="N461" s="76">
        <v>374</v>
      </c>
      <c r="O461" s="42"/>
      <c r="P461" s="58" t="s">
        <v>47</v>
      </c>
      <c r="Q461" s="61"/>
      <c r="R461" s="62"/>
      <c r="S461" s="78">
        <f t="shared" si="21"/>
        <v>0</v>
      </c>
      <c r="T461" s="44" t="str">
        <f t="shared" si="22"/>
        <v>0ml</v>
      </c>
      <c r="U461" s="77">
        <f t="shared" si="23"/>
        <v>0</v>
      </c>
      <c r="V461" s="46"/>
      <c r="W461" s="46"/>
      <c r="X461" s="46"/>
    </row>
    <row r="462" spans="1:24" ht="15.75" customHeight="1" thickBot="1" x14ac:dyDescent="0.35">
      <c r="A462" s="2">
        <v>156</v>
      </c>
      <c r="B462" s="67" t="s">
        <v>228</v>
      </c>
      <c r="C462" s="55"/>
      <c r="D462" s="41"/>
      <c r="E462" s="55"/>
      <c r="F462" s="55"/>
      <c r="G462" s="55"/>
      <c r="H462" s="51"/>
      <c r="I462" s="52"/>
      <c r="J462" s="74" t="s">
        <v>1099</v>
      </c>
      <c r="K462" s="57"/>
      <c r="L462" s="75">
        <v>41.6</v>
      </c>
      <c r="M462" s="60">
        <v>16</v>
      </c>
      <c r="N462" s="76">
        <v>374</v>
      </c>
      <c r="O462" s="42"/>
      <c r="P462" s="58" t="s">
        <v>47</v>
      </c>
      <c r="Q462" s="61"/>
      <c r="R462" s="62"/>
      <c r="S462" s="78">
        <f t="shared" si="21"/>
        <v>5984</v>
      </c>
      <c r="T462" s="44" t="str">
        <f t="shared" si="22"/>
        <v>5984ml</v>
      </c>
      <c r="U462" s="77">
        <f t="shared" si="23"/>
        <v>665.6</v>
      </c>
      <c r="V462" s="20"/>
      <c r="W462" s="20"/>
      <c r="X462" s="20"/>
    </row>
    <row r="463" spans="1:24" ht="15.75" customHeight="1" thickBot="1" x14ac:dyDescent="0.35">
      <c r="A463" s="2">
        <v>156</v>
      </c>
      <c r="B463" s="67" t="s">
        <v>228</v>
      </c>
      <c r="C463" s="55"/>
      <c r="D463" s="41"/>
      <c r="E463" s="55"/>
      <c r="F463" s="55"/>
      <c r="G463" s="55"/>
      <c r="H463" s="51"/>
      <c r="I463" s="52"/>
      <c r="J463" s="74" t="s">
        <v>1099</v>
      </c>
      <c r="K463" s="57"/>
      <c r="L463" s="75">
        <v>42.5</v>
      </c>
      <c r="M463" s="60">
        <v>7</v>
      </c>
      <c r="N463" s="76">
        <v>390</v>
      </c>
      <c r="O463" s="42"/>
      <c r="P463" s="58" t="s">
        <v>47</v>
      </c>
      <c r="Q463" s="61"/>
      <c r="R463" s="62"/>
      <c r="S463" s="78">
        <f t="shared" si="21"/>
        <v>2730</v>
      </c>
      <c r="T463" s="44" t="str">
        <f t="shared" si="22"/>
        <v>2730ml</v>
      </c>
      <c r="U463" s="77">
        <f t="shared" si="23"/>
        <v>297.5</v>
      </c>
      <c r="V463" s="46"/>
      <c r="W463" s="46"/>
      <c r="X463" s="46"/>
    </row>
    <row r="464" spans="1:24" ht="15.75" customHeight="1" thickBot="1" x14ac:dyDescent="0.35">
      <c r="A464" s="2">
        <v>156</v>
      </c>
      <c r="B464" s="67" t="s">
        <v>228</v>
      </c>
      <c r="C464" s="55"/>
      <c r="D464" s="41"/>
      <c r="E464" s="55"/>
      <c r="F464" s="55"/>
      <c r="G464" s="55"/>
      <c r="H464" s="51"/>
      <c r="I464" s="52"/>
      <c r="J464" s="74" t="s">
        <v>48</v>
      </c>
      <c r="K464" s="57"/>
      <c r="L464" s="75">
        <v>52.7</v>
      </c>
      <c r="M464" s="60">
        <v>26</v>
      </c>
      <c r="N464" s="76">
        <v>380</v>
      </c>
      <c r="O464" s="42"/>
      <c r="P464" s="58" t="s">
        <v>47</v>
      </c>
      <c r="Q464" s="61"/>
      <c r="R464" s="62"/>
      <c r="S464" s="78">
        <f t="shared" si="21"/>
        <v>9880</v>
      </c>
      <c r="T464" s="44" t="str">
        <f t="shared" si="22"/>
        <v>9880ml</v>
      </c>
      <c r="U464" s="77">
        <f t="shared" si="23"/>
        <v>1370.2</v>
      </c>
      <c r="V464" s="46"/>
      <c r="W464" s="46"/>
      <c r="X464" s="46"/>
    </row>
    <row r="465" spans="1:24" ht="15.75" customHeight="1" thickBot="1" x14ac:dyDescent="0.35">
      <c r="A465" s="2">
        <v>156</v>
      </c>
      <c r="B465" s="68" t="s">
        <v>228</v>
      </c>
      <c r="C465" s="55"/>
      <c r="D465" s="41"/>
      <c r="E465" s="55"/>
      <c r="F465" s="55"/>
      <c r="G465" s="55"/>
      <c r="H465" s="51"/>
      <c r="I465" s="52"/>
      <c r="J465" s="74" t="s">
        <v>1100</v>
      </c>
      <c r="K465" s="57"/>
      <c r="L465" s="75">
        <v>41.66</v>
      </c>
      <c r="M465" s="60">
        <v>28</v>
      </c>
      <c r="N465" s="76">
        <v>380</v>
      </c>
      <c r="O465" s="42"/>
      <c r="P465" s="58" t="s">
        <v>47</v>
      </c>
      <c r="Q465" s="61"/>
      <c r="R465" s="62"/>
      <c r="S465" s="78">
        <f t="shared" si="21"/>
        <v>10640</v>
      </c>
      <c r="T465" s="44" t="str">
        <f t="shared" si="22"/>
        <v>10640ml</v>
      </c>
      <c r="U465" s="77">
        <f t="shared" si="23"/>
        <v>1166.48</v>
      </c>
      <c r="V465" s="50"/>
      <c r="W465" s="54"/>
      <c r="X465" s="39"/>
    </row>
    <row r="466" spans="1:24" ht="15.75" customHeight="1" thickBot="1" x14ac:dyDescent="0.35">
      <c r="A466" s="2">
        <v>156</v>
      </c>
      <c r="B466" s="67" t="s">
        <v>228</v>
      </c>
      <c r="C466" s="55"/>
      <c r="D466" s="41"/>
      <c r="E466" s="55"/>
      <c r="F466" s="55"/>
      <c r="G466" s="55"/>
      <c r="H466" s="51"/>
      <c r="I466" s="52"/>
      <c r="J466" s="74" t="s">
        <v>1101</v>
      </c>
      <c r="K466" s="57"/>
      <c r="L466" s="75">
        <v>54</v>
      </c>
      <c r="M466" s="60">
        <v>1</v>
      </c>
      <c r="N466" s="76">
        <v>390</v>
      </c>
      <c r="O466" s="42"/>
      <c r="P466" s="58" t="s">
        <v>47</v>
      </c>
      <c r="Q466" s="61"/>
      <c r="R466" s="62"/>
      <c r="S466" s="78">
        <f t="shared" si="21"/>
        <v>390</v>
      </c>
      <c r="T466" s="44" t="str">
        <f t="shared" si="22"/>
        <v>390ml</v>
      </c>
      <c r="U466" s="77">
        <f t="shared" si="23"/>
        <v>54</v>
      </c>
      <c r="V466" s="50"/>
      <c r="W466" s="54"/>
      <c r="X466" s="39"/>
    </row>
    <row r="467" spans="1:24" ht="15.75" customHeight="1" thickBot="1" x14ac:dyDescent="0.35">
      <c r="A467" s="2">
        <v>156</v>
      </c>
      <c r="B467" s="67" t="s">
        <v>228</v>
      </c>
      <c r="C467" s="55"/>
      <c r="D467" s="41"/>
      <c r="E467" s="55"/>
      <c r="F467" s="55"/>
      <c r="G467" s="55"/>
      <c r="H467" s="51"/>
      <c r="I467" s="52"/>
      <c r="J467" s="74" t="s">
        <v>1102</v>
      </c>
      <c r="K467" s="57"/>
      <c r="L467" s="75">
        <v>59</v>
      </c>
      <c r="M467" s="60">
        <v>0</v>
      </c>
      <c r="N467" s="76">
        <v>374</v>
      </c>
      <c r="O467" s="42"/>
      <c r="P467" s="58" t="s">
        <v>47</v>
      </c>
      <c r="Q467" s="61"/>
      <c r="R467" s="62"/>
      <c r="S467" s="78">
        <f t="shared" si="21"/>
        <v>0</v>
      </c>
      <c r="T467" s="44" t="str">
        <f t="shared" si="22"/>
        <v>0ml</v>
      </c>
      <c r="U467" s="77">
        <f t="shared" si="23"/>
        <v>0</v>
      </c>
      <c r="V467" s="46"/>
      <c r="W467" s="46"/>
      <c r="X467" s="46"/>
    </row>
    <row r="468" spans="1:24" ht="15.75" customHeight="1" thickBot="1" x14ac:dyDescent="0.35">
      <c r="A468" s="2">
        <v>156</v>
      </c>
      <c r="B468" s="67" t="s">
        <v>228</v>
      </c>
      <c r="C468" s="55"/>
      <c r="D468" s="41"/>
      <c r="E468" s="55"/>
      <c r="F468" s="55"/>
      <c r="G468" s="55"/>
      <c r="H468" s="51"/>
      <c r="I468" s="52"/>
      <c r="J468" s="74" t="s">
        <v>1102</v>
      </c>
      <c r="K468" s="57"/>
      <c r="L468" s="75">
        <v>57.75</v>
      </c>
      <c r="M468" s="60">
        <v>1</v>
      </c>
      <c r="N468" s="76">
        <v>390</v>
      </c>
      <c r="O468" s="42"/>
      <c r="P468" s="58" t="s">
        <v>47</v>
      </c>
      <c r="Q468" s="61"/>
      <c r="R468" s="62"/>
      <c r="S468" s="78">
        <f t="shared" si="21"/>
        <v>390</v>
      </c>
      <c r="T468" s="44" t="str">
        <f t="shared" si="22"/>
        <v>390ml</v>
      </c>
      <c r="U468" s="77">
        <f t="shared" si="23"/>
        <v>57.75</v>
      </c>
      <c r="V468" s="50"/>
      <c r="W468" s="54"/>
      <c r="X468" s="39"/>
    </row>
    <row r="469" spans="1:24" ht="15.75" customHeight="1" thickBot="1" x14ac:dyDescent="0.35">
      <c r="A469" s="2">
        <v>157</v>
      </c>
      <c r="B469" s="67" t="s">
        <v>1103</v>
      </c>
      <c r="C469" s="55"/>
      <c r="D469" s="41"/>
      <c r="E469" s="55"/>
      <c r="F469" s="55"/>
      <c r="G469" s="55"/>
      <c r="H469" s="51"/>
      <c r="I469" s="52"/>
      <c r="J469" s="74" t="s">
        <v>1104</v>
      </c>
      <c r="K469" s="57"/>
      <c r="L469" s="75">
        <v>6.1</v>
      </c>
      <c r="M469" s="60">
        <v>11</v>
      </c>
      <c r="N469" s="76">
        <v>13</v>
      </c>
      <c r="O469" s="42"/>
      <c r="P469" s="58" t="s">
        <v>47</v>
      </c>
      <c r="Q469" s="61"/>
      <c r="R469" s="62"/>
      <c r="S469" s="78">
        <f t="shared" si="21"/>
        <v>143</v>
      </c>
      <c r="T469" s="44" t="str">
        <f t="shared" si="22"/>
        <v>143ml</v>
      </c>
      <c r="U469" s="77">
        <f t="shared" si="23"/>
        <v>67.099999999999994</v>
      </c>
      <c r="V469" s="50"/>
      <c r="W469" s="54"/>
      <c r="X469" s="39"/>
    </row>
    <row r="470" spans="1:24" ht="15.75" customHeight="1" thickBot="1" x14ac:dyDescent="0.35">
      <c r="A470" s="2">
        <v>158</v>
      </c>
      <c r="B470" s="67" t="s">
        <v>1105</v>
      </c>
      <c r="C470" s="55"/>
      <c r="D470" s="41"/>
      <c r="E470" s="55"/>
      <c r="F470" s="55"/>
      <c r="G470" s="55"/>
      <c r="H470" s="51"/>
      <c r="I470" s="52"/>
      <c r="J470" s="74" t="s">
        <v>1106</v>
      </c>
      <c r="K470" s="57"/>
      <c r="L470" s="75">
        <v>210</v>
      </c>
      <c r="M470" s="60">
        <v>1</v>
      </c>
      <c r="N470" s="76">
        <v>2272</v>
      </c>
      <c r="O470" s="42"/>
      <c r="P470" s="58" t="s">
        <v>36</v>
      </c>
      <c r="Q470" s="61"/>
      <c r="R470" s="62"/>
      <c r="S470" s="78">
        <f t="shared" si="21"/>
        <v>2272</v>
      </c>
      <c r="T470" s="44" t="str">
        <f t="shared" si="22"/>
        <v>2272grams</v>
      </c>
      <c r="U470" s="77">
        <f t="shared" si="23"/>
        <v>210</v>
      </c>
      <c r="V470" s="50"/>
      <c r="W470" s="54"/>
      <c r="X470" s="39"/>
    </row>
    <row r="471" spans="1:24" ht="15.75" customHeight="1" thickBot="1" x14ac:dyDescent="0.35">
      <c r="A471" s="2">
        <v>158</v>
      </c>
      <c r="B471" s="68" t="s">
        <v>1105</v>
      </c>
      <c r="C471" s="55"/>
      <c r="D471" s="41"/>
      <c r="E471" s="55"/>
      <c r="F471" s="55"/>
      <c r="G471" s="55"/>
      <c r="H471" s="51"/>
      <c r="I471" s="52"/>
      <c r="J471" s="74" t="s">
        <v>1106</v>
      </c>
      <c r="K471" s="57"/>
      <c r="L471" s="75">
        <v>70</v>
      </c>
      <c r="M471" s="60">
        <v>2</v>
      </c>
      <c r="N471" s="76">
        <v>450</v>
      </c>
      <c r="O471" s="42"/>
      <c r="P471" s="58" t="s">
        <v>36</v>
      </c>
      <c r="Q471" s="61"/>
      <c r="R471" s="62"/>
      <c r="S471" s="78">
        <f t="shared" si="21"/>
        <v>900</v>
      </c>
      <c r="T471" s="44" t="str">
        <f t="shared" si="22"/>
        <v>900grams</v>
      </c>
      <c r="U471" s="77">
        <f t="shared" si="23"/>
        <v>140</v>
      </c>
      <c r="V471" s="46"/>
      <c r="W471" s="46"/>
      <c r="X471" s="46"/>
    </row>
    <row r="472" spans="1:24" ht="15.75" customHeight="1" thickBot="1" x14ac:dyDescent="0.35">
      <c r="A472" s="2">
        <v>159</v>
      </c>
      <c r="B472" s="67" t="s">
        <v>237</v>
      </c>
      <c r="C472" s="55"/>
      <c r="D472" s="41"/>
      <c r="E472" s="55"/>
      <c r="F472" s="55"/>
      <c r="G472" s="55"/>
      <c r="H472" s="51"/>
      <c r="I472" s="52"/>
      <c r="J472" s="74" t="s">
        <v>1107</v>
      </c>
      <c r="K472" s="57"/>
      <c r="L472" s="75">
        <v>69</v>
      </c>
      <c r="M472" s="60">
        <v>7</v>
      </c>
      <c r="N472" s="76">
        <v>250</v>
      </c>
      <c r="O472" s="42"/>
      <c r="P472" s="58" t="s">
        <v>36</v>
      </c>
      <c r="Q472" s="61"/>
      <c r="R472" s="62"/>
      <c r="S472" s="78">
        <f t="shared" si="21"/>
        <v>1750</v>
      </c>
      <c r="T472" s="44" t="str">
        <f t="shared" si="22"/>
        <v>1750grams</v>
      </c>
      <c r="U472" s="77">
        <f t="shared" si="23"/>
        <v>483</v>
      </c>
      <c r="V472" s="50"/>
      <c r="W472" s="54"/>
      <c r="X472" s="39"/>
    </row>
    <row r="473" spans="1:24" ht="15.75" customHeight="1" thickBot="1" x14ac:dyDescent="0.35">
      <c r="A473" s="2">
        <v>160</v>
      </c>
      <c r="B473" s="68" t="s">
        <v>1108</v>
      </c>
      <c r="C473" s="55"/>
      <c r="D473" s="41"/>
      <c r="E473" s="55"/>
      <c r="F473" s="55"/>
      <c r="G473" s="55"/>
      <c r="H473" s="51"/>
      <c r="I473" s="52"/>
      <c r="J473" s="74" t="s">
        <v>1109</v>
      </c>
      <c r="K473" s="57"/>
      <c r="L473" s="75">
        <v>83.3</v>
      </c>
      <c r="M473" s="60">
        <v>4</v>
      </c>
      <c r="N473" s="76">
        <v>143</v>
      </c>
      <c r="O473" s="42"/>
      <c r="P473" s="58" t="s">
        <v>36</v>
      </c>
      <c r="Q473" s="61"/>
      <c r="R473" s="62"/>
      <c r="S473" s="78">
        <f t="shared" si="21"/>
        <v>572</v>
      </c>
      <c r="T473" s="44" t="str">
        <f t="shared" si="22"/>
        <v>572grams</v>
      </c>
      <c r="U473" s="77">
        <f t="shared" si="23"/>
        <v>333.2</v>
      </c>
      <c r="V473" s="46"/>
      <c r="W473" s="46"/>
      <c r="X473" s="46"/>
    </row>
    <row r="474" spans="1:24" ht="15.75" customHeight="1" thickBot="1" x14ac:dyDescent="0.35">
      <c r="A474" s="2">
        <v>160</v>
      </c>
      <c r="B474" s="67" t="s">
        <v>1108</v>
      </c>
      <c r="C474" s="55"/>
      <c r="D474" s="41"/>
      <c r="E474" s="55"/>
      <c r="F474" s="55"/>
      <c r="G474" s="55"/>
      <c r="H474" s="51"/>
      <c r="I474" s="52"/>
      <c r="J474" s="74" t="s">
        <v>1110</v>
      </c>
      <c r="K474" s="57"/>
      <c r="L474" s="75">
        <v>56.2</v>
      </c>
      <c r="M474" s="60">
        <v>2</v>
      </c>
      <c r="N474" s="76">
        <v>130</v>
      </c>
      <c r="O474" s="42"/>
      <c r="P474" s="58" t="s">
        <v>36</v>
      </c>
      <c r="Q474" s="61"/>
      <c r="R474" s="62"/>
      <c r="S474" s="78">
        <f t="shared" si="21"/>
        <v>260</v>
      </c>
      <c r="T474" s="44" t="str">
        <f t="shared" si="22"/>
        <v>260grams</v>
      </c>
      <c r="U474" s="77">
        <f t="shared" si="23"/>
        <v>112.4</v>
      </c>
      <c r="V474" s="46"/>
      <c r="W474" s="46"/>
      <c r="X474" s="46"/>
    </row>
    <row r="475" spans="1:24" ht="15.75" customHeight="1" thickBot="1" x14ac:dyDescent="0.35">
      <c r="A475" s="2">
        <v>160</v>
      </c>
      <c r="B475" s="67" t="s">
        <v>1108</v>
      </c>
      <c r="C475" s="55"/>
      <c r="D475" s="41"/>
      <c r="E475" s="55"/>
      <c r="F475" s="55"/>
      <c r="G475" s="55"/>
      <c r="H475" s="51"/>
      <c r="I475" s="52"/>
      <c r="J475" s="74" t="s">
        <v>1111</v>
      </c>
      <c r="K475" s="57"/>
      <c r="L475" s="75">
        <v>33.299999999999997</v>
      </c>
      <c r="M475" s="60">
        <v>20</v>
      </c>
      <c r="N475" s="76">
        <v>130</v>
      </c>
      <c r="O475" s="42"/>
      <c r="P475" s="58" t="s">
        <v>36</v>
      </c>
      <c r="Q475" s="61"/>
      <c r="R475" s="62"/>
      <c r="S475" s="78">
        <f t="shared" si="21"/>
        <v>2600</v>
      </c>
      <c r="T475" s="44" t="str">
        <f t="shared" si="22"/>
        <v>2600grams</v>
      </c>
      <c r="U475" s="77">
        <f t="shared" si="23"/>
        <v>666</v>
      </c>
      <c r="V475" s="46"/>
      <c r="W475" s="46"/>
      <c r="X475" s="46"/>
    </row>
    <row r="476" spans="1:24" ht="15.75" customHeight="1" thickBot="1" x14ac:dyDescent="0.35">
      <c r="A476" s="2">
        <v>160</v>
      </c>
      <c r="B476" s="67" t="s">
        <v>1108</v>
      </c>
      <c r="C476" s="55"/>
      <c r="D476" s="41"/>
      <c r="E476" s="55"/>
      <c r="F476" s="55"/>
      <c r="G476" s="55"/>
      <c r="H476" s="51"/>
      <c r="I476" s="52"/>
      <c r="J476" s="74" t="s">
        <v>1111</v>
      </c>
      <c r="K476" s="57"/>
      <c r="L476" s="75">
        <v>11.08</v>
      </c>
      <c r="M476" s="60">
        <v>60</v>
      </c>
      <c r="N476" s="76">
        <v>32</v>
      </c>
      <c r="O476" s="42"/>
      <c r="P476" s="58" t="s">
        <v>36</v>
      </c>
      <c r="Q476" s="61"/>
      <c r="R476" s="62"/>
      <c r="S476" s="78">
        <f t="shared" si="21"/>
        <v>1920</v>
      </c>
      <c r="T476" s="44" t="str">
        <f t="shared" si="22"/>
        <v>1920grams</v>
      </c>
      <c r="U476" s="77">
        <f t="shared" si="23"/>
        <v>664.8</v>
      </c>
      <c r="V476" s="46"/>
      <c r="W476" s="46"/>
      <c r="X476" s="46"/>
    </row>
    <row r="477" spans="1:24" ht="15.75" customHeight="1" thickBot="1" x14ac:dyDescent="0.35">
      <c r="A477" s="2">
        <v>161</v>
      </c>
      <c r="B477" s="67" t="s">
        <v>239</v>
      </c>
      <c r="C477" s="55"/>
      <c r="D477" s="41"/>
      <c r="E477" s="55"/>
      <c r="F477" s="55"/>
      <c r="G477" s="55"/>
      <c r="H477" s="51"/>
      <c r="I477" s="52"/>
      <c r="J477" s="74"/>
      <c r="K477" s="57"/>
      <c r="L477" s="75">
        <v>295</v>
      </c>
      <c r="M477" s="60">
        <v>16</v>
      </c>
      <c r="N477" s="76">
        <v>3500</v>
      </c>
      <c r="O477" s="42"/>
      <c r="P477" s="58" t="s">
        <v>47</v>
      </c>
      <c r="Q477" s="61"/>
      <c r="R477" s="62"/>
      <c r="S477" s="78">
        <f t="shared" si="21"/>
        <v>56000</v>
      </c>
      <c r="T477" s="44" t="str">
        <f t="shared" si="22"/>
        <v>56000ml</v>
      </c>
      <c r="U477" s="77">
        <f t="shared" si="23"/>
        <v>4720</v>
      </c>
      <c r="V477" s="46"/>
      <c r="W477" s="46"/>
      <c r="X477" s="46"/>
    </row>
    <row r="478" spans="1:24" ht="15.75" customHeight="1" thickBot="1" x14ac:dyDescent="0.35">
      <c r="A478" s="2">
        <v>161</v>
      </c>
      <c r="B478" s="67" t="s">
        <v>239</v>
      </c>
      <c r="C478" s="55"/>
      <c r="D478" s="41"/>
      <c r="E478" s="55"/>
      <c r="F478" s="55"/>
      <c r="G478" s="55"/>
      <c r="H478" s="51"/>
      <c r="I478" s="52"/>
      <c r="J478" s="74" t="s">
        <v>1112</v>
      </c>
      <c r="K478" s="57"/>
      <c r="L478" s="75">
        <v>1768</v>
      </c>
      <c r="M478" s="60">
        <v>3</v>
      </c>
      <c r="N478" s="76">
        <v>16</v>
      </c>
      <c r="O478" s="42"/>
      <c r="P478" s="58" t="s">
        <v>685</v>
      </c>
      <c r="Q478" s="61"/>
      <c r="R478" s="62"/>
      <c r="S478" s="78">
        <f t="shared" si="21"/>
        <v>48</v>
      </c>
      <c r="T478" s="44" t="str">
        <f t="shared" si="22"/>
        <v>48liters</v>
      </c>
      <c r="U478" s="77">
        <f t="shared" si="23"/>
        <v>5304</v>
      </c>
      <c r="V478" s="20"/>
      <c r="W478" s="20"/>
      <c r="X478" s="20"/>
    </row>
    <row r="479" spans="1:24" ht="15.75" customHeight="1" thickBot="1" x14ac:dyDescent="0.35">
      <c r="A479" s="2">
        <v>161</v>
      </c>
      <c r="B479" s="67" t="s">
        <v>239</v>
      </c>
      <c r="C479" s="55"/>
      <c r="D479" s="41"/>
      <c r="E479" s="55"/>
      <c r="F479" s="55"/>
      <c r="G479" s="55"/>
      <c r="H479" s="51"/>
      <c r="I479" s="52"/>
      <c r="J479" s="74" t="s">
        <v>1112</v>
      </c>
      <c r="K479" s="57"/>
      <c r="L479" s="75">
        <v>1608.5</v>
      </c>
      <c r="M479" s="60">
        <v>2</v>
      </c>
      <c r="N479" s="76">
        <v>16</v>
      </c>
      <c r="O479" s="42"/>
      <c r="P479" s="58" t="s">
        <v>685</v>
      </c>
      <c r="Q479" s="61"/>
      <c r="R479" s="62"/>
      <c r="S479" s="78">
        <f t="shared" si="21"/>
        <v>32</v>
      </c>
      <c r="T479" s="44" t="str">
        <f t="shared" si="22"/>
        <v>32liters</v>
      </c>
      <c r="U479" s="77">
        <f t="shared" si="23"/>
        <v>3217</v>
      </c>
      <c r="V479" s="20"/>
      <c r="W479" s="20"/>
      <c r="X479" s="20"/>
    </row>
    <row r="480" spans="1:24" ht="15.75" customHeight="1" thickBot="1" x14ac:dyDescent="0.35">
      <c r="A480" s="2">
        <v>161</v>
      </c>
      <c r="B480" s="67" t="s">
        <v>239</v>
      </c>
      <c r="C480" s="55"/>
      <c r="D480" s="41"/>
      <c r="E480" s="55"/>
      <c r="F480" s="55"/>
      <c r="G480" s="55"/>
      <c r="H480" s="51"/>
      <c r="I480" s="52"/>
      <c r="J480" s="74" t="s">
        <v>1113</v>
      </c>
      <c r="K480" s="57"/>
      <c r="L480" s="75">
        <v>318</v>
      </c>
      <c r="M480" s="60">
        <v>7</v>
      </c>
      <c r="N480" s="76">
        <v>3</v>
      </c>
      <c r="O480" s="42"/>
      <c r="P480" s="58" t="s">
        <v>88</v>
      </c>
      <c r="Q480" s="61"/>
      <c r="R480" s="62"/>
      <c r="S480" s="78">
        <f t="shared" si="21"/>
        <v>21</v>
      </c>
      <c r="T480" s="44" t="str">
        <f t="shared" si="22"/>
        <v>21kilos</v>
      </c>
      <c r="U480" s="77">
        <f t="shared" si="23"/>
        <v>2226</v>
      </c>
      <c r="V480" s="46"/>
      <c r="W480" s="46"/>
      <c r="X480" s="46"/>
    </row>
    <row r="481" spans="1:24" ht="15.75" customHeight="1" thickBot="1" x14ac:dyDescent="0.35">
      <c r="A481" s="2">
        <v>161</v>
      </c>
      <c r="B481" s="67" t="s">
        <v>239</v>
      </c>
      <c r="C481" s="55"/>
      <c r="D481" s="41"/>
      <c r="E481" s="55"/>
      <c r="F481" s="55"/>
      <c r="G481" s="55"/>
      <c r="H481" s="51"/>
      <c r="I481" s="52"/>
      <c r="J481" s="74" t="s">
        <v>1112</v>
      </c>
      <c r="K481" s="57"/>
      <c r="L481" s="75">
        <v>1768.3</v>
      </c>
      <c r="M481" s="60">
        <v>2</v>
      </c>
      <c r="N481" s="76">
        <v>16</v>
      </c>
      <c r="O481" s="42"/>
      <c r="P481" s="58" t="s">
        <v>685</v>
      </c>
      <c r="Q481" s="61"/>
      <c r="R481" s="62"/>
      <c r="S481" s="78">
        <f t="shared" si="21"/>
        <v>32</v>
      </c>
      <c r="T481" s="44" t="str">
        <f t="shared" si="22"/>
        <v>32liters</v>
      </c>
      <c r="U481" s="77">
        <f t="shared" si="23"/>
        <v>3536.6</v>
      </c>
      <c r="V481" s="46"/>
      <c r="W481" s="46"/>
      <c r="X481" s="46"/>
    </row>
    <row r="482" spans="1:24" ht="15.75" customHeight="1" thickBot="1" x14ac:dyDescent="0.35">
      <c r="A482" s="2">
        <v>161</v>
      </c>
      <c r="B482" s="67" t="s">
        <v>239</v>
      </c>
      <c r="C482" s="55"/>
      <c r="D482" s="41"/>
      <c r="E482" s="55"/>
      <c r="F482" s="55"/>
      <c r="G482" s="55"/>
      <c r="H482" s="51"/>
      <c r="I482" s="52"/>
      <c r="J482" s="74"/>
      <c r="K482" s="57"/>
      <c r="L482" s="75">
        <v>340</v>
      </c>
      <c r="M482" s="60">
        <v>6</v>
      </c>
      <c r="N482" s="76">
        <v>1</v>
      </c>
      <c r="O482" s="42"/>
      <c r="P482" s="58" t="s">
        <v>53</v>
      </c>
      <c r="Q482" s="61"/>
      <c r="R482" s="62"/>
      <c r="S482" s="78">
        <f t="shared" si="21"/>
        <v>6</v>
      </c>
      <c r="T482" s="44" t="str">
        <f t="shared" si="22"/>
        <v>6gal</v>
      </c>
      <c r="U482" s="77">
        <f t="shared" si="23"/>
        <v>2040</v>
      </c>
      <c r="V482" s="20"/>
      <c r="W482" s="20"/>
      <c r="X482" s="20"/>
    </row>
    <row r="483" spans="1:24" ht="15.75" customHeight="1" thickBot="1" x14ac:dyDescent="0.35">
      <c r="A483" s="2">
        <v>161</v>
      </c>
      <c r="B483" s="67" t="s">
        <v>239</v>
      </c>
      <c r="C483" s="55"/>
      <c r="D483" s="41"/>
      <c r="E483" s="55"/>
      <c r="F483" s="55"/>
      <c r="G483" s="55"/>
      <c r="H483" s="51"/>
      <c r="I483" s="52"/>
      <c r="J483" s="74"/>
      <c r="K483" s="57"/>
      <c r="L483" s="75">
        <v>1540</v>
      </c>
      <c r="M483" s="60">
        <v>1</v>
      </c>
      <c r="N483" s="76">
        <v>1</v>
      </c>
      <c r="O483" s="42"/>
      <c r="P483" s="58" t="s">
        <v>47</v>
      </c>
      <c r="Q483" s="61"/>
      <c r="R483" s="62"/>
      <c r="S483" s="78">
        <f t="shared" si="21"/>
        <v>1</v>
      </c>
      <c r="T483" s="44" t="str">
        <f t="shared" si="22"/>
        <v>1ml</v>
      </c>
      <c r="U483" s="77">
        <f t="shared" si="23"/>
        <v>1540</v>
      </c>
      <c r="V483" s="46"/>
      <c r="W483" s="46"/>
      <c r="X483" s="46"/>
    </row>
    <row r="484" spans="1:24" ht="15.75" customHeight="1" thickBot="1" x14ac:dyDescent="0.35">
      <c r="A484" s="2">
        <v>161</v>
      </c>
      <c r="B484" s="67" t="s">
        <v>239</v>
      </c>
      <c r="C484" s="55"/>
      <c r="D484" s="41"/>
      <c r="E484" s="55"/>
      <c r="F484" s="55"/>
      <c r="G484" s="55"/>
      <c r="H484" s="51"/>
      <c r="I484" s="52"/>
      <c r="J484" s="74" t="s">
        <v>1112</v>
      </c>
      <c r="K484" s="57"/>
      <c r="L484" s="75">
        <v>1608.5</v>
      </c>
      <c r="M484" s="60">
        <v>1</v>
      </c>
      <c r="N484" s="76">
        <v>16</v>
      </c>
      <c r="O484" s="42"/>
      <c r="P484" s="58" t="s">
        <v>685</v>
      </c>
      <c r="Q484" s="61"/>
      <c r="R484" s="62"/>
      <c r="S484" s="78">
        <f t="shared" si="21"/>
        <v>16</v>
      </c>
      <c r="T484" s="44" t="str">
        <f t="shared" si="22"/>
        <v>16liters</v>
      </c>
      <c r="U484" s="77">
        <f t="shared" si="23"/>
        <v>1608.5</v>
      </c>
      <c r="V484" s="46"/>
      <c r="W484" s="46"/>
      <c r="X484" s="46"/>
    </row>
    <row r="485" spans="1:24" ht="15.75" customHeight="1" thickBot="1" x14ac:dyDescent="0.35">
      <c r="A485" s="2">
        <v>161</v>
      </c>
      <c r="B485" s="67" t="s">
        <v>239</v>
      </c>
      <c r="C485" s="55"/>
      <c r="D485" s="41"/>
      <c r="E485" s="55"/>
      <c r="F485" s="55"/>
      <c r="G485" s="55"/>
      <c r="H485" s="51"/>
      <c r="I485" s="52"/>
      <c r="J485" s="74" t="s">
        <v>1033</v>
      </c>
      <c r="K485" s="57"/>
      <c r="L485" s="75">
        <v>1560</v>
      </c>
      <c r="M485" s="60">
        <v>4</v>
      </c>
      <c r="N485" s="76">
        <v>16</v>
      </c>
      <c r="O485" s="42"/>
      <c r="P485" s="58" t="s">
        <v>685</v>
      </c>
      <c r="Q485" s="61"/>
      <c r="R485" s="62"/>
      <c r="S485" s="78">
        <f t="shared" si="21"/>
        <v>64</v>
      </c>
      <c r="T485" s="44" t="str">
        <f t="shared" si="22"/>
        <v>64liters</v>
      </c>
      <c r="U485" s="77">
        <f t="shared" si="23"/>
        <v>6240</v>
      </c>
      <c r="V485" s="20"/>
      <c r="W485" s="20"/>
      <c r="X485" s="20"/>
    </row>
    <row r="486" spans="1:24" ht="15.75" customHeight="1" thickBot="1" x14ac:dyDescent="0.35">
      <c r="A486" s="2">
        <v>162</v>
      </c>
      <c r="B486" s="67" t="s">
        <v>1114</v>
      </c>
      <c r="C486" s="55"/>
      <c r="D486" s="41"/>
      <c r="E486" s="55"/>
      <c r="F486" s="55"/>
      <c r="G486" s="55"/>
      <c r="H486" s="51"/>
      <c r="I486" s="52"/>
      <c r="J486" s="74" t="s">
        <v>1115</v>
      </c>
      <c r="K486" s="57"/>
      <c r="L486" s="75">
        <v>78</v>
      </c>
      <c r="M486" s="60">
        <v>1</v>
      </c>
      <c r="N486" s="76">
        <v>350</v>
      </c>
      <c r="O486" s="42"/>
      <c r="P486" s="58" t="s">
        <v>47</v>
      </c>
      <c r="Q486" s="61"/>
      <c r="R486" s="62"/>
      <c r="S486" s="78">
        <f t="shared" si="21"/>
        <v>350</v>
      </c>
      <c r="T486" s="44" t="str">
        <f t="shared" si="22"/>
        <v>350ml</v>
      </c>
      <c r="U486" s="77">
        <f t="shared" si="23"/>
        <v>78</v>
      </c>
      <c r="V486" s="46"/>
      <c r="W486" s="46"/>
      <c r="X486" s="46"/>
    </row>
    <row r="487" spans="1:24" ht="15.75" customHeight="1" thickBot="1" x14ac:dyDescent="0.35">
      <c r="A487" s="2">
        <v>163</v>
      </c>
      <c r="B487" s="68" t="s">
        <v>1116</v>
      </c>
      <c r="C487" s="55"/>
      <c r="D487" s="41"/>
      <c r="E487" s="55"/>
      <c r="F487" s="55"/>
      <c r="G487" s="55"/>
      <c r="H487" s="51"/>
      <c r="I487" s="52"/>
      <c r="J487" s="74" t="s">
        <v>1036</v>
      </c>
      <c r="K487" s="57"/>
      <c r="L487" s="75">
        <v>11.3</v>
      </c>
      <c r="M487" s="60">
        <v>3</v>
      </c>
      <c r="N487" s="76">
        <v>30</v>
      </c>
      <c r="O487" s="42"/>
      <c r="P487" s="58" t="s">
        <v>36</v>
      </c>
      <c r="Q487" s="61"/>
      <c r="R487" s="62"/>
      <c r="S487" s="78">
        <f t="shared" si="21"/>
        <v>90</v>
      </c>
      <c r="T487" s="44" t="str">
        <f t="shared" si="22"/>
        <v>90grams</v>
      </c>
      <c r="U487" s="77">
        <f t="shared" si="23"/>
        <v>33.900000000000006</v>
      </c>
      <c r="V487" s="46"/>
      <c r="W487" s="46"/>
      <c r="X487" s="46"/>
    </row>
    <row r="488" spans="1:24" ht="15.75" customHeight="1" thickBot="1" x14ac:dyDescent="0.35">
      <c r="A488" s="2">
        <v>164</v>
      </c>
      <c r="B488" s="68" t="s">
        <v>1117</v>
      </c>
      <c r="C488" s="55"/>
      <c r="D488" s="41"/>
      <c r="E488" s="55"/>
      <c r="F488" s="55"/>
      <c r="G488" s="55"/>
      <c r="H488" s="51"/>
      <c r="I488" s="52"/>
      <c r="J488" s="74" t="s">
        <v>1118</v>
      </c>
      <c r="K488" s="57"/>
      <c r="L488" s="75">
        <v>102</v>
      </c>
      <c r="M488" s="60">
        <v>1</v>
      </c>
      <c r="N488" s="76">
        <v>500</v>
      </c>
      <c r="O488" s="42"/>
      <c r="P488" s="58" t="s">
        <v>47</v>
      </c>
      <c r="Q488" s="61"/>
      <c r="R488" s="62"/>
      <c r="S488" s="78">
        <f t="shared" si="21"/>
        <v>500</v>
      </c>
      <c r="T488" s="44" t="str">
        <f t="shared" si="22"/>
        <v>500ml</v>
      </c>
      <c r="U488" s="77">
        <f t="shared" si="23"/>
        <v>102</v>
      </c>
      <c r="V488" s="46"/>
      <c r="W488" s="46"/>
      <c r="X488" s="46"/>
    </row>
    <row r="489" spans="1:24" ht="15.75" customHeight="1" thickBot="1" x14ac:dyDescent="0.35">
      <c r="A489" s="2">
        <v>165</v>
      </c>
      <c r="B489" s="67" t="s">
        <v>245</v>
      </c>
      <c r="C489" s="55"/>
      <c r="D489" s="41"/>
      <c r="E489" s="55"/>
      <c r="F489" s="55"/>
      <c r="G489" s="55"/>
      <c r="H489" s="51"/>
      <c r="I489" s="52"/>
      <c r="J489" s="74" t="s">
        <v>1119</v>
      </c>
      <c r="K489" s="57"/>
      <c r="L489" s="75">
        <v>56.1</v>
      </c>
      <c r="M489" s="60">
        <v>6</v>
      </c>
      <c r="N489" s="76">
        <v>260</v>
      </c>
      <c r="O489" s="42"/>
      <c r="P489" s="58" t="s">
        <v>36</v>
      </c>
      <c r="Q489" s="61"/>
      <c r="R489" s="62"/>
      <c r="S489" s="78">
        <f t="shared" si="21"/>
        <v>1560</v>
      </c>
      <c r="T489" s="44" t="str">
        <f t="shared" si="22"/>
        <v>1560grams</v>
      </c>
      <c r="U489" s="77">
        <f t="shared" si="23"/>
        <v>336.6</v>
      </c>
      <c r="V489" s="46"/>
      <c r="W489" s="46"/>
      <c r="X489" s="46"/>
    </row>
    <row r="490" spans="1:24" ht="15.75" customHeight="1" thickBot="1" x14ac:dyDescent="0.35">
      <c r="A490" s="2">
        <v>166</v>
      </c>
      <c r="B490" s="67" t="s">
        <v>249</v>
      </c>
      <c r="C490" s="55"/>
      <c r="D490" s="41"/>
      <c r="E490" s="55"/>
      <c r="F490" s="55"/>
      <c r="G490" s="55"/>
      <c r="H490" s="51"/>
      <c r="I490" s="52"/>
      <c r="J490" s="74" t="s">
        <v>1030</v>
      </c>
      <c r="K490" s="57"/>
      <c r="L490" s="75">
        <v>65</v>
      </c>
      <c r="M490" s="60">
        <v>5</v>
      </c>
      <c r="N490" s="76">
        <v>1</v>
      </c>
      <c r="O490" s="42"/>
      <c r="P490" s="58" t="s">
        <v>88</v>
      </c>
      <c r="Q490" s="61"/>
      <c r="R490" s="62"/>
      <c r="S490" s="78">
        <f t="shared" si="21"/>
        <v>5</v>
      </c>
      <c r="T490" s="44" t="str">
        <f t="shared" si="22"/>
        <v>5kilos</v>
      </c>
      <c r="U490" s="77">
        <f t="shared" si="23"/>
        <v>325</v>
      </c>
      <c r="V490" s="46"/>
      <c r="W490" s="46"/>
      <c r="X490" s="46"/>
    </row>
    <row r="491" spans="1:24" ht="15.75" customHeight="1" thickBot="1" x14ac:dyDescent="0.35">
      <c r="A491" s="2">
        <v>166</v>
      </c>
      <c r="B491" s="67" t="s">
        <v>249</v>
      </c>
      <c r="C491" s="55"/>
      <c r="D491" s="41"/>
      <c r="E491" s="55"/>
      <c r="F491" s="55"/>
      <c r="G491" s="55"/>
      <c r="H491" s="51"/>
      <c r="I491" s="52"/>
      <c r="J491" s="74" t="s">
        <v>57</v>
      </c>
      <c r="K491" s="57"/>
      <c r="L491" s="75">
        <v>947.15</v>
      </c>
      <c r="M491" s="60">
        <v>1</v>
      </c>
      <c r="N491" s="76">
        <v>9600</v>
      </c>
      <c r="O491" s="42"/>
      <c r="P491" s="58" t="s">
        <v>36</v>
      </c>
      <c r="Q491" s="61"/>
      <c r="R491" s="62"/>
      <c r="S491" s="78">
        <f t="shared" si="21"/>
        <v>9600</v>
      </c>
      <c r="T491" s="44" t="str">
        <f t="shared" si="22"/>
        <v>9600grams</v>
      </c>
      <c r="U491" s="77">
        <f t="shared" si="23"/>
        <v>947.15</v>
      </c>
      <c r="V491" s="50"/>
      <c r="W491" s="54"/>
      <c r="X491" s="39"/>
    </row>
    <row r="492" spans="1:24" ht="15.75" customHeight="1" thickBot="1" x14ac:dyDescent="0.35">
      <c r="A492" s="2">
        <v>166</v>
      </c>
      <c r="B492" s="67" t="s">
        <v>249</v>
      </c>
      <c r="C492" s="55"/>
      <c r="D492" s="41"/>
      <c r="E492" s="55"/>
      <c r="F492" s="55"/>
      <c r="G492" s="55"/>
      <c r="H492" s="51"/>
      <c r="I492" s="52"/>
      <c r="J492" s="74"/>
      <c r="K492" s="57"/>
      <c r="L492" s="75">
        <v>54</v>
      </c>
      <c r="M492" s="60">
        <v>3</v>
      </c>
      <c r="N492" s="76">
        <v>1</v>
      </c>
      <c r="O492" s="42"/>
      <c r="P492" s="58" t="s">
        <v>88</v>
      </c>
      <c r="Q492" s="61"/>
      <c r="R492" s="62"/>
      <c r="S492" s="78">
        <f t="shared" si="21"/>
        <v>3</v>
      </c>
      <c r="T492" s="44" t="str">
        <f t="shared" si="22"/>
        <v>3kilos</v>
      </c>
      <c r="U492" s="77">
        <f t="shared" si="23"/>
        <v>162</v>
      </c>
      <c r="V492" s="20"/>
      <c r="W492" s="20"/>
      <c r="X492" s="20"/>
    </row>
    <row r="493" spans="1:24" ht="15.75" customHeight="1" thickBot="1" x14ac:dyDescent="0.35">
      <c r="A493" s="2">
        <v>166</v>
      </c>
      <c r="B493" s="67" t="s">
        <v>249</v>
      </c>
      <c r="C493" s="55"/>
      <c r="D493" s="41"/>
      <c r="E493" s="55"/>
      <c r="F493" s="55"/>
      <c r="G493" s="55"/>
      <c r="H493" s="51"/>
      <c r="I493" s="52"/>
      <c r="J493" s="74" t="s">
        <v>813</v>
      </c>
      <c r="K493" s="57"/>
      <c r="L493" s="75">
        <v>60</v>
      </c>
      <c r="M493" s="60">
        <v>1</v>
      </c>
      <c r="N493" s="76">
        <v>1000</v>
      </c>
      <c r="O493" s="42"/>
      <c r="P493" s="58" t="s">
        <v>36</v>
      </c>
      <c r="Q493" s="61"/>
      <c r="R493" s="62"/>
      <c r="S493" s="78">
        <f t="shared" si="21"/>
        <v>1000</v>
      </c>
      <c r="T493" s="44" t="str">
        <f t="shared" si="22"/>
        <v>1000grams</v>
      </c>
      <c r="U493" s="77">
        <f t="shared" si="23"/>
        <v>60</v>
      </c>
      <c r="V493" s="46"/>
      <c r="W493" s="46"/>
      <c r="X493" s="46"/>
    </row>
    <row r="494" spans="1:24" ht="15.75" customHeight="1" thickBot="1" x14ac:dyDescent="0.35">
      <c r="A494" s="2">
        <v>166</v>
      </c>
      <c r="B494" s="67" t="s">
        <v>249</v>
      </c>
      <c r="C494" s="55"/>
      <c r="D494" s="41"/>
      <c r="E494" s="55"/>
      <c r="F494" s="55"/>
      <c r="G494" s="55"/>
      <c r="H494" s="51"/>
      <c r="I494" s="52"/>
      <c r="J494" s="74" t="s">
        <v>70</v>
      </c>
      <c r="K494" s="57"/>
      <c r="L494" s="75">
        <v>48.7</v>
      </c>
      <c r="M494" s="60">
        <v>4</v>
      </c>
      <c r="N494" s="76">
        <v>400</v>
      </c>
      <c r="O494" s="42"/>
      <c r="P494" s="58" t="s">
        <v>36</v>
      </c>
      <c r="Q494" s="61"/>
      <c r="R494" s="62"/>
      <c r="S494" s="78">
        <f t="shared" si="21"/>
        <v>1600</v>
      </c>
      <c r="T494" s="44" t="str">
        <f t="shared" si="22"/>
        <v>1600grams</v>
      </c>
      <c r="U494" s="77">
        <f t="shared" si="23"/>
        <v>194.8</v>
      </c>
      <c r="V494" s="46"/>
      <c r="W494" s="46"/>
      <c r="X494" s="46"/>
    </row>
    <row r="495" spans="1:24" ht="15.75" customHeight="1" thickBot="1" x14ac:dyDescent="0.35">
      <c r="A495" s="2">
        <v>166</v>
      </c>
      <c r="B495" s="67" t="s">
        <v>249</v>
      </c>
      <c r="C495" s="55"/>
      <c r="D495" s="41"/>
      <c r="E495" s="55"/>
      <c r="F495" s="55"/>
      <c r="G495" s="55"/>
      <c r="H495" s="51"/>
      <c r="I495" s="52"/>
      <c r="J495" s="74"/>
      <c r="K495" s="57"/>
      <c r="L495" s="75">
        <v>56</v>
      </c>
      <c r="M495" s="60">
        <v>15</v>
      </c>
      <c r="N495" s="76">
        <v>1000</v>
      </c>
      <c r="O495" s="42"/>
      <c r="P495" s="58" t="s">
        <v>36</v>
      </c>
      <c r="Q495" s="61"/>
      <c r="R495" s="62"/>
      <c r="S495" s="78">
        <f t="shared" si="21"/>
        <v>15000</v>
      </c>
      <c r="T495" s="44" t="str">
        <f t="shared" si="22"/>
        <v>15000grams</v>
      </c>
      <c r="U495" s="77">
        <f t="shared" si="23"/>
        <v>840</v>
      </c>
      <c r="V495" s="46"/>
      <c r="W495" s="46"/>
      <c r="X495" s="46"/>
    </row>
    <row r="496" spans="1:24" ht="15.75" customHeight="1" thickBot="1" x14ac:dyDescent="0.35">
      <c r="A496" s="2">
        <v>166</v>
      </c>
      <c r="B496" s="67" t="s">
        <v>249</v>
      </c>
      <c r="C496" s="55"/>
      <c r="D496" s="41"/>
      <c r="E496" s="55"/>
      <c r="F496" s="55"/>
      <c r="G496" s="55"/>
      <c r="H496" s="51"/>
      <c r="I496" s="52"/>
      <c r="J496" s="74" t="s">
        <v>70</v>
      </c>
      <c r="K496" s="57"/>
      <c r="L496" s="75">
        <v>55</v>
      </c>
      <c r="M496" s="60">
        <v>5</v>
      </c>
      <c r="N496" s="76">
        <v>1000</v>
      </c>
      <c r="O496" s="42"/>
      <c r="P496" s="58" t="s">
        <v>88</v>
      </c>
      <c r="Q496" s="61"/>
      <c r="R496" s="62"/>
      <c r="S496" s="78">
        <f t="shared" si="21"/>
        <v>5000</v>
      </c>
      <c r="T496" s="44" t="str">
        <f t="shared" si="22"/>
        <v>5000kilos</v>
      </c>
      <c r="U496" s="77">
        <f t="shared" si="23"/>
        <v>275</v>
      </c>
      <c r="V496" s="46"/>
      <c r="W496" s="46"/>
      <c r="X496" s="46"/>
    </row>
    <row r="497" spans="1:24" ht="15.75" customHeight="1" thickBot="1" x14ac:dyDescent="0.35">
      <c r="A497" s="2">
        <v>167</v>
      </c>
      <c r="B497" s="67" t="s">
        <v>1120</v>
      </c>
      <c r="C497" s="55"/>
      <c r="D497" s="41"/>
      <c r="E497" s="55"/>
      <c r="F497" s="55"/>
      <c r="G497" s="55"/>
      <c r="H497" s="51"/>
      <c r="I497" s="52"/>
      <c r="J497" s="74"/>
      <c r="K497" s="57"/>
      <c r="L497" s="75">
        <v>700</v>
      </c>
      <c r="M497" s="60">
        <v>0</v>
      </c>
      <c r="N497" s="76">
        <v>500</v>
      </c>
      <c r="O497" s="42"/>
      <c r="P497" s="58" t="s">
        <v>36</v>
      </c>
      <c r="Q497" s="61"/>
      <c r="R497" s="62"/>
      <c r="S497" s="78">
        <f t="shared" si="21"/>
        <v>0</v>
      </c>
      <c r="T497" s="44" t="str">
        <f t="shared" si="22"/>
        <v>0grams</v>
      </c>
      <c r="U497" s="77">
        <f t="shared" si="23"/>
        <v>0</v>
      </c>
      <c r="V497" s="46"/>
      <c r="W497" s="46"/>
      <c r="X497" s="46"/>
    </row>
    <row r="498" spans="1:24" ht="15.75" customHeight="1" thickBot="1" x14ac:dyDescent="0.35">
      <c r="A498" s="2">
        <v>168</v>
      </c>
      <c r="B498" s="68" t="s">
        <v>251</v>
      </c>
      <c r="C498" s="55"/>
      <c r="D498" s="41"/>
      <c r="E498" s="55"/>
      <c r="F498" s="55"/>
      <c r="G498" s="55"/>
      <c r="H498" s="51"/>
      <c r="I498" s="52"/>
      <c r="J498" s="74" t="s">
        <v>949</v>
      </c>
      <c r="K498" s="57"/>
      <c r="L498" s="75">
        <v>35.9</v>
      </c>
      <c r="M498" s="60">
        <v>1</v>
      </c>
      <c r="N498" s="76">
        <v>37</v>
      </c>
      <c r="O498" s="42"/>
      <c r="P498" s="58" t="s">
        <v>36</v>
      </c>
      <c r="Q498" s="61"/>
      <c r="R498" s="62"/>
      <c r="S498" s="78">
        <f t="shared" si="21"/>
        <v>37</v>
      </c>
      <c r="T498" s="44" t="str">
        <f t="shared" si="22"/>
        <v>37grams</v>
      </c>
      <c r="U498" s="77">
        <f t="shared" si="23"/>
        <v>35.9</v>
      </c>
      <c r="V498" s="46"/>
      <c r="W498" s="46"/>
      <c r="X498" s="46"/>
    </row>
    <row r="499" spans="1:24" ht="15.75" customHeight="1" thickBot="1" x14ac:dyDescent="0.35">
      <c r="A499" s="2">
        <v>168</v>
      </c>
      <c r="B499" s="68" t="s">
        <v>251</v>
      </c>
      <c r="C499" s="55"/>
      <c r="D499" s="41"/>
      <c r="E499" s="55"/>
      <c r="F499" s="55"/>
      <c r="G499" s="55"/>
      <c r="H499" s="51"/>
      <c r="I499" s="52"/>
      <c r="J499" s="74" t="s">
        <v>949</v>
      </c>
      <c r="K499" s="57"/>
      <c r="L499" s="75">
        <v>62</v>
      </c>
      <c r="M499" s="60">
        <v>2</v>
      </c>
      <c r="N499" s="76">
        <v>55</v>
      </c>
      <c r="O499" s="42"/>
      <c r="P499" s="58" t="s">
        <v>36</v>
      </c>
      <c r="Q499" s="61"/>
      <c r="R499" s="62"/>
      <c r="S499" s="78">
        <f t="shared" si="21"/>
        <v>110</v>
      </c>
      <c r="T499" s="44" t="str">
        <f t="shared" si="22"/>
        <v>110grams</v>
      </c>
      <c r="U499" s="77">
        <f t="shared" si="23"/>
        <v>124</v>
      </c>
      <c r="V499" s="20"/>
      <c r="W499" s="20"/>
      <c r="X499" s="20"/>
    </row>
    <row r="500" spans="1:24" ht="15.75" customHeight="1" thickBot="1" x14ac:dyDescent="0.35">
      <c r="A500" s="2">
        <v>169</v>
      </c>
      <c r="B500" s="68" t="s">
        <v>1121</v>
      </c>
      <c r="C500" s="55"/>
      <c r="D500" s="41"/>
      <c r="E500" s="55"/>
      <c r="F500" s="55"/>
      <c r="G500" s="55"/>
      <c r="H500" s="51"/>
      <c r="I500" s="52"/>
      <c r="J500" s="74" t="s">
        <v>1122</v>
      </c>
      <c r="K500" s="57"/>
      <c r="L500" s="75">
        <v>186</v>
      </c>
      <c r="M500" s="60">
        <v>0</v>
      </c>
      <c r="N500" s="76">
        <v>500</v>
      </c>
      <c r="O500" s="42"/>
      <c r="P500" s="58" t="s">
        <v>36</v>
      </c>
      <c r="Q500" s="61"/>
      <c r="R500" s="62"/>
      <c r="S500" s="78">
        <f t="shared" si="21"/>
        <v>0</v>
      </c>
      <c r="T500" s="44" t="str">
        <f t="shared" si="22"/>
        <v>0grams</v>
      </c>
      <c r="U500" s="77">
        <f t="shared" si="23"/>
        <v>0</v>
      </c>
      <c r="V500" s="46"/>
      <c r="W500" s="46"/>
      <c r="X500" s="46"/>
    </row>
    <row r="501" spans="1:24" ht="15.75" customHeight="1" thickBot="1" x14ac:dyDescent="0.35">
      <c r="A501" s="2">
        <v>170</v>
      </c>
      <c r="B501" s="67" t="s">
        <v>1123</v>
      </c>
      <c r="C501" s="55"/>
      <c r="D501" s="41"/>
      <c r="E501" s="55"/>
      <c r="F501" s="55"/>
      <c r="G501" s="55"/>
      <c r="H501" s="51"/>
      <c r="I501" s="52"/>
      <c r="J501" s="74" t="s">
        <v>1124</v>
      </c>
      <c r="K501" s="57"/>
      <c r="L501" s="75">
        <v>6.13</v>
      </c>
      <c r="M501" s="60">
        <v>50</v>
      </c>
      <c r="N501" s="76">
        <v>30</v>
      </c>
      <c r="O501" s="42"/>
      <c r="P501" s="58" t="s">
        <v>36</v>
      </c>
      <c r="Q501" s="61"/>
      <c r="R501" s="62"/>
      <c r="S501" s="78">
        <f t="shared" si="21"/>
        <v>1500</v>
      </c>
      <c r="T501" s="44" t="str">
        <f t="shared" si="22"/>
        <v>1500grams</v>
      </c>
      <c r="U501" s="77">
        <f t="shared" si="23"/>
        <v>306.5</v>
      </c>
      <c r="V501" s="46"/>
      <c r="W501" s="46"/>
      <c r="X501" s="46"/>
    </row>
    <row r="502" spans="1:24" ht="15.75" customHeight="1" thickBot="1" x14ac:dyDescent="0.35">
      <c r="A502" s="2">
        <v>170</v>
      </c>
      <c r="B502" s="67" t="s">
        <v>1123</v>
      </c>
      <c r="C502" s="55"/>
      <c r="D502" s="41"/>
      <c r="E502" s="55"/>
      <c r="F502" s="55"/>
      <c r="G502" s="55"/>
      <c r="H502" s="51"/>
      <c r="I502" s="52"/>
      <c r="J502" s="74" t="s">
        <v>1125</v>
      </c>
      <c r="K502" s="57"/>
      <c r="L502" s="75">
        <v>5.71</v>
      </c>
      <c r="M502" s="60">
        <v>30</v>
      </c>
      <c r="N502" s="76">
        <v>28</v>
      </c>
      <c r="O502" s="42"/>
      <c r="P502" s="58" t="s">
        <v>36</v>
      </c>
      <c r="Q502" s="61"/>
      <c r="R502" s="62"/>
      <c r="S502" s="78">
        <f t="shared" ref="S502:S565" si="24">M502*N502</f>
        <v>840</v>
      </c>
      <c r="T502" s="44" t="str">
        <f t="shared" ref="T502:T565" si="25">CONCATENATE(S502,Q502,P502)</f>
        <v>840grams</v>
      </c>
      <c r="U502" s="77">
        <f t="shared" ref="U502:U565" si="26">L502*M502</f>
        <v>171.3</v>
      </c>
      <c r="V502" s="46"/>
      <c r="W502" s="46"/>
      <c r="X502" s="46"/>
    </row>
    <row r="503" spans="1:24" ht="15.75" customHeight="1" thickBot="1" x14ac:dyDescent="0.35">
      <c r="A503" s="2">
        <v>170</v>
      </c>
      <c r="B503" s="68" t="s">
        <v>1123</v>
      </c>
      <c r="C503" s="55"/>
      <c r="D503" s="41"/>
      <c r="E503" s="55"/>
      <c r="F503" s="55"/>
      <c r="G503" s="55"/>
      <c r="H503" s="51"/>
      <c r="I503" s="52"/>
      <c r="J503" s="74" t="s">
        <v>1126</v>
      </c>
      <c r="K503" s="57"/>
      <c r="L503" s="75">
        <v>5.51</v>
      </c>
      <c r="M503" s="60">
        <v>6</v>
      </c>
      <c r="N503" s="76">
        <v>25</v>
      </c>
      <c r="O503" s="42"/>
      <c r="P503" s="58" t="s">
        <v>36</v>
      </c>
      <c r="Q503" s="61"/>
      <c r="R503" s="62"/>
      <c r="S503" s="78">
        <f t="shared" si="24"/>
        <v>150</v>
      </c>
      <c r="T503" s="44" t="str">
        <f t="shared" si="25"/>
        <v>150grams</v>
      </c>
      <c r="U503" s="77">
        <f t="shared" si="26"/>
        <v>33.06</v>
      </c>
      <c r="V503" s="46"/>
      <c r="W503" s="46"/>
      <c r="X503" s="46"/>
    </row>
    <row r="504" spans="1:24" ht="15.75" customHeight="1" thickBot="1" x14ac:dyDescent="0.35">
      <c r="A504" s="2">
        <v>170</v>
      </c>
      <c r="B504" s="68" t="s">
        <v>1123</v>
      </c>
      <c r="C504" s="55"/>
      <c r="D504" s="41"/>
      <c r="E504" s="55"/>
      <c r="F504" s="55"/>
      <c r="G504" s="55"/>
      <c r="H504" s="51"/>
      <c r="I504" s="52"/>
      <c r="J504" s="74" t="s">
        <v>1126</v>
      </c>
      <c r="K504" s="57"/>
      <c r="L504" s="75">
        <v>5.51</v>
      </c>
      <c r="M504" s="60">
        <v>72</v>
      </c>
      <c r="N504" s="76">
        <v>25</v>
      </c>
      <c r="O504" s="42"/>
      <c r="P504" s="58" t="s">
        <v>36</v>
      </c>
      <c r="Q504" s="61"/>
      <c r="R504" s="62"/>
      <c r="S504" s="78">
        <f t="shared" si="24"/>
        <v>1800</v>
      </c>
      <c r="T504" s="44" t="str">
        <f t="shared" si="25"/>
        <v>1800grams</v>
      </c>
      <c r="U504" s="77">
        <f t="shared" si="26"/>
        <v>396.71999999999997</v>
      </c>
      <c r="V504" s="46"/>
      <c r="W504" s="46"/>
      <c r="X504" s="46"/>
    </row>
    <row r="505" spans="1:24" ht="15.75" customHeight="1" thickBot="1" x14ac:dyDescent="0.35">
      <c r="A505" s="2">
        <v>170</v>
      </c>
      <c r="B505" s="68" t="s">
        <v>1123</v>
      </c>
      <c r="C505" s="55"/>
      <c r="D505" s="41"/>
      <c r="E505" s="55"/>
      <c r="F505" s="55"/>
      <c r="G505" s="55"/>
      <c r="H505" s="51"/>
      <c r="I505" s="52"/>
      <c r="J505" s="74" t="s">
        <v>1126</v>
      </c>
      <c r="K505" s="57"/>
      <c r="L505" s="75">
        <v>201</v>
      </c>
      <c r="M505" s="60">
        <v>2</v>
      </c>
      <c r="N505" s="76">
        <v>1</v>
      </c>
      <c r="O505" s="42"/>
      <c r="P505" s="58" t="s">
        <v>1127</v>
      </c>
      <c r="Q505" s="61"/>
      <c r="R505" s="62"/>
      <c r="S505" s="78">
        <f t="shared" si="24"/>
        <v>2</v>
      </c>
      <c r="T505" s="44" t="str">
        <f t="shared" si="25"/>
        <v>2tub</v>
      </c>
      <c r="U505" s="77">
        <f t="shared" si="26"/>
        <v>402</v>
      </c>
      <c r="V505" s="46"/>
      <c r="W505" s="46"/>
      <c r="X505" s="46"/>
    </row>
    <row r="506" spans="1:24" ht="15.75" customHeight="1" thickBot="1" x14ac:dyDescent="0.35">
      <c r="A506" s="2">
        <v>170</v>
      </c>
      <c r="B506" s="68" t="s">
        <v>1123</v>
      </c>
      <c r="C506" s="55"/>
      <c r="D506" s="41"/>
      <c r="E506" s="55"/>
      <c r="F506" s="55"/>
      <c r="G506" s="55"/>
      <c r="H506" s="51"/>
      <c r="I506" s="52"/>
      <c r="J506" s="74" t="s">
        <v>1126</v>
      </c>
      <c r="K506" s="57"/>
      <c r="L506" s="75">
        <v>5.85</v>
      </c>
      <c r="M506" s="60">
        <v>20</v>
      </c>
      <c r="N506" s="76">
        <v>10</v>
      </c>
      <c r="O506" s="42"/>
      <c r="P506" s="58" t="s">
        <v>38</v>
      </c>
      <c r="Q506" s="61"/>
      <c r="R506" s="62"/>
      <c r="S506" s="78">
        <f t="shared" si="24"/>
        <v>200</v>
      </c>
      <c r="T506" s="44" t="str">
        <f t="shared" si="25"/>
        <v>200pieces</v>
      </c>
      <c r="U506" s="77">
        <f t="shared" si="26"/>
        <v>117</v>
      </c>
      <c r="V506" s="46"/>
      <c r="W506" s="46"/>
      <c r="X506" s="46"/>
    </row>
    <row r="507" spans="1:24" ht="15.75" customHeight="1" thickBot="1" x14ac:dyDescent="0.35">
      <c r="A507" s="2">
        <v>170</v>
      </c>
      <c r="B507" s="68" t="s">
        <v>1123</v>
      </c>
      <c r="C507" s="55"/>
      <c r="D507" s="41"/>
      <c r="E507" s="55"/>
      <c r="F507" s="55"/>
      <c r="G507" s="55"/>
      <c r="H507" s="51"/>
      <c r="I507" s="52"/>
      <c r="J507" s="74" t="s">
        <v>1128</v>
      </c>
      <c r="K507" s="57"/>
      <c r="L507" s="75">
        <v>6.66</v>
      </c>
      <c r="M507" s="60">
        <v>30</v>
      </c>
      <c r="N507" s="76">
        <v>10</v>
      </c>
      <c r="O507" s="42"/>
      <c r="P507" s="58" t="s">
        <v>38</v>
      </c>
      <c r="Q507" s="61"/>
      <c r="R507" s="62"/>
      <c r="S507" s="78">
        <f t="shared" si="24"/>
        <v>300</v>
      </c>
      <c r="T507" s="44" t="str">
        <f t="shared" si="25"/>
        <v>300pieces</v>
      </c>
      <c r="U507" s="77">
        <f t="shared" si="26"/>
        <v>199.8</v>
      </c>
      <c r="V507" s="20"/>
      <c r="W507" s="20"/>
      <c r="X507" s="20"/>
    </row>
    <row r="508" spans="1:24" ht="15.75" customHeight="1" thickBot="1" x14ac:dyDescent="0.35">
      <c r="A508" s="2">
        <v>170</v>
      </c>
      <c r="B508" s="68" t="s">
        <v>1123</v>
      </c>
      <c r="C508" s="55"/>
      <c r="D508" s="41"/>
      <c r="E508" s="55"/>
      <c r="F508" s="55"/>
      <c r="G508" s="55"/>
      <c r="H508" s="51"/>
      <c r="I508" s="52"/>
      <c r="J508" s="74" t="s">
        <v>1126</v>
      </c>
      <c r="K508" s="57"/>
      <c r="L508" s="75">
        <v>58.5</v>
      </c>
      <c r="M508" s="60">
        <v>20</v>
      </c>
      <c r="N508" s="76">
        <v>25</v>
      </c>
      <c r="O508" s="42"/>
      <c r="P508" s="58" t="s">
        <v>36</v>
      </c>
      <c r="Q508" s="61"/>
      <c r="R508" s="62"/>
      <c r="S508" s="78">
        <f t="shared" si="24"/>
        <v>500</v>
      </c>
      <c r="T508" s="44" t="str">
        <f t="shared" si="25"/>
        <v>500grams</v>
      </c>
      <c r="U508" s="77">
        <f t="shared" si="26"/>
        <v>1170</v>
      </c>
      <c r="V508" s="20"/>
      <c r="W508" s="20"/>
      <c r="X508" s="20"/>
    </row>
    <row r="509" spans="1:24" ht="15.75" customHeight="1" thickBot="1" x14ac:dyDescent="0.35">
      <c r="A509" s="2">
        <v>170</v>
      </c>
      <c r="B509" s="68" t="s">
        <v>1123</v>
      </c>
      <c r="C509" s="55"/>
      <c r="D509" s="41"/>
      <c r="E509" s="55"/>
      <c r="F509" s="55"/>
      <c r="G509" s="55"/>
      <c r="H509" s="51"/>
      <c r="I509" s="52"/>
      <c r="J509" s="74" t="s">
        <v>1129</v>
      </c>
      <c r="K509" s="57"/>
      <c r="L509" s="75">
        <v>6.66</v>
      </c>
      <c r="M509" s="60">
        <v>16</v>
      </c>
      <c r="N509" s="76">
        <v>10</v>
      </c>
      <c r="O509" s="42"/>
      <c r="P509" s="58" t="s">
        <v>38</v>
      </c>
      <c r="Q509" s="61"/>
      <c r="R509" s="62"/>
      <c r="S509" s="78">
        <f t="shared" si="24"/>
        <v>160</v>
      </c>
      <c r="T509" s="44" t="str">
        <f t="shared" si="25"/>
        <v>160pieces</v>
      </c>
      <c r="U509" s="77">
        <f t="shared" si="26"/>
        <v>106.56</v>
      </c>
      <c r="V509" s="20"/>
      <c r="W509" s="20"/>
      <c r="X509" s="20"/>
    </row>
    <row r="510" spans="1:24" ht="15.75" customHeight="1" thickBot="1" x14ac:dyDescent="0.35">
      <c r="A510" s="2">
        <v>170</v>
      </c>
      <c r="B510" s="67" t="s">
        <v>1123</v>
      </c>
      <c r="C510" s="55"/>
      <c r="D510" s="41"/>
      <c r="E510" s="55"/>
      <c r="F510" s="55"/>
      <c r="G510" s="55"/>
      <c r="H510" s="51"/>
      <c r="I510" s="52"/>
      <c r="J510" s="74" t="s">
        <v>1130</v>
      </c>
      <c r="K510" s="57"/>
      <c r="L510" s="75">
        <v>5.7</v>
      </c>
      <c r="M510" s="60">
        <v>6</v>
      </c>
      <c r="N510" s="76">
        <v>33</v>
      </c>
      <c r="O510" s="42"/>
      <c r="P510" s="58" t="s">
        <v>36</v>
      </c>
      <c r="Q510" s="61"/>
      <c r="R510" s="62"/>
      <c r="S510" s="78">
        <f t="shared" si="24"/>
        <v>198</v>
      </c>
      <c r="T510" s="44" t="str">
        <f t="shared" si="25"/>
        <v>198grams</v>
      </c>
      <c r="U510" s="77">
        <f t="shared" si="26"/>
        <v>34.200000000000003</v>
      </c>
      <c r="V510" s="46"/>
      <c r="W510" s="46"/>
      <c r="X510" s="46"/>
    </row>
    <row r="511" spans="1:24" ht="15.75" customHeight="1" thickBot="1" x14ac:dyDescent="0.35">
      <c r="A511" s="2">
        <v>170</v>
      </c>
      <c r="B511" s="67" t="s">
        <v>1123</v>
      </c>
      <c r="C511" s="55"/>
      <c r="D511" s="41"/>
      <c r="E511" s="55"/>
      <c r="F511" s="55"/>
      <c r="G511" s="55"/>
      <c r="H511" s="51"/>
      <c r="I511" s="52"/>
      <c r="J511" s="74" t="s">
        <v>1131</v>
      </c>
      <c r="K511" s="57"/>
      <c r="L511" s="75">
        <v>5.6</v>
      </c>
      <c r="M511" s="60">
        <v>7</v>
      </c>
      <c r="N511" s="76">
        <v>30</v>
      </c>
      <c r="O511" s="42"/>
      <c r="P511" s="58" t="s">
        <v>36</v>
      </c>
      <c r="Q511" s="61"/>
      <c r="R511" s="62"/>
      <c r="S511" s="78">
        <f t="shared" si="24"/>
        <v>210</v>
      </c>
      <c r="T511" s="44" t="str">
        <f t="shared" si="25"/>
        <v>210grams</v>
      </c>
      <c r="U511" s="77">
        <f t="shared" si="26"/>
        <v>39.199999999999996</v>
      </c>
      <c r="V511" s="20"/>
      <c r="W511" s="20"/>
      <c r="X511" s="20"/>
    </row>
    <row r="512" spans="1:24" ht="15.75" customHeight="1" thickBot="1" x14ac:dyDescent="0.35">
      <c r="A512" s="2">
        <v>170</v>
      </c>
      <c r="B512" s="67" t="s">
        <v>1123</v>
      </c>
      <c r="C512" s="55"/>
      <c r="D512" s="41"/>
      <c r="E512" s="55"/>
      <c r="F512" s="55"/>
      <c r="G512" s="55"/>
      <c r="H512" s="51"/>
      <c r="I512" s="52"/>
      <c r="J512" s="74" t="s">
        <v>1132</v>
      </c>
      <c r="K512" s="57"/>
      <c r="L512" s="75">
        <v>5.71</v>
      </c>
      <c r="M512" s="60">
        <v>30</v>
      </c>
      <c r="N512" s="76">
        <v>10</v>
      </c>
      <c r="O512" s="42"/>
      <c r="P512" s="58" t="s">
        <v>38</v>
      </c>
      <c r="Q512" s="61"/>
      <c r="R512" s="62"/>
      <c r="S512" s="78">
        <f t="shared" si="24"/>
        <v>300</v>
      </c>
      <c r="T512" s="44" t="str">
        <f t="shared" si="25"/>
        <v>300pieces</v>
      </c>
      <c r="U512" s="77">
        <f t="shared" si="26"/>
        <v>171.3</v>
      </c>
      <c r="V512" s="46"/>
      <c r="W512" s="46"/>
      <c r="X512" s="46"/>
    </row>
    <row r="513" spans="1:24" ht="15.75" customHeight="1" thickBot="1" x14ac:dyDescent="0.35">
      <c r="A513" s="2">
        <v>170</v>
      </c>
      <c r="B513" s="67" t="s">
        <v>1123</v>
      </c>
      <c r="C513" s="55"/>
      <c r="D513" s="41"/>
      <c r="E513" s="55"/>
      <c r="F513" s="55"/>
      <c r="G513" s="55"/>
      <c r="H513" s="51"/>
      <c r="I513" s="52"/>
      <c r="J513" s="74" t="s">
        <v>1133</v>
      </c>
      <c r="K513" s="57"/>
      <c r="L513" s="75">
        <v>5.71</v>
      </c>
      <c r="M513" s="60">
        <v>30</v>
      </c>
      <c r="N513" s="76">
        <v>10</v>
      </c>
      <c r="O513" s="42"/>
      <c r="P513" s="58" t="s">
        <v>38</v>
      </c>
      <c r="Q513" s="61"/>
      <c r="R513" s="62"/>
      <c r="S513" s="78">
        <f t="shared" si="24"/>
        <v>300</v>
      </c>
      <c r="T513" s="44" t="str">
        <f t="shared" si="25"/>
        <v>300pieces</v>
      </c>
      <c r="U513" s="77">
        <f t="shared" si="26"/>
        <v>171.3</v>
      </c>
      <c r="V513" s="46"/>
      <c r="W513" s="46"/>
      <c r="X513" s="46"/>
    </row>
    <row r="514" spans="1:24" ht="15.75" customHeight="1" thickBot="1" x14ac:dyDescent="0.35">
      <c r="A514" s="2">
        <v>170</v>
      </c>
      <c r="B514" s="67" t="s">
        <v>1123</v>
      </c>
      <c r="C514" s="55"/>
      <c r="D514" s="41"/>
      <c r="E514" s="55"/>
      <c r="F514" s="55"/>
      <c r="G514" s="55"/>
      <c r="H514" s="51"/>
      <c r="I514" s="52"/>
      <c r="J514" s="74" t="s">
        <v>1134</v>
      </c>
      <c r="K514" s="57"/>
      <c r="L514" s="75">
        <v>5.71</v>
      </c>
      <c r="M514" s="60">
        <v>60</v>
      </c>
      <c r="N514" s="76">
        <v>10</v>
      </c>
      <c r="O514" s="42"/>
      <c r="P514" s="58" t="s">
        <v>38</v>
      </c>
      <c r="Q514" s="61"/>
      <c r="R514" s="62"/>
      <c r="S514" s="78">
        <f t="shared" si="24"/>
        <v>600</v>
      </c>
      <c r="T514" s="44" t="str">
        <f t="shared" si="25"/>
        <v>600pieces</v>
      </c>
      <c r="U514" s="77">
        <f t="shared" si="26"/>
        <v>342.6</v>
      </c>
      <c r="V514" s="46"/>
      <c r="W514" s="46"/>
      <c r="X514" s="46"/>
    </row>
    <row r="515" spans="1:24" ht="15.75" customHeight="1" thickBot="1" x14ac:dyDescent="0.35">
      <c r="A515" s="2">
        <v>170</v>
      </c>
      <c r="B515" s="67" t="s">
        <v>1123</v>
      </c>
      <c r="C515" s="55"/>
      <c r="D515" s="41"/>
      <c r="E515" s="55"/>
      <c r="F515" s="55"/>
      <c r="G515" s="55"/>
      <c r="H515" s="51"/>
      <c r="I515" s="52"/>
      <c r="J515" s="74" t="s">
        <v>1135</v>
      </c>
      <c r="K515" s="57"/>
      <c r="L515" s="75">
        <v>5.6</v>
      </c>
      <c r="M515" s="60">
        <v>60</v>
      </c>
      <c r="N515" s="76">
        <v>10</v>
      </c>
      <c r="O515" s="42"/>
      <c r="P515" s="58" t="s">
        <v>38</v>
      </c>
      <c r="Q515" s="61"/>
      <c r="R515" s="62"/>
      <c r="S515" s="78">
        <f t="shared" si="24"/>
        <v>600</v>
      </c>
      <c r="T515" s="44" t="str">
        <f t="shared" si="25"/>
        <v>600pieces</v>
      </c>
      <c r="U515" s="77">
        <f t="shared" si="26"/>
        <v>336</v>
      </c>
      <c r="V515" s="50"/>
      <c r="W515" s="54"/>
      <c r="X515" s="39"/>
    </row>
    <row r="516" spans="1:24" ht="15.75" customHeight="1" thickBot="1" x14ac:dyDescent="0.35">
      <c r="A516" s="2">
        <v>170</v>
      </c>
      <c r="B516" s="67" t="s">
        <v>1123</v>
      </c>
      <c r="C516" s="55"/>
      <c r="D516" s="41"/>
      <c r="E516" s="55"/>
      <c r="F516" s="55"/>
      <c r="G516" s="55"/>
      <c r="H516" s="51"/>
      <c r="I516" s="52"/>
      <c r="J516" s="74" t="s">
        <v>1136</v>
      </c>
      <c r="K516" s="57"/>
      <c r="L516" s="75">
        <v>5.6</v>
      </c>
      <c r="M516" s="60">
        <v>10</v>
      </c>
      <c r="N516" s="76">
        <v>1</v>
      </c>
      <c r="O516" s="42"/>
      <c r="P516" s="58" t="s">
        <v>38</v>
      </c>
      <c r="Q516" s="61"/>
      <c r="R516" s="62"/>
      <c r="S516" s="78">
        <f t="shared" si="24"/>
        <v>10</v>
      </c>
      <c r="T516" s="44" t="str">
        <f t="shared" si="25"/>
        <v>10pieces</v>
      </c>
      <c r="U516" s="77">
        <f t="shared" si="26"/>
        <v>56</v>
      </c>
      <c r="V516" s="50"/>
      <c r="W516" s="20"/>
      <c r="X516" s="20"/>
    </row>
    <row r="517" spans="1:24" ht="15.75" customHeight="1" thickBot="1" x14ac:dyDescent="0.35">
      <c r="A517" s="2">
        <v>170</v>
      </c>
      <c r="B517" s="67" t="s">
        <v>1123</v>
      </c>
      <c r="C517" s="55"/>
      <c r="D517" s="41"/>
      <c r="E517" s="55"/>
      <c r="F517" s="55"/>
      <c r="G517" s="55"/>
      <c r="H517" s="51"/>
      <c r="I517" s="52"/>
      <c r="J517" s="74" t="s">
        <v>1137</v>
      </c>
      <c r="K517" s="57"/>
      <c r="L517" s="75">
        <v>5.9</v>
      </c>
      <c r="M517" s="60">
        <v>10</v>
      </c>
      <c r="N517" s="76">
        <v>30</v>
      </c>
      <c r="O517" s="42"/>
      <c r="P517" s="58" t="s">
        <v>36</v>
      </c>
      <c r="Q517" s="61"/>
      <c r="R517" s="62"/>
      <c r="S517" s="78">
        <f t="shared" si="24"/>
        <v>300</v>
      </c>
      <c r="T517" s="44" t="str">
        <f t="shared" si="25"/>
        <v>300grams</v>
      </c>
      <c r="U517" s="77">
        <f t="shared" si="26"/>
        <v>59</v>
      </c>
      <c r="V517" s="46"/>
      <c r="W517" s="46"/>
      <c r="X517" s="46"/>
    </row>
    <row r="518" spans="1:24" ht="15.75" customHeight="1" thickBot="1" x14ac:dyDescent="0.35">
      <c r="A518" s="2">
        <v>171</v>
      </c>
      <c r="B518" s="67" t="s">
        <v>255</v>
      </c>
      <c r="C518" s="55"/>
      <c r="D518" s="41"/>
      <c r="E518" s="55"/>
      <c r="F518" s="55"/>
      <c r="G518" s="55"/>
      <c r="H518" s="51"/>
      <c r="I518" s="52"/>
      <c r="J518" s="74"/>
      <c r="K518" s="57"/>
      <c r="L518" s="75">
        <v>144</v>
      </c>
      <c r="M518" s="60">
        <v>3</v>
      </c>
      <c r="N518" s="76">
        <v>1000</v>
      </c>
      <c r="O518" s="42"/>
      <c r="P518" s="58" t="s">
        <v>36</v>
      </c>
      <c r="Q518" s="61"/>
      <c r="R518" s="62"/>
      <c r="S518" s="78">
        <f t="shared" si="24"/>
        <v>3000</v>
      </c>
      <c r="T518" s="44" t="str">
        <f t="shared" si="25"/>
        <v>3000grams</v>
      </c>
      <c r="U518" s="77">
        <f t="shared" si="26"/>
        <v>432</v>
      </c>
      <c r="V518" s="46"/>
      <c r="W518" s="46"/>
      <c r="X518" s="46"/>
    </row>
    <row r="519" spans="1:24" ht="15.75" customHeight="1" thickBot="1" x14ac:dyDescent="0.35">
      <c r="A519" s="2">
        <v>171</v>
      </c>
      <c r="B519" s="67" t="s">
        <v>255</v>
      </c>
      <c r="C519" s="55"/>
      <c r="D519" s="41"/>
      <c r="E519" s="55"/>
      <c r="F519" s="55"/>
      <c r="G519" s="55"/>
      <c r="H519" s="51"/>
      <c r="I519" s="52"/>
      <c r="J519" s="74"/>
      <c r="K519" s="57"/>
      <c r="L519" s="75">
        <v>165</v>
      </c>
      <c r="M519" s="60">
        <v>1</v>
      </c>
      <c r="N519" s="76">
        <v>1000</v>
      </c>
      <c r="O519" s="42"/>
      <c r="P519" s="58" t="s">
        <v>36</v>
      </c>
      <c r="Q519" s="61"/>
      <c r="R519" s="62"/>
      <c r="S519" s="78">
        <f t="shared" si="24"/>
        <v>1000</v>
      </c>
      <c r="T519" s="44" t="str">
        <f t="shared" si="25"/>
        <v>1000grams</v>
      </c>
      <c r="U519" s="77">
        <f t="shared" si="26"/>
        <v>165</v>
      </c>
      <c r="V519" s="46"/>
      <c r="W519" s="46"/>
      <c r="X519" s="46"/>
    </row>
    <row r="520" spans="1:24" ht="15.75" customHeight="1" thickBot="1" x14ac:dyDescent="0.35">
      <c r="A520" s="2">
        <v>172</v>
      </c>
      <c r="B520" s="68" t="s">
        <v>1138</v>
      </c>
      <c r="C520" s="55"/>
      <c r="D520" s="41"/>
      <c r="E520" s="55"/>
      <c r="F520" s="55"/>
      <c r="G520" s="55"/>
      <c r="H520" s="51"/>
      <c r="I520" s="52"/>
      <c r="J520" s="74" t="s">
        <v>827</v>
      </c>
      <c r="K520" s="57"/>
      <c r="L520" s="75">
        <v>44.75</v>
      </c>
      <c r="M520" s="60">
        <v>3</v>
      </c>
      <c r="N520" s="76">
        <v>425</v>
      </c>
      <c r="O520" s="42"/>
      <c r="P520" s="58" t="s">
        <v>36</v>
      </c>
      <c r="Q520" s="61"/>
      <c r="R520" s="62"/>
      <c r="S520" s="78">
        <f t="shared" si="24"/>
        <v>1275</v>
      </c>
      <c r="T520" s="44" t="str">
        <f t="shared" si="25"/>
        <v>1275grams</v>
      </c>
      <c r="U520" s="77">
        <f t="shared" si="26"/>
        <v>134.25</v>
      </c>
      <c r="V520" s="46"/>
      <c r="W520" s="46"/>
      <c r="X520" s="46"/>
    </row>
    <row r="521" spans="1:24" ht="15.75" customHeight="1" thickBot="1" x14ac:dyDescent="0.35">
      <c r="A521" s="2">
        <v>172</v>
      </c>
      <c r="B521" s="68" t="s">
        <v>1138</v>
      </c>
      <c r="C521" s="55"/>
      <c r="D521" s="41"/>
      <c r="E521" s="55"/>
      <c r="F521" s="55"/>
      <c r="G521" s="55"/>
      <c r="H521" s="51"/>
      <c r="I521" s="52"/>
      <c r="J521" s="74" t="s">
        <v>827</v>
      </c>
      <c r="K521" s="57"/>
      <c r="L521" s="75">
        <v>56.3</v>
      </c>
      <c r="M521" s="60">
        <v>4</v>
      </c>
      <c r="N521" s="76">
        <v>425</v>
      </c>
      <c r="O521" s="42"/>
      <c r="P521" s="58" t="s">
        <v>36</v>
      </c>
      <c r="Q521" s="61"/>
      <c r="R521" s="62"/>
      <c r="S521" s="78">
        <f t="shared" si="24"/>
        <v>1700</v>
      </c>
      <c r="T521" s="44" t="str">
        <f t="shared" si="25"/>
        <v>1700grams</v>
      </c>
      <c r="U521" s="77">
        <f t="shared" si="26"/>
        <v>225.2</v>
      </c>
      <c r="V521" s="46"/>
      <c r="W521" s="46"/>
      <c r="X521" s="46"/>
    </row>
    <row r="522" spans="1:24" ht="15.75" customHeight="1" thickBot="1" x14ac:dyDescent="0.35">
      <c r="A522" s="2">
        <v>172</v>
      </c>
      <c r="B522" s="67" t="s">
        <v>1138</v>
      </c>
      <c r="C522" s="55"/>
      <c r="D522" s="41"/>
      <c r="E522" s="55"/>
      <c r="F522" s="55"/>
      <c r="G522" s="55"/>
      <c r="H522" s="51"/>
      <c r="I522" s="52"/>
      <c r="J522" s="74" t="s">
        <v>1139</v>
      </c>
      <c r="K522" s="57"/>
      <c r="L522" s="75">
        <v>52.6</v>
      </c>
      <c r="M522" s="60">
        <v>5</v>
      </c>
      <c r="N522" s="76">
        <v>425</v>
      </c>
      <c r="O522" s="42"/>
      <c r="P522" s="58" t="s">
        <v>36</v>
      </c>
      <c r="Q522" s="61"/>
      <c r="R522" s="62"/>
      <c r="S522" s="78">
        <f t="shared" si="24"/>
        <v>2125</v>
      </c>
      <c r="T522" s="44" t="str">
        <f t="shared" si="25"/>
        <v>2125grams</v>
      </c>
      <c r="U522" s="77">
        <f t="shared" si="26"/>
        <v>263</v>
      </c>
      <c r="V522" s="46"/>
      <c r="W522" s="46"/>
      <c r="X522" s="46"/>
    </row>
    <row r="523" spans="1:24" ht="15.75" customHeight="1" thickBot="1" x14ac:dyDescent="0.35">
      <c r="A523" s="2">
        <v>173</v>
      </c>
      <c r="B523" s="67" t="s">
        <v>263</v>
      </c>
      <c r="C523" s="55"/>
      <c r="D523" s="41"/>
      <c r="E523" s="55"/>
      <c r="F523" s="55"/>
      <c r="G523" s="55"/>
      <c r="H523" s="51"/>
      <c r="I523" s="52"/>
      <c r="J523" s="74" t="s">
        <v>949</v>
      </c>
      <c r="K523" s="57"/>
      <c r="L523" s="75">
        <v>52.6</v>
      </c>
      <c r="M523" s="60">
        <v>5</v>
      </c>
      <c r="N523" s="76">
        <v>62</v>
      </c>
      <c r="O523" s="42"/>
      <c r="P523" s="58" t="s">
        <v>36</v>
      </c>
      <c r="Q523" s="61"/>
      <c r="R523" s="62"/>
      <c r="S523" s="78">
        <f t="shared" si="24"/>
        <v>310</v>
      </c>
      <c r="T523" s="44" t="str">
        <f t="shared" si="25"/>
        <v>310grams</v>
      </c>
      <c r="U523" s="77">
        <f t="shared" si="26"/>
        <v>263</v>
      </c>
      <c r="V523" s="50"/>
      <c r="W523" s="54"/>
      <c r="X523" s="39"/>
    </row>
    <row r="524" spans="1:24" ht="15.75" customHeight="1" thickBot="1" x14ac:dyDescent="0.35">
      <c r="A524" s="2">
        <v>173</v>
      </c>
      <c r="B524" s="67" t="s">
        <v>263</v>
      </c>
      <c r="C524" s="55"/>
      <c r="D524" s="41"/>
      <c r="E524" s="55"/>
      <c r="F524" s="55"/>
      <c r="G524" s="55"/>
      <c r="H524" s="51"/>
      <c r="I524" s="52"/>
      <c r="J524" s="74" t="s">
        <v>949</v>
      </c>
      <c r="K524" s="57"/>
      <c r="L524" s="75">
        <v>52.6</v>
      </c>
      <c r="M524" s="60">
        <v>13</v>
      </c>
      <c r="N524" s="76">
        <v>62</v>
      </c>
      <c r="O524" s="42"/>
      <c r="P524" s="58" t="s">
        <v>36</v>
      </c>
      <c r="Q524" s="61"/>
      <c r="R524" s="62"/>
      <c r="S524" s="78">
        <f t="shared" si="24"/>
        <v>806</v>
      </c>
      <c r="T524" s="44" t="str">
        <f t="shared" si="25"/>
        <v>806grams</v>
      </c>
      <c r="U524" s="77">
        <f t="shared" si="26"/>
        <v>683.80000000000007</v>
      </c>
      <c r="V524" s="46"/>
      <c r="W524" s="46"/>
      <c r="X524" s="46"/>
    </row>
    <row r="525" spans="1:24" ht="15.75" customHeight="1" thickBot="1" x14ac:dyDescent="0.35">
      <c r="A525" s="2">
        <v>173</v>
      </c>
      <c r="B525" s="67" t="s">
        <v>263</v>
      </c>
      <c r="C525" s="55"/>
      <c r="D525" s="41"/>
      <c r="E525" s="55"/>
      <c r="F525" s="55"/>
      <c r="G525" s="55"/>
      <c r="H525" s="51"/>
      <c r="I525" s="52"/>
      <c r="J525" s="74" t="s">
        <v>949</v>
      </c>
      <c r="K525" s="57"/>
      <c r="L525" s="75">
        <v>55</v>
      </c>
      <c r="M525" s="60">
        <v>6</v>
      </c>
      <c r="N525" s="76">
        <v>62</v>
      </c>
      <c r="O525" s="42"/>
      <c r="P525" s="58" t="s">
        <v>36</v>
      </c>
      <c r="Q525" s="61"/>
      <c r="R525" s="62"/>
      <c r="S525" s="78">
        <f t="shared" si="24"/>
        <v>372</v>
      </c>
      <c r="T525" s="44" t="str">
        <f t="shared" si="25"/>
        <v>372grams</v>
      </c>
      <c r="U525" s="77">
        <f t="shared" si="26"/>
        <v>330</v>
      </c>
      <c r="V525" s="20"/>
      <c r="W525" s="20"/>
      <c r="X525" s="20"/>
    </row>
    <row r="526" spans="1:24" ht="15.75" customHeight="1" thickBot="1" x14ac:dyDescent="0.35">
      <c r="A526" s="2">
        <v>173</v>
      </c>
      <c r="B526" s="68" t="s">
        <v>263</v>
      </c>
      <c r="C526" s="55"/>
      <c r="D526" s="41"/>
      <c r="E526" s="55"/>
      <c r="F526" s="55"/>
      <c r="G526" s="55"/>
      <c r="H526" s="51"/>
      <c r="I526" s="52"/>
      <c r="J526" s="74" t="s">
        <v>949</v>
      </c>
      <c r="K526" s="57"/>
      <c r="L526" s="75">
        <v>52.6</v>
      </c>
      <c r="M526" s="60">
        <v>9</v>
      </c>
      <c r="N526" s="76">
        <v>62</v>
      </c>
      <c r="O526" s="42"/>
      <c r="P526" s="58" t="s">
        <v>36</v>
      </c>
      <c r="Q526" s="61"/>
      <c r="R526" s="62"/>
      <c r="S526" s="78">
        <f t="shared" si="24"/>
        <v>558</v>
      </c>
      <c r="T526" s="44" t="str">
        <f t="shared" si="25"/>
        <v>558grams</v>
      </c>
      <c r="U526" s="77">
        <f t="shared" si="26"/>
        <v>473.40000000000003</v>
      </c>
      <c r="V526" s="20"/>
      <c r="W526" s="20"/>
      <c r="X526" s="20"/>
    </row>
    <row r="527" spans="1:24" ht="15.75" customHeight="1" thickBot="1" x14ac:dyDescent="0.35">
      <c r="A527" s="2">
        <v>173</v>
      </c>
      <c r="B527" s="68" t="s">
        <v>263</v>
      </c>
      <c r="C527" s="55"/>
      <c r="D527" s="41"/>
      <c r="E527" s="55"/>
      <c r="F527" s="55"/>
      <c r="G527" s="55"/>
      <c r="H527" s="51"/>
      <c r="I527" s="52"/>
      <c r="J527" s="74" t="s">
        <v>949</v>
      </c>
      <c r="K527" s="57"/>
      <c r="L527" s="75">
        <v>55</v>
      </c>
      <c r="M527" s="60">
        <v>7</v>
      </c>
      <c r="N527" s="76">
        <v>62</v>
      </c>
      <c r="O527" s="42"/>
      <c r="P527" s="58" t="s">
        <v>36</v>
      </c>
      <c r="Q527" s="61"/>
      <c r="R527" s="62"/>
      <c r="S527" s="78">
        <f t="shared" si="24"/>
        <v>434</v>
      </c>
      <c r="T527" s="44" t="str">
        <f t="shared" si="25"/>
        <v>434grams</v>
      </c>
      <c r="U527" s="77">
        <f t="shared" si="26"/>
        <v>385</v>
      </c>
      <c r="V527" s="46"/>
      <c r="W527" s="46"/>
      <c r="X527" s="46"/>
    </row>
    <row r="528" spans="1:24" ht="15.75" customHeight="1" thickBot="1" x14ac:dyDescent="0.35">
      <c r="A528" s="2">
        <v>173</v>
      </c>
      <c r="B528" s="67" t="s">
        <v>263</v>
      </c>
      <c r="C528" s="55"/>
      <c r="D528" s="41"/>
      <c r="E528" s="55"/>
      <c r="F528" s="55"/>
      <c r="G528" s="55"/>
      <c r="H528" s="51"/>
      <c r="I528" s="52"/>
      <c r="J528" s="74" t="s">
        <v>949</v>
      </c>
      <c r="K528" s="57"/>
      <c r="L528" s="75">
        <v>52.6</v>
      </c>
      <c r="M528" s="60">
        <v>18</v>
      </c>
      <c r="N528" s="76">
        <v>62</v>
      </c>
      <c r="O528" s="42"/>
      <c r="P528" s="58" t="s">
        <v>36</v>
      </c>
      <c r="Q528" s="61"/>
      <c r="R528" s="62"/>
      <c r="S528" s="78">
        <f t="shared" si="24"/>
        <v>1116</v>
      </c>
      <c r="T528" s="44" t="str">
        <f t="shared" si="25"/>
        <v>1116grams</v>
      </c>
      <c r="U528" s="77">
        <f t="shared" si="26"/>
        <v>946.80000000000007</v>
      </c>
      <c r="V528" s="46"/>
      <c r="W528" s="46"/>
      <c r="X528" s="46"/>
    </row>
    <row r="529" spans="1:24" ht="15.75" customHeight="1" thickBot="1" x14ac:dyDescent="0.35">
      <c r="A529" s="2">
        <v>173</v>
      </c>
      <c r="B529" s="67" t="s">
        <v>263</v>
      </c>
      <c r="C529" s="55"/>
      <c r="D529" s="41"/>
      <c r="E529" s="55"/>
      <c r="F529" s="55"/>
      <c r="G529" s="55"/>
      <c r="H529" s="51"/>
      <c r="I529" s="52"/>
      <c r="J529" s="74" t="s">
        <v>949</v>
      </c>
      <c r="K529" s="57"/>
      <c r="L529" s="75">
        <v>52</v>
      </c>
      <c r="M529" s="60">
        <v>11</v>
      </c>
      <c r="N529" s="76">
        <v>62</v>
      </c>
      <c r="O529" s="42"/>
      <c r="P529" s="58" t="s">
        <v>36</v>
      </c>
      <c r="Q529" s="61"/>
      <c r="R529" s="62"/>
      <c r="S529" s="78">
        <f t="shared" si="24"/>
        <v>682</v>
      </c>
      <c r="T529" s="44" t="str">
        <f t="shared" si="25"/>
        <v>682grams</v>
      </c>
      <c r="U529" s="77">
        <f t="shared" si="26"/>
        <v>572</v>
      </c>
      <c r="V529" s="46"/>
      <c r="W529" s="46"/>
      <c r="X529" s="46"/>
    </row>
    <row r="530" spans="1:24" ht="15.75" customHeight="1" thickBot="1" x14ac:dyDescent="0.35">
      <c r="A530" s="2">
        <v>173</v>
      </c>
      <c r="B530" s="68" t="s">
        <v>263</v>
      </c>
      <c r="C530" s="55"/>
      <c r="D530" s="41"/>
      <c r="E530" s="55"/>
      <c r="F530" s="55"/>
      <c r="G530" s="55"/>
      <c r="H530" s="51"/>
      <c r="I530" s="52"/>
      <c r="J530" s="74" t="s">
        <v>949</v>
      </c>
      <c r="K530" s="57"/>
      <c r="L530" s="75">
        <v>52</v>
      </c>
      <c r="M530" s="60">
        <v>3</v>
      </c>
      <c r="N530" s="76">
        <v>62</v>
      </c>
      <c r="O530" s="42"/>
      <c r="P530" s="58" t="s">
        <v>36</v>
      </c>
      <c r="Q530" s="61"/>
      <c r="R530" s="62"/>
      <c r="S530" s="78">
        <f t="shared" si="24"/>
        <v>186</v>
      </c>
      <c r="T530" s="44" t="str">
        <f t="shared" si="25"/>
        <v>186grams</v>
      </c>
      <c r="U530" s="77">
        <f t="shared" si="26"/>
        <v>156</v>
      </c>
      <c r="V530" s="46"/>
      <c r="W530" s="46"/>
      <c r="X530" s="46"/>
    </row>
    <row r="531" spans="1:24" ht="15.75" customHeight="1" thickBot="1" x14ac:dyDescent="0.35">
      <c r="A531" s="2">
        <v>173</v>
      </c>
      <c r="B531" s="67" t="s">
        <v>263</v>
      </c>
      <c r="C531" s="55"/>
      <c r="D531" s="41"/>
      <c r="E531" s="55"/>
      <c r="F531" s="55"/>
      <c r="G531" s="55"/>
      <c r="H531" s="51"/>
      <c r="I531" s="52"/>
      <c r="J531" s="74" t="s">
        <v>949</v>
      </c>
      <c r="K531" s="57"/>
      <c r="L531" s="75">
        <v>52.6</v>
      </c>
      <c r="M531" s="60">
        <v>9</v>
      </c>
      <c r="N531" s="76">
        <v>62</v>
      </c>
      <c r="O531" s="42"/>
      <c r="P531" s="58" t="s">
        <v>36</v>
      </c>
      <c r="Q531" s="61"/>
      <c r="R531" s="62"/>
      <c r="S531" s="78">
        <f t="shared" si="24"/>
        <v>558</v>
      </c>
      <c r="T531" s="44" t="str">
        <f t="shared" si="25"/>
        <v>558grams</v>
      </c>
      <c r="U531" s="77">
        <f t="shared" si="26"/>
        <v>473.40000000000003</v>
      </c>
      <c r="V531" s="50"/>
      <c r="W531" s="54"/>
      <c r="X531" s="39"/>
    </row>
    <row r="532" spans="1:24" ht="15.75" customHeight="1" thickBot="1" x14ac:dyDescent="0.35">
      <c r="A532" s="2">
        <v>174</v>
      </c>
      <c r="B532" s="67" t="s">
        <v>1140</v>
      </c>
      <c r="C532" s="55"/>
      <c r="D532" s="41"/>
      <c r="E532" s="55"/>
      <c r="F532" s="55"/>
      <c r="G532" s="55"/>
      <c r="H532" s="51"/>
      <c r="I532" s="52"/>
      <c r="J532" s="74" t="s">
        <v>949</v>
      </c>
      <c r="K532" s="57"/>
      <c r="L532" s="75">
        <v>55</v>
      </c>
      <c r="M532" s="60">
        <v>1</v>
      </c>
      <c r="N532" s="76">
        <v>55</v>
      </c>
      <c r="O532" s="42"/>
      <c r="P532" s="58" t="s">
        <v>36</v>
      </c>
      <c r="Q532" s="61"/>
      <c r="R532" s="62"/>
      <c r="S532" s="78">
        <f t="shared" si="24"/>
        <v>55</v>
      </c>
      <c r="T532" s="44" t="str">
        <f t="shared" si="25"/>
        <v>55grams</v>
      </c>
      <c r="U532" s="77">
        <f t="shared" si="26"/>
        <v>55</v>
      </c>
      <c r="V532" s="46"/>
      <c r="W532" s="46"/>
      <c r="X532" s="46"/>
    </row>
    <row r="533" spans="1:24" ht="15.75" customHeight="1" thickBot="1" x14ac:dyDescent="0.35">
      <c r="A533" s="2">
        <v>175</v>
      </c>
      <c r="B533" s="68" t="s">
        <v>1141</v>
      </c>
      <c r="C533" s="55"/>
      <c r="D533" s="41"/>
      <c r="E533" s="55"/>
      <c r="F533" s="55"/>
      <c r="G533" s="55"/>
      <c r="H533" s="51"/>
      <c r="I533" s="52"/>
      <c r="J533" s="74" t="s">
        <v>1036</v>
      </c>
      <c r="K533" s="57"/>
      <c r="L533" s="75">
        <v>17.75</v>
      </c>
      <c r="M533" s="60">
        <v>2</v>
      </c>
      <c r="N533" s="76">
        <v>30</v>
      </c>
      <c r="O533" s="42"/>
      <c r="P533" s="58" t="s">
        <v>36</v>
      </c>
      <c r="Q533" s="61"/>
      <c r="R533" s="62"/>
      <c r="S533" s="78">
        <f t="shared" si="24"/>
        <v>60</v>
      </c>
      <c r="T533" s="44" t="str">
        <f t="shared" si="25"/>
        <v>60grams</v>
      </c>
      <c r="U533" s="77">
        <f t="shared" si="26"/>
        <v>35.5</v>
      </c>
      <c r="V533" s="46"/>
      <c r="W533" s="46"/>
      <c r="X533" s="46"/>
    </row>
    <row r="534" spans="1:24" ht="15.75" customHeight="1" thickBot="1" x14ac:dyDescent="0.35">
      <c r="A534" s="2">
        <v>175</v>
      </c>
      <c r="B534" s="68" t="s">
        <v>1141</v>
      </c>
      <c r="C534" s="55"/>
      <c r="D534" s="41"/>
      <c r="E534" s="55"/>
      <c r="F534" s="55"/>
      <c r="G534" s="55"/>
      <c r="H534" s="51"/>
      <c r="I534" s="52"/>
      <c r="J534" s="74" t="s">
        <v>816</v>
      </c>
      <c r="K534" s="57"/>
      <c r="L534" s="75">
        <v>102.5</v>
      </c>
      <c r="M534" s="60">
        <v>2</v>
      </c>
      <c r="N534" s="76">
        <v>45</v>
      </c>
      <c r="O534" s="42"/>
      <c r="P534" s="58" t="s">
        <v>36</v>
      </c>
      <c r="Q534" s="61"/>
      <c r="R534" s="62"/>
      <c r="S534" s="78">
        <f t="shared" si="24"/>
        <v>90</v>
      </c>
      <c r="T534" s="44" t="str">
        <f t="shared" si="25"/>
        <v>90grams</v>
      </c>
      <c r="U534" s="77">
        <f t="shared" si="26"/>
        <v>205</v>
      </c>
      <c r="V534" s="50"/>
      <c r="W534" s="54"/>
      <c r="X534" s="39"/>
    </row>
    <row r="535" spans="1:24" ht="15.75" customHeight="1" thickBot="1" x14ac:dyDescent="0.35">
      <c r="A535" s="2">
        <v>175</v>
      </c>
      <c r="B535" s="68" t="s">
        <v>1141</v>
      </c>
      <c r="C535" s="55"/>
      <c r="D535" s="41"/>
      <c r="E535" s="55"/>
      <c r="F535" s="55"/>
      <c r="G535" s="55"/>
      <c r="H535" s="51"/>
      <c r="I535" s="52"/>
      <c r="J535" s="74" t="s">
        <v>816</v>
      </c>
      <c r="K535" s="57"/>
      <c r="L535" s="75">
        <v>102</v>
      </c>
      <c r="M535" s="60">
        <v>1</v>
      </c>
      <c r="N535" s="76">
        <v>45</v>
      </c>
      <c r="O535" s="42"/>
      <c r="P535" s="58" t="s">
        <v>36</v>
      </c>
      <c r="Q535" s="61"/>
      <c r="R535" s="62"/>
      <c r="S535" s="78">
        <f t="shared" si="24"/>
        <v>45</v>
      </c>
      <c r="T535" s="44" t="str">
        <f t="shared" si="25"/>
        <v>45grams</v>
      </c>
      <c r="U535" s="77">
        <f t="shared" si="26"/>
        <v>102</v>
      </c>
      <c r="V535" s="46"/>
      <c r="W535" s="46"/>
      <c r="X535" s="46"/>
    </row>
    <row r="536" spans="1:24" ht="15.75" customHeight="1" thickBot="1" x14ac:dyDescent="0.35">
      <c r="A536" s="2">
        <v>175</v>
      </c>
      <c r="B536" s="68" t="s">
        <v>1141</v>
      </c>
      <c r="C536" s="55"/>
      <c r="D536" s="41"/>
      <c r="E536" s="55"/>
      <c r="F536" s="55"/>
      <c r="G536" s="55"/>
      <c r="H536" s="51"/>
      <c r="I536" s="52"/>
      <c r="J536" s="74" t="s">
        <v>816</v>
      </c>
      <c r="K536" s="57"/>
      <c r="L536" s="75">
        <v>102.5</v>
      </c>
      <c r="M536" s="60">
        <v>1</v>
      </c>
      <c r="N536" s="76">
        <v>45</v>
      </c>
      <c r="O536" s="42"/>
      <c r="P536" s="58" t="s">
        <v>36</v>
      </c>
      <c r="Q536" s="61"/>
      <c r="R536" s="62"/>
      <c r="S536" s="78">
        <f t="shared" si="24"/>
        <v>45</v>
      </c>
      <c r="T536" s="44" t="str">
        <f t="shared" si="25"/>
        <v>45grams</v>
      </c>
      <c r="U536" s="77">
        <f t="shared" si="26"/>
        <v>102.5</v>
      </c>
      <c r="V536" s="50"/>
      <c r="W536" s="20"/>
      <c r="X536" s="20"/>
    </row>
    <row r="537" spans="1:24" ht="15.75" customHeight="1" thickBot="1" x14ac:dyDescent="0.35">
      <c r="A537" s="2">
        <v>176</v>
      </c>
      <c r="B537" s="67" t="s">
        <v>1142</v>
      </c>
      <c r="C537" s="55"/>
      <c r="D537" s="41"/>
      <c r="E537" s="55"/>
      <c r="F537" s="55"/>
      <c r="G537" s="55"/>
      <c r="H537" s="51"/>
      <c r="I537" s="52"/>
      <c r="J537" s="74" t="s">
        <v>1143</v>
      </c>
      <c r="K537" s="57"/>
      <c r="L537" s="75">
        <v>51</v>
      </c>
      <c r="M537" s="60">
        <v>1</v>
      </c>
      <c r="N537" s="76">
        <v>200</v>
      </c>
      <c r="O537" s="42"/>
      <c r="P537" s="58" t="s">
        <v>36</v>
      </c>
      <c r="Q537" s="61"/>
      <c r="R537" s="62"/>
      <c r="S537" s="78">
        <f t="shared" si="24"/>
        <v>200</v>
      </c>
      <c r="T537" s="44" t="str">
        <f t="shared" si="25"/>
        <v>200grams</v>
      </c>
      <c r="U537" s="77">
        <f t="shared" si="26"/>
        <v>51</v>
      </c>
      <c r="V537" s="46"/>
      <c r="W537" s="46"/>
      <c r="X537" s="46"/>
    </row>
    <row r="538" spans="1:24" ht="15.75" customHeight="1" thickBot="1" x14ac:dyDescent="0.35">
      <c r="A538" s="2">
        <v>176</v>
      </c>
      <c r="B538" s="67" t="s">
        <v>1142</v>
      </c>
      <c r="C538" s="55"/>
      <c r="D538" s="41"/>
      <c r="E538" s="55"/>
      <c r="F538" s="55"/>
      <c r="G538" s="55"/>
      <c r="H538" s="51"/>
      <c r="I538" s="52"/>
      <c r="J538" s="74" t="s">
        <v>1143</v>
      </c>
      <c r="K538" s="57"/>
      <c r="L538" s="75">
        <v>41.9</v>
      </c>
      <c r="M538" s="60">
        <v>3</v>
      </c>
      <c r="N538" s="76">
        <v>210</v>
      </c>
      <c r="O538" s="42"/>
      <c r="P538" s="58" t="s">
        <v>36</v>
      </c>
      <c r="Q538" s="61"/>
      <c r="R538" s="62"/>
      <c r="S538" s="78">
        <f t="shared" si="24"/>
        <v>630</v>
      </c>
      <c r="T538" s="44" t="str">
        <f t="shared" si="25"/>
        <v>630grams</v>
      </c>
      <c r="U538" s="77">
        <f t="shared" si="26"/>
        <v>125.69999999999999</v>
      </c>
      <c r="V538" s="46"/>
      <c r="W538" s="46"/>
      <c r="X538" s="46"/>
    </row>
    <row r="539" spans="1:24" ht="15.75" customHeight="1" thickBot="1" x14ac:dyDescent="0.35">
      <c r="A539" s="2">
        <v>176</v>
      </c>
      <c r="B539" s="68" t="s">
        <v>1142</v>
      </c>
      <c r="C539" s="55"/>
      <c r="D539" s="41"/>
      <c r="E539" s="55"/>
      <c r="F539" s="55"/>
      <c r="G539" s="55"/>
      <c r="H539" s="51"/>
      <c r="I539" s="52"/>
      <c r="J539" s="74" t="s">
        <v>1143</v>
      </c>
      <c r="K539" s="57"/>
      <c r="L539" s="75">
        <v>47</v>
      </c>
      <c r="M539" s="60">
        <v>4</v>
      </c>
      <c r="N539" s="76">
        <v>200</v>
      </c>
      <c r="O539" s="42"/>
      <c r="P539" s="58" t="s">
        <v>36</v>
      </c>
      <c r="Q539" s="61"/>
      <c r="R539" s="62"/>
      <c r="S539" s="78">
        <f t="shared" si="24"/>
        <v>800</v>
      </c>
      <c r="T539" s="44" t="str">
        <f t="shared" si="25"/>
        <v>800grams</v>
      </c>
      <c r="U539" s="77">
        <f t="shared" si="26"/>
        <v>188</v>
      </c>
      <c r="V539" s="50"/>
      <c r="W539" s="54"/>
      <c r="X539" s="39"/>
    </row>
    <row r="540" spans="1:24" ht="15.75" customHeight="1" thickBot="1" x14ac:dyDescent="0.35">
      <c r="A540" s="2">
        <v>177</v>
      </c>
      <c r="B540" s="67" t="s">
        <v>281</v>
      </c>
      <c r="C540" s="55"/>
      <c r="D540" s="41"/>
      <c r="E540" s="55"/>
      <c r="F540" s="55"/>
      <c r="G540" s="55"/>
      <c r="H540" s="51"/>
      <c r="I540" s="52"/>
      <c r="J540" s="74" t="s">
        <v>1144</v>
      </c>
      <c r="K540" s="57"/>
      <c r="L540" s="75">
        <v>26.5</v>
      </c>
      <c r="M540" s="60">
        <v>1</v>
      </c>
      <c r="N540" s="76">
        <v>20</v>
      </c>
      <c r="O540" s="42"/>
      <c r="P540" s="58" t="s">
        <v>36</v>
      </c>
      <c r="Q540" s="61"/>
      <c r="R540" s="62"/>
      <c r="S540" s="78">
        <f t="shared" si="24"/>
        <v>20</v>
      </c>
      <c r="T540" s="44" t="str">
        <f t="shared" si="25"/>
        <v>20grams</v>
      </c>
      <c r="U540" s="77">
        <f t="shared" si="26"/>
        <v>26.5</v>
      </c>
      <c r="V540" s="46"/>
      <c r="W540" s="46"/>
      <c r="X540" s="46"/>
    </row>
    <row r="541" spans="1:24" ht="15.75" customHeight="1" thickBot="1" x14ac:dyDescent="0.35">
      <c r="A541" s="2">
        <v>178</v>
      </c>
      <c r="B541" s="67" t="s">
        <v>290</v>
      </c>
      <c r="C541" s="55"/>
      <c r="D541" s="41"/>
      <c r="E541" s="55"/>
      <c r="F541" s="55"/>
      <c r="G541" s="55"/>
      <c r="H541" s="51"/>
      <c r="I541" s="52"/>
      <c r="J541" s="74" t="s">
        <v>1145</v>
      </c>
      <c r="K541" s="57"/>
      <c r="L541" s="75">
        <v>113</v>
      </c>
      <c r="M541" s="60">
        <v>1</v>
      </c>
      <c r="N541" s="76">
        <v>50</v>
      </c>
      <c r="O541" s="42"/>
      <c r="P541" s="58" t="s">
        <v>36</v>
      </c>
      <c r="Q541" s="61"/>
      <c r="R541" s="62"/>
      <c r="S541" s="78">
        <f t="shared" si="24"/>
        <v>50</v>
      </c>
      <c r="T541" s="44" t="str">
        <f t="shared" si="25"/>
        <v>50grams</v>
      </c>
      <c r="U541" s="77">
        <f t="shared" si="26"/>
        <v>113</v>
      </c>
      <c r="V541" s="50"/>
      <c r="W541" s="56"/>
      <c r="X541" s="39"/>
    </row>
    <row r="542" spans="1:24" ht="15.75" customHeight="1" thickBot="1" x14ac:dyDescent="0.35">
      <c r="A542" s="2">
        <v>178</v>
      </c>
      <c r="B542" s="67" t="s">
        <v>290</v>
      </c>
      <c r="C542" s="55"/>
      <c r="D542" s="41"/>
      <c r="E542" s="55"/>
      <c r="F542" s="55"/>
      <c r="G542" s="55"/>
      <c r="H542" s="51"/>
      <c r="I542" s="52"/>
      <c r="J542" s="74" t="s">
        <v>1146</v>
      </c>
      <c r="K542" s="57"/>
      <c r="L542" s="75">
        <v>34</v>
      </c>
      <c r="M542" s="60">
        <v>2</v>
      </c>
      <c r="N542" s="76">
        <v>30</v>
      </c>
      <c r="O542" s="42"/>
      <c r="P542" s="58" t="s">
        <v>36</v>
      </c>
      <c r="Q542" s="61"/>
      <c r="R542" s="62"/>
      <c r="S542" s="78">
        <f t="shared" si="24"/>
        <v>60</v>
      </c>
      <c r="T542" s="44" t="str">
        <f t="shared" si="25"/>
        <v>60grams</v>
      </c>
      <c r="U542" s="77">
        <f t="shared" si="26"/>
        <v>68</v>
      </c>
      <c r="V542" s="46"/>
      <c r="W542" s="46"/>
      <c r="X542" s="46"/>
    </row>
    <row r="543" spans="1:24" ht="15.75" customHeight="1" thickBot="1" x14ac:dyDescent="0.35">
      <c r="A543" s="2">
        <v>178</v>
      </c>
      <c r="B543" s="67" t="s">
        <v>290</v>
      </c>
      <c r="C543" s="55"/>
      <c r="D543" s="41"/>
      <c r="E543" s="55"/>
      <c r="F543" s="55"/>
      <c r="G543" s="55"/>
      <c r="H543" s="51"/>
      <c r="I543" s="52"/>
      <c r="J543" s="74" t="s">
        <v>829</v>
      </c>
      <c r="K543" s="57"/>
      <c r="L543" s="75">
        <v>250</v>
      </c>
      <c r="M543" s="60">
        <v>2</v>
      </c>
      <c r="N543" s="76">
        <v>500</v>
      </c>
      <c r="O543" s="42"/>
      <c r="P543" s="58" t="s">
        <v>36</v>
      </c>
      <c r="Q543" s="61"/>
      <c r="R543" s="62"/>
      <c r="S543" s="78">
        <f t="shared" si="24"/>
        <v>1000</v>
      </c>
      <c r="T543" s="44" t="str">
        <f t="shared" si="25"/>
        <v>1000grams</v>
      </c>
      <c r="U543" s="77">
        <f t="shared" si="26"/>
        <v>500</v>
      </c>
      <c r="V543" s="46"/>
      <c r="W543" s="46"/>
      <c r="X543" s="46"/>
    </row>
    <row r="544" spans="1:24" ht="15.75" customHeight="1" thickBot="1" x14ac:dyDescent="0.35">
      <c r="A544" s="2">
        <v>178</v>
      </c>
      <c r="B544" s="68" t="s">
        <v>290</v>
      </c>
      <c r="C544" s="55"/>
      <c r="D544" s="41"/>
      <c r="E544" s="55"/>
      <c r="F544" s="55"/>
      <c r="G544" s="55"/>
      <c r="H544" s="51"/>
      <c r="I544" s="52"/>
      <c r="J544" s="74" t="s">
        <v>1146</v>
      </c>
      <c r="K544" s="57"/>
      <c r="L544" s="75">
        <v>32.75</v>
      </c>
      <c r="M544" s="60">
        <v>1</v>
      </c>
      <c r="N544" s="76">
        <v>30</v>
      </c>
      <c r="O544" s="42"/>
      <c r="P544" s="58" t="s">
        <v>36</v>
      </c>
      <c r="Q544" s="61"/>
      <c r="R544" s="62"/>
      <c r="S544" s="78">
        <f t="shared" si="24"/>
        <v>30</v>
      </c>
      <c r="T544" s="44" t="str">
        <f t="shared" si="25"/>
        <v>30grams</v>
      </c>
      <c r="U544" s="77">
        <f t="shared" si="26"/>
        <v>32.75</v>
      </c>
      <c r="V544" s="46"/>
      <c r="W544" s="46"/>
      <c r="X544" s="46"/>
    </row>
    <row r="545" spans="1:24" ht="15.75" customHeight="1" thickBot="1" x14ac:dyDescent="0.35">
      <c r="A545" s="2">
        <v>179</v>
      </c>
      <c r="B545" s="67" t="s">
        <v>1147</v>
      </c>
      <c r="C545" s="55"/>
      <c r="D545" s="41"/>
      <c r="E545" s="55"/>
      <c r="F545" s="55"/>
      <c r="G545" s="55"/>
      <c r="H545" s="51"/>
      <c r="I545" s="52"/>
      <c r="J545" s="74"/>
      <c r="K545" s="57"/>
      <c r="L545" s="75">
        <v>90</v>
      </c>
      <c r="M545" s="60">
        <v>1</v>
      </c>
      <c r="N545" s="76">
        <v>1000</v>
      </c>
      <c r="O545" s="42"/>
      <c r="P545" s="58" t="s">
        <v>36</v>
      </c>
      <c r="Q545" s="61"/>
      <c r="R545" s="62"/>
      <c r="S545" s="78">
        <f t="shared" si="24"/>
        <v>1000</v>
      </c>
      <c r="T545" s="44" t="str">
        <f t="shared" si="25"/>
        <v>1000grams</v>
      </c>
      <c r="U545" s="77">
        <f t="shared" si="26"/>
        <v>90</v>
      </c>
      <c r="V545" s="20"/>
      <c r="W545" s="20"/>
      <c r="X545" s="20"/>
    </row>
    <row r="546" spans="1:24" ht="15.75" customHeight="1" thickBot="1" x14ac:dyDescent="0.35">
      <c r="A546" s="2">
        <v>180</v>
      </c>
      <c r="B546" s="67" t="s">
        <v>1148</v>
      </c>
      <c r="C546" s="55"/>
      <c r="D546" s="41"/>
      <c r="E546" s="55"/>
      <c r="F546" s="55"/>
      <c r="G546" s="55"/>
      <c r="H546" s="51"/>
      <c r="I546" s="52"/>
      <c r="J546" s="74"/>
      <c r="K546" s="57"/>
      <c r="L546" s="75">
        <v>310</v>
      </c>
      <c r="M546" s="60">
        <v>3</v>
      </c>
      <c r="N546" s="76">
        <v>1</v>
      </c>
      <c r="O546" s="42"/>
      <c r="P546" s="58" t="s">
        <v>88</v>
      </c>
      <c r="Q546" s="61"/>
      <c r="R546" s="62"/>
      <c r="S546" s="78">
        <f t="shared" si="24"/>
        <v>3</v>
      </c>
      <c r="T546" s="44" t="str">
        <f t="shared" si="25"/>
        <v>3kilos</v>
      </c>
      <c r="U546" s="77">
        <f t="shared" si="26"/>
        <v>930</v>
      </c>
      <c r="V546" s="50"/>
      <c r="W546" s="56"/>
      <c r="X546" s="39"/>
    </row>
    <row r="547" spans="1:24" ht="15.75" customHeight="1" thickBot="1" x14ac:dyDescent="0.35">
      <c r="A547" s="2">
        <v>181</v>
      </c>
      <c r="B547" s="67" t="s">
        <v>1149</v>
      </c>
      <c r="C547" s="55"/>
      <c r="D547" s="41"/>
      <c r="E547" s="55"/>
      <c r="F547" s="55"/>
      <c r="G547" s="55"/>
      <c r="H547" s="51"/>
      <c r="I547" s="52"/>
      <c r="J547" s="74" t="s">
        <v>1030</v>
      </c>
      <c r="K547" s="57"/>
      <c r="L547" s="75">
        <v>1300</v>
      </c>
      <c r="M547" s="60">
        <v>1</v>
      </c>
      <c r="N547" s="76">
        <v>1</v>
      </c>
      <c r="O547" s="42"/>
      <c r="P547" s="58" t="s">
        <v>88</v>
      </c>
      <c r="Q547" s="61"/>
      <c r="R547" s="62"/>
      <c r="S547" s="78">
        <f t="shared" si="24"/>
        <v>1</v>
      </c>
      <c r="T547" s="44" t="str">
        <f t="shared" si="25"/>
        <v>1kilos</v>
      </c>
      <c r="U547" s="77">
        <f t="shared" si="26"/>
        <v>1300</v>
      </c>
      <c r="V547" s="46"/>
      <c r="W547" s="46"/>
      <c r="X547" s="46"/>
    </row>
    <row r="548" spans="1:24" ht="15.75" customHeight="1" thickBot="1" x14ac:dyDescent="0.35">
      <c r="A548" s="2">
        <v>182</v>
      </c>
      <c r="B548" s="67" t="s">
        <v>1150</v>
      </c>
      <c r="C548" s="55"/>
      <c r="D548" s="41"/>
      <c r="E548" s="55"/>
      <c r="F548" s="55"/>
      <c r="G548" s="55"/>
      <c r="H548" s="51"/>
      <c r="I548" s="52"/>
      <c r="J548" s="74" t="s">
        <v>1004</v>
      </c>
      <c r="K548" s="57"/>
      <c r="L548" s="75">
        <v>69.75</v>
      </c>
      <c r="M548" s="60">
        <v>2</v>
      </c>
      <c r="N548" s="76">
        <v>230</v>
      </c>
      <c r="O548" s="42"/>
      <c r="P548" s="58" t="s">
        <v>138</v>
      </c>
      <c r="Q548" s="61"/>
      <c r="R548" s="62"/>
      <c r="S548" s="78">
        <f t="shared" si="24"/>
        <v>460</v>
      </c>
      <c r="T548" s="44" t="str">
        <f t="shared" si="25"/>
        <v>460drained weight grams</v>
      </c>
      <c r="U548" s="77">
        <f t="shared" si="26"/>
        <v>139.5</v>
      </c>
      <c r="V548" s="46"/>
      <c r="W548" s="46"/>
      <c r="X548" s="46"/>
    </row>
    <row r="549" spans="1:24" ht="15.75" customHeight="1" thickBot="1" x14ac:dyDescent="0.35">
      <c r="A549" s="2">
        <v>183</v>
      </c>
      <c r="B549" s="67" t="s">
        <v>1151</v>
      </c>
      <c r="C549" s="55"/>
      <c r="D549" s="41"/>
      <c r="E549" s="55"/>
      <c r="F549" s="55"/>
      <c r="G549" s="55"/>
      <c r="H549" s="51"/>
      <c r="I549" s="52"/>
      <c r="J549" s="74"/>
      <c r="K549" s="57"/>
      <c r="L549" s="75">
        <v>190</v>
      </c>
      <c r="M549" s="60">
        <v>4</v>
      </c>
      <c r="N549" s="76">
        <v>1</v>
      </c>
      <c r="O549" s="42"/>
      <c r="P549" s="58" t="s">
        <v>88</v>
      </c>
      <c r="Q549" s="61"/>
      <c r="R549" s="62"/>
      <c r="S549" s="78">
        <f t="shared" si="24"/>
        <v>4</v>
      </c>
      <c r="T549" s="44" t="str">
        <f t="shared" si="25"/>
        <v>4kilos</v>
      </c>
      <c r="U549" s="77">
        <f t="shared" si="26"/>
        <v>760</v>
      </c>
      <c r="V549" s="20"/>
      <c r="W549" s="20"/>
      <c r="X549" s="20"/>
    </row>
    <row r="550" spans="1:24" ht="15.75" customHeight="1" thickBot="1" x14ac:dyDescent="0.35">
      <c r="A550" s="2">
        <v>183</v>
      </c>
      <c r="B550" s="67" t="s">
        <v>1151</v>
      </c>
      <c r="C550" s="55"/>
      <c r="D550" s="41"/>
      <c r="E550" s="55"/>
      <c r="F550" s="55"/>
      <c r="G550" s="55"/>
      <c r="H550" s="51"/>
      <c r="I550" s="52"/>
      <c r="J550" s="74"/>
      <c r="K550" s="57"/>
      <c r="L550" s="75">
        <v>400</v>
      </c>
      <c r="M550" s="60">
        <v>0</v>
      </c>
      <c r="N550" s="76">
        <v>1000</v>
      </c>
      <c r="O550" s="42"/>
      <c r="P550" s="58" t="s">
        <v>36</v>
      </c>
      <c r="Q550" s="61"/>
      <c r="R550" s="62"/>
      <c r="S550" s="78">
        <f t="shared" si="24"/>
        <v>0</v>
      </c>
      <c r="T550" s="44" t="str">
        <f t="shared" si="25"/>
        <v>0grams</v>
      </c>
      <c r="U550" s="77">
        <f t="shared" si="26"/>
        <v>0</v>
      </c>
      <c r="V550" s="46"/>
      <c r="W550" s="46"/>
      <c r="X550" s="46"/>
    </row>
    <row r="551" spans="1:24" ht="15.75" customHeight="1" thickBot="1" x14ac:dyDescent="0.35">
      <c r="A551" s="2">
        <v>184</v>
      </c>
      <c r="B551" s="67" t="s">
        <v>1152</v>
      </c>
      <c r="C551" s="55"/>
      <c r="D551" s="41"/>
      <c r="E551" s="55"/>
      <c r="F551" s="55"/>
      <c r="G551" s="55"/>
      <c r="H551" s="51"/>
      <c r="I551" s="52"/>
      <c r="J551" s="74" t="s">
        <v>1153</v>
      </c>
      <c r="K551" s="57"/>
      <c r="L551" s="75">
        <v>1300</v>
      </c>
      <c r="M551" s="60">
        <v>0</v>
      </c>
      <c r="N551" s="76">
        <v>1</v>
      </c>
      <c r="O551" s="42"/>
      <c r="P551" s="58" t="s">
        <v>88</v>
      </c>
      <c r="Q551" s="61"/>
      <c r="R551" s="62"/>
      <c r="S551" s="78">
        <f t="shared" si="24"/>
        <v>0</v>
      </c>
      <c r="T551" s="44" t="str">
        <f t="shared" si="25"/>
        <v>0kilos</v>
      </c>
      <c r="U551" s="77">
        <f t="shared" si="26"/>
        <v>0</v>
      </c>
      <c r="V551" s="46"/>
      <c r="W551" s="46"/>
      <c r="X551" s="46"/>
    </row>
    <row r="552" spans="1:24" ht="15.75" customHeight="1" thickBot="1" x14ac:dyDescent="0.35">
      <c r="A552" s="2">
        <v>185</v>
      </c>
      <c r="B552" s="68" t="s">
        <v>300</v>
      </c>
      <c r="C552" s="55"/>
      <c r="D552" s="41"/>
      <c r="E552" s="55"/>
      <c r="F552" s="55"/>
      <c r="G552" s="55"/>
      <c r="H552" s="51"/>
      <c r="I552" s="52"/>
      <c r="J552" s="74" t="s">
        <v>115</v>
      </c>
      <c r="K552" s="57"/>
      <c r="L552" s="75">
        <v>309</v>
      </c>
      <c r="M552" s="60">
        <v>7</v>
      </c>
      <c r="N552" s="76">
        <v>1</v>
      </c>
      <c r="O552" s="42"/>
      <c r="P552" s="58" t="s">
        <v>53</v>
      </c>
      <c r="Q552" s="61"/>
      <c r="R552" s="62"/>
      <c r="S552" s="78">
        <f t="shared" si="24"/>
        <v>7</v>
      </c>
      <c r="T552" s="44" t="str">
        <f t="shared" si="25"/>
        <v>7gal</v>
      </c>
      <c r="U552" s="77">
        <f t="shared" si="26"/>
        <v>2163</v>
      </c>
      <c r="V552" s="46"/>
      <c r="W552" s="46"/>
      <c r="X552" s="46"/>
    </row>
    <row r="553" spans="1:24" ht="15.75" customHeight="1" thickBot="1" x14ac:dyDescent="0.35">
      <c r="A553" s="2">
        <v>185</v>
      </c>
      <c r="B553" s="67" t="s">
        <v>300</v>
      </c>
      <c r="C553" s="55"/>
      <c r="D553" s="41"/>
      <c r="E553" s="55"/>
      <c r="F553" s="55"/>
      <c r="G553" s="55"/>
      <c r="H553" s="51"/>
      <c r="I553" s="52"/>
      <c r="J553" s="74" t="s">
        <v>115</v>
      </c>
      <c r="K553" s="57"/>
      <c r="L553" s="75">
        <v>309</v>
      </c>
      <c r="M553" s="60">
        <v>4</v>
      </c>
      <c r="N553" s="76">
        <v>1</v>
      </c>
      <c r="O553" s="42"/>
      <c r="P553" s="58" t="s">
        <v>53</v>
      </c>
      <c r="Q553" s="61"/>
      <c r="R553" s="62"/>
      <c r="S553" s="78">
        <f t="shared" si="24"/>
        <v>4</v>
      </c>
      <c r="T553" s="44" t="str">
        <f t="shared" si="25"/>
        <v>4gal</v>
      </c>
      <c r="U553" s="77">
        <f t="shared" si="26"/>
        <v>1236</v>
      </c>
      <c r="V553" s="46"/>
      <c r="W553" s="46"/>
      <c r="X553" s="46"/>
    </row>
    <row r="554" spans="1:24" ht="15.75" customHeight="1" thickBot="1" x14ac:dyDescent="0.35">
      <c r="A554" s="2">
        <v>186</v>
      </c>
      <c r="B554" s="67" t="s">
        <v>1154</v>
      </c>
      <c r="C554" s="55"/>
      <c r="D554" s="41"/>
      <c r="E554" s="55"/>
      <c r="F554" s="55"/>
      <c r="G554" s="55"/>
      <c r="H554" s="51"/>
      <c r="I554" s="52"/>
      <c r="J554" s="74"/>
      <c r="K554" s="57"/>
      <c r="L554" s="75">
        <v>0.64</v>
      </c>
      <c r="M554" s="60">
        <v>39</v>
      </c>
      <c r="N554" s="76">
        <v>156</v>
      </c>
      <c r="O554" s="42"/>
      <c r="P554" s="58" t="s">
        <v>38</v>
      </c>
      <c r="Q554" s="61"/>
      <c r="R554" s="62"/>
      <c r="S554" s="78">
        <f t="shared" si="24"/>
        <v>6084</v>
      </c>
      <c r="T554" s="44" t="str">
        <f t="shared" si="25"/>
        <v>6084pieces</v>
      </c>
      <c r="U554" s="77">
        <f t="shared" si="26"/>
        <v>24.96</v>
      </c>
      <c r="V554" s="46"/>
      <c r="W554" s="46"/>
      <c r="X554" s="46"/>
    </row>
    <row r="555" spans="1:24" ht="15.75" customHeight="1" thickBot="1" x14ac:dyDescent="0.35">
      <c r="A555" s="2">
        <v>187</v>
      </c>
      <c r="B555" s="68" t="s">
        <v>1155</v>
      </c>
      <c r="C555" s="55"/>
      <c r="D555" s="41"/>
      <c r="E555" s="55"/>
      <c r="F555" s="55"/>
      <c r="G555" s="55"/>
      <c r="H555" s="51"/>
      <c r="I555" s="52"/>
      <c r="J555" s="74" t="s">
        <v>1156</v>
      </c>
      <c r="K555" s="57"/>
      <c r="L555" s="75">
        <v>52</v>
      </c>
      <c r="M555" s="60">
        <v>3</v>
      </c>
      <c r="N555" s="76">
        <v>1</v>
      </c>
      <c r="O555" s="42"/>
      <c r="P555" s="58" t="s">
        <v>77</v>
      </c>
      <c r="Q555" s="61"/>
      <c r="R555" s="62"/>
      <c r="S555" s="78">
        <f t="shared" si="24"/>
        <v>3</v>
      </c>
      <c r="T555" s="44" t="str">
        <f t="shared" si="25"/>
        <v>3packs</v>
      </c>
      <c r="U555" s="77">
        <f t="shared" si="26"/>
        <v>156</v>
      </c>
      <c r="V555" s="46"/>
      <c r="W555" s="46"/>
      <c r="X555" s="46"/>
    </row>
    <row r="556" spans="1:24" ht="15.75" customHeight="1" thickBot="1" x14ac:dyDescent="0.35">
      <c r="A556" s="2">
        <v>187</v>
      </c>
      <c r="B556" s="68" t="s">
        <v>1155</v>
      </c>
      <c r="C556" s="55"/>
      <c r="D556" s="41"/>
      <c r="E556" s="55"/>
      <c r="F556" s="55"/>
      <c r="G556" s="55"/>
      <c r="H556" s="51"/>
      <c r="I556" s="52"/>
      <c r="J556" s="74" t="s">
        <v>1157</v>
      </c>
      <c r="K556" s="57"/>
      <c r="L556" s="75">
        <v>40</v>
      </c>
      <c r="M556" s="60">
        <v>1</v>
      </c>
      <c r="N556" s="76">
        <v>1</v>
      </c>
      <c r="O556" s="42"/>
      <c r="P556" s="58" t="s">
        <v>77</v>
      </c>
      <c r="Q556" s="61"/>
      <c r="R556" s="62"/>
      <c r="S556" s="78">
        <f t="shared" si="24"/>
        <v>1</v>
      </c>
      <c r="T556" s="44" t="str">
        <f t="shared" si="25"/>
        <v>1packs</v>
      </c>
      <c r="U556" s="77">
        <f t="shared" si="26"/>
        <v>40</v>
      </c>
      <c r="V556" s="50"/>
      <c r="W556" s="20"/>
      <c r="X556" s="20"/>
    </row>
    <row r="557" spans="1:24" ht="15.75" customHeight="1" thickBot="1" x14ac:dyDescent="0.35">
      <c r="A557" s="2">
        <v>187</v>
      </c>
      <c r="B557" s="68" t="s">
        <v>1155</v>
      </c>
      <c r="C557" s="55"/>
      <c r="D557" s="41"/>
      <c r="E557" s="55"/>
      <c r="F557" s="55"/>
      <c r="G557" s="55"/>
      <c r="H557" s="51"/>
      <c r="I557" s="52"/>
      <c r="J557" s="74" t="s">
        <v>1158</v>
      </c>
      <c r="K557" s="57"/>
      <c r="L557" s="75">
        <v>50</v>
      </c>
      <c r="M557" s="60">
        <v>2</v>
      </c>
      <c r="N557" s="76">
        <v>1</v>
      </c>
      <c r="O557" s="42"/>
      <c r="P557" s="58" t="s">
        <v>77</v>
      </c>
      <c r="Q557" s="61"/>
      <c r="R557" s="62"/>
      <c r="S557" s="78">
        <f t="shared" si="24"/>
        <v>2</v>
      </c>
      <c r="T557" s="44" t="str">
        <f t="shared" si="25"/>
        <v>2packs</v>
      </c>
      <c r="U557" s="77">
        <f t="shared" si="26"/>
        <v>100</v>
      </c>
      <c r="V557" s="46"/>
      <c r="W557" s="46"/>
      <c r="X557" s="46"/>
    </row>
    <row r="558" spans="1:24" ht="15.75" customHeight="1" thickBot="1" x14ac:dyDescent="0.35">
      <c r="A558" s="2">
        <v>188</v>
      </c>
      <c r="B558" s="67" t="s">
        <v>1159</v>
      </c>
      <c r="C558" s="55"/>
      <c r="D558" s="41"/>
      <c r="E558" s="55"/>
      <c r="F558" s="55"/>
      <c r="G558" s="55"/>
      <c r="H558" s="51"/>
      <c r="I558" s="52"/>
      <c r="J558" s="74"/>
      <c r="K558" s="57"/>
      <c r="L558" s="75">
        <v>2.2400000000000002</v>
      </c>
      <c r="M558" s="60">
        <v>20</v>
      </c>
      <c r="N558" s="76">
        <v>1</v>
      </c>
      <c r="O558" s="42"/>
      <c r="P558" s="58" t="s">
        <v>38</v>
      </c>
      <c r="Q558" s="61"/>
      <c r="R558" s="62"/>
      <c r="S558" s="78">
        <f t="shared" si="24"/>
        <v>20</v>
      </c>
      <c r="T558" s="44" t="str">
        <f t="shared" si="25"/>
        <v>20pieces</v>
      </c>
      <c r="U558" s="77">
        <f t="shared" si="26"/>
        <v>44.800000000000004</v>
      </c>
      <c r="V558" s="50"/>
      <c r="W558" s="54"/>
      <c r="X558" s="39"/>
    </row>
    <row r="559" spans="1:24" ht="15.75" customHeight="1" thickBot="1" x14ac:dyDescent="0.35">
      <c r="A559" s="2">
        <v>189</v>
      </c>
      <c r="B559" s="67" t="s">
        <v>1160</v>
      </c>
      <c r="C559" s="55"/>
      <c r="D559" s="41"/>
      <c r="E559" s="55"/>
      <c r="F559" s="55"/>
      <c r="G559" s="55"/>
      <c r="H559" s="51"/>
      <c r="I559" s="52"/>
      <c r="J559" s="74" t="s">
        <v>1161</v>
      </c>
      <c r="K559" s="57"/>
      <c r="L559" s="75">
        <v>35</v>
      </c>
      <c r="M559" s="60">
        <v>2</v>
      </c>
      <c r="N559" s="76">
        <v>1</v>
      </c>
      <c r="O559" s="42"/>
      <c r="P559" s="58" t="s">
        <v>77</v>
      </c>
      <c r="Q559" s="61"/>
      <c r="R559" s="62"/>
      <c r="S559" s="78">
        <f t="shared" si="24"/>
        <v>2</v>
      </c>
      <c r="T559" s="44" t="str">
        <f t="shared" si="25"/>
        <v>2packs</v>
      </c>
      <c r="U559" s="77">
        <f t="shared" si="26"/>
        <v>70</v>
      </c>
      <c r="V559" s="50"/>
      <c r="W559" s="20"/>
      <c r="X559" s="20"/>
    </row>
    <row r="560" spans="1:24" ht="15.75" customHeight="1" thickBot="1" x14ac:dyDescent="0.35">
      <c r="A560" s="2">
        <v>189</v>
      </c>
      <c r="B560" s="67" t="s">
        <v>1160</v>
      </c>
      <c r="C560" s="55"/>
      <c r="D560" s="41"/>
      <c r="E560" s="55"/>
      <c r="F560" s="55"/>
      <c r="G560" s="55"/>
      <c r="H560" s="51"/>
      <c r="I560" s="52"/>
      <c r="J560" s="74"/>
      <c r="K560" s="57"/>
      <c r="L560" s="75">
        <v>0.82</v>
      </c>
      <c r="M560" s="60">
        <v>208</v>
      </c>
      <c r="N560" s="76">
        <v>1</v>
      </c>
      <c r="O560" s="42"/>
      <c r="P560" s="58" t="s">
        <v>38</v>
      </c>
      <c r="Q560" s="61"/>
      <c r="R560" s="62"/>
      <c r="S560" s="78">
        <f t="shared" si="24"/>
        <v>208</v>
      </c>
      <c r="T560" s="44" t="str">
        <f t="shared" si="25"/>
        <v>208pieces</v>
      </c>
      <c r="U560" s="77">
        <f t="shared" si="26"/>
        <v>170.56</v>
      </c>
      <c r="V560" s="46"/>
      <c r="W560" s="46"/>
      <c r="X560" s="46"/>
    </row>
    <row r="561" spans="1:24" ht="15.75" customHeight="1" thickBot="1" x14ac:dyDescent="0.35">
      <c r="A561" s="2">
        <v>190</v>
      </c>
      <c r="B561" s="67" t="s">
        <v>1162</v>
      </c>
      <c r="C561" s="55"/>
      <c r="D561" s="41"/>
      <c r="E561" s="55"/>
      <c r="F561" s="55"/>
      <c r="G561" s="55"/>
      <c r="H561" s="51"/>
      <c r="I561" s="52"/>
      <c r="J561" s="74" t="s">
        <v>1163</v>
      </c>
      <c r="K561" s="57"/>
      <c r="L561" s="75">
        <v>10</v>
      </c>
      <c r="M561" s="60">
        <v>200</v>
      </c>
      <c r="N561" s="76">
        <v>1</v>
      </c>
      <c r="O561" s="42"/>
      <c r="P561" s="58" t="s">
        <v>38</v>
      </c>
      <c r="Q561" s="61"/>
      <c r="R561" s="62"/>
      <c r="S561" s="78">
        <f t="shared" si="24"/>
        <v>200</v>
      </c>
      <c r="T561" s="44" t="str">
        <f t="shared" si="25"/>
        <v>200pieces</v>
      </c>
      <c r="U561" s="77">
        <f t="shared" si="26"/>
        <v>2000</v>
      </c>
      <c r="V561" s="46"/>
      <c r="W561" s="46"/>
      <c r="X561" s="46"/>
    </row>
    <row r="562" spans="1:24" ht="15.75" customHeight="1" thickBot="1" x14ac:dyDescent="0.35">
      <c r="A562" s="2">
        <v>191</v>
      </c>
      <c r="B562" s="68" t="s">
        <v>1164</v>
      </c>
      <c r="C562" s="55"/>
      <c r="D562" s="41"/>
      <c r="E562" s="55"/>
      <c r="F562" s="55"/>
      <c r="G562" s="55"/>
      <c r="H562" s="51"/>
      <c r="I562" s="52"/>
      <c r="J562" s="74" t="s">
        <v>1165</v>
      </c>
      <c r="K562" s="57"/>
      <c r="L562" s="75">
        <v>2.7</v>
      </c>
      <c r="M562" s="60">
        <v>125</v>
      </c>
      <c r="N562" s="76">
        <v>1</v>
      </c>
      <c r="O562" s="42"/>
      <c r="P562" s="58" t="s">
        <v>38</v>
      </c>
      <c r="Q562" s="61"/>
      <c r="R562" s="62"/>
      <c r="S562" s="78">
        <f t="shared" si="24"/>
        <v>125</v>
      </c>
      <c r="T562" s="44" t="str">
        <f t="shared" si="25"/>
        <v>125pieces</v>
      </c>
      <c r="U562" s="77">
        <f t="shared" si="26"/>
        <v>337.5</v>
      </c>
      <c r="V562" s="46"/>
      <c r="W562" s="46"/>
      <c r="X562" s="46"/>
    </row>
    <row r="563" spans="1:24" ht="15.75" customHeight="1" thickBot="1" x14ac:dyDescent="0.35">
      <c r="A563" s="2">
        <v>192</v>
      </c>
      <c r="B563" s="67" t="s">
        <v>1166</v>
      </c>
      <c r="C563" s="55"/>
      <c r="D563" s="41"/>
      <c r="E563" s="55"/>
      <c r="F563" s="55"/>
      <c r="G563" s="55"/>
      <c r="H563" s="51"/>
      <c r="I563" s="52"/>
      <c r="J563" s="74" t="s">
        <v>1036</v>
      </c>
      <c r="K563" s="57"/>
      <c r="L563" s="75">
        <v>25</v>
      </c>
      <c r="M563" s="60">
        <v>2</v>
      </c>
      <c r="N563" s="76">
        <v>10</v>
      </c>
      <c r="O563" s="42"/>
      <c r="P563" s="58" t="s">
        <v>36</v>
      </c>
      <c r="Q563" s="61"/>
      <c r="R563" s="62"/>
      <c r="S563" s="78">
        <f t="shared" si="24"/>
        <v>20</v>
      </c>
      <c r="T563" s="44" t="str">
        <f t="shared" si="25"/>
        <v>20grams</v>
      </c>
      <c r="U563" s="77">
        <f t="shared" si="26"/>
        <v>50</v>
      </c>
      <c r="V563" s="46"/>
      <c r="W563" s="46"/>
      <c r="X563" s="46"/>
    </row>
    <row r="564" spans="1:24" ht="15.75" customHeight="1" thickBot="1" x14ac:dyDescent="0.35">
      <c r="A564" s="2">
        <v>193</v>
      </c>
      <c r="B564" s="67" t="s">
        <v>1167</v>
      </c>
      <c r="C564" s="55"/>
      <c r="D564" s="41"/>
      <c r="E564" s="55"/>
      <c r="F564" s="55"/>
      <c r="G564" s="55"/>
      <c r="H564" s="51"/>
      <c r="I564" s="52"/>
      <c r="J564" s="74" t="s">
        <v>1168</v>
      </c>
      <c r="K564" s="57"/>
      <c r="L564" s="75">
        <v>120</v>
      </c>
      <c r="M564" s="60">
        <v>1</v>
      </c>
      <c r="N564" s="76">
        <v>1000</v>
      </c>
      <c r="O564" s="42"/>
      <c r="P564" s="58" t="s">
        <v>36</v>
      </c>
      <c r="Q564" s="61"/>
      <c r="R564" s="62"/>
      <c r="S564" s="78">
        <f t="shared" si="24"/>
        <v>1000</v>
      </c>
      <c r="T564" s="44" t="str">
        <f t="shared" si="25"/>
        <v>1000grams</v>
      </c>
      <c r="U564" s="77">
        <f t="shared" si="26"/>
        <v>120</v>
      </c>
      <c r="V564" s="46"/>
      <c r="W564" s="46"/>
      <c r="X564" s="46"/>
    </row>
    <row r="565" spans="1:24" ht="15.75" customHeight="1" thickBot="1" x14ac:dyDescent="0.35">
      <c r="A565" s="2">
        <v>193</v>
      </c>
      <c r="B565" s="68" t="s">
        <v>1167</v>
      </c>
      <c r="C565" s="55"/>
      <c r="D565" s="41"/>
      <c r="E565" s="55"/>
      <c r="F565" s="55"/>
      <c r="G565" s="55"/>
      <c r="H565" s="51"/>
      <c r="I565" s="52"/>
      <c r="J565" s="74" t="s">
        <v>48</v>
      </c>
      <c r="K565" s="57"/>
      <c r="L565" s="75">
        <v>140</v>
      </c>
      <c r="M565" s="60">
        <v>1</v>
      </c>
      <c r="N565" s="76">
        <v>500</v>
      </c>
      <c r="O565" s="42"/>
      <c r="P565" s="58" t="s">
        <v>36</v>
      </c>
      <c r="Q565" s="61"/>
      <c r="R565" s="62"/>
      <c r="S565" s="78">
        <f t="shared" si="24"/>
        <v>500</v>
      </c>
      <c r="T565" s="44" t="str">
        <f t="shared" si="25"/>
        <v>500grams</v>
      </c>
      <c r="U565" s="77">
        <f t="shared" si="26"/>
        <v>140</v>
      </c>
      <c r="V565" s="46"/>
      <c r="W565" s="46"/>
      <c r="X565" s="46"/>
    </row>
    <row r="566" spans="1:24" ht="15.75" customHeight="1" thickBot="1" x14ac:dyDescent="0.35">
      <c r="A566" s="4">
        <v>194</v>
      </c>
      <c r="B566" s="67" t="s">
        <v>303</v>
      </c>
      <c r="C566" s="55"/>
      <c r="D566" s="41"/>
      <c r="E566" s="55"/>
      <c r="F566" s="55"/>
      <c r="G566" s="55"/>
      <c r="H566" s="51"/>
      <c r="I566" s="52"/>
      <c r="J566" s="74"/>
      <c r="K566" s="57"/>
      <c r="L566" s="75">
        <v>190</v>
      </c>
      <c r="M566" s="60">
        <v>1</v>
      </c>
      <c r="N566" s="76">
        <v>1</v>
      </c>
      <c r="O566" s="42"/>
      <c r="P566" s="58" t="s">
        <v>88</v>
      </c>
      <c r="Q566" s="61"/>
      <c r="R566" s="62"/>
      <c r="S566" s="78">
        <f t="shared" ref="S566:S629" si="27">M566*N566</f>
        <v>1</v>
      </c>
      <c r="T566" s="44" t="str">
        <f t="shared" ref="T566:T629" si="28">CONCATENATE(S566,Q566,P566)</f>
        <v>1kilos</v>
      </c>
      <c r="U566" s="77">
        <f t="shared" ref="U566:U629" si="29">L566*M566</f>
        <v>190</v>
      </c>
      <c r="V566" s="46"/>
      <c r="W566" s="46"/>
      <c r="X566" s="46"/>
    </row>
    <row r="567" spans="1:24" ht="15.75" customHeight="1" thickBot="1" x14ac:dyDescent="0.35">
      <c r="A567" s="4">
        <v>195</v>
      </c>
      <c r="B567" s="68" t="s">
        <v>1169</v>
      </c>
      <c r="C567" s="55"/>
      <c r="D567" s="41"/>
      <c r="E567" s="55"/>
      <c r="F567" s="55"/>
      <c r="G567" s="55"/>
      <c r="H567" s="51"/>
      <c r="I567" s="52"/>
      <c r="J567" s="74"/>
      <c r="K567" s="57"/>
      <c r="L567" s="75">
        <v>7</v>
      </c>
      <c r="M567" s="60">
        <v>66</v>
      </c>
      <c r="N567" s="76">
        <v>1</v>
      </c>
      <c r="O567" s="42"/>
      <c r="P567" s="58" t="s">
        <v>38</v>
      </c>
      <c r="Q567" s="61"/>
      <c r="R567" s="62"/>
      <c r="S567" s="78">
        <f t="shared" si="27"/>
        <v>66</v>
      </c>
      <c r="T567" s="44" t="str">
        <f t="shared" si="28"/>
        <v>66pieces</v>
      </c>
      <c r="U567" s="77">
        <f t="shared" si="29"/>
        <v>462</v>
      </c>
      <c r="V567" s="46"/>
      <c r="W567" s="46"/>
      <c r="X567" s="46"/>
    </row>
    <row r="568" spans="1:24" ht="15.75" customHeight="1" thickBot="1" x14ac:dyDescent="0.35">
      <c r="A568" s="4">
        <v>196</v>
      </c>
      <c r="B568" s="67" t="s">
        <v>1170</v>
      </c>
      <c r="C568" s="55"/>
      <c r="D568" s="41"/>
      <c r="E568" s="55"/>
      <c r="F568" s="55"/>
      <c r="G568" s="55"/>
      <c r="H568" s="51"/>
      <c r="I568" s="52"/>
      <c r="J568" s="74" t="s">
        <v>1171</v>
      </c>
      <c r="K568" s="57"/>
      <c r="L568" s="75">
        <v>10.82</v>
      </c>
      <c r="M568" s="60">
        <v>25</v>
      </c>
      <c r="N568" s="76">
        <v>25</v>
      </c>
      <c r="O568" s="42"/>
      <c r="P568" s="58" t="s">
        <v>38</v>
      </c>
      <c r="Q568" s="61"/>
      <c r="R568" s="62"/>
      <c r="S568" s="78">
        <f t="shared" si="27"/>
        <v>625</v>
      </c>
      <c r="T568" s="44" t="str">
        <f t="shared" si="28"/>
        <v>625pieces</v>
      </c>
      <c r="U568" s="77">
        <f t="shared" si="29"/>
        <v>270.5</v>
      </c>
      <c r="V568" s="46"/>
      <c r="W568" s="46"/>
      <c r="X568" s="46"/>
    </row>
    <row r="569" spans="1:24" ht="15.75" customHeight="1" thickBot="1" x14ac:dyDescent="0.35">
      <c r="A569" s="4">
        <v>197</v>
      </c>
      <c r="B569" s="67" t="s">
        <v>308</v>
      </c>
      <c r="C569" s="55"/>
      <c r="D569" s="41"/>
      <c r="E569" s="55"/>
      <c r="F569" s="55"/>
      <c r="G569" s="55"/>
      <c r="H569" s="51"/>
      <c r="I569" s="52"/>
      <c r="J569" s="74" t="s">
        <v>310</v>
      </c>
      <c r="K569" s="57"/>
      <c r="L569" s="75">
        <v>7.17</v>
      </c>
      <c r="M569" s="60">
        <v>1949</v>
      </c>
      <c r="N569" s="76">
        <v>1</v>
      </c>
      <c r="O569" s="42"/>
      <c r="P569" s="58" t="s">
        <v>38</v>
      </c>
      <c r="Q569" s="61"/>
      <c r="R569" s="62"/>
      <c r="S569" s="78">
        <f t="shared" si="27"/>
        <v>1949</v>
      </c>
      <c r="T569" s="44" t="str">
        <f t="shared" si="28"/>
        <v>1949pieces</v>
      </c>
      <c r="U569" s="77">
        <f t="shared" si="29"/>
        <v>13974.33</v>
      </c>
      <c r="V569" s="46"/>
      <c r="W569" s="46"/>
      <c r="X569" s="46"/>
    </row>
    <row r="570" spans="1:24" ht="15.75" customHeight="1" thickBot="1" x14ac:dyDescent="0.35">
      <c r="A570" s="4">
        <v>197</v>
      </c>
      <c r="B570" s="67" t="s">
        <v>308</v>
      </c>
      <c r="C570" s="55"/>
      <c r="D570" s="41"/>
      <c r="E570" s="55"/>
      <c r="F570" s="55"/>
      <c r="G570" s="55"/>
      <c r="H570" s="51"/>
      <c r="I570" s="52"/>
      <c r="J570" s="74" t="s">
        <v>1172</v>
      </c>
      <c r="K570" s="57"/>
      <c r="L570" s="75">
        <v>7.5</v>
      </c>
      <c r="M570" s="60">
        <v>600</v>
      </c>
      <c r="N570" s="76">
        <v>1</v>
      </c>
      <c r="O570" s="42"/>
      <c r="P570" s="58" t="s">
        <v>38</v>
      </c>
      <c r="Q570" s="61"/>
      <c r="R570" s="62"/>
      <c r="S570" s="78">
        <f t="shared" si="27"/>
        <v>600</v>
      </c>
      <c r="T570" s="44" t="str">
        <f t="shared" si="28"/>
        <v>600pieces</v>
      </c>
      <c r="U570" s="77">
        <f t="shared" si="29"/>
        <v>4500</v>
      </c>
      <c r="V570" s="20"/>
      <c r="W570" s="20"/>
      <c r="X570" s="20"/>
    </row>
    <row r="571" spans="1:24" ht="15.75" customHeight="1" thickBot="1" x14ac:dyDescent="0.35">
      <c r="A571" s="4">
        <v>197</v>
      </c>
      <c r="B571" s="67" t="s">
        <v>308</v>
      </c>
      <c r="C571" s="55"/>
      <c r="D571" s="41"/>
      <c r="E571" s="55"/>
      <c r="F571" s="55"/>
      <c r="G571" s="55"/>
      <c r="H571" s="51"/>
      <c r="I571" s="52"/>
      <c r="J571" s="74"/>
      <c r="K571" s="57"/>
      <c r="L571" s="75">
        <v>6</v>
      </c>
      <c r="M571" s="60">
        <v>530</v>
      </c>
      <c r="N571" s="76">
        <v>1</v>
      </c>
      <c r="O571" s="42"/>
      <c r="P571" s="58" t="s">
        <v>38</v>
      </c>
      <c r="Q571" s="61"/>
      <c r="R571" s="62"/>
      <c r="S571" s="78">
        <f t="shared" si="27"/>
        <v>530</v>
      </c>
      <c r="T571" s="44" t="str">
        <f t="shared" si="28"/>
        <v>530pieces</v>
      </c>
      <c r="U571" s="77">
        <f t="shared" si="29"/>
        <v>3180</v>
      </c>
      <c r="V571" s="50"/>
      <c r="W571" s="20"/>
      <c r="X571" s="20"/>
    </row>
    <row r="572" spans="1:24" ht="15.75" customHeight="1" thickBot="1" x14ac:dyDescent="0.35">
      <c r="A572" s="4">
        <v>197</v>
      </c>
      <c r="B572" s="67" t="s">
        <v>308</v>
      </c>
      <c r="C572" s="55"/>
      <c r="D572" s="41"/>
      <c r="E572" s="55"/>
      <c r="F572" s="55"/>
      <c r="G572" s="55"/>
      <c r="H572" s="51"/>
      <c r="I572" s="52"/>
      <c r="J572" s="74" t="s">
        <v>1172</v>
      </c>
      <c r="K572" s="57"/>
      <c r="L572" s="75">
        <v>215</v>
      </c>
      <c r="M572" s="60">
        <v>1</v>
      </c>
      <c r="N572" s="76">
        <v>30</v>
      </c>
      <c r="O572" s="42"/>
      <c r="P572" s="58" t="s">
        <v>38</v>
      </c>
      <c r="Q572" s="61"/>
      <c r="R572" s="62"/>
      <c r="S572" s="78">
        <f t="shared" si="27"/>
        <v>30</v>
      </c>
      <c r="T572" s="44" t="str">
        <f t="shared" si="28"/>
        <v>30pieces</v>
      </c>
      <c r="U572" s="77">
        <f t="shared" si="29"/>
        <v>215</v>
      </c>
      <c r="V572" s="50"/>
      <c r="W572" s="54"/>
      <c r="X572" s="39"/>
    </row>
    <row r="573" spans="1:24" ht="15.75" customHeight="1" thickBot="1" x14ac:dyDescent="0.35">
      <c r="A573" s="4">
        <v>197</v>
      </c>
      <c r="B573" s="67" t="s">
        <v>308</v>
      </c>
      <c r="C573" s="55"/>
      <c r="D573" s="41"/>
      <c r="E573" s="55"/>
      <c r="F573" s="55"/>
      <c r="G573" s="55"/>
      <c r="H573" s="51"/>
      <c r="I573" s="52"/>
      <c r="J573" s="74" t="s">
        <v>1172</v>
      </c>
      <c r="K573" s="57"/>
      <c r="L573" s="75">
        <v>222</v>
      </c>
      <c r="M573" s="60">
        <v>30</v>
      </c>
      <c r="N573" s="76">
        <v>30</v>
      </c>
      <c r="O573" s="42"/>
      <c r="P573" s="58" t="s">
        <v>38</v>
      </c>
      <c r="Q573" s="61"/>
      <c r="R573" s="62"/>
      <c r="S573" s="78">
        <f t="shared" si="27"/>
        <v>900</v>
      </c>
      <c r="T573" s="44" t="str">
        <f t="shared" si="28"/>
        <v>900pieces</v>
      </c>
      <c r="U573" s="77">
        <f t="shared" si="29"/>
        <v>6660</v>
      </c>
      <c r="V573" s="50"/>
      <c r="W573" s="20"/>
      <c r="X573" s="20"/>
    </row>
    <row r="574" spans="1:24" ht="15.75" customHeight="1" thickBot="1" x14ac:dyDescent="0.35">
      <c r="A574" s="4">
        <v>197</v>
      </c>
      <c r="B574" s="67" t="s">
        <v>308</v>
      </c>
      <c r="C574" s="55"/>
      <c r="D574" s="41"/>
      <c r="E574" s="55"/>
      <c r="F574" s="55"/>
      <c r="G574" s="55"/>
      <c r="H574" s="51"/>
      <c r="I574" s="52"/>
      <c r="J574" s="74" t="s">
        <v>1173</v>
      </c>
      <c r="K574" s="57"/>
      <c r="L574" s="75">
        <v>230</v>
      </c>
      <c r="M574" s="60">
        <v>12</v>
      </c>
      <c r="N574" s="76">
        <v>30</v>
      </c>
      <c r="O574" s="42"/>
      <c r="P574" s="58" t="s">
        <v>1174</v>
      </c>
      <c r="Q574" s="61"/>
      <c r="R574" s="62"/>
      <c r="S574" s="78">
        <f t="shared" si="27"/>
        <v>360</v>
      </c>
      <c r="T574" s="44" t="str">
        <f t="shared" si="28"/>
        <v>360trays</v>
      </c>
      <c r="U574" s="77">
        <f t="shared" si="29"/>
        <v>2760</v>
      </c>
      <c r="V574" s="46"/>
      <c r="W574" s="46"/>
      <c r="X574" s="46"/>
    </row>
    <row r="575" spans="1:24" ht="15.75" customHeight="1" thickBot="1" x14ac:dyDescent="0.35">
      <c r="A575" s="4">
        <v>197</v>
      </c>
      <c r="B575" s="67" t="s">
        <v>308</v>
      </c>
      <c r="C575" s="55"/>
      <c r="D575" s="41"/>
      <c r="E575" s="55"/>
      <c r="F575" s="55"/>
      <c r="G575" s="55"/>
      <c r="H575" s="51"/>
      <c r="I575" s="52"/>
      <c r="J575" s="74" t="s">
        <v>1175</v>
      </c>
      <c r="K575" s="57"/>
      <c r="L575" s="75">
        <v>8.33</v>
      </c>
      <c r="M575" s="60">
        <v>159</v>
      </c>
      <c r="N575" s="76">
        <v>1</v>
      </c>
      <c r="O575" s="42"/>
      <c r="P575" s="58" t="s">
        <v>38</v>
      </c>
      <c r="Q575" s="61"/>
      <c r="R575" s="62"/>
      <c r="S575" s="78">
        <f t="shared" si="27"/>
        <v>159</v>
      </c>
      <c r="T575" s="44" t="str">
        <f t="shared" si="28"/>
        <v>159pieces</v>
      </c>
      <c r="U575" s="77">
        <f t="shared" si="29"/>
        <v>1324.47</v>
      </c>
      <c r="V575" s="46"/>
      <c r="W575" s="46"/>
      <c r="X575" s="46"/>
    </row>
    <row r="576" spans="1:24" ht="15.75" customHeight="1" thickBot="1" x14ac:dyDescent="0.35">
      <c r="A576" s="4">
        <v>197</v>
      </c>
      <c r="B576" s="67" t="s">
        <v>308</v>
      </c>
      <c r="C576" s="55"/>
      <c r="D576" s="41"/>
      <c r="E576" s="55"/>
      <c r="F576" s="55"/>
      <c r="G576" s="55"/>
      <c r="H576" s="51"/>
      <c r="I576" s="52"/>
      <c r="J576" s="74"/>
      <c r="K576" s="57"/>
      <c r="L576" s="75">
        <v>240</v>
      </c>
      <c r="M576" s="60">
        <v>14</v>
      </c>
      <c r="N576" s="76">
        <v>1</v>
      </c>
      <c r="O576" s="42"/>
      <c r="P576" s="58" t="s">
        <v>1174</v>
      </c>
      <c r="Q576" s="61"/>
      <c r="R576" s="62"/>
      <c r="S576" s="78">
        <f t="shared" si="27"/>
        <v>14</v>
      </c>
      <c r="T576" s="44" t="str">
        <f t="shared" si="28"/>
        <v>14trays</v>
      </c>
      <c r="U576" s="77">
        <f t="shared" si="29"/>
        <v>3360</v>
      </c>
      <c r="V576" s="46"/>
      <c r="W576" s="46"/>
      <c r="X576" s="46"/>
    </row>
    <row r="577" spans="1:24" ht="15.75" customHeight="1" thickBot="1" x14ac:dyDescent="0.35">
      <c r="A577" s="4">
        <v>198</v>
      </c>
      <c r="B577" s="67" t="s">
        <v>1176</v>
      </c>
      <c r="C577" s="55"/>
      <c r="D577" s="41"/>
      <c r="E577" s="55"/>
      <c r="F577" s="55"/>
      <c r="G577" s="55"/>
      <c r="H577" s="51"/>
      <c r="I577" s="52"/>
      <c r="J577" s="74" t="s">
        <v>1177</v>
      </c>
      <c r="K577" s="57"/>
      <c r="L577" s="75">
        <v>34</v>
      </c>
      <c r="M577" s="60">
        <v>174</v>
      </c>
      <c r="N577" s="76">
        <v>1</v>
      </c>
      <c r="O577" s="42"/>
      <c r="P577" s="58" t="s">
        <v>38</v>
      </c>
      <c r="Q577" s="61"/>
      <c r="R577" s="62"/>
      <c r="S577" s="78">
        <f t="shared" si="27"/>
        <v>174</v>
      </c>
      <c r="T577" s="44" t="str">
        <f t="shared" si="28"/>
        <v>174pieces</v>
      </c>
      <c r="U577" s="77">
        <f t="shared" si="29"/>
        <v>5916</v>
      </c>
      <c r="V577" s="20"/>
      <c r="W577" s="20"/>
      <c r="X577" s="20"/>
    </row>
    <row r="578" spans="1:24" ht="15.75" customHeight="1" thickBot="1" x14ac:dyDescent="0.35">
      <c r="A578" s="4">
        <v>198</v>
      </c>
      <c r="B578" s="67" t="s">
        <v>1176</v>
      </c>
      <c r="C578" s="55"/>
      <c r="D578" s="41"/>
      <c r="E578" s="55"/>
      <c r="F578" s="55"/>
      <c r="G578" s="55"/>
      <c r="H578" s="51"/>
      <c r="I578" s="52"/>
      <c r="J578" s="74" t="s">
        <v>1177</v>
      </c>
      <c r="K578" s="57"/>
      <c r="L578" s="75">
        <v>33.619999999999997</v>
      </c>
      <c r="M578" s="60">
        <v>72</v>
      </c>
      <c r="N578" s="76">
        <v>500</v>
      </c>
      <c r="O578" s="42"/>
      <c r="P578" s="58" t="s">
        <v>47</v>
      </c>
      <c r="Q578" s="61"/>
      <c r="R578" s="62"/>
      <c r="S578" s="78">
        <f t="shared" si="27"/>
        <v>36000</v>
      </c>
      <c r="T578" s="44" t="str">
        <f t="shared" si="28"/>
        <v>36000ml</v>
      </c>
      <c r="U578" s="77">
        <f t="shared" si="29"/>
        <v>2420.64</v>
      </c>
      <c r="V578" s="46"/>
      <c r="W578" s="46"/>
      <c r="X578" s="46"/>
    </row>
    <row r="579" spans="1:24" ht="15.75" customHeight="1" thickBot="1" x14ac:dyDescent="0.35">
      <c r="A579" s="4">
        <v>198</v>
      </c>
      <c r="B579" s="67" t="s">
        <v>1176</v>
      </c>
      <c r="C579" s="55"/>
      <c r="D579" s="41"/>
      <c r="E579" s="55"/>
      <c r="F579" s="55"/>
      <c r="G579" s="55"/>
      <c r="H579" s="51"/>
      <c r="I579" s="52"/>
      <c r="J579" s="74" t="s">
        <v>1177</v>
      </c>
      <c r="K579" s="57"/>
      <c r="L579" s="75">
        <v>868.8</v>
      </c>
      <c r="M579" s="60">
        <v>72</v>
      </c>
      <c r="N579" s="76">
        <v>500</v>
      </c>
      <c r="O579" s="42"/>
      <c r="P579" s="58" t="s">
        <v>47</v>
      </c>
      <c r="Q579" s="61"/>
      <c r="R579" s="62"/>
      <c r="S579" s="78">
        <f t="shared" si="27"/>
        <v>36000</v>
      </c>
      <c r="T579" s="44" t="str">
        <f t="shared" si="28"/>
        <v>36000ml</v>
      </c>
      <c r="U579" s="77">
        <f t="shared" si="29"/>
        <v>62553.599999999999</v>
      </c>
      <c r="V579" s="46"/>
      <c r="W579" s="46"/>
      <c r="X579" s="46"/>
    </row>
    <row r="580" spans="1:24" ht="15.75" customHeight="1" thickBot="1" x14ac:dyDescent="0.35">
      <c r="A580" s="4">
        <v>198</v>
      </c>
      <c r="B580" s="67" t="s">
        <v>1176</v>
      </c>
      <c r="C580" s="55"/>
      <c r="D580" s="41"/>
      <c r="E580" s="55"/>
      <c r="F580" s="55"/>
      <c r="G580" s="55"/>
      <c r="H580" s="51"/>
      <c r="I580" s="52"/>
      <c r="J580" s="74" t="s">
        <v>1177</v>
      </c>
      <c r="K580" s="57"/>
      <c r="L580" s="75">
        <v>33.619999999999997</v>
      </c>
      <c r="M580" s="60">
        <v>38</v>
      </c>
      <c r="N580" s="76">
        <v>500</v>
      </c>
      <c r="O580" s="42"/>
      <c r="P580" s="58" t="s">
        <v>47</v>
      </c>
      <c r="Q580" s="61"/>
      <c r="R580" s="62"/>
      <c r="S580" s="78">
        <f t="shared" si="27"/>
        <v>19000</v>
      </c>
      <c r="T580" s="44" t="str">
        <f t="shared" si="28"/>
        <v>19000ml</v>
      </c>
      <c r="U580" s="77">
        <f t="shared" si="29"/>
        <v>1277.56</v>
      </c>
      <c r="V580" s="46"/>
      <c r="W580" s="46"/>
      <c r="X580" s="46"/>
    </row>
    <row r="581" spans="1:24" ht="15.75" customHeight="1" thickBot="1" x14ac:dyDescent="0.35">
      <c r="A581" s="4">
        <v>198</v>
      </c>
      <c r="B581" s="67" t="s">
        <v>1176</v>
      </c>
      <c r="C581" s="55"/>
      <c r="D581" s="41"/>
      <c r="E581" s="55"/>
      <c r="F581" s="55"/>
      <c r="G581" s="55"/>
      <c r="H581" s="51"/>
      <c r="I581" s="52"/>
      <c r="J581" s="74" t="s">
        <v>1178</v>
      </c>
      <c r="K581" s="57"/>
      <c r="L581" s="75">
        <v>36.03</v>
      </c>
      <c r="M581" s="60">
        <v>14</v>
      </c>
      <c r="N581" s="76">
        <v>500</v>
      </c>
      <c r="O581" s="42"/>
      <c r="P581" s="58" t="s">
        <v>47</v>
      </c>
      <c r="Q581" s="61"/>
      <c r="R581" s="62"/>
      <c r="S581" s="78">
        <f t="shared" si="27"/>
        <v>7000</v>
      </c>
      <c r="T581" s="44" t="str">
        <f t="shared" si="28"/>
        <v>7000ml</v>
      </c>
      <c r="U581" s="77">
        <f t="shared" si="29"/>
        <v>504.42</v>
      </c>
      <c r="V581" s="50"/>
      <c r="W581" s="54"/>
      <c r="X581" s="39"/>
    </row>
    <row r="582" spans="1:24" ht="15.75" customHeight="1" thickBot="1" x14ac:dyDescent="0.35">
      <c r="A582" s="4">
        <v>198</v>
      </c>
      <c r="B582" s="67" t="s">
        <v>1176</v>
      </c>
      <c r="C582" s="55"/>
      <c r="D582" s="41"/>
      <c r="E582" s="55"/>
      <c r="F582" s="55"/>
      <c r="G582" s="55"/>
      <c r="H582" s="51"/>
      <c r="I582" s="52"/>
      <c r="J582" s="74" t="s">
        <v>1179</v>
      </c>
      <c r="K582" s="57"/>
      <c r="L582" s="75">
        <v>32.200000000000003</v>
      </c>
      <c r="M582" s="60">
        <v>11</v>
      </c>
      <c r="N582" s="76">
        <v>220</v>
      </c>
      <c r="O582" s="42"/>
      <c r="P582" s="58" t="s">
        <v>47</v>
      </c>
      <c r="Q582" s="61"/>
      <c r="R582" s="62"/>
      <c r="S582" s="78">
        <f t="shared" si="27"/>
        <v>2420</v>
      </c>
      <c r="T582" s="44" t="str">
        <f t="shared" si="28"/>
        <v>2420ml</v>
      </c>
      <c r="U582" s="77">
        <f t="shared" si="29"/>
        <v>354.20000000000005</v>
      </c>
      <c r="V582" s="50"/>
      <c r="W582" s="54"/>
      <c r="X582" s="39"/>
    </row>
    <row r="583" spans="1:24" ht="15.75" customHeight="1" thickBot="1" x14ac:dyDescent="0.35">
      <c r="A583" s="4">
        <v>198</v>
      </c>
      <c r="B583" s="67" t="s">
        <v>1176</v>
      </c>
      <c r="C583" s="55"/>
      <c r="D583" s="41"/>
      <c r="E583" s="55"/>
      <c r="F583" s="55"/>
      <c r="G583" s="55"/>
      <c r="H583" s="51"/>
      <c r="I583" s="52"/>
      <c r="J583" s="74" t="s">
        <v>1179</v>
      </c>
      <c r="K583" s="57"/>
      <c r="L583" s="75">
        <v>34</v>
      </c>
      <c r="M583" s="60">
        <v>18</v>
      </c>
      <c r="N583" s="76">
        <v>350</v>
      </c>
      <c r="O583" s="42"/>
      <c r="P583" s="58" t="s">
        <v>47</v>
      </c>
      <c r="Q583" s="61"/>
      <c r="R583" s="62"/>
      <c r="S583" s="78">
        <f t="shared" si="27"/>
        <v>6300</v>
      </c>
      <c r="T583" s="44" t="str">
        <f t="shared" si="28"/>
        <v>6300ml</v>
      </c>
      <c r="U583" s="77">
        <f t="shared" si="29"/>
        <v>612</v>
      </c>
      <c r="V583" s="46"/>
      <c r="W583" s="46"/>
      <c r="X583" s="46"/>
    </row>
    <row r="584" spans="1:24" ht="15.75" customHeight="1" thickBot="1" x14ac:dyDescent="0.35">
      <c r="A584" s="4">
        <v>199</v>
      </c>
      <c r="B584" s="67" t="s">
        <v>316</v>
      </c>
      <c r="C584" s="55"/>
      <c r="D584" s="41"/>
      <c r="E584" s="55"/>
      <c r="F584" s="55"/>
      <c r="G584" s="55"/>
      <c r="H584" s="51"/>
      <c r="I584" s="52"/>
      <c r="J584" s="74" t="s">
        <v>43</v>
      </c>
      <c r="K584" s="57"/>
      <c r="L584" s="75">
        <v>34</v>
      </c>
      <c r="M584" s="60">
        <v>7</v>
      </c>
      <c r="N584" s="76">
        <v>360</v>
      </c>
      <c r="O584" s="42"/>
      <c r="P584" s="58" t="s">
        <v>47</v>
      </c>
      <c r="Q584" s="61"/>
      <c r="R584" s="62"/>
      <c r="S584" s="78">
        <f t="shared" si="27"/>
        <v>2520</v>
      </c>
      <c r="T584" s="44" t="str">
        <f t="shared" si="28"/>
        <v>2520ml</v>
      </c>
      <c r="U584" s="77">
        <f t="shared" si="29"/>
        <v>238</v>
      </c>
      <c r="V584" s="50"/>
      <c r="W584" s="20"/>
      <c r="X584" s="20"/>
    </row>
    <row r="585" spans="1:24" ht="15.75" customHeight="1" thickBot="1" x14ac:dyDescent="0.35">
      <c r="A585" s="4">
        <v>199</v>
      </c>
      <c r="B585" s="67" t="s">
        <v>316</v>
      </c>
      <c r="C585" s="55"/>
      <c r="D585" s="41"/>
      <c r="E585" s="55"/>
      <c r="F585" s="55"/>
      <c r="G585" s="55"/>
      <c r="H585" s="51"/>
      <c r="I585" s="52"/>
      <c r="J585" s="74" t="s">
        <v>1099</v>
      </c>
      <c r="K585" s="57"/>
      <c r="L585" s="75">
        <v>30.3</v>
      </c>
      <c r="M585" s="60">
        <v>3</v>
      </c>
      <c r="N585" s="76">
        <v>360</v>
      </c>
      <c r="O585" s="42"/>
      <c r="P585" s="58" t="s">
        <v>47</v>
      </c>
      <c r="Q585" s="61"/>
      <c r="R585" s="62"/>
      <c r="S585" s="78">
        <f t="shared" si="27"/>
        <v>1080</v>
      </c>
      <c r="T585" s="44" t="str">
        <f t="shared" si="28"/>
        <v>1080ml</v>
      </c>
      <c r="U585" s="77">
        <f t="shared" si="29"/>
        <v>90.9</v>
      </c>
      <c r="V585" s="46"/>
      <c r="W585" s="46"/>
      <c r="X585" s="46"/>
    </row>
    <row r="586" spans="1:24" ht="15.75" customHeight="1" thickBot="1" x14ac:dyDescent="0.35">
      <c r="A586" s="4">
        <v>199</v>
      </c>
      <c r="B586" s="67" t="s">
        <v>316</v>
      </c>
      <c r="C586" s="55"/>
      <c r="D586" s="41"/>
      <c r="E586" s="55"/>
      <c r="F586" s="55"/>
      <c r="G586" s="55"/>
      <c r="H586" s="51"/>
      <c r="I586" s="52"/>
      <c r="J586" s="74" t="s">
        <v>48</v>
      </c>
      <c r="K586" s="57"/>
      <c r="L586" s="75">
        <v>31.9</v>
      </c>
      <c r="M586" s="60">
        <v>30</v>
      </c>
      <c r="N586" s="76">
        <v>410</v>
      </c>
      <c r="O586" s="42"/>
      <c r="P586" s="58" t="s">
        <v>47</v>
      </c>
      <c r="Q586" s="61"/>
      <c r="R586" s="62"/>
      <c r="S586" s="78">
        <f t="shared" si="27"/>
        <v>12300</v>
      </c>
      <c r="T586" s="44" t="str">
        <f t="shared" si="28"/>
        <v>12300ml</v>
      </c>
      <c r="U586" s="77">
        <f t="shared" si="29"/>
        <v>957</v>
      </c>
      <c r="V586" s="46"/>
      <c r="W586" s="46"/>
      <c r="X586" s="46"/>
    </row>
    <row r="587" spans="1:24" ht="15.75" customHeight="1" thickBot="1" x14ac:dyDescent="0.35">
      <c r="A587" s="4">
        <v>199</v>
      </c>
      <c r="B587" s="67" t="s">
        <v>316</v>
      </c>
      <c r="C587" s="55"/>
      <c r="D587" s="41"/>
      <c r="E587" s="55"/>
      <c r="F587" s="55"/>
      <c r="G587" s="55"/>
      <c r="H587" s="51"/>
      <c r="I587" s="52"/>
      <c r="J587" s="74" t="s">
        <v>48</v>
      </c>
      <c r="K587" s="57"/>
      <c r="L587" s="75">
        <v>28.7</v>
      </c>
      <c r="M587" s="60">
        <v>0</v>
      </c>
      <c r="N587" s="76">
        <v>360</v>
      </c>
      <c r="O587" s="42"/>
      <c r="P587" s="58" t="s">
        <v>47</v>
      </c>
      <c r="Q587" s="61"/>
      <c r="R587" s="62"/>
      <c r="S587" s="78">
        <f t="shared" si="27"/>
        <v>0</v>
      </c>
      <c r="T587" s="44" t="str">
        <f t="shared" si="28"/>
        <v>0ml</v>
      </c>
      <c r="U587" s="77">
        <f t="shared" si="29"/>
        <v>0</v>
      </c>
      <c r="V587" s="46"/>
      <c r="W587" s="46"/>
      <c r="X587" s="46"/>
    </row>
    <row r="588" spans="1:24" ht="15.75" customHeight="1" thickBot="1" x14ac:dyDescent="0.35">
      <c r="A588" s="4">
        <v>199</v>
      </c>
      <c r="B588" s="67" t="s">
        <v>316</v>
      </c>
      <c r="C588" s="55"/>
      <c r="D588" s="41"/>
      <c r="E588" s="55"/>
      <c r="F588" s="55"/>
      <c r="G588" s="55"/>
      <c r="H588" s="51"/>
      <c r="I588" s="52"/>
      <c r="J588" s="74" t="s">
        <v>43</v>
      </c>
      <c r="K588" s="57"/>
      <c r="L588" s="75">
        <v>34</v>
      </c>
      <c r="M588" s="60">
        <v>24</v>
      </c>
      <c r="N588" s="76">
        <v>360</v>
      </c>
      <c r="O588" s="42"/>
      <c r="P588" s="58" t="s">
        <v>47</v>
      </c>
      <c r="Q588" s="61"/>
      <c r="R588" s="62"/>
      <c r="S588" s="78">
        <f t="shared" si="27"/>
        <v>8640</v>
      </c>
      <c r="T588" s="44" t="str">
        <f t="shared" si="28"/>
        <v>8640ml</v>
      </c>
      <c r="U588" s="77">
        <f t="shared" si="29"/>
        <v>816</v>
      </c>
      <c r="V588" s="46"/>
      <c r="W588" s="46"/>
      <c r="X588" s="46"/>
    </row>
    <row r="589" spans="1:24" ht="15.75" customHeight="1" thickBot="1" x14ac:dyDescent="0.35">
      <c r="A589" s="4">
        <v>199</v>
      </c>
      <c r="B589" s="67" t="s">
        <v>316</v>
      </c>
      <c r="C589" s="55"/>
      <c r="D589" s="41"/>
      <c r="E589" s="55"/>
      <c r="F589" s="55"/>
      <c r="G589" s="55"/>
      <c r="H589" s="51"/>
      <c r="I589" s="52"/>
      <c r="J589" s="74" t="s">
        <v>48</v>
      </c>
      <c r="K589" s="57"/>
      <c r="L589" s="75">
        <v>34.75</v>
      </c>
      <c r="M589" s="60">
        <v>7</v>
      </c>
      <c r="N589" s="76">
        <v>365</v>
      </c>
      <c r="O589" s="42"/>
      <c r="P589" s="58" t="s">
        <v>47</v>
      </c>
      <c r="Q589" s="61"/>
      <c r="R589" s="62"/>
      <c r="S589" s="78">
        <f t="shared" si="27"/>
        <v>2555</v>
      </c>
      <c r="T589" s="44" t="str">
        <f t="shared" si="28"/>
        <v>2555ml</v>
      </c>
      <c r="U589" s="77">
        <f t="shared" si="29"/>
        <v>243.25</v>
      </c>
      <c r="V589" s="50"/>
      <c r="W589" s="54"/>
      <c r="X589" s="39"/>
    </row>
    <row r="590" spans="1:24" ht="15.75" customHeight="1" thickBot="1" x14ac:dyDescent="0.35">
      <c r="A590" s="4">
        <v>199</v>
      </c>
      <c r="B590" s="67" t="s">
        <v>316</v>
      </c>
      <c r="C590" s="55"/>
      <c r="D590" s="41"/>
      <c r="E590" s="55"/>
      <c r="F590" s="55"/>
      <c r="G590" s="55"/>
      <c r="H590" s="51"/>
      <c r="I590" s="52"/>
      <c r="J590" s="74" t="s">
        <v>48</v>
      </c>
      <c r="K590" s="57"/>
      <c r="L590" s="75">
        <v>31.9</v>
      </c>
      <c r="M590" s="60">
        <v>12</v>
      </c>
      <c r="N590" s="76">
        <v>410</v>
      </c>
      <c r="O590" s="42"/>
      <c r="P590" s="58" t="s">
        <v>47</v>
      </c>
      <c r="Q590" s="61"/>
      <c r="R590" s="62"/>
      <c r="S590" s="78">
        <f t="shared" si="27"/>
        <v>4920</v>
      </c>
      <c r="T590" s="44" t="str">
        <f t="shared" si="28"/>
        <v>4920ml</v>
      </c>
      <c r="U590" s="77">
        <f t="shared" si="29"/>
        <v>382.79999999999995</v>
      </c>
      <c r="V590" s="46"/>
      <c r="W590" s="46"/>
      <c r="X590" s="46"/>
    </row>
    <row r="591" spans="1:24" ht="15.75" customHeight="1" thickBot="1" x14ac:dyDescent="0.35">
      <c r="A591" s="4">
        <v>199</v>
      </c>
      <c r="B591" s="67" t="s">
        <v>316</v>
      </c>
      <c r="C591" s="55"/>
      <c r="D591" s="41"/>
      <c r="E591" s="55"/>
      <c r="F591" s="55"/>
      <c r="G591" s="55"/>
      <c r="H591" s="51"/>
      <c r="I591" s="52"/>
      <c r="J591" s="74" t="s">
        <v>43</v>
      </c>
      <c r="K591" s="57"/>
      <c r="L591" s="75">
        <v>38.5</v>
      </c>
      <c r="M591" s="60">
        <v>46</v>
      </c>
      <c r="N591" s="76">
        <v>360</v>
      </c>
      <c r="O591" s="42"/>
      <c r="P591" s="58" t="s">
        <v>47</v>
      </c>
      <c r="Q591" s="61"/>
      <c r="R591" s="62"/>
      <c r="S591" s="78">
        <f t="shared" si="27"/>
        <v>16560</v>
      </c>
      <c r="T591" s="44" t="str">
        <f t="shared" si="28"/>
        <v>16560ml</v>
      </c>
      <c r="U591" s="77">
        <f t="shared" si="29"/>
        <v>1771</v>
      </c>
      <c r="V591" s="46"/>
      <c r="W591" s="46"/>
      <c r="X591" s="46"/>
    </row>
    <row r="592" spans="1:24" ht="15.75" customHeight="1" thickBot="1" x14ac:dyDescent="0.35">
      <c r="A592" s="4">
        <v>199</v>
      </c>
      <c r="B592" s="67" t="s">
        <v>316</v>
      </c>
      <c r="C592" s="55"/>
      <c r="D592" s="41"/>
      <c r="E592" s="55"/>
      <c r="F592" s="55"/>
      <c r="G592" s="55"/>
      <c r="H592" s="51"/>
      <c r="I592" s="52"/>
      <c r="J592" s="74" t="s">
        <v>43</v>
      </c>
      <c r="K592" s="57"/>
      <c r="L592" s="75">
        <v>34</v>
      </c>
      <c r="M592" s="60">
        <v>4</v>
      </c>
      <c r="N592" s="76">
        <v>360</v>
      </c>
      <c r="O592" s="42"/>
      <c r="P592" s="58" t="s">
        <v>47</v>
      </c>
      <c r="Q592" s="61"/>
      <c r="R592" s="62"/>
      <c r="S592" s="78">
        <f t="shared" si="27"/>
        <v>1440</v>
      </c>
      <c r="T592" s="44" t="str">
        <f t="shared" si="28"/>
        <v>1440ml</v>
      </c>
      <c r="U592" s="77">
        <f t="shared" si="29"/>
        <v>136</v>
      </c>
      <c r="V592" s="46"/>
      <c r="W592" s="46"/>
      <c r="X592" s="46"/>
    </row>
    <row r="593" spans="1:24" ht="15.75" customHeight="1" thickBot="1" x14ac:dyDescent="0.35">
      <c r="A593" s="4">
        <v>200</v>
      </c>
      <c r="B593" s="67" t="s">
        <v>1180</v>
      </c>
      <c r="C593" s="55"/>
      <c r="D593" s="41"/>
      <c r="E593" s="55"/>
      <c r="F593" s="55"/>
      <c r="G593" s="55"/>
      <c r="H593" s="51"/>
      <c r="I593" s="52"/>
      <c r="J593" s="74" t="s">
        <v>1181</v>
      </c>
      <c r="K593" s="57"/>
      <c r="L593" s="75">
        <v>78</v>
      </c>
      <c r="M593" s="60">
        <v>2</v>
      </c>
      <c r="N593" s="76">
        <v>500</v>
      </c>
      <c r="O593" s="42"/>
      <c r="P593" s="58" t="s">
        <v>36</v>
      </c>
      <c r="Q593" s="61"/>
      <c r="R593" s="62"/>
      <c r="S593" s="78">
        <f t="shared" si="27"/>
        <v>1000</v>
      </c>
      <c r="T593" s="44" t="str">
        <f t="shared" si="28"/>
        <v>1000grams</v>
      </c>
      <c r="U593" s="77">
        <f t="shared" si="29"/>
        <v>156</v>
      </c>
      <c r="V593" s="46"/>
      <c r="W593" s="46"/>
      <c r="X593" s="46"/>
    </row>
    <row r="594" spans="1:24" ht="15.75" customHeight="1" thickBot="1" x14ac:dyDescent="0.35">
      <c r="A594" s="4">
        <v>201</v>
      </c>
      <c r="B594" s="67" t="s">
        <v>1182</v>
      </c>
      <c r="C594" s="55"/>
      <c r="D594" s="41"/>
      <c r="E594" s="55"/>
      <c r="F594" s="55"/>
      <c r="G594" s="55"/>
      <c r="H594" s="51"/>
      <c r="I594" s="52"/>
      <c r="J594" s="74" t="s">
        <v>1183</v>
      </c>
      <c r="K594" s="57"/>
      <c r="L594" s="75">
        <v>57</v>
      </c>
      <c r="M594" s="60">
        <v>1</v>
      </c>
      <c r="N594" s="76">
        <v>1000</v>
      </c>
      <c r="O594" s="42"/>
      <c r="P594" s="58" t="s">
        <v>36</v>
      </c>
      <c r="Q594" s="61"/>
      <c r="R594" s="62"/>
      <c r="S594" s="78">
        <f t="shared" si="27"/>
        <v>1000</v>
      </c>
      <c r="T594" s="44" t="str">
        <f t="shared" si="28"/>
        <v>1000grams</v>
      </c>
      <c r="U594" s="77">
        <f t="shared" si="29"/>
        <v>57</v>
      </c>
      <c r="V594" s="46"/>
      <c r="W594" s="46"/>
      <c r="X594" s="46"/>
    </row>
    <row r="595" spans="1:24" ht="15.75" customHeight="1" thickBot="1" x14ac:dyDescent="0.35">
      <c r="A595" s="4">
        <v>201</v>
      </c>
      <c r="B595" s="67" t="s">
        <v>1182</v>
      </c>
      <c r="C595" s="55"/>
      <c r="D595" s="41"/>
      <c r="E595" s="55"/>
      <c r="F595" s="55"/>
      <c r="G595" s="55"/>
      <c r="H595" s="51"/>
      <c r="I595" s="52"/>
      <c r="J595" s="74" t="s">
        <v>1183</v>
      </c>
      <c r="K595" s="57"/>
      <c r="L595" s="75">
        <v>120</v>
      </c>
      <c r="M595" s="60">
        <v>1</v>
      </c>
      <c r="N595" s="76">
        <v>1000</v>
      </c>
      <c r="O595" s="42"/>
      <c r="P595" s="58" t="s">
        <v>36</v>
      </c>
      <c r="Q595" s="61"/>
      <c r="R595" s="62"/>
      <c r="S595" s="78">
        <f t="shared" si="27"/>
        <v>1000</v>
      </c>
      <c r="T595" s="44" t="str">
        <f t="shared" si="28"/>
        <v>1000grams</v>
      </c>
      <c r="U595" s="77">
        <f t="shared" si="29"/>
        <v>120</v>
      </c>
      <c r="V595" s="46"/>
      <c r="W595" s="46"/>
      <c r="X595" s="46"/>
    </row>
    <row r="596" spans="1:24" ht="15.75" customHeight="1" thickBot="1" x14ac:dyDescent="0.35">
      <c r="A596" s="4">
        <v>202</v>
      </c>
      <c r="B596" s="67" t="s">
        <v>323</v>
      </c>
      <c r="C596" s="55"/>
      <c r="D596" s="41"/>
      <c r="E596" s="55"/>
      <c r="F596" s="55"/>
      <c r="G596" s="55"/>
      <c r="H596" s="51"/>
      <c r="I596" s="52"/>
      <c r="J596" s="74" t="s">
        <v>1031</v>
      </c>
      <c r="K596" s="57"/>
      <c r="L596" s="75">
        <v>73</v>
      </c>
      <c r="M596" s="60">
        <v>1</v>
      </c>
      <c r="N596" s="76">
        <v>3500</v>
      </c>
      <c r="O596" s="42"/>
      <c r="P596" s="58" t="s">
        <v>47</v>
      </c>
      <c r="Q596" s="61"/>
      <c r="R596" s="62"/>
      <c r="S596" s="78">
        <f t="shared" si="27"/>
        <v>3500</v>
      </c>
      <c r="T596" s="44" t="str">
        <f t="shared" si="28"/>
        <v>3500ml</v>
      </c>
      <c r="U596" s="77">
        <f t="shared" si="29"/>
        <v>73</v>
      </c>
      <c r="V596" s="46"/>
      <c r="W596" s="46"/>
      <c r="X596" s="46"/>
    </row>
    <row r="597" spans="1:24" ht="15.75" customHeight="1" thickBot="1" x14ac:dyDescent="0.35">
      <c r="A597" s="4">
        <v>202</v>
      </c>
      <c r="B597" s="67" t="s">
        <v>323</v>
      </c>
      <c r="C597" s="55"/>
      <c r="D597" s="41"/>
      <c r="E597" s="55"/>
      <c r="F597" s="55"/>
      <c r="G597" s="55"/>
      <c r="H597" s="51"/>
      <c r="I597" s="52"/>
      <c r="J597" s="74" t="s">
        <v>1031</v>
      </c>
      <c r="K597" s="57"/>
      <c r="L597" s="75">
        <v>73</v>
      </c>
      <c r="M597" s="60">
        <v>7</v>
      </c>
      <c r="N597" s="76">
        <v>3500</v>
      </c>
      <c r="O597" s="42"/>
      <c r="P597" s="58" t="s">
        <v>47</v>
      </c>
      <c r="Q597" s="61"/>
      <c r="R597" s="62"/>
      <c r="S597" s="78">
        <f t="shared" si="27"/>
        <v>24500</v>
      </c>
      <c r="T597" s="44" t="str">
        <f t="shared" si="28"/>
        <v>24500ml</v>
      </c>
      <c r="U597" s="77">
        <f t="shared" si="29"/>
        <v>511</v>
      </c>
      <c r="V597" s="20"/>
      <c r="W597" s="20"/>
      <c r="X597" s="20"/>
    </row>
    <row r="598" spans="1:24" ht="15.75" customHeight="1" thickBot="1" x14ac:dyDescent="0.35">
      <c r="A598" s="4">
        <v>202</v>
      </c>
      <c r="B598" s="68" t="s">
        <v>323</v>
      </c>
      <c r="C598" s="55"/>
      <c r="D598" s="41"/>
      <c r="E598" s="55"/>
      <c r="F598" s="55"/>
      <c r="G598" s="55"/>
      <c r="H598" s="51"/>
      <c r="I598" s="52"/>
      <c r="J598" s="74" t="s">
        <v>1031</v>
      </c>
      <c r="K598" s="57"/>
      <c r="L598" s="75">
        <v>73</v>
      </c>
      <c r="M598" s="60">
        <v>2</v>
      </c>
      <c r="N598" s="76">
        <v>3500</v>
      </c>
      <c r="O598" s="42"/>
      <c r="P598" s="58" t="s">
        <v>47</v>
      </c>
      <c r="Q598" s="61"/>
      <c r="R598" s="62"/>
      <c r="S598" s="78">
        <f t="shared" si="27"/>
        <v>7000</v>
      </c>
      <c r="T598" s="44" t="str">
        <f t="shared" si="28"/>
        <v>7000ml</v>
      </c>
      <c r="U598" s="77">
        <f t="shared" si="29"/>
        <v>146</v>
      </c>
      <c r="V598" s="46"/>
      <c r="W598" s="46"/>
      <c r="X598" s="46"/>
    </row>
    <row r="599" spans="1:24" ht="15.75" customHeight="1" thickBot="1" x14ac:dyDescent="0.35">
      <c r="A599" s="4">
        <v>202</v>
      </c>
      <c r="B599" s="68" t="s">
        <v>323</v>
      </c>
      <c r="C599" s="55"/>
      <c r="D599" s="41"/>
      <c r="E599" s="55"/>
      <c r="F599" s="55"/>
      <c r="G599" s="55"/>
      <c r="H599" s="51"/>
      <c r="I599" s="52"/>
      <c r="J599" s="74" t="s">
        <v>1184</v>
      </c>
      <c r="K599" s="57"/>
      <c r="L599" s="75">
        <v>24.75</v>
      </c>
      <c r="M599" s="60">
        <v>2</v>
      </c>
      <c r="N599" s="76">
        <v>350</v>
      </c>
      <c r="O599" s="42"/>
      <c r="P599" s="58" t="s">
        <v>47</v>
      </c>
      <c r="Q599" s="61"/>
      <c r="R599" s="62"/>
      <c r="S599" s="78">
        <f t="shared" si="27"/>
        <v>700</v>
      </c>
      <c r="T599" s="44" t="str">
        <f t="shared" si="28"/>
        <v>700ml</v>
      </c>
      <c r="U599" s="77">
        <f t="shared" si="29"/>
        <v>49.5</v>
      </c>
      <c r="V599" s="46"/>
      <c r="W599" s="46"/>
      <c r="X599" s="46"/>
    </row>
    <row r="600" spans="1:24" ht="15.75" customHeight="1" thickBot="1" x14ac:dyDescent="0.35">
      <c r="A600" s="4">
        <v>202</v>
      </c>
      <c r="B600" s="68" t="s">
        <v>323</v>
      </c>
      <c r="C600" s="55"/>
      <c r="D600" s="41"/>
      <c r="E600" s="55"/>
      <c r="F600" s="55"/>
      <c r="G600" s="55"/>
      <c r="H600" s="51"/>
      <c r="I600" s="52"/>
      <c r="J600" s="74" t="s">
        <v>1031</v>
      </c>
      <c r="K600" s="57"/>
      <c r="L600" s="75">
        <v>65</v>
      </c>
      <c r="M600" s="60">
        <v>2</v>
      </c>
      <c r="N600" s="76">
        <v>3500</v>
      </c>
      <c r="O600" s="42"/>
      <c r="P600" s="58" t="s">
        <v>47</v>
      </c>
      <c r="Q600" s="61"/>
      <c r="R600" s="62"/>
      <c r="S600" s="78">
        <f t="shared" si="27"/>
        <v>7000</v>
      </c>
      <c r="T600" s="44" t="str">
        <f t="shared" si="28"/>
        <v>7000ml</v>
      </c>
      <c r="U600" s="77">
        <f t="shared" si="29"/>
        <v>130</v>
      </c>
      <c r="V600" s="20"/>
      <c r="W600" s="20"/>
      <c r="X600" s="20"/>
    </row>
    <row r="601" spans="1:24" ht="15.75" customHeight="1" thickBot="1" x14ac:dyDescent="0.35">
      <c r="A601" s="4">
        <v>202</v>
      </c>
      <c r="B601" s="68" t="s">
        <v>323</v>
      </c>
      <c r="C601" s="55"/>
      <c r="D601" s="41"/>
      <c r="E601" s="55"/>
      <c r="F601" s="55"/>
      <c r="G601" s="55"/>
      <c r="H601" s="51"/>
      <c r="I601" s="52"/>
      <c r="J601" s="74" t="s">
        <v>1185</v>
      </c>
      <c r="K601" s="57"/>
      <c r="L601" s="75">
        <v>32</v>
      </c>
      <c r="M601" s="60">
        <v>1</v>
      </c>
      <c r="N601" s="76">
        <v>12</v>
      </c>
      <c r="O601" s="42"/>
      <c r="P601" s="58" t="s">
        <v>1186</v>
      </c>
      <c r="Q601" s="61"/>
      <c r="R601" s="62"/>
      <c r="S601" s="78">
        <f t="shared" si="27"/>
        <v>12</v>
      </c>
      <c r="T601" s="44" t="str">
        <f t="shared" si="28"/>
        <v>12ounces</v>
      </c>
      <c r="U601" s="77">
        <f t="shared" si="29"/>
        <v>32</v>
      </c>
      <c r="V601" s="46"/>
      <c r="W601" s="46"/>
      <c r="X601" s="46"/>
    </row>
    <row r="602" spans="1:24" ht="15.75" customHeight="1" thickBot="1" x14ac:dyDescent="0.35">
      <c r="A602" s="4">
        <v>203</v>
      </c>
      <c r="B602" s="67" t="s">
        <v>332</v>
      </c>
      <c r="C602" s="55"/>
      <c r="D602" s="41"/>
      <c r="E602" s="55"/>
      <c r="F602" s="55"/>
      <c r="G602" s="55"/>
      <c r="H602" s="51"/>
      <c r="I602" s="52"/>
      <c r="J602" s="74" t="s">
        <v>1187</v>
      </c>
      <c r="K602" s="57"/>
      <c r="L602" s="75">
        <v>120</v>
      </c>
      <c r="M602" s="60">
        <v>1</v>
      </c>
      <c r="N602" s="76">
        <v>454</v>
      </c>
      <c r="O602" s="42"/>
      <c r="P602" s="58" t="s">
        <v>36</v>
      </c>
      <c r="Q602" s="61"/>
      <c r="R602" s="62"/>
      <c r="S602" s="78">
        <f t="shared" si="27"/>
        <v>454</v>
      </c>
      <c r="T602" s="44" t="str">
        <f t="shared" si="28"/>
        <v>454grams</v>
      </c>
      <c r="U602" s="77">
        <f t="shared" si="29"/>
        <v>120</v>
      </c>
      <c r="V602" s="50"/>
      <c r="W602" s="54"/>
      <c r="X602" s="39"/>
    </row>
    <row r="603" spans="1:24" ht="15.75" customHeight="1" thickBot="1" x14ac:dyDescent="0.35">
      <c r="A603" s="4">
        <v>204</v>
      </c>
      <c r="B603" s="67" t="s">
        <v>1188</v>
      </c>
      <c r="C603" s="55"/>
      <c r="D603" s="41"/>
      <c r="E603" s="55"/>
      <c r="F603" s="55"/>
      <c r="G603" s="55"/>
      <c r="H603" s="51"/>
      <c r="I603" s="52"/>
      <c r="J603" s="74" t="s">
        <v>1189</v>
      </c>
      <c r="K603" s="57"/>
      <c r="L603" s="75">
        <v>32.5</v>
      </c>
      <c r="M603" s="60">
        <v>2</v>
      </c>
      <c r="N603" s="76">
        <v>20</v>
      </c>
      <c r="O603" s="42"/>
      <c r="P603" s="58" t="s">
        <v>47</v>
      </c>
      <c r="Q603" s="61"/>
      <c r="R603" s="62"/>
      <c r="S603" s="78">
        <f t="shared" si="27"/>
        <v>40</v>
      </c>
      <c r="T603" s="44" t="str">
        <f t="shared" si="28"/>
        <v>40ml</v>
      </c>
      <c r="U603" s="77">
        <f t="shared" si="29"/>
        <v>65</v>
      </c>
      <c r="V603" s="20"/>
      <c r="W603" s="20"/>
      <c r="X603" s="20"/>
    </row>
    <row r="604" spans="1:24" ht="15.75" customHeight="1" thickBot="1" x14ac:dyDescent="0.35">
      <c r="A604" s="4">
        <v>205</v>
      </c>
      <c r="B604" s="67" t="s">
        <v>1190</v>
      </c>
      <c r="C604" s="55"/>
      <c r="D604" s="41"/>
      <c r="E604" s="55"/>
      <c r="F604" s="55"/>
      <c r="G604" s="55"/>
      <c r="H604" s="51"/>
      <c r="I604" s="52"/>
      <c r="J604" s="74" t="s">
        <v>816</v>
      </c>
      <c r="K604" s="57"/>
      <c r="L604" s="75">
        <v>35</v>
      </c>
      <c r="M604" s="60">
        <v>1</v>
      </c>
      <c r="N604" s="76">
        <v>20</v>
      </c>
      <c r="O604" s="42"/>
      <c r="P604" s="58" t="s">
        <v>47</v>
      </c>
      <c r="Q604" s="61"/>
      <c r="R604" s="62"/>
      <c r="S604" s="78">
        <f t="shared" si="27"/>
        <v>20</v>
      </c>
      <c r="T604" s="44" t="str">
        <f t="shared" si="28"/>
        <v>20ml</v>
      </c>
      <c r="U604" s="77">
        <f t="shared" si="29"/>
        <v>35</v>
      </c>
      <c r="V604" s="46"/>
      <c r="W604" s="46"/>
      <c r="X604" s="46"/>
    </row>
    <row r="605" spans="1:24" ht="15.75" customHeight="1" thickBot="1" x14ac:dyDescent="0.35">
      <c r="A605" s="4">
        <v>205</v>
      </c>
      <c r="B605" s="68" t="s">
        <v>1190</v>
      </c>
      <c r="C605" s="55"/>
      <c r="D605" s="41"/>
      <c r="E605" s="55"/>
      <c r="F605" s="55"/>
      <c r="G605" s="55"/>
      <c r="H605" s="51"/>
      <c r="I605" s="52"/>
      <c r="J605" s="74" t="s">
        <v>816</v>
      </c>
      <c r="K605" s="57"/>
      <c r="L605" s="75">
        <v>38.5</v>
      </c>
      <c r="M605" s="60">
        <v>1</v>
      </c>
      <c r="N605" s="76">
        <v>20</v>
      </c>
      <c r="O605" s="42"/>
      <c r="P605" s="58" t="s">
        <v>47</v>
      </c>
      <c r="Q605" s="61"/>
      <c r="R605" s="62"/>
      <c r="S605" s="78">
        <f t="shared" si="27"/>
        <v>20</v>
      </c>
      <c r="T605" s="44" t="str">
        <f t="shared" si="28"/>
        <v>20ml</v>
      </c>
      <c r="U605" s="77">
        <f t="shared" si="29"/>
        <v>38.5</v>
      </c>
      <c r="V605" s="20"/>
      <c r="W605" s="20"/>
      <c r="X605" s="20"/>
    </row>
    <row r="606" spans="1:24" ht="15.75" customHeight="1" thickBot="1" x14ac:dyDescent="0.35">
      <c r="A606" s="4">
        <v>205</v>
      </c>
      <c r="B606" s="68" t="s">
        <v>1190</v>
      </c>
      <c r="C606" s="55"/>
      <c r="D606" s="41"/>
      <c r="E606" s="55"/>
      <c r="F606" s="55"/>
      <c r="G606" s="55"/>
      <c r="H606" s="51"/>
      <c r="I606" s="52"/>
      <c r="J606" s="74" t="s">
        <v>816</v>
      </c>
      <c r="K606" s="57"/>
      <c r="L606" s="75">
        <v>289</v>
      </c>
      <c r="M606" s="60">
        <v>2</v>
      </c>
      <c r="N606" s="76">
        <v>475</v>
      </c>
      <c r="O606" s="42"/>
      <c r="P606" s="58" t="s">
        <v>47</v>
      </c>
      <c r="Q606" s="61"/>
      <c r="R606" s="62"/>
      <c r="S606" s="78">
        <f t="shared" si="27"/>
        <v>950</v>
      </c>
      <c r="T606" s="44" t="str">
        <f t="shared" si="28"/>
        <v>950ml</v>
      </c>
      <c r="U606" s="77">
        <f t="shared" si="29"/>
        <v>578</v>
      </c>
      <c r="V606" s="46"/>
      <c r="W606" s="46"/>
      <c r="X606" s="46"/>
    </row>
    <row r="607" spans="1:24" ht="15.75" customHeight="1" thickBot="1" x14ac:dyDescent="0.35">
      <c r="A607" s="4">
        <v>206</v>
      </c>
      <c r="B607" s="67" t="s">
        <v>1191</v>
      </c>
      <c r="C607" s="55"/>
      <c r="D607" s="41"/>
      <c r="E607" s="55"/>
      <c r="F607" s="55"/>
      <c r="G607" s="55"/>
      <c r="H607" s="51"/>
      <c r="I607" s="52"/>
      <c r="J607" s="74" t="s">
        <v>816</v>
      </c>
      <c r="K607" s="57"/>
      <c r="L607" s="75">
        <v>48</v>
      </c>
      <c r="M607" s="60">
        <v>1</v>
      </c>
      <c r="N607" s="76">
        <v>20</v>
      </c>
      <c r="O607" s="42"/>
      <c r="P607" s="58" t="s">
        <v>47</v>
      </c>
      <c r="Q607" s="61"/>
      <c r="R607" s="62"/>
      <c r="S607" s="78">
        <f t="shared" si="27"/>
        <v>20</v>
      </c>
      <c r="T607" s="44" t="str">
        <f t="shared" si="28"/>
        <v>20ml</v>
      </c>
      <c r="U607" s="77">
        <f t="shared" si="29"/>
        <v>48</v>
      </c>
      <c r="V607" s="46"/>
      <c r="W607" s="46"/>
      <c r="X607" s="46"/>
    </row>
    <row r="608" spans="1:24" ht="15.75" customHeight="1" thickBot="1" x14ac:dyDescent="0.35">
      <c r="A608" s="4">
        <v>206</v>
      </c>
      <c r="B608" s="67" t="s">
        <v>1191</v>
      </c>
      <c r="C608" s="55"/>
      <c r="D608" s="41"/>
      <c r="E608" s="55"/>
      <c r="F608" s="55"/>
      <c r="G608" s="55"/>
      <c r="H608" s="51"/>
      <c r="I608" s="52"/>
      <c r="J608" s="74" t="s">
        <v>816</v>
      </c>
      <c r="K608" s="57"/>
      <c r="L608" s="75">
        <v>55</v>
      </c>
      <c r="M608" s="60">
        <v>1</v>
      </c>
      <c r="N608" s="76">
        <v>20</v>
      </c>
      <c r="O608" s="42"/>
      <c r="P608" s="58" t="s">
        <v>47</v>
      </c>
      <c r="Q608" s="61"/>
      <c r="R608" s="62"/>
      <c r="S608" s="78">
        <f t="shared" si="27"/>
        <v>20</v>
      </c>
      <c r="T608" s="44" t="str">
        <f t="shared" si="28"/>
        <v>20ml</v>
      </c>
      <c r="U608" s="77">
        <f t="shared" si="29"/>
        <v>55</v>
      </c>
      <c r="V608" s="46"/>
      <c r="W608" s="46"/>
      <c r="X608" s="46"/>
    </row>
    <row r="609" spans="1:24" ht="15.75" customHeight="1" thickBot="1" x14ac:dyDescent="0.35">
      <c r="A609" s="4">
        <v>206</v>
      </c>
      <c r="B609" s="67" t="s">
        <v>1191</v>
      </c>
      <c r="C609" s="55"/>
      <c r="D609" s="41"/>
      <c r="E609" s="55"/>
      <c r="F609" s="55"/>
      <c r="G609" s="55"/>
      <c r="H609" s="51"/>
      <c r="I609" s="52"/>
      <c r="J609" s="74" t="s">
        <v>816</v>
      </c>
      <c r="K609" s="57"/>
      <c r="L609" s="75">
        <v>45.75</v>
      </c>
      <c r="M609" s="60">
        <v>6</v>
      </c>
      <c r="N609" s="76">
        <v>20</v>
      </c>
      <c r="O609" s="42"/>
      <c r="P609" s="58" t="s">
        <v>47</v>
      </c>
      <c r="Q609" s="61"/>
      <c r="R609" s="62"/>
      <c r="S609" s="78">
        <f t="shared" si="27"/>
        <v>120</v>
      </c>
      <c r="T609" s="44" t="str">
        <f t="shared" si="28"/>
        <v>120ml</v>
      </c>
      <c r="U609" s="77">
        <f t="shared" si="29"/>
        <v>274.5</v>
      </c>
      <c r="V609" s="46"/>
      <c r="W609" s="46"/>
      <c r="X609" s="46"/>
    </row>
    <row r="610" spans="1:24" ht="15.75" customHeight="1" thickBot="1" x14ac:dyDescent="0.35">
      <c r="A610" s="4">
        <v>207</v>
      </c>
      <c r="B610" s="67" t="s">
        <v>1192</v>
      </c>
      <c r="C610" s="55"/>
      <c r="D610" s="41"/>
      <c r="E610" s="55"/>
      <c r="F610" s="55"/>
      <c r="G610" s="55"/>
      <c r="H610" s="51"/>
      <c r="I610" s="52"/>
      <c r="J610" s="74" t="s">
        <v>816</v>
      </c>
      <c r="K610" s="57"/>
      <c r="L610" s="75">
        <v>32</v>
      </c>
      <c r="M610" s="60">
        <v>1</v>
      </c>
      <c r="N610" s="76">
        <v>20</v>
      </c>
      <c r="O610" s="42"/>
      <c r="P610" s="58" t="s">
        <v>47</v>
      </c>
      <c r="Q610" s="61"/>
      <c r="R610" s="62"/>
      <c r="S610" s="78">
        <f t="shared" si="27"/>
        <v>20</v>
      </c>
      <c r="T610" s="44" t="str">
        <f t="shared" si="28"/>
        <v>20ml</v>
      </c>
      <c r="U610" s="77">
        <f t="shared" si="29"/>
        <v>32</v>
      </c>
      <c r="V610" s="46"/>
      <c r="W610" s="46"/>
      <c r="X610" s="46"/>
    </row>
    <row r="611" spans="1:24" ht="15.75" customHeight="1" thickBot="1" x14ac:dyDescent="0.35">
      <c r="A611" s="4">
        <v>207</v>
      </c>
      <c r="B611" s="67" t="s">
        <v>1192</v>
      </c>
      <c r="C611" s="55"/>
      <c r="D611" s="41"/>
      <c r="E611" s="55"/>
      <c r="F611" s="55"/>
      <c r="G611" s="55"/>
      <c r="H611" s="51"/>
      <c r="I611" s="52"/>
      <c r="J611" s="74" t="s">
        <v>816</v>
      </c>
      <c r="K611" s="57"/>
      <c r="L611" s="75">
        <v>55</v>
      </c>
      <c r="M611" s="60">
        <v>1</v>
      </c>
      <c r="N611" s="76">
        <v>20</v>
      </c>
      <c r="O611" s="42"/>
      <c r="P611" s="58" t="s">
        <v>47</v>
      </c>
      <c r="Q611" s="61"/>
      <c r="R611" s="62"/>
      <c r="S611" s="78">
        <f t="shared" si="27"/>
        <v>20</v>
      </c>
      <c r="T611" s="44" t="str">
        <f t="shared" si="28"/>
        <v>20ml</v>
      </c>
      <c r="U611" s="77">
        <f t="shared" si="29"/>
        <v>55</v>
      </c>
      <c r="V611" s="46"/>
      <c r="W611" s="46"/>
      <c r="X611" s="46"/>
    </row>
    <row r="612" spans="1:24" ht="15.75" customHeight="1" thickBot="1" x14ac:dyDescent="0.35">
      <c r="A612" s="4">
        <v>208</v>
      </c>
      <c r="B612" s="68" t="s">
        <v>1193</v>
      </c>
      <c r="C612" s="55"/>
      <c r="D612" s="41"/>
      <c r="E612" s="55"/>
      <c r="F612" s="55"/>
      <c r="G612" s="55"/>
      <c r="H612" s="51"/>
      <c r="I612" s="52"/>
      <c r="J612" s="74" t="s">
        <v>816</v>
      </c>
      <c r="K612" s="57"/>
      <c r="L612" s="75">
        <v>53</v>
      </c>
      <c r="M612" s="60">
        <v>2</v>
      </c>
      <c r="N612" s="76">
        <v>60</v>
      </c>
      <c r="O612" s="42"/>
      <c r="P612" s="58" t="s">
        <v>47</v>
      </c>
      <c r="Q612" s="61"/>
      <c r="R612" s="62"/>
      <c r="S612" s="78">
        <f t="shared" si="27"/>
        <v>120</v>
      </c>
      <c r="T612" s="44" t="str">
        <f t="shared" si="28"/>
        <v>120ml</v>
      </c>
      <c r="U612" s="77">
        <f t="shared" si="29"/>
        <v>106</v>
      </c>
      <c r="V612" s="46"/>
      <c r="W612" s="46"/>
      <c r="X612" s="46"/>
    </row>
    <row r="613" spans="1:24" ht="15.75" customHeight="1" thickBot="1" x14ac:dyDescent="0.35">
      <c r="A613" s="4">
        <v>209</v>
      </c>
      <c r="B613" s="68" t="s">
        <v>1194</v>
      </c>
      <c r="C613" s="55"/>
      <c r="D613" s="41"/>
      <c r="E613" s="55"/>
      <c r="F613" s="55"/>
      <c r="G613" s="55"/>
      <c r="H613" s="51"/>
      <c r="I613" s="52"/>
      <c r="J613" s="74" t="s">
        <v>816</v>
      </c>
      <c r="K613" s="57"/>
      <c r="L613" s="75">
        <v>60</v>
      </c>
      <c r="M613" s="60">
        <v>1</v>
      </c>
      <c r="N613" s="76">
        <v>20</v>
      </c>
      <c r="O613" s="42"/>
      <c r="P613" s="58" t="s">
        <v>47</v>
      </c>
      <c r="Q613" s="61"/>
      <c r="R613" s="62"/>
      <c r="S613" s="78">
        <f t="shared" si="27"/>
        <v>20</v>
      </c>
      <c r="T613" s="44" t="str">
        <f t="shared" si="28"/>
        <v>20ml</v>
      </c>
      <c r="U613" s="77">
        <f t="shared" si="29"/>
        <v>60</v>
      </c>
      <c r="V613" s="20"/>
      <c r="W613" s="20"/>
      <c r="X613" s="20"/>
    </row>
    <row r="614" spans="1:24" ht="15.75" customHeight="1" thickBot="1" x14ac:dyDescent="0.35">
      <c r="A614" s="4">
        <v>210</v>
      </c>
      <c r="B614" s="67" t="s">
        <v>1195</v>
      </c>
      <c r="C614" s="55"/>
      <c r="D614" s="41"/>
      <c r="E614" s="55"/>
      <c r="F614" s="55"/>
      <c r="G614" s="55"/>
      <c r="H614" s="51"/>
      <c r="I614" s="52"/>
      <c r="J614" s="74" t="s">
        <v>1196</v>
      </c>
      <c r="K614" s="57"/>
      <c r="L614" s="75">
        <v>329</v>
      </c>
      <c r="M614" s="60">
        <v>1</v>
      </c>
      <c r="N614" s="76">
        <v>500</v>
      </c>
      <c r="O614" s="42"/>
      <c r="P614" s="58" t="s">
        <v>36</v>
      </c>
      <c r="Q614" s="61"/>
      <c r="R614" s="62"/>
      <c r="S614" s="78">
        <f t="shared" si="27"/>
        <v>500</v>
      </c>
      <c r="T614" s="44" t="str">
        <f t="shared" si="28"/>
        <v>500grams</v>
      </c>
      <c r="U614" s="77">
        <f t="shared" si="29"/>
        <v>329</v>
      </c>
      <c r="V614" s="46"/>
      <c r="W614" s="46"/>
      <c r="X614" s="46"/>
    </row>
    <row r="615" spans="1:24" ht="15.75" customHeight="1" thickBot="1" x14ac:dyDescent="0.35">
      <c r="A615" s="4">
        <v>210</v>
      </c>
      <c r="B615" s="67" t="s">
        <v>1195</v>
      </c>
      <c r="C615" s="55"/>
      <c r="D615" s="41"/>
      <c r="E615" s="55"/>
      <c r="F615" s="55"/>
      <c r="G615" s="55"/>
      <c r="H615" s="51"/>
      <c r="I615" s="52"/>
      <c r="J615" s="74" t="s">
        <v>816</v>
      </c>
      <c r="K615" s="57"/>
      <c r="L615" s="75">
        <v>55</v>
      </c>
      <c r="M615" s="60">
        <v>1</v>
      </c>
      <c r="N615" s="76">
        <v>20</v>
      </c>
      <c r="O615" s="42"/>
      <c r="P615" s="58" t="s">
        <v>47</v>
      </c>
      <c r="Q615" s="61"/>
      <c r="R615" s="62"/>
      <c r="S615" s="78">
        <f t="shared" si="27"/>
        <v>20</v>
      </c>
      <c r="T615" s="44" t="str">
        <f t="shared" si="28"/>
        <v>20ml</v>
      </c>
      <c r="U615" s="77">
        <f t="shared" si="29"/>
        <v>55</v>
      </c>
      <c r="V615" s="46"/>
      <c r="W615" s="46"/>
      <c r="X615" s="46"/>
    </row>
    <row r="616" spans="1:24" ht="15.75" customHeight="1" thickBot="1" x14ac:dyDescent="0.35">
      <c r="A616" s="4">
        <v>210</v>
      </c>
      <c r="B616" s="67" t="s">
        <v>1195</v>
      </c>
      <c r="C616" s="55"/>
      <c r="D616" s="41"/>
      <c r="E616" s="55"/>
      <c r="F616" s="55"/>
      <c r="G616" s="55"/>
      <c r="H616" s="51"/>
      <c r="I616" s="52"/>
      <c r="J616" s="74" t="s">
        <v>816</v>
      </c>
      <c r="K616" s="57"/>
      <c r="L616" s="75">
        <v>45</v>
      </c>
      <c r="M616" s="60">
        <v>2</v>
      </c>
      <c r="N616" s="76">
        <v>20</v>
      </c>
      <c r="O616" s="42"/>
      <c r="P616" s="58" t="s">
        <v>47</v>
      </c>
      <c r="Q616" s="61"/>
      <c r="R616" s="62"/>
      <c r="S616" s="78">
        <f t="shared" si="27"/>
        <v>40</v>
      </c>
      <c r="T616" s="44" t="str">
        <f t="shared" si="28"/>
        <v>40ml</v>
      </c>
      <c r="U616" s="77">
        <f t="shared" si="29"/>
        <v>90</v>
      </c>
      <c r="V616" s="50"/>
      <c r="W616" s="20"/>
      <c r="X616" s="20"/>
    </row>
    <row r="617" spans="1:24" ht="15.75" customHeight="1" thickBot="1" x14ac:dyDescent="0.35">
      <c r="A617" s="4">
        <v>211</v>
      </c>
      <c r="B617" s="67" t="s">
        <v>1197</v>
      </c>
      <c r="C617" s="55"/>
      <c r="D617" s="41"/>
      <c r="E617" s="55"/>
      <c r="F617" s="55"/>
      <c r="G617" s="55"/>
      <c r="H617" s="51"/>
      <c r="I617" s="52"/>
      <c r="J617" s="74" t="s">
        <v>1198</v>
      </c>
      <c r="K617" s="57"/>
      <c r="L617" s="75">
        <v>175</v>
      </c>
      <c r="M617" s="60">
        <v>2</v>
      </c>
      <c r="N617" s="76">
        <v>1000</v>
      </c>
      <c r="O617" s="42"/>
      <c r="P617" s="58" t="s">
        <v>36</v>
      </c>
      <c r="Q617" s="61"/>
      <c r="R617" s="62"/>
      <c r="S617" s="78">
        <f t="shared" si="27"/>
        <v>2000</v>
      </c>
      <c r="T617" s="44" t="str">
        <f t="shared" si="28"/>
        <v>2000grams</v>
      </c>
      <c r="U617" s="77">
        <f t="shared" si="29"/>
        <v>350</v>
      </c>
      <c r="V617" s="46"/>
      <c r="W617" s="46"/>
      <c r="X617" s="46"/>
    </row>
    <row r="618" spans="1:24" ht="15.75" customHeight="1" thickBot="1" x14ac:dyDescent="0.35">
      <c r="A618" s="4">
        <v>211</v>
      </c>
      <c r="B618" s="67" t="s">
        <v>1197</v>
      </c>
      <c r="C618" s="55"/>
      <c r="D618" s="41"/>
      <c r="E618" s="55"/>
      <c r="F618" s="55"/>
      <c r="G618" s="55"/>
      <c r="H618" s="51"/>
      <c r="I618" s="52"/>
      <c r="J618" s="74" t="s">
        <v>1198</v>
      </c>
      <c r="K618" s="57"/>
      <c r="L618" s="75">
        <v>179</v>
      </c>
      <c r="M618" s="60">
        <v>3</v>
      </c>
      <c r="N618" s="76">
        <v>1000</v>
      </c>
      <c r="O618" s="42"/>
      <c r="P618" s="58" t="s">
        <v>36</v>
      </c>
      <c r="Q618" s="61"/>
      <c r="R618" s="62"/>
      <c r="S618" s="78">
        <f t="shared" si="27"/>
        <v>3000</v>
      </c>
      <c r="T618" s="44" t="str">
        <f t="shared" si="28"/>
        <v>3000grams</v>
      </c>
      <c r="U618" s="77">
        <f t="shared" si="29"/>
        <v>537</v>
      </c>
      <c r="V618" s="46"/>
      <c r="W618" s="46"/>
      <c r="X618" s="46"/>
    </row>
    <row r="619" spans="1:24" ht="15.75" customHeight="1" thickBot="1" x14ac:dyDescent="0.35">
      <c r="A619" s="4">
        <v>212</v>
      </c>
      <c r="B619" s="67" t="s">
        <v>1199</v>
      </c>
      <c r="C619" s="55"/>
      <c r="D619" s="41"/>
      <c r="E619" s="55"/>
      <c r="F619" s="55"/>
      <c r="G619" s="55"/>
      <c r="H619" s="51"/>
      <c r="I619" s="52"/>
      <c r="J619" s="74" t="s">
        <v>1200</v>
      </c>
      <c r="K619" s="57"/>
      <c r="L619" s="75">
        <v>193</v>
      </c>
      <c r="M619" s="60">
        <v>2</v>
      </c>
      <c r="N619" s="76">
        <v>1000</v>
      </c>
      <c r="O619" s="42"/>
      <c r="P619" s="58" t="s">
        <v>36</v>
      </c>
      <c r="Q619" s="61"/>
      <c r="R619" s="62"/>
      <c r="S619" s="78">
        <f t="shared" si="27"/>
        <v>2000</v>
      </c>
      <c r="T619" s="44" t="str">
        <f t="shared" si="28"/>
        <v>2000grams</v>
      </c>
      <c r="U619" s="77">
        <f t="shared" si="29"/>
        <v>386</v>
      </c>
      <c r="V619" s="20"/>
      <c r="W619" s="20"/>
      <c r="X619" s="20"/>
    </row>
    <row r="620" spans="1:24" ht="15.75" customHeight="1" thickBot="1" x14ac:dyDescent="0.35">
      <c r="A620" s="4">
        <v>213</v>
      </c>
      <c r="B620" s="67" t="s">
        <v>1201</v>
      </c>
      <c r="C620" s="55"/>
      <c r="D620" s="41"/>
      <c r="E620" s="55"/>
      <c r="F620" s="55"/>
      <c r="G620" s="55"/>
      <c r="H620" s="51"/>
      <c r="I620" s="52"/>
      <c r="J620" s="74"/>
      <c r="K620" s="57"/>
      <c r="L620" s="75">
        <v>145</v>
      </c>
      <c r="M620" s="60">
        <v>1</v>
      </c>
      <c r="N620" s="76">
        <v>1</v>
      </c>
      <c r="O620" s="42"/>
      <c r="P620" s="58" t="s">
        <v>88</v>
      </c>
      <c r="Q620" s="61"/>
      <c r="R620" s="62"/>
      <c r="S620" s="78">
        <f t="shared" si="27"/>
        <v>1</v>
      </c>
      <c r="T620" s="44" t="str">
        <f t="shared" si="28"/>
        <v>1kilos</v>
      </c>
      <c r="U620" s="77">
        <f t="shared" si="29"/>
        <v>145</v>
      </c>
      <c r="V620" s="46"/>
      <c r="W620" s="46"/>
      <c r="X620" s="46"/>
    </row>
    <row r="621" spans="1:24" ht="15.75" customHeight="1" thickBot="1" x14ac:dyDescent="0.35">
      <c r="A621" s="4">
        <v>213</v>
      </c>
      <c r="B621" s="67" t="s">
        <v>1201</v>
      </c>
      <c r="C621" s="55"/>
      <c r="D621" s="41"/>
      <c r="E621" s="55"/>
      <c r="F621" s="55"/>
      <c r="G621" s="55"/>
      <c r="H621" s="51"/>
      <c r="I621" s="52"/>
      <c r="J621" s="74" t="s">
        <v>874</v>
      </c>
      <c r="K621" s="57"/>
      <c r="L621" s="75">
        <v>180</v>
      </c>
      <c r="M621" s="60">
        <v>1</v>
      </c>
      <c r="N621" s="76">
        <v>1000</v>
      </c>
      <c r="O621" s="42"/>
      <c r="P621" s="58" t="s">
        <v>36</v>
      </c>
      <c r="Q621" s="61"/>
      <c r="R621" s="62"/>
      <c r="S621" s="78">
        <f t="shared" si="27"/>
        <v>1000</v>
      </c>
      <c r="T621" s="44" t="str">
        <f t="shared" si="28"/>
        <v>1000grams</v>
      </c>
      <c r="U621" s="77">
        <f t="shared" si="29"/>
        <v>180</v>
      </c>
      <c r="V621" s="20"/>
      <c r="W621" s="20"/>
      <c r="X621" s="20"/>
    </row>
    <row r="622" spans="1:24" ht="15.75" customHeight="1" thickBot="1" x14ac:dyDescent="0.35">
      <c r="A622" s="4">
        <v>214</v>
      </c>
      <c r="B622" s="67" t="s">
        <v>337</v>
      </c>
      <c r="C622" s="55"/>
      <c r="D622" s="41"/>
      <c r="E622" s="55"/>
      <c r="F622" s="55"/>
      <c r="G622" s="55"/>
      <c r="H622" s="51"/>
      <c r="I622" s="52"/>
      <c r="J622" s="74" t="s">
        <v>1202</v>
      </c>
      <c r="K622" s="57"/>
      <c r="L622" s="75">
        <v>166.49</v>
      </c>
      <c r="M622" s="60">
        <v>3</v>
      </c>
      <c r="N622" s="76">
        <v>3033</v>
      </c>
      <c r="O622" s="42"/>
      <c r="P622" s="58" t="s">
        <v>36</v>
      </c>
      <c r="Q622" s="61"/>
      <c r="R622" s="62"/>
      <c r="S622" s="78">
        <f t="shared" si="27"/>
        <v>9099</v>
      </c>
      <c r="T622" s="44" t="str">
        <f t="shared" si="28"/>
        <v>9099grams</v>
      </c>
      <c r="U622" s="77">
        <f t="shared" si="29"/>
        <v>499.47</v>
      </c>
      <c r="V622" s="46"/>
      <c r="W622" s="46"/>
      <c r="X622" s="46"/>
    </row>
    <row r="623" spans="1:24" ht="15.75" customHeight="1" thickBot="1" x14ac:dyDescent="0.35">
      <c r="A623" s="4">
        <v>214</v>
      </c>
      <c r="B623" s="67" t="s">
        <v>337</v>
      </c>
      <c r="C623" s="55"/>
      <c r="D623" s="41"/>
      <c r="E623" s="55"/>
      <c r="F623" s="55"/>
      <c r="G623" s="55"/>
      <c r="H623" s="51"/>
      <c r="I623" s="52"/>
      <c r="J623" s="74" t="s">
        <v>1202</v>
      </c>
      <c r="K623" s="57"/>
      <c r="L623" s="75">
        <v>89.5</v>
      </c>
      <c r="M623" s="60">
        <v>2</v>
      </c>
      <c r="N623" s="76">
        <v>422</v>
      </c>
      <c r="O623" s="42"/>
      <c r="P623" s="58" t="s">
        <v>138</v>
      </c>
      <c r="Q623" s="61"/>
      <c r="R623" s="62"/>
      <c r="S623" s="78">
        <f t="shared" si="27"/>
        <v>844</v>
      </c>
      <c r="T623" s="44" t="str">
        <f t="shared" si="28"/>
        <v>844drained weight grams</v>
      </c>
      <c r="U623" s="77">
        <f t="shared" si="29"/>
        <v>179</v>
      </c>
      <c r="V623" s="46"/>
      <c r="W623" s="46"/>
      <c r="X623" s="46"/>
    </row>
    <row r="624" spans="1:24" ht="15.75" customHeight="1" thickBot="1" x14ac:dyDescent="0.35">
      <c r="A624" s="4">
        <v>214</v>
      </c>
      <c r="B624" s="67" t="s">
        <v>337</v>
      </c>
      <c r="C624" s="55"/>
      <c r="D624" s="41"/>
      <c r="E624" s="55"/>
      <c r="F624" s="55"/>
      <c r="G624" s="55"/>
      <c r="H624" s="51"/>
      <c r="I624" s="52"/>
      <c r="J624" s="74" t="s">
        <v>1203</v>
      </c>
      <c r="K624" s="57"/>
      <c r="L624" s="75">
        <v>69</v>
      </c>
      <c r="M624" s="60">
        <v>5</v>
      </c>
      <c r="N624" s="76">
        <v>266</v>
      </c>
      <c r="O624" s="42"/>
      <c r="P624" s="58" t="s">
        <v>36</v>
      </c>
      <c r="Q624" s="61"/>
      <c r="R624" s="62"/>
      <c r="S624" s="78">
        <f t="shared" si="27"/>
        <v>1330</v>
      </c>
      <c r="T624" s="44" t="str">
        <f t="shared" si="28"/>
        <v>1330grams</v>
      </c>
      <c r="U624" s="77">
        <f t="shared" si="29"/>
        <v>345</v>
      </c>
      <c r="V624" s="50"/>
      <c r="W624" s="54"/>
      <c r="X624" s="39"/>
    </row>
    <row r="625" spans="1:24" ht="15.75" customHeight="1" thickBot="1" x14ac:dyDescent="0.35">
      <c r="A625" s="4">
        <v>214</v>
      </c>
      <c r="B625" s="67" t="s">
        <v>337</v>
      </c>
      <c r="C625" s="55"/>
      <c r="D625" s="41"/>
      <c r="E625" s="55"/>
      <c r="F625" s="55"/>
      <c r="G625" s="55"/>
      <c r="H625" s="51"/>
      <c r="I625" s="52"/>
      <c r="J625" s="74" t="s">
        <v>1203</v>
      </c>
      <c r="K625" s="57"/>
      <c r="L625" s="75">
        <v>309</v>
      </c>
      <c r="M625" s="60">
        <v>6</v>
      </c>
      <c r="N625" s="76">
        <v>3033</v>
      </c>
      <c r="O625" s="42"/>
      <c r="P625" s="58" t="s">
        <v>36</v>
      </c>
      <c r="Q625" s="61"/>
      <c r="R625" s="62"/>
      <c r="S625" s="78">
        <f t="shared" si="27"/>
        <v>18198</v>
      </c>
      <c r="T625" s="44" t="str">
        <f t="shared" si="28"/>
        <v>18198grams</v>
      </c>
      <c r="U625" s="77">
        <f t="shared" si="29"/>
        <v>1854</v>
      </c>
      <c r="V625" s="20"/>
      <c r="W625" s="20"/>
      <c r="X625" s="20"/>
    </row>
    <row r="626" spans="1:24" ht="15.75" customHeight="1" thickBot="1" x14ac:dyDescent="0.35">
      <c r="A626" s="4">
        <v>215</v>
      </c>
      <c r="B626" s="67" t="s">
        <v>1204</v>
      </c>
      <c r="C626" s="55"/>
      <c r="D626" s="41"/>
      <c r="E626" s="55"/>
      <c r="F626" s="55"/>
      <c r="G626" s="55"/>
      <c r="H626" s="51"/>
      <c r="I626" s="52"/>
      <c r="J626" s="74"/>
      <c r="K626" s="57"/>
      <c r="L626" s="75">
        <v>35</v>
      </c>
      <c r="M626" s="60">
        <v>3</v>
      </c>
      <c r="N626" s="76">
        <v>1000</v>
      </c>
      <c r="O626" s="42"/>
      <c r="P626" s="58" t="s">
        <v>36</v>
      </c>
      <c r="Q626" s="61"/>
      <c r="R626" s="62"/>
      <c r="S626" s="78">
        <f t="shared" si="27"/>
        <v>3000</v>
      </c>
      <c r="T626" s="44" t="str">
        <f t="shared" si="28"/>
        <v>3000grams</v>
      </c>
      <c r="U626" s="77">
        <f t="shared" si="29"/>
        <v>105</v>
      </c>
      <c r="V626" s="46"/>
      <c r="W626" s="46"/>
      <c r="X626" s="46"/>
    </row>
    <row r="627" spans="1:24" ht="15.75" customHeight="1" thickBot="1" x14ac:dyDescent="0.35">
      <c r="A627" s="4">
        <v>216</v>
      </c>
      <c r="B627" s="67" t="s">
        <v>1205</v>
      </c>
      <c r="C627" s="55"/>
      <c r="D627" s="41"/>
      <c r="E627" s="55"/>
      <c r="F627" s="55"/>
      <c r="G627" s="55"/>
      <c r="H627" s="51"/>
      <c r="I627" s="52"/>
      <c r="J627" s="74"/>
      <c r="K627" s="57"/>
      <c r="L627" s="75">
        <v>320</v>
      </c>
      <c r="M627" s="60">
        <v>7</v>
      </c>
      <c r="N627" s="76">
        <v>1</v>
      </c>
      <c r="O627" s="42"/>
      <c r="P627" s="58" t="s">
        <v>88</v>
      </c>
      <c r="Q627" s="61"/>
      <c r="R627" s="62"/>
      <c r="S627" s="78">
        <f t="shared" si="27"/>
        <v>7</v>
      </c>
      <c r="T627" s="44" t="str">
        <f t="shared" si="28"/>
        <v>7kilos</v>
      </c>
      <c r="U627" s="77">
        <f t="shared" si="29"/>
        <v>2240</v>
      </c>
      <c r="V627" s="46"/>
      <c r="W627" s="46"/>
      <c r="X627" s="46"/>
    </row>
    <row r="628" spans="1:24" ht="15.75" customHeight="1" thickBot="1" x14ac:dyDescent="0.35">
      <c r="A628" s="4">
        <v>216</v>
      </c>
      <c r="B628" s="67" t="s">
        <v>1205</v>
      </c>
      <c r="C628" s="55"/>
      <c r="D628" s="41"/>
      <c r="E628" s="55"/>
      <c r="F628" s="55"/>
      <c r="G628" s="55"/>
      <c r="H628" s="51"/>
      <c r="I628" s="52"/>
      <c r="J628" s="74"/>
      <c r="K628" s="57"/>
      <c r="L628" s="75">
        <v>320</v>
      </c>
      <c r="M628" s="60">
        <v>4</v>
      </c>
      <c r="N628" s="76">
        <v>1</v>
      </c>
      <c r="O628" s="42"/>
      <c r="P628" s="58" t="s">
        <v>88</v>
      </c>
      <c r="Q628" s="61"/>
      <c r="R628" s="62"/>
      <c r="S628" s="78">
        <f t="shared" si="27"/>
        <v>4</v>
      </c>
      <c r="T628" s="44" t="str">
        <f t="shared" si="28"/>
        <v>4kilos</v>
      </c>
      <c r="U628" s="77">
        <f t="shared" si="29"/>
        <v>1280</v>
      </c>
      <c r="V628" s="46"/>
      <c r="W628" s="46"/>
      <c r="X628" s="46"/>
    </row>
    <row r="629" spans="1:24" ht="15.75" customHeight="1" thickBot="1" x14ac:dyDescent="0.35">
      <c r="A629" s="4">
        <v>216</v>
      </c>
      <c r="B629" s="67" t="s">
        <v>1205</v>
      </c>
      <c r="C629" s="55"/>
      <c r="D629" s="41"/>
      <c r="E629" s="55"/>
      <c r="F629" s="55"/>
      <c r="G629" s="55"/>
      <c r="H629" s="51"/>
      <c r="I629" s="52"/>
      <c r="J629" s="74"/>
      <c r="K629" s="57"/>
      <c r="L629" s="75">
        <v>250</v>
      </c>
      <c r="M629" s="60">
        <v>2</v>
      </c>
      <c r="N629" s="76">
        <v>1000</v>
      </c>
      <c r="O629" s="42"/>
      <c r="P629" s="58" t="s">
        <v>36</v>
      </c>
      <c r="Q629" s="61"/>
      <c r="R629" s="62"/>
      <c r="S629" s="78">
        <f t="shared" si="27"/>
        <v>2000</v>
      </c>
      <c r="T629" s="44" t="str">
        <f t="shared" si="28"/>
        <v>2000grams</v>
      </c>
      <c r="U629" s="77">
        <f t="shared" si="29"/>
        <v>500</v>
      </c>
      <c r="V629" s="46"/>
      <c r="W629" s="46"/>
      <c r="X629" s="46"/>
    </row>
    <row r="630" spans="1:24" ht="15.75" customHeight="1" thickBot="1" x14ac:dyDescent="0.35">
      <c r="A630" s="4">
        <v>217</v>
      </c>
      <c r="B630" s="67" t="s">
        <v>347</v>
      </c>
      <c r="C630" s="55"/>
      <c r="D630" s="41"/>
      <c r="E630" s="55"/>
      <c r="F630" s="55"/>
      <c r="G630" s="55"/>
      <c r="H630" s="51"/>
      <c r="I630" s="52"/>
      <c r="J630" s="74" t="s">
        <v>921</v>
      </c>
      <c r="K630" s="57"/>
      <c r="L630" s="75">
        <v>27.2</v>
      </c>
      <c r="M630" s="60">
        <v>3</v>
      </c>
      <c r="N630" s="76">
        <v>113</v>
      </c>
      <c r="O630" s="42"/>
      <c r="P630" s="58" t="s">
        <v>36</v>
      </c>
      <c r="Q630" s="61"/>
      <c r="R630" s="62"/>
      <c r="S630" s="78">
        <f t="shared" ref="S630:S693" si="30">M630*N630</f>
        <v>339</v>
      </c>
      <c r="T630" s="44" t="str">
        <f t="shared" ref="T630:T693" si="31">CONCATENATE(S630,Q630,P630)</f>
        <v>339grams</v>
      </c>
      <c r="U630" s="77">
        <f t="shared" ref="U630:U693" si="32">L630*M630</f>
        <v>81.599999999999994</v>
      </c>
      <c r="V630" s="46"/>
      <c r="W630" s="46"/>
      <c r="X630" s="46"/>
    </row>
    <row r="631" spans="1:24" ht="15.75" customHeight="1" thickBot="1" x14ac:dyDescent="0.35">
      <c r="A631" s="4">
        <v>217</v>
      </c>
      <c r="B631" s="67" t="s">
        <v>347</v>
      </c>
      <c r="C631" s="55"/>
      <c r="D631" s="41"/>
      <c r="E631" s="55"/>
      <c r="F631" s="55"/>
      <c r="G631" s="55"/>
      <c r="H631" s="51"/>
      <c r="I631" s="52"/>
      <c r="J631" s="74" t="s">
        <v>921</v>
      </c>
      <c r="K631" s="57"/>
      <c r="L631" s="75">
        <v>47.2</v>
      </c>
      <c r="M631" s="60">
        <v>6</v>
      </c>
      <c r="N631" s="76">
        <v>225</v>
      </c>
      <c r="O631" s="42"/>
      <c r="P631" s="58" t="s">
        <v>138</v>
      </c>
      <c r="Q631" s="61"/>
      <c r="R631" s="62"/>
      <c r="S631" s="78">
        <f t="shared" si="30"/>
        <v>1350</v>
      </c>
      <c r="T631" s="44" t="str">
        <f t="shared" si="31"/>
        <v>1350drained weight grams</v>
      </c>
      <c r="U631" s="77">
        <f t="shared" si="32"/>
        <v>283.20000000000005</v>
      </c>
      <c r="V631" s="46"/>
      <c r="W631" s="46"/>
      <c r="X631" s="46"/>
    </row>
    <row r="632" spans="1:24" ht="15.75" customHeight="1" thickBot="1" x14ac:dyDescent="0.35">
      <c r="A632" s="4">
        <v>217</v>
      </c>
      <c r="B632" s="67" t="s">
        <v>347</v>
      </c>
      <c r="C632" s="55"/>
      <c r="D632" s="41"/>
      <c r="E632" s="55"/>
      <c r="F632" s="55"/>
      <c r="G632" s="55"/>
      <c r="H632" s="51"/>
      <c r="I632" s="52"/>
      <c r="J632" s="74" t="s">
        <v>921</v>
      </c>
      <c r="K632" s="57"/>
      <c r="L632" s="75">
        <v>27.2</v>
      </c>
      <c r="M632" s="60">
        <v>2</v>
      </c>
      <c r="N632" s="76">
        <v>113</v>
      </c>
      <c r="O632" s="42"/>
      <c r="P632" s="58" t="s">
        <v>138</v>
      </c>
      <c r="Q632" s="61"/>
      <c r="R632" s="62"/>
      <c r="S632" s="78">
        <f t="shared" si="30"/>
        <v>226</v>
      </c>
      <c r="T632" s="44" t="str">
        <f t="shared" si="31"/>
        <v>226drained weight grams</v>
      </c>
      <c r="U632" s="77">
        <f t="shared" si="32"/>
        <v>54.4</v>
      </c>
      <c r="V632" s="20"/>
      <c r="W632" s="20"/>
      <c r="X632" s="20"/>
    </row>
    <row r="633" spans="1:24" ht="15.75" customHeight="1" thickBot="1" x14ac:dyDescent="0.35">
      <c r="A633" s="4">
        <v>217</v>
      </c>
      <c r="B633" s="67" t="s">
        <v>347</v>
      </c>
      <c r="C633" s="55"/>
      <c r="D633" s="41"/>
      <c r="E633" s="55"/>
      <c r="F633" s="55"/>
      <c r="G633" s="55"/>
      <c r="H633" s="51"/>
      <c r="I633" s="52"/>
      <c r="J633" s="74" t="s">
        <v>1206</v>
      </c>
      <c r="K633" s="57"/>
      <c r="L633" s="75">
        <v>48</v>
      </c>
      <c r="M633" s="60">
        <v>17</v>
      </c>
      <c r="N633" s="76">
        <v>113</v>
      </c>
      <c r="O633" s="42"/>
      <c r="P633" s="58" t="s">
        <v>138</v>
      </c>
      <c r="Q633" s="61"/>
      <c r="R633" s="62"/>
      <c r="S633" s="78">
        <f t="shared" si="30"/>
        <v>1921</v>
      </c>
      <c r="T633" s="44" t="str">
        <f t="shared" si="31"/>
        <v>1921drained weight grams</v>
      </c>
      <c r="U633" s="77">
        <f t="shared" si="32"/>
        <v>816</v>
      </c>
      <c r="V633" s="50"/>
      <c r="W633" s="54"/>
      <c r="X633" s="39"/>
    </row>
    <row r="634" spans="1:24" ht="15.75" customHeight="1" thickBot="1" x14ac:dyDescent="0.35">
      <c r="A634" s="4">
        <v>217</v>
      </c>
      <c r="B634" s="67" t="s">
        <v>347</v>
      </c>
      <c r="C634" s="55"/>
      <c r="D634" s="41"/>
      <c r="E634" s="55"/>
      <c r="F634" s="55"/>
      <c r="G634" s="55"/>
      <c r="H634" s="51"/>
      <c r="I634" s="52"/>
      <c r="J634" s="74" t="s">
        <v>921</v>
      </c>
      <c r="K634" s="57"/>
      <c r="L634" s="75">
        <v>47.2</v>
      </c>
      <c r="M634" s="60">
        <v>2</v>
      </c>
      <c r="N634" s="76">
        <v>450</v>
      </c>
      <c r="O634" s="42"/>
      <c r="P634" s="58" t="s">
        <v>36</v>
      </c>
      <c r="Q634" s="61"/>
      <c r="R634" s="62"/>
      <c r="S634" s="78">
        <f t="shared" si="30"/>
        <v>900</v>
      </c>
      <c r="T634" s="44" t="str">
        <f t="shared" si="31"/>
        <v>900grams</v>
      </c>
      <c r="U634" s="77">
        <f t="shared" si="32"/>
        <v>94.4</v>
      </c>
      <c r="V634" s="50"/>
      <c r="W634" s="54"/>
      <c r="X634" s="39"/>
    </row>
    <row r="635" spans="1:24" ht="15.75" customHeight="1" thickBot="1" x14ac:dyDescent="0.35">
      <c r="A635" s="4">
        <v>217</v>
      </c>
      <c r="B635" s="68" t="s">
        <v>347</v>
      </c>
      <c r="C635" s="55"/>
      <c r="D635" s="41"/>
      <c r="E635" s="55"/>
      <c r="F635" s="55"/>
      <c r="G635" s="55"/>
      <c r="H635" s="51"/>
      <c r="I635" s="52"/>
      <c r="J635" s="74" t="s">
        <v>827</v>
      </c>
      <c r="K635" s="57"/>
      <c r="L635" s="75">
        <v>28.5</v>
      </c>
      <c r="M635" s="60">
        <v>3</v>
      </c>
      <c r="N635" s="76">
        <v>225</v>
      </c>
      <c r="O635" s="42"/>
      <c r="P635" s="58" t="s">
        <v>36</v>
      </c>
      <c r="Q635" s="61"/>
      <c r="R635" s="62"/>
      <c r="S635" s="78">
        <f t="shared" si="30"/>
        <v>675</v>
      </c>
      <c r="T635" s="44" t="str">
        <f t="shared" si="31"/>
        <v>675grams</v>
      </c>
      <c r="U635" s="77">
        <f t="shared" si="32"/>
        <v>85.5</v>
      </c>
      <c r="V635" s="46"/>
      <c r="W635" s="46"/>
      <c r="X635" s="46"/>
    </row>
    <row r="636" spans="1:24" ht="15.75" customHeight="1" thickBot="1" x14ac:dyDescent="0.35">
      <c r="A636" s="4">
        <v>217</v>
      </c>
      <c r="B636" s="68" t="s">
        <v>347</v>
      </c>
      <c r="C636" s="55"/>
      <c r="D636" s="41"/>
      <c r="E636" s="55"/>
      <c r="F636" s="55"/>
      <c r="G636" s="55"/>
      <c r="H636" s="51"/>
      <c r="I636" s="52"/>
      <c r="J636" s="74" t="s">
        <v>921</v>
      </c>
      <c r="K636" s="57"/>
      <c r="L636" s="75">
        <v>47.2</v>
      </c>
      <c r="M636" s="60">
        <v>2</v>
      </c>
      <c r="N636" s="76">
        <v>450</v>
      </c>
      <c r="O636" s="42"/>
      <c r="P636" s="58" t="s">
        <v>36</v>
      </c>
      <c r="Q636" s="61"/>
      <c r="R636" s="62"/>
      <c r="S636" s="78">
        <f t="shared" si="30"/>
        <v>900</v>
      </c>
      <c r="T636" s="44" t="str">
        <f t="shared" si="31"/>
        <v>900grams</v>
      </c>
      <c r="U636" s="77">
        <f t="shared" si="32"/>
        <v>94.4</v>
      </c>
      <c r="V636" s="46"/>
      <c r="W636" s="46"/>
      <c r="X636" s="46"/>
    </row>
    <row r="637" spans="1:24" ht="15.75" customHeight="1" thickBot="1" x14ac:dyDescent="0.35">
      <c r="A637" s="4">
        <v>218</v>
      </c>
      <c r="B637" s="67" t="s">
        <v>349</v>
      </c>
      <c r="C637" s="55"/>
      <c r="D637" s="41"/>
      <c r="E637" s="55"/>
      <c r="F637" s="55"/>
      <c r="G637" s="55"/>
      <c r="H637" s="51"/>
      <c r="I637" s="52"/>
      <c r="J637" s="74"/>
      <c r="K637" s="57"/>
      <c r="L637" s="75">
        <v>140</v>
      </c>
      <c r="M637" s="60">
        <v>1</v>
      </c>
      <c r="N637" s="76">
        <v>1</v>
      </c>
      <c r="O637" s="42"/>
      <c r="P637" s="58" t="s">
        <v>88</v>
      </c>
      <c r="Q637" s="61"/>
      <c r="R637" s="62"/>
      <c r="S637" s="78">
        <f t="shared" si="30"/>
        <v>1</v>
      </c>
      <c r="T637" s="44" t="str">
        <f t="shared" si="31"/>
        <v>1kilos</v>
      </c>
      <c r="U637" s="77">
        <f t="shared" si="32"/>
        <v>140</v>
      </c>
      <c r="V637" s="46"/>
      <c r="W637" s="46"/>
      <c r="X637" s="46"/>
    </row>
    <row r="638" spans="1:24" ht="15.75" customHeight="1" thickBot="1" x14ac:dyDescent="0.35">
      <c r="A638" s="4">
        <v>218</v>
      </c>
      <c r="B638" s="67" t="s">
        <v>349</v>
      </c>
      <c r="C638" s="55"/>
      <c r="D638" s="41"/>
      <c r="E638" s="55"/>
      <c r="F638" s="55"/>
      <c r="G638" s="55"/>
      <c r="H638" s="51"/>
      <c r="I638" s="52"/>
      <c r="J638" s="74"/>
      <c r="K638" s="57"/>
      <c r="L638" s="75">
        <v>170</v>
      </c>
      <c r="M638" s="60">
        <v>1</v>
      </c>
      <c r="N638" s="76">
        <v>1000</v>
      </c>
      <c r="O638" s="42"/>
      <c r="P638" s="58" t="s">
        <v>36</v>
      </c>
      <c r="Q638" s="61"/>
      <c r="R638" s="62"/>
      <c r="S638" s="78">
        <f t="shared" si="30"/>
        <v>1000</v>
      </c>
      <c r="T638" s="44" t="str">
        <f t="shared" si="31"/>
        <v>1000grams</v>
      </c>
      <c r="U638" s="77">
        <f t="shared" si="32"/>
        <v>170</v>
      </c>
      <c r="V638" s="46"/>
      <c r="W638" s="46"/>
      <c r="X638" s="46"/>
    </row>
    <row r="639" spans="1:24" ht="15.75" customHeight="1" thickBot="1" x14ac:dyDescent="0.35">
      <c r="A639" s="4">
        <v>219</v>
      </c>
      <c r="B639" s="67" t="s">
        <v>1207</v>
      </c>
      <c r="C639" s="55"/>
      <c r="D639" s="41"/>
      <c r="E639" s="55"/>
      <c r="F639" s="55"/>
      <c r="G639" s="55"/>
      <c r="H639" s="51"/>
      <c r="I639" s="52"/>
      <c r="J639" s="74" t="s">
        <v>816</v>
      </c>
      <c r="K639" s="57"/>
      <c r="L639" s="75">
        <v>6</v>
      </c>
      <c r="M639" s="60">
        <v>5</v>
      </c>
      <c r="N639" s="76">
        <v>1</v>
      </c>
      <c r="O639" s="42"/>
      <c r="P639" s="58" t="s">
        <v>38</v>
      </c>
      <c r="Q639" s="61"/>
      <c r="R639" s="62"/>
      <c r="S639" s="78">
        <f t="shared" si="30"/>
        <v>5</v>
      </c>
      <c r="T639" s="44" t="str">
        <f t="shared" si="31"/>
        <v>5pieces</v>
      </c>
      <c r="U639" s="77">
        <f t="shared" si="32"/>
        <v>30</v>
      </c>
      <c r="V639" s="46"/>
      <c r="W639" s="46"/>
      <c r="X639" s="46"/>
    </row>
    <row r="640" spans="1:24" ht="15.75" customHeight="1" thickBot="1" x14ac:dyDescent="0.35">
      <c r="A640" s="4">
        <v>220</v>
      </c>
      <c r="B640" s="67" t="s">
        <v>352</v>
      </c>
      <c r="C640" s="55"/>
      <c r="D640" s="41"/>
      <c r="E640" s="55"/>
      <c r="F640" s="55"/>
      <c r="G640" s="55"/>
      <c r="H640" s="51"/>
      <c r="I640" s="52"/>
      <c r="J640" s="74" t="s">
        <v>816</v>
      </c>
      <c r="K640" s="57"/>
      <c r="L640" s="75">
        <v>780</v>
      </c>
      <c r="M640" s="60">
        <v>1</v>
      </c>
      <c r="N640" s="76">
        <v>1000</v>
      </c>
      <c r="O640" s="42"/>
      <c r="P640" s="58" t="s">
        <v>88</v>
      </c>
      <c r="Q640" s="61"/>
      <c r="R640" s="62"/>
      <c r="S640" s="78">
        <f t="shared" si="30"/>
        <v>1000</v>
      </c>
      <c r="T640" s="44" t="str">
        <f t="shared" si="31"/>
        <v>1000kilos</v>
      </c>
      <c r="U640" s="77">
        <f t="shared" si="32"/>
        <v>780</v>
      </c>
      <c r="V640" s="50"/>
      <c r="W640" s="54"/>
      <c r="X640" s="39"/>
    </row>
    <row r="641" spans="1:24" ht="15.75" customHeight="1" thickBot="1" x14ac:dyDescent="0.35">
      <c r="A641" s="4">
        <v>221</v>
      </c>
      <c r="B641" s="68" t="s">
        <v>1208</v>
      </c>
      <c r="C641" s="55"/>
      <c r="D641" s="41"/>
      <c r="E641" s="55"/>
      <c r="F641" s="55"/>
      <c r="G641" s="55"/>
      <c r="H641" s="51"/>
      <c r="I641" s="52"/>
      <c r="J641" s="74" t="s">
        <v>1209</v>
      </c>
      <c r="K641" s="57"/>
      <c r="L641" s="75">
        <v>15.55</v>
      </c>
      <c r="M641" s="60">
        <v>33</v>
      </c>
      <c r="N641" s="76">
        <v>50</v>
      </c>
      <c r="O641" s="42"/>
      <c r="P641" s="58" t="s">
        <v>36</v>
      </c>
      <c r="Q641" s="61"/>
      <c r="R641" s="62"/>
      <c r="S641" s="78">
        <f t="shared" si="30"/>
        <v>1650</v>
      </c>
      <c r="T641" s="44" t="str">
        <f t="shared" si="31"/>
        <v>1650grams</v>
      </c>
      <c r="U641" s="77">
        <f t="shared" si="32"/>
        <v>513.15</v>
      </c>
      <c r="V641" s="50"/>
      <c r="W641" s="54"/>
      <c r="X641" s="39"/>
    </row>
    <row r="642" spans="1:24" ht="15.75" customHeight="1" thickBot="1" x14ac:dyDescent="0.35">
      <c r="A642" s="4">
        <v>222</v>
      </c>
      <c r="B642" s="68" t="s">
        <v>355</v>
      </c>
      <c r="C642" s="55"/>
      <c r="D642" s="41"/>
      <c r="E642" s="55"/>
      <c r="F642" s="55"/>
      <c r="G642" s="55"/>
      <c r="H642" s="51"/>
      <c r="I642" s="52"/>
      <c r="J642" s="74" t="s">
        <v>115</v>
      </c>
      <c r="K642" s="57"/>
      <c r="L642" s="75">
        <v>372</v>
      </c>
      <c r="M642" s="60">
        <v>3</v>
      </c>
      <c r="N642" s="76">
        <v>1</v>
      </c>
      <c r="O642" s="42"/>
      <c r="P642" s="58" t="s">
        <v>53</v>
      </c>
      <c r="Q642" s="61"/>
      <c r="R642" s="62"/>
      <c r="S642" s="78">
        <f t="shared" si="30"/>
        <v>3</v>
      </c>
      <c r="T642" s="44" t="str">
        <f t="shared" si="31"/>
        <v>3gal</v>
      </c>
      <c r="U642" s="77">
        <f t="shared" si="32"/>
        <v>1116</v>
      </c>
      <c r="V642" s="46"/>
      <c r="W642" s="46"/>
      <c r="X642" s="46"/>
    </row>
    <row r="643" spans="1:24" ht="15.75" customHeight="1" thickBot="1" x14ac:dyDescent="0.35">
      <c r="A643" s="4">
        <v>223</v>
      </c>
      <c r="B643" s="67" t="s">
        <v>1210</v>
      </c>
      <c r="C643" s="55"/>
      <c r="D643" s="41"/>
      <c r="E643" s="55"/>
      <c r="F643" s="55"/>
      <c r="G643" s="55"/>
      <c r="H643" s="51"/>
      <c r="I643" s="52"/>
      <c r="J643" s="74" t="s">
        <v>1211</v>
      </c>
      <c r="K643" s="57"/>
      <c r="L643" s="75">
        <v>135</v>
      </c>
      <c r="M643" s="60">
        <v>0</v>
      </c>
      <c r="N643" s="76">
        <v>750</v>
      </c>
      <c r="O643" s="42"/>
      <c r="P643" s="58" t="s">
        <v>36</v>
      </c>
      <c r="Q643" s="61"/>
      <c r="R643" s="62"/>
      <c r="S643" s="78">
        <f t="shared" si="30"/>
        <v>0</v>
      </c>
      <c r="T643" s="44" t="str">
        <f t="shared" si="31"/>
        <v>0grams</v>
      </c>
      <c r="U643" s="77">
        <f t="shared" si="32"/>
        <v>0</v>
      </c>
      <c r="V643" s="20"/>
      <c r="W643" s="20"/>
      <c r="X643" s="20"/>
    </row>
    <row r="644" spans="1:24" ht="15.75" customHeight="1" thickBot="1" x14ac:dyDescent="0.35">
      <c r="A644" s="4">
        <v>224</v>
      </c>
      <c r="B644" s="67" t="s">
        <v>356</v>
      </c>
      <c r="C644" s="55"/>
      <c r="D644" s="41"/>
      <c r="E644" s="55"/>
      <c r="F644" s="55"/>
      <c r="G644" s="55"/>
      <c r="H644" s="51"/>
      <c r="I644" s="52"/>
      <c r="J644" s="74" t="s">
        <v>142</v>
      </c>
      <c r="K644" s="57"/>
      <c r="L644" s="75">
        <v>45</v>
      </c>
      <c r="M644" s="60">
        <v>1</v>
      </c>
      <c r="N644" s="76">
        <v>1</v>
      </c>
      <c r="O644" s="42"/>
      <c r="P644" s="58" t="s">
        <v>88</v>
      </c>
      <c r="Q644" s="61"/>
      <c r="R644" s="62"/>
      <c r="S644" s="78">
        <f t="shared" si="30"/>
        <v>1</v>
      </c>
      <c r="T644" s="44" t="str">
        <f t="shared" si="31"/>
        <v>1kilos</v>
      </c>
      <c r="U644" s="77">
        <f t="shared" si="32"/>
        <v>45</v>
      </c>
      <c r="V644" s="46"/>
      <c r="W644" s="46"/>
      <c r="X644" s="46"/>
    </row>
    <row r="645" spans="1:24" ht="15.75" customHeight="1" thickBot="1" x14ac:dyDescent="0.35">
      <c r="A645" s="4">
        <v>224</v>
      </c>
      <c r="B645" s="67" t="s">
        <v>356</v>
      </c>
      <c r="C645" s="55"/>
      <c r="D645" s="41"/>
      <c r="E645" s="55"/>
      <c r="F645" s="55"/>
      <c r="G645" s="55"/>
      <c r="H645" s="51"/>
      <c r="I645" s="52"/>
      <c r="J645" s="74" t="s">
        <v>142</v>
      </c>
      <c r="K645" s="57"/>
      <c r="L645" s="75">
        <v>150</v>
      </c>
      <c r="M645" s="60">
        <v>0</v>
      </c>
      <c r="N645" s="76">
        <v>1000</v>
      </c>
      <c r="O645" s="42"/>
      <c r="P645" s="58" t="s">
        <v>36</v>
      </c>
      <c r="Q645" s="61"/>
      <c r="R645" s="62"/>
      <c r="S645" s="78">
        <f t="shared" si="30"/>
        <v>0</v>
      </c>
      <c r="T645" s="44" t="str">
        <f t="shared" si="31"/>
        <v>0grams</v>
      </c>
      <c r="U645" s="77">
        <f t="shared" si="32"/>
        <v>0</v>
      </c>
      <c r="V645" s="46"/>
      <c r="W645" s="46"/>
      <c r="X645" s="46"/>
    </row>
    <row r="646" spans="1:24" ht="15.75" customHeight="1" thickBot="1" x14ac:dyDescent="0.35">
      <c r="A646" s="4">
        <v>224</v>
      </c>
      <c r="B646" s="67" t="s">
        <v>356</v>
      </c>
      <c r="C646" s="55"/>
      <c r="D646" s="41"/>
      <c r="E646" s="55"/>
      <c r="F646" s="55"/>
      <c r="G646" s="55"/>
      <c r="H646" s="51"/>
      <c r="I646" s="52"/>
      <c r="J646" s="74" t="s">
        <v>142</v>
      </c>
      <c r="K646" s="57"/>
      <c r="L646" s="75">
        <v>150</v>
      </c>
      <c r="M646" s="60">
        <v>2</v>
      </c>
      <c r="N646" s="76">
        <v>1000</v>
      </c>
      <c r="O646" s="42"/>
      <c r="P646" s="58" t="s">
        <v>36</v>
      </c>
      <c r="Q646" s="61"/>
      <c r="R646" s="62"/>
      <c r="S646" s="78">
        <f t="shared" si="30"/>
        <v>2000</v>
      </c>
      <c r="T646" s="44" t="str">
        <f t="shared" si="31"/>
        <v>2000grams</v>
      </c>
      <c r="U646" s="77">
        <f t="shared" si="32"/>
        <v>300</v>
      </c>
      <c r="V646" s="50"/>
      <c r="W646" s="54"/>
      <c r="X646" s="39"/>
    </row>
    <row r="647" spans="1:24" ht="15.75" customHeight="1" thickBot="1" x14ac:dyDescent="0.35">
      <c r="A647" s="4">
        <v>224</v>
      </c>
      <c r="B647" s="67" t="s">
        <v>356</v>
      </c>
      <c r="C647" s="55"/>
      <c r="D647" s="41"/>
      <c r="E647" s="55"/>
      <c r="F647" s="55"/>
      <c r="G647" s="55"/>
      <c r="H647" s="51"/>
      <c r="I647" s="52"/>
      <c r="J647" s="74" t="s">
        <v>874</v>
      </c>
      <c r="K647" s="57"/>
      <c r="L647" s="75">
        <v>150</v>
      </c>
      <c r="M647" s="60">
        <v>0</v>
      </c>
      <c r="N647" s="76">
        <v>1000</v>
      </c>
      <c r="O647" s="42"/>
      <c r="P647" s="58" t="s">
        <v>88</v>
      </c>
      <c r="Q647" s="61"/>
      <c r="R647" s="62"/>
      <c r="S647" s="78">
        <f t="shared" si="30"/>
        <v>0</v>
      </c>
      <c r="T647" s="44" t="str">
        <f t="shared" si="31"/>
        <v>0kilos</v>
      </c>
      <c r="U647" s="77">
        <f t="shared" si="32"/>
        <v>0</v>
      </c>
      <c r="V647" s="46"/>
      <c r="W647" s="46"/>
      <c r="X647" s="46"/>
    </row>
    <row r="648" spans="1:24" ht="15.75" customHeight="1" thickBot="1" x14ac:dyDescent="0.35">
      <c r="A648" s="4">
        <v>225</v>
      </c>
      <c r="B648" s="67" t="s">
        <v>357</v>
      </c>
      <c r="C648" s="55"/>
      <c r="D648" s="41"/>
      <c r="E648" s="55"/>
      <c r="F648" s="55"/>
      <c r="G648" s="55"/>
      <c r="H648" s="51"/>
      <c r="I648" s="52"/>
      <c r="J648" s="74" t="s">
        <v>1212</v>
      </c>
      <c r="K648" s="57"/>
      <c r="L648" s="75">
        <v>28.2</v>
      </c>
      <c r="M648" s="60">
        <v>1</v>
      </c>
      <c r="N648" s="76">
        <v>150</v>
      </c>
      <c r="O648" s="42"/>
      <c r="P648" s="58" t="s">
        <v>36</v>
      </c>
      <c r="Q648" s="61"/>
      <c r="R648" s="62"/>
      <c r="S648" s="78">
        <f t="shared" si="30"/>
        <v>150</v>
      </c>
      <c r="T648" s="44" t="str">
        <f t="shared" si="31"/>
        <v>150grams</v>
      </c>
      <c r="U648" s="77">
        <f t="shared" si="32"/>
        <v>28.2</v>
      </c>
      <c r="V648" s="50"/>
      <c r="W648" s="20"/>
      <c r="X648" s="20"/>
    </row>
    <row r="649" spans="1:24" ht="15.75" customHeight="1" thickBot="1" x14ac:dyDescent="0.35">
      <c r="A649" s="4">
        <v>225</v>
      </c>
      <c r="B649" s="67" t="s">
        <v>357</v>
      </c>
      <c r="C649" s="55"/>
      <c r="D649" s="41"/>
      <c r="E649" s="55"/>
      <c r="F649" s="55"/>
      <c r="G649" s="55"/>
      <c r="H649" s="51"/>
      <c r="I649" s="52"/>
      <c r="J649" s="74" t="s">
        <v>90</v>
      </c>
      <c r="K649" s="57"/>
      <c r="L649" s="75">
        <v>41.6</v>
      </c>
      <c r="M649" s="60">
        <v>10</v>
      </c>
      <c r="N649" s="76">
        <v>250</v>
      </c>
      <c r="O649" s="42"/>
      <c r="P649" s="58" t="s">
        <v>36</v>
      </c>
      <c r="Q649" s="61"/>
      <c r="R649" s="62"/>
      <c r="S649" s="78">
        <f t="shared" si="30"/>
        <v>2500</v>
      </c>
      <c r="T649" s="44" t="str">
        <f t="shared" si="31"/>
        <v>2500grams</v>
      </c>
      <c r="U649" s="77">
        <f t="shared" si="32"/>
        <v>416</v>
      </c>
      <c r="V649" s="46"/>
      <c r="W649" s="46"/>
      <c r="X649" s="46"/>
    </row>
    <row r="650" spans="1:24" ht="15.75" customHeight="1" thickBot="1" x14ac:dyDescent="0.35">
      <c r="A650" s="4">
        <v>226</v>
      </c>
      <c r="B650" s="67" t="s">
        <v>358</v>
      </c>
      <c r="C650" s="55"/>
      <c r="D650" s="41"/>
      <c r="E650" s="55"/>
      <c r="F650" s="55"/>
      <c r="G650" s="55"/>
      <c r="H650" s="51"/>
      <c r="I650" s="52"/>
      <c r="J650" s="74" t="s">
        <v>1213</v>
      </c>
      <c r="K650" s="57"/>
      <c r="L650" s="75">
        <v>57</v>
      </c>
      <c r="M650" s="60">
        <v>4</v>
      </c>
      <c r="N650" s="76">
        <v>500</v>
      </c>
      <c r="O650" s="42"/>
      <c r="P650" s="58" t="s">
        <v>36</v>
      </c>
      <c r="Q650" s="61"/>
      <c r="R650" s="62"/>
      <c r="S650" s="78">
        <f t="shared" si="30"/>
        <v>2000</v>
      </c>
      <c r="T650" s="44" t="str">
        <f t="shared" si="31"/>
        <v>2000grams</v>
      </c>
      <c r="U650" s="77">
        <f t="shared" si="32"/>
        <v>228</v>
      </c>
      <c r="V650" s="46"/>
      <c r="W650" s="46"/>
      <c r="X650" s="46"/>
    </row>
    <row r="651" spans="1:24" ht="15.75" customHeight="1" thickBot="1" x14ac:dyDescent="0.35">
      <c r="A651" s="4">
        <v>226</v>
      </c>
      <c r="B651" s="67" t="s">
        <v>358</v>
      </c>
      <c r="C651" s="55"/>
      <c r="D651" s="41"/>
      <c r="E651" s="55"/>
      <c r="F651" s="55"/>
      <c r="G651" s="55"/>
      <c r="H651" s="51"/>
      <c r="I651" s="52"/>
      <c r="J651" s="74" t="s">
        <v>1213</v>
      </c>
      <c r="K651" s="57"/>
      <c r="L651" s="75">
        <v>62.5</v>
      </c>
      <c r="M651" s="60">
        <v>1</v>
      </c>
      <c r="N651" s="76">
        <v>500</v>
      </c>
      <c r="O651" s="42"/>
      <c r="P651" s="58" t="s">
        <v>36</v>
      </c>
      <c r="Q651" s="61"/>
      <c r="R651" s="62"/>
      <c r="S651" s="78">
        <f t="shared" si="30"/>
        <v>500</v>
      </c>
      <c r="T651" s="44" t="str">
        <f t="shared" si="31"/>
        <v>500grams</v>
      </c>
      <c r="U651" s="77">
        <f t="shared" si="32"/>
        <v>62.5</v>
      </c>
      <c r="V651" s="46"/>
      <c r="W651" s="46"/>
      <c r="X651" s="46"/>
    </row>
    <row r="652" spans="1:24" ht="15.75" customHeight="1" thickBot="1" x14ac:dyDescent="0.35">
      <c r="A652" s="4">
        <v>226</v>
      </c>
      <c r="B652" s="67" t="s">
        <v>358</v>
      </c>
      <c r="C652" s="55"/>
      <c r="D652" s="41"/>
      <c r="E652" s="55"/>
      <c r="F652" s="55"/>
      <c r="G652" s="55"/>
      <c r="H652" s="51"/>
      <c r="I652" s="52"/>
      <c r="J652" s="74" t="s">
        <v>1214</v>
      </c>
      <c r="K652" s="57"/>
      <c r="L652" s="75">
        <v>50</v>
      </c>
      <c r="M652" s="60">
        <v>15</v>
      </c>
      <c r="N652" s="76">
        <v>500</v>
      </c>
      <c r="O652" s="42"/>
      <c r="P652" s="58" t="s">
        <v>36</v>
      </c>
      <c r="Q652" s="61"/>
      <c r="R652" s="62"/>
      <c r="S652" s="78">
        <f t="shared" si="30"/>
        <v>7500</v>
      </c>
      <c r="T652" s="44" t="str">
        <f t="shared" si="31"/>
        <v>7500grams</v>
      </c>
      <c r="U652" s="77">
        <f t="shared" si="32"/>
        <v>750</v>
      </c>
      <c r="V652" s="46"/>
      <c r="W652" s="46"/>
      <c r="X652" s="46"/>
    </row>
    <row r="653" spans="1:24" ht="15.75" customHeight="1" thickBot="1" x14ac:dyDescent="0.35">
      <c r="A653" s="4">
        <v>226</v>
      </c>
      <c r="B653" s="67" t="s">
        <v>358</v>
      </c>
      <c r="C653" s="55"/>
      <c r="D653" s="41"/>
      <c r="E653" s="55"/>
      <c r="F653" s="55"/>
      <c r="G653" s="55"/>
      <c r="H653" s="51"/>
      <c r="I653" s="52"/>
      <c r="J653" s="74" t="s">
        <v>1214</v>
      </c>
      <c r="K653" s="57"/>
      <c r="L653" s="75">
        <v>55</v>
      </c>
      <c r="M653" s="60">
        <v>2</v>
      </c>
      <c r="N653" s="76">
        <v>500</v>
      </c>
      <c r="O653" s="42"/>
      <c r="P653" s="58" t="s">
        <v>36</v>
      </c>
      <c r="Q653" s="61"/>
      <c r="R653" s="62"/>
      <c r="S653" s="78">
        <f t="shared" si="30"/>
        <v>1000</v>
      </c>
      <c r="T653" s="44" t="str">
        <f t="shared" si="31"/>
        <v>1000grams</v>
      </c>
      <c r="U653" s="77">
        <f t="shared" si="32"/>
        <v>110</v>
      </c>
      <c r="V653" s="20"/>
      <c r="W653" s="20"/>
      <c r="X653" s="20"/>
    </row>
    <row r="654" spans="1:24" ht="15.75" customHeight="1" thickBot="1" x14ac:dyDescent="0.35">
      <c r="A654" s="4">
        <v>226</v>
      </c>
      <c r="B654" s="68" t="s">
        <v>358</v>
      </c>
      <c r="C654" s="55"/>
      <c r="D654" s="41"/>
      <c r="E654" s="55"/>
      <c r="F654" s="55"/>
      <c r="G654" s="55"/>
      <c r="H654" s="51"/>
      <c r="I654" s="52"/>
      <c r="J654" s="74" t="s">
        <v>1215</v>
      </c>
      <c r="K654" s="57"/>
      <c r="L654" s="75">
        <v>47.5</v>
      </c>
      <c r="M654" s="60">
        <v>5</v>
      </c>
      <c r="N654" s="76">
        <v>500</v>
      </c>
      <c r="O654" s="42"/>
      <c r="P654" s="58" t="s">
        <v>36</v>
      </c>
      <c r="Q654" s="61"/>
      <c r="R654" s="62"/>
      <c r="S654" s="78">
        <f t="shared" si="30"/>
        <v>2500</v>
      </c>
      <c r="T654" s="44" t="str">
        <f t="shared" si="31"/>
        <v>2500grams</v>
      </c>
      <c r="U654" s="77">
        <f t="shared" si="32"/>
        <v>237.5</v>
      </c>
      <c r="V654" s="20"/>
      <c r="W654" s="20"/>
      <c r="X654" s="20"/>
    </row>
    <row r="655" spans="1:24" ht="15.75" customHeight="1" thickBot="1" x14ac:dyDescent="0.35">
      <c r="A655" s="4">
        <v>226</v>
      </c>
      <c r="B655" s="68" t="s">
        <v>358</v>
      </c>
      <c r="C655" s="55"/>
      <c r="D655" s="41"/>
      <c r="E655" s="55"/>
      <c r="F655" s="55"/>
      <c r="G655" s="55"/>
      <c r="H655" s="51"/>
      <c r="I655" s="52"/>
      <c r="J655" s="74" t="s">
        <v>1216</v>
      </c>
      <c r="K655" s="57"/>
      <c r="L655" s="75">
        <v>32.5</v>
      </c>
      <c r="M655" s="60">
        <v>2</v>
      </c>
      <c r="N655" s="76">
        <v>500</v>
      </c>
      <c r="O655" s="42"/>
      <c r="P655" s="58" t="s">
        <v>36</v>
      </c>
      <c r="Q655" s="61"/>
      <c r="R655" s="62"/>
      <c r="S655" s="78">
        <f t="shared" si="30"/>
        <v>1000</v>
      </c>
      <c r="T655" s="44" t="str">
        <f t="shared" si="31"/>
        <v>1000grams</v>
      </c>
      <c r="U655" s="77">
        <f t="shared" si="32"/>
        <v>65</v>
      </c>
      <c r="V655" s="46"/>
      <c r="W655" s="46"/>
      <c r="X655" s="46"/>
    </row>
    <row r="656" spans="1:24" ht="15.75" customHeight="1" thickBot="1" x14ac:dyDescent="0.35">
      <c r="A656" s="4">
        <v>227</v>
      </c>
      <c r="B656" s="67" t="s">
        <v>364</v>
      </c>
      <c r="C656" s="55"/>
      <c r="D656" s="41"/>
      <c r="E656" s="55"/>
      <c r="F656" s="55"/>
      <c r="G656" s="55"/>
      <c r="H656" s="51"/>
      <c r="I656" s="52"/>
      <c r="J656" s="74" t="s">
        <v>1143</v>
      </c>
      <c r="K656" s="57"/>
      <c r="L656" s="75">
        <v>41.9</v>
      </c>
      <c r="M656" s="60">
        <v>3</v>
      </c>
      <c r="N656" s="76">
        <v>210</v>
      </c>
      <c r="O656" s="42"/>
      <c r="P656" s="58" t="s">
        <v>36</v>
      </c>
      <c r="Q656" s="61"/>
      <c r="R656" s="62"/>
      <c r="S656" s="78">
        <f t="shared" si="30"/>
        <v>630</v>
      </c>
      <c r="T656" s="44" t="str">
        <f t="shared" si="31"/>
        <v>630grams</v>
      </c>
      <c r="U656" s="77">
        <f t="shared" si="32"/>
        <v>125.69999999999999</v>
      </c>
      <c r="V656" s="46"/>
      <c r="W656" s="46"/>
      <c r="X656" s="46"/>
    </row>
    <row r="657" spans="1:24" ht="15.75" customHeight="1" thickBot="1" x14ac:dyDescent="0.35">
      <c r="A657" s="4">
        <v>227</v>
      </c>
      <c r="B657" s="67" t="s">
        <v>364</v>
      </c>
      <c r="C657" s="55"/>
      <c r="D657" s="41"/>
      <c r="E657" s="55"/>
      <c r="F657" s="55"/>
      <c r="G657" s="55"/>
      <c r="H657" s="51"/>
      <c r="I657" s="52"/>
      <c r="J657" s="74" t="s">
        <v>1143</v>
      </c>
      <c r="K657" s="57"/>
      <c r="L657" s="75">
        <v>46</v>
      </c>
      <c r="M657" s="60">
        <v>1</v>
      </c>
      <c r="N657" s="76">
        <v>500</v>
      </c>
      <c r="O657" s="42"/>
      <c r="P657" s="58" t="s">
        <v>36</v>
      </c>
      <c r="Q657" s="61"/>
      <c r="R657" s="62"/>
      <c r="S657" s="78">
        <f t="shared" si="30"/>
        <v>500</v>
      </c>
      <c r="T657" s="44" t="str">
        <f t="shared" si="31"/>
        <v>500grams</v>
      </c>
      <c r="U657" s="77">
        <f t="shared" si="32"/>
        <v>46</v>
      </c>
      <c r="V657" s="50"/>
      <c r="W657" s="20"/>
      <c r="X657" s="20"/>
    </row>
    <row r="658" spans="1:24" ht="15.75" customHeight="1" thickBot="1" x14ac:dyDescent="0.35">
      <c r="A658" s="4">
        <v>227</v>
      </c>
      <c r="B658" s="68" t="s">
        <v>364</v>
      </c>
      <c r="C658" s="55"/>
      <c r="D658" s="41"/>
      <c r="E658" s="55"/>
      <c r="F658" s="55"/>
      <c r="G658" s="55"/>
      <c r="H658" s="51"/>
      <c r="I658" s="52"/>
      <c r="J658" s="74" t="s">
        <v>1143</v>
      </c>
      <c r="K658" s="57"/>
      <c r="L658" s="75">
        <v>41.3</v>
      </c>
      <c r="M658" s="60">
        <v>3</v>
      </c>
      <c r="N658" s="76">
        <v>210</v>
      </c>
      <c r="O658" s="42"/>
      <c r="P658" s="58" t="s">
        <v>36</v>
      </c>
      <c r="Q658" s="61"/>
      <c r="R658" s="62"/>
      <c r="S658" s="78">
        <f t="shared" si="30"/>
        <v>630</v>
      </c>
      <c r="T658" s="44" t="str">
        <f t="shared" si="31"/>
        <v>630grams</v>
      </c>
      <c r="U658" s="77">
        <f t="shared" si="32"/>
        <v>123.89999999999999</v>
      </c>
      <c r="V658" s="46"/>
      <c r="W658" s="46"/>
      <c r="X658" s="46"/>
    </row>
    <row r="659" spans="1:24" ht="15.75" customHeight="1" thickBot="1" x14ac:dyDescent="0.35">
      <c r="A659" s="4">
        <v>227</v>
      </c>
      <c r="B659" s="67" t="s">
        <v>364</v>
      </c>
      <c r="C659" s="55"/>
      <c r="D659" s="41"/>
      <c r="E659" s="55"/>
      <c r="F659" s="55"/>
      <c r="G659" s="55"/>
      <c r="H659" s="51"/>
      <c r="I659" s="52"/>
      <c r="J659" s="74" t="s">
        <v>1143</v>
      </c>
      <c r="K659" s="57"/>
      <c r="L659" s="75">
        <v>41.9</v>
      </c>
      <c r="M659" s="60">
        <v>2</v>
      </c>
      <c r="N659" s="76">
        <v>210</v>
      </c>
      <c r="O659" s="42"/>
      <c r="P659" s="58" t="s">
        <v>36</v>
      </c>
      <c r="Q659" s="61"/>
      <c r="R659" s="62"/>
      <c r="S659" s="78">
        <f t="shared" si="30"/>
        <v>420</v>
      </c>
      <c r="T659" s="44" t="str">
        <f t="shared" si="31"/>
        <v>420grams</v>
      </c>
      <c r="U659" s="77">
        <f t="shared" si="32"/>
        <v>83.8</v>
      </c>
      <c r="V659" s="46"/>
      <c r="W659" s="46"/>
      <c r="X659" s="46"/>
    </row>
    <row r="660" spans="1:24" ht="15.75" customHeight="1" thickBot="1" x14ac:dyDescent="0.35">
      <c r="A660" s="4">
        <v>228</v>
      </c>
      <c r="B660" s="67" t="s">
        <v>1217</v>
      </c>
      <c r="C660" s="55"/>
      <c r="D660" s="41"/>
      <c r="E660" s="55"/>
      <c r="F660" s="55"/>
      <c r="G660" s="55"/>
      <c r="H660" s="51"/>
      <c r="I660" s="52"/>
      <c r="J660" s="74"/>
      <c r="K660" s="57"/>
      <c r="L660" s="75">
        <v>270</v>
      </c>
      <c r="M660" s="60">
        <v>0</v>
      </c>
      <c r="N660" s="76">
        <v>1</v>
      </c>
      <c r="O660" s="42"/>
      <c r="P660" s="58" t="s">
        <v>88</v>
      </c>
      <c r="Q660" s="61"/>
      <c r="R660" s="62"/>
      <c r="S660" s="78">
        <f t="shared" si="30"/>
        <v>0</v>
      </c>
      <c r="T660" s="44" t="str">
        <f t="shared" si="31"/>
        <v>0kilos</v>
      </c>
      <c r="U660" s="77">
        <f t="shared" si="32"/>
        <v>0</v>
      </c>
      <c r="V660" s="20"/>
      <c r="W660" s="20"/>
      <c r="X660" s="20"/>
    </row>
    <row r="661" spans="1:24" ht="15.75" customHeight="1" thickBot="1" x14ac:dyDescent="0.35">
      <c r="A661" s="4">
        <v>229</v>
      </c>
      <c r="B661" s="67" t="s">
        <v>1218</v>
      </c>
      <c r="C661" s="55"/>
      <c r="D661" s="41"/>
      <c r="E661" s="55"/>
      <c r="F661" s="55"/>
      <c r="G661" s="55"/>
      <c r="H661" s="51"/>
      <c r="I661" s="52"/>
      <c r="J661" s="74"/>
      <c r="K661" s="57"/>
      <c r="L661" s="75">
        <v>180</v>
      </c>
      <c r="M661" s="60">
        <v>0</v>
      </c>
      <c r="N661" s="76">
        <v>1000</v>
      </c>
      <c r="O661" s="42"/>
      <c r="P661" s="58" t="s">
        <v>36</v>
      </c>
      <c r="Q661" s="61"/>
      <c r="R661" s="62"/>
      <c r="S661" s="78">
        <f t="shared" si="30"/>
        <v>0</v>
      </c>
      <c r="T661" s="44" t="str">
        <f t="shared" si="31"/>
        <v>0grams</v>
      </c>
      <c r="U661" s="77">
        <f t="shared" si="32"/>
        <v>0</v>
      </c>
      <c r="V661" s="20"/>
      <c r="W661" s="20"/>
      <c r="X661" s="20"/>
    </row>
    <row r="662" spans="1:24" ht="15.75" customHeight="1" thickBot="1" x14ac:dyDescent="0.35">
      <c r="A662" s="4">
        <v>230</v>
      </c>
      <c r="B662" s="67" t="s">
        <v>368</v>
      </c>
      <c r="C662" s="55"/>
      <c r="D662" s="41"/>
      <c r="E662" s="55"/>
      <c r="F662" s="55"/>
      <c r="G662" s="55"/>
      <c r="H662" s="51"/>
      <c r="I662" s="52"/>
      <c r="J662" s="74" t="s">
        <v>827</v>
      </c>
      <c r="K662" s="57"/>
      <c r="L662" s="75">
        <v>48</v>
      </c>
      <c r="M662" s="60">
        <v>1</v>
      </c>
      <c r="N662" s="76">
        <v>540</v>
      </c>
      <c r="O662" s="42"/>
      <c r="P662" s="58" t="s">
        <v>36</v>
      </c>
      <c r="Q662" s="61"/>
      <c r="R662" s="62"/>
      <c r="S662" s="78">
        <f t="shared" si="30"/>
        <v>540</v>
      </c>
      <c r="T662" s="44" t="str">
        <f t="shared" si="31"/>
        <v>540grams</v>
      </c>
      <c r="U662" s="77">
        <f t="shared" si="32"/>
        <v>48</v>
      </c>
      <c r="V662" s="50"/>
      <c r="W662" s="20"/>
      <c r="X662" s="20"/>
    </row>
    <row r="663" spans="1:24" ht="15.75" customHeight="1" thickBot="1" x14ac:dyDescent="0.35">
      <c r="A663" s="4">
        <v>231</v>
      </c>
      <c r="B663" s="67" t="s">
        <v>1219</v>
      </c>
      <c r="C663" s="55"/>
      <c r="D663" s="41"/>
      <c r="E663" s="55"/>
      <c r="F663" s="55"/>
      <c r="G663" s="55"/>
      <c r="H663" s="51"/>
      <c r="I663" s="52"/>
      <c r="J663" s="74"/>
      <c r="K663" s="57"/>
      <c r="L663" s="75">
        <v>1</v>
      </c>
      <c r="M663" s="60">
        <v>9</v>
      </c>
      <c r="N663" s="76">
        <v>1</v>
      </c>
      <c r="O663" s="42"/>
      <c r="P663" s="58" t="s">
        <v>38</v>
      </c>
      <c r="Q663" s="61"/>
      <c r="R663" s="62"/>
      <c r="S663" s="78">
        <f t="shared" si="30"/>
        <v>9</v>
      </c>
      <c r="T663" s="44" t="str">
        <f t="shared" si="31"/>
        <v>9pieces</v>
      </c>
      <c r="U663" s="77">
        <f t="shared" si="32"/>
        <v>9</v>
      </c>
      <c r="V663" s="46"/>
      <c r="W663" s="46"/>
      <c r="X663" s="46"/>
    </row>
    <row r="664" spans="1:24" ht="15.75" customHeight="1" thickBot="1" x14ac:dyDescent="0.35">
      <c r="A664" s="4">
        <v>232</v>
      </c>
      <c r="B664" s="68" t="s">
        <v>1220</v>
      </c>
      <c r="C664" s="55"/>
      <c r="D664" s="41"/>
      <c r="E664" s="55"/>
      <c r="F664" s="55"/>
      <c r="G664" s="55"/>
      <c r="H664" s="51"/>
      <c r="I664" s="52"/>
      <c r="J664" s="74" t="s">
        <v>925</v>
      </c>
      <c r="K664" s="57"/>
      <c r="L664" s="75">
        <v>159.80000000000001</v>
      </c>
      <c r="M664" s="60">
        <v>4</v>
      </c>
      <c r="N664" s="76">
        <v>160</v>
      </c>
      <c r="O664" s="42"/>
      <c r="P664" s="58" t="s">
        <v>138</v>
      </c>
      <c r="Q664" s="61"/>
      <c r="R664" s="62"/>
      <c r="S664" s="78">
        <f t="shared" si="30"/>
        <v>640</v>
      </c>
      <c r="T664" s="44" t="str">
        <f t="shared" si="31"/>
        <v>640drained weight grams</v>
      </c>
      <c r="U664" s="77">
        <f t="shared" si="32"/>
        <v>639.20000000000005</v>
      </c>
      <c r="V664" s="46"/>
      <c r="W664" s="46"/>
      <c r="X664" s="46"/>
    </row>
    <row r="665" spans="1:24" ht="15.75" customHeight="1" thickBot="1" x14ac:dyDescent="0.35">
      <c r="A665" s="4">
        <v>232</v>
      </c>
      <c r="B665" s="68" t="s">
        <v>1220</v>
      </c>
      <c r="C665" s="55"/>
      <c r="D665" s="41"/>
      <c r="E665" s="55"/>
      <c r="F665" s="55"/>
      <c r="G665" s="55"/>
      <c r="H665" s="51"/>
      <c r="I665" s="52"/>
      <c r="J665" s="74" t="s">
        <v>843</v>
      </c>
      <c r="K665" s="57"/>
      <c r="L665" s="75">
        <v>198</v>
      </c>
      <c r="M665" s="60">
        <v>2</v>
      </c>
      <c r="N665" s="76">
        <v>200</v>
      </c>
      <c r="O665" s="42"/>
      <c r="P665" s="58" t="s">
        <v>36</v>
      </c>
      <c r="Q665" s="61"/>
      <c r="R665" s="62"/>
      <c r="S665" s="78">
        <f t="shared" si="30"/>
        <v>400</v>
      </c>
      <c r="T665" s="44" t="str">
        <f t="shared" si="31"/>
        <v>400grams</v>
      </c>
      <c r="U665" s="77">
        <f t="shared" si="32"/>
        <v>396</v>
      </c>
      <c r="V665" s="46"/>
      <c r="W665" s="46"/>
      <c r="X665" s="46"/>
    </row>
    <row r="666" spans="1:24" ht="15.75" customHeight="1" thickBot="1" x14ac:dyDescent="0.35">
      <c r="A666" s="4">
        <v>233</v>
      </c>
      <c r="B666" s="67" t="s">
        <v>1221</v>
      </c>
      <c r="C666" s="55"/>
      <c r="D666" s="41"/>
      <c r="E666" s="55"/>
      <c r="F666" s="55"/>
      <c r="G666" s="55"/>
      <c r="H666" s="51"/>
      <c r="I666" s="52"/>
      <c r="J666" s="74" t="s">
        <v>1146</v>
      </c>
      <c r="K666" s="57"/>
      <c r="L666" s="75">
        <v>29</v>
      </c>
      <c r="M666" s="60">
        <v>2</v>
      </c>
      <c r="N666" s="76">
        <v>400</v>
      </c>
      <c r="O666" s="42"/>
      <c r="P666" s="58" t="s">
        <v>36</v>
      </c>
      <c r="Q666" s="61"/>
      <c r="R666" s="62"/>
      <c r="S666" s="78">
        <f t="shared" si="30"/>
        <v>800</v>
      </c>
      <c r="T666" s="44" t="str">
        <f t="shared" si="31"/>
        <v>800grams</v>
      </c>
      <c r="U666" s="77">
        <f t="shared" si="32"/>
        <v>58</v>
      </c>
      <c r="V666" s="46"/>
      <c r="W666" s="46"/>
      <c r="X666" s="46"/>
    </row>
    <row r="667" spans="1:24" ht="15.75" customHeight="1" thickBot="1" x14ac:dyDescent="0.35">
      <c r="A667" s="4">
        <v>233</v>
      </c>
      <c r="B667" s="67" t="s">
        <v>1221</v>
      </c>
      <c r="C667" s="55"/>
      <c r="D667" s="41"/>
      <c r="E667" s="55"/>
      <c r="F667" s="55"/>
      <c r="G667" s="55"/>
      <c r="H667" s="51"/>
      <c r="I667" s="52"/>
      <c r="J667" s="74" t="s">
        <v>921</v>
      </c>
      <c r="K667" s="57"/>
      <c r="L667" s="75">
        <v>23.9</v>
      </c>
      <c r="M667" s="60">
        <v>10</v>
      </c>
      <c r="N667" s="76">
        <v>113</v>
      </c>
      <c r="O667" s="42"/>
      <c r="P667" s="58" t="s">
        <v>138</v>
      </c>
      <c r="Q667" s="61"/>
      <c r="R667" s="62"/>
      <c r="S667" s="78">
        <f t="shared" si="30"/>
        <v>1130</v>
      </c>
      <c r="T667" s="44" t="str">
        <f t="shared" si="31"/>
        <v>1130drained weight grams</v>
      </c>
      <c r="U667" s="77">
        <f t="shared" si="32"/>
        <v>239</v>
      </c>
      <c r="V667" s="46"/>
      <c r="W667" s="46"/>
      <c r="X667" s="46"/>
    </row>
    <row r="668" spans="1:24" ht="15.75" customHeight="1" thickBot="1" x14ac:dyDescent="0.35">
      <c r="A668" s="40" t="e">
        <v>#N/A</v>
      </c>
      <c r="B668" s="68" t="s">
        <v>1222</v>
      </c>
      <c r="C668" s="55"/>
      <c r="D668" s="41"/>
      <c r="E668" s="55"/>
      <c r="F668" s="55"/>
      <c r="G668" s="55"/>
      <c r="H668" s="51"/>
      <c r="I668" s="52"/>
      <c r="J668" s="74" t="s">
        <v>1223</v>
      </c>
      <c r="K668" s="57"/>
      <c r="L668" s="75">
        <v>199.95</v>
      </c>
      <c r="M668" s="60">
        <v>1</v>
      </c>
      <c r="N668" s="76">
        <v>199</v>
      </c>
      <c r="O668" s="42"/>
      <c r="P668" s="58" t="s">
        <v>36</v>
      </c>
      <c r="Q668" s="61"/>
      <c r="R668" s="62"/>
      <c r="S668" s="78">
        <f t="shared" si="30"/>
        <v>199</v>
      </c>
      <c r="T668" s="44" t="str">
        <f t="shared" si="31"/>
        <v>199grams</v>
      </c>
      <c r="U668" s="77">
        <f t="shared" si="32"/>
        <v>199.95</v>
      </c>
      <c r="V668" s="46" t="s">
        <v>803</v>
      </c>
      <c r="W668" s="46"/>
      <c r="X668" s="46"/>
    </row>
    <row r="669" spans="1:24" ht="15.75" customHeight="1" thickBot="1" x14ac:dyDescent="0.35">
      <c r="A669" s="40" t="e">
        <v>#N/A</v>
      </c>
      <c r="B669" s="67" t="s">
        <v>1222</v>
      </c>
      <c r="C669" s="55"/>
      <c r="D669" s="41"/>
      <c r="E669" s="55"/>
      <c r="F669" s="55"/>
      <c r="G669" s="55"/>
      <c r="H669" s="51"/>
      <c r="I669" s="52"/>
      <c r="J669" s="74" t="s">
        <v>816</v>
      </c>
      <c r="K669" s="57"/>
      <c r="L669" s="75">
        <v>74.5</v>
      </c>
      <c r="M669" s="60">
        <v>1</v>
      </c>
      <c r="N669" s="76">
        <v>30</v>
      </c>
      <c r="O669" s="42"/>
      <c r="P669" s="58" t="s">
        <v>36</v>
      </c>
      <c r="Q669" s="61"/>
      <c r="R669" s="62"/>
      <c r="S669" s="78">
        <f t="shared" si="30"/>
        <v>30</v>
      </c>
      <c r="T669" s="44" t="str">
        <f t="shared" si="31"/>
        <v>30grams</v>
      </c>
      <c r="U669" s="77">
        <f t="shared" si="32"/>
        <v>74.5</v>
      </c>
      <c r="V669" s="46"/>
      <c r="W669" s="46"/>
      <c r="X669" s="46"/>
    </row>
    <row r="670" spans="1:24" ht="15.75" customHeight="1" thickBot="1" x14ac:dyDescent="0.35">
      <c r="A670" s="40" t="e">
        <v>#N/A</v>
      </c>
      <c r="B670" s="68" t="s">
        <v>1222</v>
      </c>
      <c r="C670" s="55"/>
      <c r="D670" s="41"/>
      <c r="E670" s="55"/>
      <c r="F670" s="55"/>
      <c r="G670" s="55"/>
      <c r="H670" s="51"/>
      <c r="I670" s="52"/>
      <c r="J670" s="74" t="s">
        <v>816</v>
      </c>
      <c r="K670" s="57"/>
      <c r="L670" s="75">
        <v>68</v>
      </c>
      <c r="M670" s="60">
        <v>0</v>
      </c>
      <c r="N670" s="76">
        <v>30</v>
      </c>
      <c r="O670" s="42"/>
      <c r="P670" s="58" t="s">
        <v>36</v>
      </c>
      <c r="Q670" s="61"/>
      <c r="R670" s="62"/>
      <c r="S670" s="78">
        <f t="shared" si="30"/>
        <v>0</v>
      </c>
      <c r="T670" s="44" t="str">
        <f t="shared" si="31"/>
        <v>0grams</v>
      </c>
      <c r="U670" s="77">
        <f t="shared" si="32"/>
        <v>0</v>
      </c>
      <c r="V670" s="46"/>
      <c r="W670" s="46"/>
      <c r="X670" s="46"/>
    </row>
    <row r="671" spans="1:24" ht="15.75" customHeight="1" thickBot="1" x14ac:dyDescent="0.35">
      <c r="A671" s="40" t="e">
        <v>#N/A</v>
      </c>
      <c r="B671" s="68" t="s">
        <v>1222</v>
      </c>
      <c r="C671" s="55"/>
      <c r="D671" s="41"/>
      <c r="E671" s="55"/>
      <c r="F671" s="55"/>
      <c r="G671" s="55"/>
      <c r="H671" s="51"/>
      <c r="I671" s="52"/>
      <c r="J671" s="74" t="s">
        <v>816</v>
      </c>
      <c r="K671" s="57"/>
      <c r="L671" s="75">
        <v>98</v>
      </c>
      <c r="M671" s="60">
        <v>1</v>
      </c>
      <c r="N671" s="76">
        <v>30</v>
      </c>
      <c r="O671" s="42"/>
      <c r="P671" s="58" t="s">
        <v>36</v>
      </c>
      <c r="Q671" s="61"/>
      <c r="R671" s="62"/>
      <c r="S671" s="78">
        <f t="shared" si="30"/>
        <v>30</v>
      </c>
      <c r="T671" s="44" t="str">
        <f t="shared" si="31"/>
        <v>30grams</v>
      </c>
      <c r="U671" s="77">
        <f t="shared" si="32"/>
        <v>98</v>
      </c>
      <c r="V671" s="46"/>
      <c r="W671" s="46"/>
      <c r="X671" s="46"/>
    </row>
    <row r="672" spans="1:24" ht="15.75" customHeight="1" thickBot="1" x14ac:dyDescent="0.35">
      <c r="A672" s="40" t="e">
        <v>#N/A</v>
      </c>
      <c r="B672" s="68" t="s">
        <v>1222</v>
      </c>
      <c r="C672" s="55"/>
      <c r="D672" s="41"/>
      <c r="E672" s="55"/>
      <c r="F672" s="55"/>
      <c r="G672" s="55"/>
      <c r="H672" s="51"/>
      <c r="I672" s="52"/>
      <c r="J672" s="74" t="s">
        <v>816</v>
      </c>
      <c r="K672" s="57"/>
      <c r="L672" s="75">
        <v>74.5</v>
      </c>
      <c r="M672" s="60">
        <v>2</v>
      </c>
      <c r="N672" s="76">
        <v>30</v>
      </c>
      <c r="O672" s="42"/>
      <c r="P672" s="58" t="s">
        <v>36</v>
      </c>
      <c r="Q672" s="61"/>
      <c r="R672" s="62"/>
      <c r="S672" s="78">
        <f t="shared" si="30"/>
        <v>60</v>
      </c>
      <c r="T672" s="44" t="str">
        <f t="shared" si="31"/>
        <v>60grams</v>
      </c>
      <c r="U672" s="77">
        <f t="shared" si="32"/>
        <v>149</v>
      </c>
      <c r="V672" s="46"/>
      <c r="W672" s="46"/>
      <c r="X672" s="46"/>
    </row>
    <row r="673" spans="1:24" ht="15.75" customHeight="1" thickBot="1" x14ac:dyDescent="0.35">
      <c r="A673" s="40" t="e">
        <v>#N/A</v>
      </c>
      <c r="B673" s="67" t="s">
        <v>1224</v>
      </c>
      <c r="C673" s="55"/>
      <c r="D673" s="41"/>
      <c r="E673" s="55"/>
      <c r="F673" s="55"/>
      <c r="G673" s="55"/>
      <c r="H673" s="51"/>
      <c r="I673" s="52"/>
      <c r="J673" s="74" t="s">
        <v>1225</v>
      </c>
      <c r="K673" s="57"/>
      <c r="L673" s="75">
        <v>9.17</v>
      </c>
      <c r="M673" s="60">
        <v>18</v>
      </c>
      <c r="N673" s="76">
        <v>25</v>
      </c>
      <c r="O673" s="42"/>
      <c r="P673" s="58" t="s">
        <v>36</v>
      </c>
      <c r="Q673" s="61"/>
      <c r="R673" s="62"/>
      <c r="S673" s="78">
        <f t="shared" si="30"/>
        <v>450</v>
      </c>
      <c r="T673" s="44" t="str">
        <f t="shared" si="31"/>
        <v>450grams</v>
      </c>
      <c r="U673" s="77">
        <f t="shared" si="32"/>
        <v>165.06</v>
      </c>
      <c r="V673" s="46"/>
      <c r="W673" s="46"/>
      <c r="X673" s="46"/>
    </row>
    <row r="674" spans="1:24" ht="15.75" customHeight="1" thickBot="1" x14ac:dyDescent="0.35">
      <c r="A674" s="40" t="e">
        <v>#N/A</v>
      </c>
      <c r="B674" s="67" t="s">
        <v>1224</v>
      </c>
      <c r="C674" s="55"/>
      <c r="D674" s="41"/>
      <c r="E674" s="55"/>
      <c r="F674" s="55"/>
      <c r="G674" s="55"/>
      <c r="H674" s="51"/>
      <c r="I674" s="52"/>
      <c r="J674" s="74" t="s">
        <v>1226</v>
      </c>
      <c r="K674" s="57"/>
      <c r="L674" s="75">
        <v>12.76</v>
      </c>
      <c r="M674" s="60">
        <v>6</v>
      </c>
      <c r="N674" s="76">
        <v>25</v>
      </c>
      <c r="O674" s="42"/>
      <c r="P674" s="58" t="s">
        <v>36</v>
      </c>
      <c r="Q674" s="61"/>
      <c r="R674" s="62"/>
      <c r="S674" s="78">
        <f t="shared" si="30"/>
        <v>150</v>
      </c>
      <c r="T674" s="44" t="str">
        <f t="shared" si="31"/>
        <v>150grams</v>
      </c>
      <c r="U674" s="77">
        <f t="shared" si="32"/>
        <v>76.56</v>
      </c>
      <c r="V674" s="46"/>
      <c r="W674" s="46"/>
      <c r="X674" s="46"/>
    </row>
    <row r="675" spans="1:24" ht="15.75" customHeight="1" thickBot="1" x14ac:dyDescent="0.35">
      <c r="A675" s="40" t="e">
        <v>#N/A</v>
      </c>
      <c r="B675" s="67" t="s">
        <v>1224</v>
      </c>
      <c r="C675" s="55"/>
      <c r="D675" s="41"/>
      <c r="E675" s="55"/>
      <c r="F675" s="55"/>
      <c r="G675" s="55"/>
      <c r="H675" s="51"/>
      <c r="I675" s="52"/>
      <c r="J675" s="74" t="s">
        <v>1225</v>
      </c>
      <c r="K675" s="57"/>
      <c r="L675" s="75">
        <v>13</v>
      </c>
      <c r="M675" s="60">
        <v>2</v>
      </c>
      <c r="N675" s="76">
        <v>25</v>
      </c>
      <c r="O675" s="42"/>
      <c r="P675" s="58" t="s">
        <v>36</v>
      </c>
      <c r="Q675" s="61"/>
      <c r="R675" s="62"/>
      <c r="S675" s="78">
        <f t="shared" si="30"/>
        <v>50</v>
      </c>
      <c r="T675" s="44" t="str">
        <f t="shared" si="31"/>
        <v>50grams</v>
      </c>
      <c r="U675" s="77">
        <f t="shared" si="32"/>
        <v>26</v>
      </c>
      <c r="V675" s="46"/>
      <c r="W675" s="46"/>
      <c r="X675" s="46"/>
    </row>
    <row r="676" spans="1:24" ht="15.75" customHeight="1" thickBot="1" x14ac:dyDescent="0.35">
      <c r="A676" s="40" t="e">
        <v>#N/A</v>
      </c>
      <c r="B676" s="67" t="s">
        <v>376</v>
      </c>
      <c r="C676" s="55"/>
      <c r="D676" s="41"/>
      <c r="E676" s="55"/>
      <c r="F676" s="55"/>
      <c r="G676" s="55"/>
      <c r="H676" s="51"/>
      <c r="I676" s="52"/>
      <c r="J676" s="74" t="s">
        <v>1226</v>
      </c>
      <c r="K676" s="57"/>
      <c r="L676" s="75">
        <v>11.58</v>
      </c>
      <c r="M676" s="60">
        <v>10</v>
      </c>
      <c r="N676" s="76">
        <v>25</v>
      </c>
      <c r="O676" s="42"/>
      <c r="P676" s="58" t="s">
        <v>36</v>
      </c>
      <c r="Q676" s="61"/>
      <c r="R676" s="62"/>
      <c r="S676" s="78">
        <f t="shared" si="30"/>
        <v>250</v>
      </c>
      <c r="T676" s="44" t="str">
        <f t="shared" si="31"/>
        <v>250grams</v>
      </c>
      <c r="U676" s="77">
        <f t="shared" si="32"/>
        <v>115.8</v>
      </c>
      <c r="V676" s="46"/>
      <c r="W676" s="46"/>
      <c r="X676" s="46"/>
    </row>
    <row r="677" spans="1:24" ht="15.75" customHeight="1" thickBot="1" x14ac:dyDescent="0.35">
      <c r="A677" s="40" t="e">
        <v>#N/A</v>
      </c>
      <c r="B677" s="67" t="s">
        <v>376</v>
      </c>
      <c r="C677" s="55"/>
      <c r="D677" s="41"/>
      <c r="E677" s="55"/>
      <c r="F677" s="55"/>
      <c r="G677" s="55"/>
      <c r="H677" s="51"/>
      <c r="I677" s="52"/>
      <c r="J677" s="74" t="s">
        <v>1226</v>
      </c>
      <c r="K677" s="57"/>
      <c r="L677" s="75">
        <v>11.58</v>
      </c>
      <c r="M677" s="60">
        <v>10</v>
      </c>
      <c r="N677" s="76">
        <v>25</v>
      </c>
      <c r="O677" s="42"/>
      <c r="P677" s="58" t="s">
        <v>36</v>
      </c>
      <c r="Q677" s="61"/>
      <c r="R677" s="62"/>
      <c r="S677" s="78">
        <f t="shared" si="30"/>
        <v>250</v>
      </c>
      <c r="T677" s="44" t="str">
        <f t="shared" si="31"/>
        <v>250grams</v>
      </c>
      <c r="U677" s="77">
        <f t="shared" si="32"/>
        <v>115.8</v>
      </c>
      <c r="V677" s="46"/>
      <c r="W677" s="46"/>
      <c r="X677" s="46"/>
    </row>
    <row r="678" spans="1:24" ht="15.75" customHeight="1" thickBot="1" x14ac:dyDescent="0.35">
      <c r="A678" s="40" t="e">
        <v>#N/A</v>
      </c>
      <c r="B678" s="67" t="s">
        <v>376</v>
      </c>
      <c r="C678" s="55"/>
      <c r="D678" s="41"/>
      <c r="E678" s="55"/>
      <c r="F678" s="55"/>
      <c r="G678" s="55"/>
      <c r="H678" s="51"/>
      <c r="I678" s="52"/>
      <c r="J678" s="74" t="s">
        <v>1225</v>
      </c>
      <c r="K678" s="57"/>
      <c r="L678" s="75">
        <v>12.64</v>
      </c>
      <c r="M678" s="60">
        <v>3</v>
      </c>
      <c r="N678" s="76">
        <v>25</v>
      </c>
      <c r="O678" s="42"/>
      <c r="P678" s="58" t="s">
        <v>36</v>
      </c>
      <c r="Q678" s="61"/>
      <c r="R678" s="62"/>
      <c r="S678" s="78">
        <f t="shared" si="30"/>
        <v>75</v>
      </c>
      <c r="T678" s="44" t="str">
        <f t="shared" si="31"/>
        <v>75grams</v>
      </c>
      <c r="U678" s="77">
        <f t="shared" si="32"/>
        <v>37.92</v>
      </c>
      <c r="V678" s="46"/>
      <c r="W678" s="46"/>
      <c r="X678" s="46"/>
    </row>
    <row r="679" spans="1:24" ht="15.75" customHeight="1" thickBot="1" x14ac:dyDescent="0.35">
      <c r="A679" s="40" t="e">
        <v>#N/A</v>
      </c>
      <c r="B679" s="67" t="s">
        <v>379</v>
      </c>
      <c r="C679" s="55"/>
      <c r="D679" s="41"/>
      <c r="E679" s="55"/>
      <c r="F679" s="55"/>
      <c r="G679" s="55"/>
      <c r="H679" s="51"/>
      <c r="I679" s="52"/>
      <c r="J679" s="74" t="s">
        <v>1225</v>
      </c>
      <c r="K679" s="57"/>
      <c r="L679" s="75">
        <v>14.3</v>
      </c>
      <c r="M679" s="60">
        <v>2</v>
      </c>
      <c r="N679" s="76">
        <v>25</v>
      </c>
      <c r="O679" s="42"/>
      <c r="P679" s="58" t="s">
        <v>36</v>
      </c>
      <c r="Q679" s="61"/>
      <c r="R679" s="62"/>
      <c r="S679" s="78">
        <f t="shared" si="30"/>
        <v>50</v>
      </c>
      <c r="T679" s="44" t="str">
        <f t="shared" si="31"/>
        <v>50grams</v>
      </c>
      <c r="U679" s="77">
        <f t="shared" si="32"/>
        <v>28.6</v>
      </c>
      <c r="V679" s="46"/>
      <c r="W679" s="46"/>
      <c r="X679" s="46"/>
    </row>
    <row r="680" spans="1:24" ht="15.75" customHeight="1" thickBot="1" x14ac:dyDescent="0.35">
      <c r="A680" s="40" t="e">
        <v>#N/A</v>
      </c>
      <c r="B680" s="67" t="s">
        <v>379</v>
      </c>
      <c r="C680" s="55"/>
      <c r="D680" s="41"/>
      <c r="E680" s="55"/>
      <c r="F680" s="55"/>
      <c r="G680" s="55"/>
      <c r="H680" s="51"/>
      <c r="I680" s="52"/>
      <c r="J680" s="74" t="s">
        <v>1225</v>
      </c>
      <c r="K680" s="57"/>
      <c r="L680" s="75">
        <v>20</v>
      </c>
      <c r="M680" s="60">
        <v>4</v>
      </c>
      <c r="N680" s="76">
        <v>25</v>
      </c>
      <c r="O680" s="42"/>
      <c r="P680" s="58" t="s">
        <v>36</v>
      </c>
      <c r="Q680" s="61"/>
      <c r="R680" s="62"/>
      <c r="S680" s="78">
        <f t="shared" si="30"/>
        <v>100</v>
      </c>
      <c r="T680" s="44" t="str">
        <f t="shared" si="31"/>
        <v>100grams</v>
      </c>
      <c r="U680" s="77">
        <f t="shared" si="32"/>
        <v>80</v>
      </c>
      <c r="V680" s="46"/>
      <c r="W680" s="46"/>
      <c r="X680" s="46"/>
    </row>
    <row r="681" spans="1:24" ht="15.75" customHeight="1" thickBot="1" x14ac:dyDescent="0.35">
      <c r="A681" s="40" t="e">
        <v>#N/A</v>
      </c>
      <c r="B681" s="67" t="s">
        <v>379</v>
      </c>
      <c r="C681" s="55"/>
      <c r="D681" s="41"/>
      <c r="E681" s="55"/>
      <c r="F681" s="55"/>
      <c r="G681" s="55"/>
      <c r="H681" s="51"/>
      <c r="I681" s="52"/>
      <c r="J681" s="74" t="s">
        <v>1225</v>
      </c>
      <c r="K681" s="57"/>
      <c r="L681" s="75">
        <v>16</v>
      </c>
      <c r="M681" s="60">
        <v>4</v>
      </c>
      <c r="N681" s="76">
        <v>25</v>
      </c>
      <c r="O681" s="42"/>
      <c r="P681" s="58" t="s">
        <v>36</v>
      </c>
      <c r="Q681" s="61"/>
      <c r="R681" s="62"/>
      <c r="S681" s="78">
        <f t="shared" si="30"/>
        <v>100</v>
      </c>
      <c r="T681" s="44" t="str">
        <f t="shared" si="31"/>
        <v>100grams</v>
      </c>
      <c r="U681" s="77">
        <f t="shared" si="32"/>
        <v>64</v>
      </c>
      <c r="V681" s="46"/>
      <c r="W681" s="46"/>
      <c r="X681" s="46"/>
    </row>
    <row r="682" spans="1:24" ht="15.75" customHeight="1" thickBot="1" x14ac:dyDescent="0.35">
      <c r="A682" s="40" t="e">
        <v>#N/A</v>
      </c>
      <c r="B682" s="67" t="s">
        <v>379</v>
      </c>
      <c r="C682" s="55"/>
      <c r="D682" s="41"/>
      <c r="E682" s="55"/>
      <c r="F682" s="55"/>
      <c r="G682" s="55"/>
      <c r="H682" s="51"/>
      <c r="I682" s="52"/>
      <c r="J682" s="74" t="s">
        <v>1225</v>
      </c>
      <c r="K682" s="57"/>
      <c r="L682" s="75">
        <v>13</v>
      </c>
      <c r="M682" s="60">
        <v>17</v>
      </c>
      <c r="N682" s="76">
        <v>25</v>
      </c>
      <c r="O682" s="42"/>
      <c r="P682" s="58" t="s">
        <v>36</v>
      </c>
      <c r="Q682" s="61"/>
      <c r="R682" s="62"/>
      <c r="S682" s="78">
        <f t="shared" si="30"/>
        <v>425</v>
      </c>
      <c r="T682" s="44" t="str">
        <f t="shared" si="31"/>
        <v>425grams</v>
      </c>
      <c r="U682" s="77">
        <f t="shared" si="32"/>
        <v>221</v>
      </c>
      <c r="V682" s="46"/>
      <c r="W682" s="46"/>
      <c r="X682" s="46"/>
    </row>
    <row r="683" spans="1:24" ht="15.75" customHeight="1" thickBot="1" x14ac:dyDescent="0.35">
      <c r="A683" s="40" t="e">
        <v>#N/A</v>
      </c>
      <c r="B683" s="67" t="s">
        <v>1227</v>
      </c>
      <c r="C683" s="55"/>
      <c r="D683" s="41"/>
      <c r="E683" s="55"/>
      <c r="F683" s="55"/>
      <c r="G683" s="55"/>
      <c r="H683" s="51"/>
      <c r="I683" s="52"/>
      <c r="J683" s="74" t="s">
        <v>1225</v>
      </c>
      <c r="K683" s="57"/>
      <c r="L683" s="75">
        <v>14.3</v>
      </c>
      <c r="M683" s="60">
        <v>2</v>
      </c>
      <c r="N683" s="76">
        <v>25</v>
      </c>
      <c r="O683" s="42"/>
      <c r="P683" s="58" t="s">
        <v>36</v>
      </c>
      <c r="Q683" s="61"/>
      <c r="R683" s="62"/>
      <c r="S683" s="78">
        <f t="shared" si="30"/>
        <v>50</v>
      </c>
      <c r="T683" s="44" t="str">
        <f t="shared" si="31"/>
        <v>50grams</v>
      </c>
      <c r="U683" s="77">
        <f t="shared" si="32"/>
        <v>28.6</v>
      </c>
      <c r="V683" s="46"/>
      <c r="W683" s="46"/>
      <c r="X683" s="46"/>
    </row>
    <row r="684" spans="1:24" ht="15.75" customHeight="1" thickBot="1" x14ac:dyDescent="0.35">
      <c r="A684" s="40" t="e">
        <v>#N/A</v>
      </c>
      <c r="B684" s="67" t="s">
        <v>381</v>
      </c>
      <c r="C684" s="55"/>
      <c r="D684" s="41"/>
      <c r="E684" s="55"/>
      <c r="F684" s="55"/>
      <c r="G684" s="55"/>
      <c r="H684" s="51"/>
      <c r="I684" s="52"/>
      <c r="J684" s="74" t="s">
        <v>1226</v>
      </c>
      <c r="K684" s="57"/>
      <c r="L684" s="75">
        <v>13.27</v>
      </c>
      <c r="M684" s="60">
        <v>1</v>
      </c>
      <c r="N684" s="76">
        <v>25</v>
      </c>
      <c r="O684" s="42"/>
      <c r="P684" s="58" t="s">
        <v>36</v>
      </c>
      <c r="Q684" s="61"/>
      <c r="R684" s="62"/>
      <c r="S684" s="78">
        <f t="shared" si="30"/>
        <v>25</v>
      </c>
      <c r="T684" s="44" t="str">
        <f t="shared" si="31"/>
        <v>25grams</v>
      </c>
      <c r="U684" s="77">
        <f t="shared" si="32"/>
        <v>13.27</v>
      </c>
      <c r="V684" s="46"/>
      <c r="W684" s="46"/>
      <c r="X684" s="46"/>
    </row>
    <row r="685" spans="1:24" ht="15.75" customHeight="1" thickBot="1" x14ac:dyDescent="0.35">
      <c r="A685" s="40" t="e">
        <v>#N/A</v>
      </c>
      <c r="B685" s="67" t="s">
        <v>381</v>
      </c>
      <c r="C685" s="55"/>
      <c r="D685" s="41"/>
      <c r="E685" s="55"/>
      <c r="F685" s="55"/>
      <c r="G685" s="55"/>
      <c r="H685" s="51"/>
      <c r="I685" s="52"/>
      <c r="J685" s="74" t="s">
        <v>1215</v>
      </c>
      <c r="K685" s="57"/>
      <c r="L685" s="75">
        <v>117.9</v>
      </c>
      <c r="M685" s="60">
        <v>3</v>
      </c>
      <c r="N685" s="76">
        <v>250</v>
      </c>
      <c r="O685" s="42"/>
      <c r="P685" s="58" t="s">
        <v>36</v>
      </c>
      <c r="Q685" s="61"/>
      <c r="R685" s="62"/>
      <c r="S685" s="78">
        <f t="shared" si="30"/>
        <v>750</v>
      </c>
      <c r="T685" s="44" t="str">
        <f t="shared" si="31"/>
        <v>750grams</v>
      </c>
      <c r="U685" s="77">
        <f t="shared" si="32"/>
        <v>353.70000000000005</v>
      </c>
      <c r="V685" s="46"/>
      <c r="W685" s="46"/>
      <c r="X685" s="46"/>
    </row>
    <row r="686" spans="1:24" ht="15.75" customHeight="1" thickBot="1" x14ac:dyDescent="0.35">
      <c r="A686" s="40" t="e">
        <v>#N/A</v>
      </c>
      <c r="B686" s="67" t="s">
        <v>381</v>
      </c>
      <c r="C686" s="55"/>
      <c r="D686" s="41"/>
      <c r="E686" s="55"/>
      <c r="F686" s="55"/>
      <c r="G686" s="55"/>
      <c r="H686" s="51"/>
      <c r="I686" s="52"/>
      <c r="J686" s="74" t="s">
        <v>1215</v>
      </c>
      <c r="K686" s="57"/>
      <c r="L686" s="75">
        <v>20</v>
      </c>
      <c r="M686" s="60">
        <v>1</v>
      </c>
      <c r="N686" s="76">
        <v>25</v>
      </c>
      <c r="O686" s="42"/>
      <c r="P686" s="58" t="s">
        <v>36</v>
      </c>
      <c r="Q686" s="61"/>
      <c r="R686" s="62"/>
      <c r="S686" s="78">
        <f t="shared" si="30"/>
        <v>25</v>
      </c>
      <c r="T686" s="44" t="str">
        <f t="shared" si="31"/>
        <v>25grams</v>
      </c>
      <c r="U686" s="77">
        <f t="shared" si="32"/>
        <v>20</v>
      </c>
      <c r="V686" s="46"/>
      <c r="W686" s="46"/>
      <c r="X686" s="46"/>
    </row>
    <row r="687" spans="1:24" ht="15.75" customHeight="1" thickBot="1" x14ac:dyDescent="0.35">
      <c r="A687" s="40" t="e">
        <v>#N/A</v>
      </c>
      <c r="B687" s="67" t="s">
        <v>381</v>
      </c>
      <c r="C687" s="55"/>
      <c r="D687" s="41"/>
      <c r="E687" s="55"/>
      <c r="F687" s="55"/>
      <c r="G687" s="55"/>
      <c r="H687" s="51"/>
      <c r="I687" s="52"/>
      <c r="J687" s="74" t="s">
        <v>1225</v>
      </c>
      <c r="K687" s="57"/>
      <c r="L687" s="75">
        <v>12.64</v>
      </c>
      <c r="M687" s="60">
        <v>7</v>
      </c>
      <c r="N687" s="76">
        <v>25</v>
      </c>
      <c r="O687" s="42"/>
      <c r="P687" s="58" t="s">
        <v>36</v>
      </c>
      <c r="Q687" s="61"/>
      <c r="R687" s="62"/>
      <c r="S687" s="78">
        <f t="shared" si="30"/>
        <v>175</v>
      </c>
      <c r="T687" s="44" t="str">
        <f t="shared" si="31"/>
        <v>175grams</v>
      </c>
      <c r="U687" s="77">
        <f t="shared" si="32"/>
        <v>88.48</v>
      </c>
      <c r="V687" s="46"/>
      <c r="W687" s="46"/>
      <c r="X687" s="46"/>
    </row>
    <row r="688" spans="1:24" ht="15.75" customHeight="1" thickBot="1" x14ac:dyDescent="0.35">
      <c r="A688" s="40" t="e">
        <v>#N/A</v>
      </c>
      <c r="B688" s="67" t="s">
        <v>381</v>
      </c>
      <c r="C688" s="55"/>
      <c r="D688" s="41"/>
      <c r="E688" s="55"/>
      <c r="F688" s="55"/>
      <c r="G688" s="55"/>
      <c r="H688" s="51"/>
      <c r="I688" s="52"/>
      <c r="J688" s="74" t="s">
        <v>1228</v>
      </c>
      <c r="K688" s="57"/>
      <c r="L688" s="75">
        <v>12.64</v>
      </c>
      <c r="M688" s="60">
        <v>13</v>
      </c>
      <c r="N688" s="76">
        <v>25</v>
      </c>
      <c r="O688" s="42"/>
      <c r="P688" s="58" t="s">
        <v>36</v>
      </c>
      <c r="Q688" s="61"/>
      <c r="R688" s="62"/>
      <c r="S688" s="78">
        <f t="shared" si="30"/>
        <v>325</v>
      </c>
      <c r="T688" s="44" t="str">
        <f t="shared" si="31"/>
        <v>325grams</v>
      </c>
      <c r="U688" s="77">
        <f t="shared" si="32"/>
        <v>164.32</v>
      </c>
      <c r="V688" s="46"/>
      <c r="W688" s="46"/>
      <c r="X688" s="46"/>
    </row>
    <row r="689" spans="1:24" ht="15.75" customHeight="1" thickBot="1" x14ac:dyDescent="0.35">
      <c r="A689" s="40" t="e">
        <v>#N/A</v>
      </c>
      <c r="B689" s="67" t="s">
        <v>381</v>
      </c>
      <c r="C689" s="55"/>
      <c r="D689" s="41"/>
      <c r="E689" s="55"/>
      <c r="F689" s="55"/>
      <c r="G689" s="55"/>
      <c r="H689" s="51"/>
      <c r="I689" s="52"/>
      <c r="J689" s="74" t="s">
        <v>1225</v>
      </c>
      <c r="K689" s="57"/>
      <c r="L689" s="75">
        <v>16</v>
      </c>
      <c r="M689" s="60">
        <v>1</v>
      </c>
      <c r="N689" s="76">
        <v>25</v>
      </c>
      <c r="O689" s="42"/>
      <c r="P689" s="58" t="s">
        <v>36</v>
      </c>
      <c r="Q689" s="61"/>
      <c r="R689" s="62"/>
      <c r="S689" s="78">
        <f t="shared" si="30"/>
        <v>25</v>
      </c>
      <c r="T689" s="44" t="str">
        <f t="shared" si="31"/>
        <v>25grams</v>
      </c>
      <c r="U689" s="77">
        <f t="shared" si="32"/>
        <v>16</v>
      </c>
      <c r="V689" s="46"/>
      <c r="W689" s="46"/>
      <c r="X689" s="46"/>
    </row>
    <row r="690" spans="1:24" ht="15.75" customHeight="1" thickBot="1" x14ac:dyDescent="0.35">
      <c r="A690" s="40" t="e">
        <v>#N/A</v>
      </c>
      <c r="B690" s="67" t="s">
        <v>381</v>
      </c>
      <c r="C690" s="55"/>
      <c r="D690" s="41"/>
      <c r="E690" s="55"/>
      <c r="F690" s="55"/>
      <c r="G690" s="55"/>
      <c r="H690" s="51"/>
      <c r="I690" s="52"/>
      <c r="J690" s="74" t="s">
        <v>1225</v>
      </c>
      <c r="K690" s="57"/>
      <c r="L690" s="75">
        <v>13</v>
      </c>
      <c r="M690" s="60">
        <v>3</v>
      </c>
      <c r="N690" s="76">
        <v>25</v>
      </c>
      <c r="O690" s="42"/>
      <c r="P690" s="58" t="s">
        <v>36</v>
      </c>
      <c r="Q690" s="61"/>
      <c r="R690" s="62"/>
      <c r="S690" s="78">
        <f t="shared" si="30"/>
        <v>75</v>
      </c>
      <c r="T690" s="44" t="str">
        <f t="shared" si="31"/>
        <v>75grams</v>
      </c>
      <c r="U690" s="77">
        <f t="shared" si="32"/>
        <v>39</v>
      </c>
      <c r="V690" s="46"/>
      <c r="W690" s="46"/>
      <c r="X690" s="46"/>
    </row>
    <row r="691" spans="1:24" ht="15.75" customHeight="1" thickBot="1" x14ac:dyDescent="0.35">
      <c r="A691" s="40" t="e">
        <v>#N/A</v>
      </c>
      <c r="B691" s="67" t="s">
        <v>382</v>
      </c>
      <c r="C691" s="55"/>
      <c r="D691" s="41"/>
      <c r="E691" s="55"/>
      <c r="F691" s="55"/>
      <c r="G691" s="55"/>
      <c r="H691" s="51"/>
      <c r="I691" s="52"/>
      <c r="J691" s="74" t="s">
        <v>1226</v>
      </c>
      <c r="K691" s="57"/>
      <c r="L691" s="75">
        <v>11.58</v>
      </c>
      <c r="M691" s="60">
        <v>14</v>
      </c>
      <c r="N691" s="76">
        <v>25</v>
      </c>
      <c r="O691" s="42"/>
      <c r="P691" s="58" t="s">
        <v>36</v>
      </c>
      <c r="Q691" s="61"/>
      <c r="R691" s="62"/>
      <c r="S691" s="78">
        <f t="shared" si="30"/>
        <v>350</v>
      </c>
      <c r="T691" s="44" t="str">
        <f t="shared" si="31"/>
        <v>350grams</v>
      </c>
      <c r="U691" s="77">
        <f t="shared" si="32"/>
        <v>162.12</v>
      </c>
      <c r="V691" s="46"/>
      <c r="W691" s="46"/>
      <c r="X691" s="46"/>
    </row>
    <row r="692" spans="1:24" ht="15.75" customHeight="1" thickBot="1" x14ac:dyDescent="0.35">
      <c r="A692" s="40" t="e">
        <v>#N/A</v>
      </c>
      <c r="B692" s="67" t="s">
        <v>382</v>
      </c>
      <c r="C692" s="55"/>
      <c r="D692" s="41"/>
      <c r="E692" s="55"/>
      <c r="F692" s="55"/>
      <c r="G692" s="55"/>
      <c r="H692" s="51"/>
      <c r="I692" s="52"/>
      <c r="J692" s="74" t="s">
        <v>1215</v>
      </c>
      <c r="K692" s="57"/>
      <c r="L692" s="75">
        <v>115.8</v>
      </c>
      <c r="M692" s="60">
        <v>6</v>
      </c>
      <c r="N692" s="76">
        <v>250</v>
      </c>
      <c r="O692" s="42"/>
      <c r="P692" s="58" t="s">
        <v>36</v>
      </c>
      <c r="Q692" s="61"/>
      <c r="R692" s="62"/>
      <c r="S692" s="78">
        <f t="shared" si="30"/>
        <v>1500</v>
      </c>
      <c r="T692" s="44" t="str">
        <f t="shared" si="31"/>
        <v>1500grams</v>
      </c>
      <c r="U692" s="77">
        <f t="shared" si="32"/>
        <v>694.8</v>
      </c>
      <c r="V692" s="46"/>
      <c r="W692" s="46"/>
      <c r="X692" s="46"/>
    </row>
    <row r="693" spans="1:24" ht="15.75" customHeight="1" thickBot="1" x14ac:dyDescent="0.35">
      <c r="A693" s="40" t="e">
        <v>#N/A</v>
      </c>
      <c r="B693" s="67" t="s">
        <v>382</v>
      </c>
      <c r="C693" s="55"/>
      <c r="D693" s="41"/>
      <c r="E693" s="55"/>
      <c r="F693" s="55"/>
      <c r="G693" s="55"/>
      <c r="H693" s="51"/>
      <c r="I693" s="52"/>
      <c r="J693" s="74" t="s">
        <v>1229</v>
      </c>
      <c r="K693" s="57"/>
      <c r="L693" s="75">
        <v>20</v>
      </c>
      <c r="M693" s="60">
        <v>3</v>
      </c>
      <c r="N693" s="76">
        <v>25</v>
      </c>
      <c r="O693" s="42"/>
      <c r="P693" s="58" t="s">
        <v>36</v>
      </c>
      <c r="Q693" s="61"/>
      <c r="R693" s="62"/>
      <c r="S693" s="78">
        <f t="shared" si="30"/>
        <v>75</v>
      </c>
      <c r="T693" s="44" t="str">
        <f t="shared" si="31"/>
        <v>75grams</v>
      </c>
      <c r="U693" s="77">
        <f t="shared" si="32"/>
        <v>60</v>
      </c>
      <c r="V693" s="46"/>
      <c r="W693" s="46"/>
      <c r="X693" s="46"/>
    </row>
    <row r="694" spans="1:24" ht="15.75" customHeight="1" thickBot="1" x14ac:dyDescent="0.35">
      <c r="A694" s="40" t="e">
        <v>#N/A</v>
      </c>
      <c r="B694" s="67" t="s">
        <v>382</v>
      </c>
      <c r="C694" s="55"/>
      <c r="D694" s="41"/>
      <c r="E694" s="55"/>
      <c r="F694" s="55"/>
      <c r="G694" s="55"/>
      <c r="H694" s="51"/>
      <c r="I694" s="52"/>
      <c r="J694" s="74" t="s">
        <v>1229</v>
      </c>
      <c r="K694" s="57"/>
      <c r="L694" s="75">
        <v>19</v>
      </c>
      <c r="M694" s="60">
        <v>40</v>
      </c>
      <c r="N694" s="76">
        <v>25</v>
      </c>
      <c r="O694" s="42"/>
      <c r="P694" s="58" t="s">
        <v>36</v>
      </c>
      <c r="Q694" s="61"/>
      <c r="R694" s="62"/>
      <c r="S694" s="78">
        <f t="shared" ref="S694:S757" si="33">M694*N694</f>
        <v>1000</v>
      </c>
      <c r="T694" s="44" t="str">
        <f t="shared" ref="T694:T757" si="34">CONCATENATE(S694,Q694,P694)</f>
        <v>1000grams</v>
      </c>
      <c r="U694" s="77">
        <f t="shared" ref="U694:U757" si="35">L694*M694</f>
        <v>760</v>
      </c>
      <c r="V694" s="46"/>
      <c r="W694" s="46"/>
      <c r="X694" s="46"/>
    </row>
    <row r="695" spans="1:24" ht="15.75" customHeight="1" thickBot="1" x14ac:dyDescent="0.35">
      <c r="A695" s="40" t="e">
        <v>#N/A</v>
      </c>
      <c r="B695" s="68" t="s">
        <v>382</v>
      </c>
      <c r="C695" s="55"/>
      <c r="D695" s="41"/>
      <c r="E695" s="55"/>
      <c r="F695" s="55"/>
      <c r="G695" s="55"/>
      <c r="H695" s="51"/>
      <c r="I695" s="52"/>
      <c r="J695" s="74" t="s">
        <v>1229</v>
      </c>
      <c r="K695" s="57"/>
      <c r="L695" s="75">
        <v>16.5</v>
      </c>
      <c r="M695" s="60">
        <v>5</v>
      </c>
      <c r="N695" s="76">
        <v>25</v>
      </c>
      <c r="O695" s="42"/>
      <c r="P695" s="58" t="s">
        <v>36</v>
      </c>
      <c r="Q695" s="61"/>
      <c r="R695" s="62"/>
      <c r="S695" s="78">
        <f t="shared" si="33"/>
        <v>125</v>
      </c>
      <c r="T695" s="44" t="str">
        <f t="shared" si="34"/>
        <v>125grams</v>
      </c>
      <c r="U695" s="77">
        <f t="shared" si="35"/>
        <v>82.5</v>
      </c>
      <c r="V695" s="46"/>
      <c r="W695" s="46"/>
      <c r="X695" s="46"/>
    </row>
    <row r="696" spans="1:24" ht="15.75" customHeight="1" thickBot="1" x14ac:dyDescent="0.35">
      <c r="A696" s="40" t="e">
        <v>#N/A</v>
      </c>
      <c r="B696" s="67" t="s">
        <v>382</v>
      </c>
      <c r="C696" s="55"/>
      <c r="D696" s="41"/>
      <c r="E696" s="55"/>
      <c r="F696" s="55"/>
      <c r="G696" s="55"/>
      <c r="H696" s="51"/>
      <c r="I696" s="52"/>
      <c r="J696" s="74" t="s">
        <v>1225</v>
      </c>
      <c r="K696" s="57"/>
      <c r="L696" s="75">
        <v>16</v>
      </c>
      <c r="M696" s="60">
        <v>6</v>
      </c>
      <c r="N696" s="76">
        <v>25</v>
      </c>
      <c r="O696" s="42"/>
      <c r="P696" s="58" t="s">
        <v>36</v>
      </c>
      <c r="Q696" s="61"/>
      <c r="R696" s="62"/>
      <c r="S696" s="78">
        <f t="shared" si="33"/>
        <v>150</v>
      </c>
      <c r="T696" s="44" t="str">
        <f t="shared" si="34"/>
        <v>150grams</v>
      </c>
      <c r="U696" s="77">
        <f t="shared" si="35"/>
        <v>96</v>
      </c>
      <c r="V696" s="46"/>
      <c r="W696" s="46"/>
      <c r="X696" s="46"/>
    </row>
    <row r="697" spans="1:24" ht="15.75" customHeight="1" thickBot="1" x14ac:dyDescent="0.35">
      <c r="A697" s="40" t="e">
        <v>#N/A</v>
      </c>
      <c r="B697" s="67" t="s">
        <v>383</v>
      </c>
      <c r="C697" s="55"/>
      <c r="D697" s="41"/>
      <c r="E697" s="55"/>
      <c r="F697" s="55"/>
      <c r="G697" s="55"/>
      <c r="H697" s="51"/>
      <c r="I697" s="52"/>
      <c r="J697" s="74" t="s">
        <v>1226</v>
      </c>
      <c r="K697" s="57"/>
      <c r="L697" s="75">
        <v>13.43</v>
      </c>
      <c r="M697" s="60">
        <v>160</v>
      </c>
      <c r="N697" s="76">
        <v>25</v>
      </c>
      <c r="O697" s="42"/>
      <c r="P697" s="58" t="s">
        <v>36</v>
      </c>
      <c r="Q697" s="61"/>
      <c r="R697" s="62"/>
      <c r="S697" s="78">
        <f t="shared" si="33"/>
        <v>4000</v>
      </c>
      <c r="T697" s="44" t="str">
        <f t="shared" si="34"/>
        <v>4000grams</v>
      </c>
      <c r="U697" s="77">
        <f t="shared" si="35"/>
        <v>2148.8000000000002</v>
      </c>
      <c r="V697" s="46"/>
      <c r="W697" s="46"/>
      <c r="X697" s="46"/>
    </row>
    <row r="698" spans="1:24" ht="15.75" customHeight="1" thickBot="1" x14ac:dyDescent="0.35">
      <c r="A698" s="40" t="e">
        <v>#N/A</v>
      </c>
      <c r="B698" s="67" t="s">
        <v>383</v>
      </c>
      <c r="C698" s="55"/>
      <c r="D698" s="41"/>
      <c r="E698" s="55"/>
      <c r="F698" s="55"/>
      <c r="G698" s="55"/>
      <c r="H698" s="51"/>
      <c r="I698" s="52"/>
      <c r="J698" s="74" t="s">
        <v>377</v>
      </c>
      <c r="K698" s="57"/>
      <c r="L698" s="75">
        <v>115.8</v>
      </c>
      <c r="M698" s="60">
        <v>8</v>
      </c>
      <c r="N698" s="76">
        <v>25</v>
      </c>
      <c r="O698" s="42"/>
      <c r="P698" s="58" t="s">
        <v>36</v>
      </c>
      <c r="Q698" s="61"/>
      <c r="R698" s="62"/>
      <c r="S698" s="78">
        <f t="shared" si="33"/>
        <v>200</v>
      </c>
      <c r="T698" s="44" t="str">
        <f t="shared" si="34"/>
        <v>200grams</v>
      </c>
      <c r="U698" s="77">
        <f t="shared" si="35"/>
        <v>926.4</v>
      </c>
      <c r="V698" s="46"/>
      <c r="W698" s="46"/>
      <c r="X698" s="46"/>
    </row>
    <row r="699" spans="1:24" ht="15.75" customHeight="1" thickBot="1" x14ac:dyDescent="0.35">
      <c r="A699" s="40" t="e">
        <v>#N/A</v>
      </c>
      <c r="B699" s="67" t="s">
        <v>383</v>
      </c>
      <c r="C699" s="55"/>
      <c r="D699" s="41"/>
      <c r="E699" s="55"/>
      <c r="F699" s="55"/>
      <c r="G699" s="55"/>
      <c r="H699" s="51"/>
      <c r="I699" s="52"/>
      <c r="J699" s="74" t="s">
        <v>1225</v>
      </c>
      <c r="K699" s="57"/>
      <c r="L699" s="75">
        <v>13</v>
      </c>
      <c r="M699" s="60">
        <v>7</v>
      </c>
      <c r="N699" s="76">
        <v>25</v>
      </c>
      <c r="O699" s="42"/>
      <c r="P699" s="58" t="s">
        <v>36</v>
      </c>
      <c r="Q699" s="61"/>
      <c r="R699" s="62"/>
      <c r="S699" s="78">
        <f t="shared" si="33"/>
        <v>175</v>
      </c>
      <c r="T699" s="44" t="str">
        <f t="shared" si="34"/>
        <v>175grams</v>
      </c>
      <c r="U699" s="77">
        <f t="shared" si="35"/>
        <v>91</v>
      </c>
      <c r="V699" s="46"/>
      <c r="W699" s="46"/>
      <c r="X699" s="46"/>
    </row>
    <row r="700" spans="1:24" ht="15.75" customHeight="1" thickBot="1" x14ac:dyDescent="0.35">
      <c r="A700" s="40" t="e">
        <v>#N/A</v>
      </c>
      <c r="B700" s="68" t="s">
        <v>1230</v>
      </c>
      <c r="C700" s="55"/>
      <c r="D700" s="41"/>
      <c r="E700" s="55"/>
      <c r="F700" s="55"/>
      <c r="G700" s="55"/>
      <c r="H700" s="51"/>
      <c r="I700" s="52"/>
      <c r="J700" s="74" t="s">
        <v>1024</v>
      </c>
      <c r="K700" s="57"/>
      <c r="L700" s="75">
        <v>75</v>
      </c>
      <c r="M700" s="60">
        <v>12</v>
      </c>
      <c r="N700" s="76">
        <v>1</v>
      </c>
      <c r="O700" s="42"/>
      <c r="P700" s="58" t="s">
        <v>1026</v>
      </c>
      <c r="Q700" s="61"/>
      <c r="R700" s="62"/>
      <c r="S700" s="78">
        <f t="shared" si="33"/>
        <v>12</v>
      </c>
      <c r="T700" s="44" t="str">
        <f t="shared" si="34"/>
        <v>12jar</v>
      </c>
      <c r="U700" s="77">
        <f t="shared" si="35"/>
        <v>900</v>
      </c>
      <c r="V700" s="46"/>
      <c r="W700" s="46"/>
      <c r="X700" s="46"/>
    </row>
    <row r="701" spans="1:24" ht="15.75" customHeight="1" thickBot="1" x14ac:dyDescent="0.35">
      <c r="A701" s="40" t="e">
        <v>#N/A</v>
      </c>
      <c r="B701" s="67" t="s">
        <v>1231</v>
      </c>
      <c r="C701" s="55"/>
      <c r="D701" s="41"/>
      <c r="E701" s="55"/>
      <c r="F701" s="55"/>
      <c r="G701" s="55"/>
      <c r="H701" s="51"/>
      <c r="I701" s="52"/>
      <c r="J701" s="74" t="s">
        <v>831</v>
      </c>
      <c r="K701" s="57"/>
      <c r="L701" s="75">
        <v>57</v>
      </c>
      <c r="M701" s="60">
        <v>5</v>
      </c>
      <c r="N701" s="76">
        <v>150</v>
      </c>
      <c r="O701" s="42"/>
      <c r="P701" s="58" t="s">
        <v>36</v>
      </c>
      <c r="Q701" s="61"/>
      <c r="R701" s="62"/>
      <c r="S701" s="78">
        <f t="shared" si="33"/>
        <v>750</v>
      </c>
      <c r="T701" s="44" t="str">
        <f t="shared" si="34"/>
        <v>750grams</v>
      </c>
      <c r="U701" s="77">
        <f t="shared" si="35"/>
        <v>285</v>
      </c>
      <c r="V701" s="46"/>
      <c r="W701" s="46"/>
      <c r="X701" s="46"/>
    </row>
    <row r="702" spans="1:24" ht="15.75" customHeight="1" thickBot="1" x14ac:dyDescent="0.35">
      <c r="A702" s="40" t="e">
        <v>#N/A</v>
      </c>
      <c r="B702" s="67" t="s">
        <v>1231</v>
      </c>
      <c r="C702" s="55"/>
      <c r="D702" s="41"/>
      <c r="E702" s="55"/>
      <c r="F702" s="55"/>
      <c r="G702" s="55"/>
      <c r="H702" s="51"/>
      <c r="I702" s="52"/>
      <c r="J702" s="74" t="s">
        <v>1232</v>
      </c>
      <c r="K702" s="57"/>
      <c r="L702" s="75">
        <v>61.7</v>
      </c>
      <c r="M702" s="60">
        <v>11</v>
      </c>
      <c r="N702" s="76">
        <v>250</v>
      </c>
      <c r="O702" s="42"/>
      <c r="P702" s="58" t="s">
        <v>36</v>
      </c>
      <c r="Q702" s="61"/>
      <c r="R702" s="62"/>
      <c r="S702" s="78">
        <f t="shared" si="33"/>
        <v>2750</v>
      </c>
      <c r="T702" s="44" t="str">
        <f t="shared" si="34"/>
        <v>2750grams</v>
      </c>
      <c r="U702" s="77">
        <f t="shared" si="35"/>
        <v>678.7</v>
      </c>
      <c r="V702" s="46"/>
      <c r="W702" s="46"/>
      <c r="X702" s="46"/>
    </row>
    <row r="703" spans="1:24" ht="15.75" customHeight="1" thickBot="1" x14ac:dyDescent="0.35">
      <c r="A703" s="40" t="e">
        <v>#N/A</v>
      </c>
      <c r="B703" s="68" t="s">
        <v>385</v>
      </c>
      <c r="C703" s="55"/>
      <c r="D703" s="41"/>
      <c r="E703" s="55"/>
      <c r="F703" s="55"/>
      <c r="G703" s="55"/>
      <c r="H703" s="51"/>
      <c r="I703" s="52"/>
      <c r="J703" s="74" t="s">
        <v>820</v>
      </c>
      <c r="K703" s="57"/>
      <c r="L703" s="75">
        <v>65</v>
      </c>
      <c r="M703" s="60">
        <v>14</v>
      </c>
      <c r="N703" s="76">
        <v>100</v>
      </c>
      <c r="O703" s="42"/>
      <c r="P703" s="58" t="s">
        <v>38</v>
      </c>
      <c r="Q703" s="61"/>
      <c r="R703" s="62"/>
      <c r="S703" s="78">
        <f t="shared" si="33"/>
        <v>1400</v>
      </c>
      <c r="T703" s="44" t="str">
        <f t="shared" si="34"/>
        <v>1400pieces</v>
      </c>
      <c r="U703" s="77">
        <f t="shared" si="35"/>
        <v>910</v>
      </c>
      <c r="V703" s="46"/>
      <c r="W703" s="46"/>
      <c r="X703" s="46"/>
    </row>
    <row r="704" spans="1:24" ht="15.75" customHeight="1" thickBot="1" x14ac:dyDescent="0.35">
      <c r="A704" s="40" t="e">
        <v>#N/A</v>
      </c>
      <c r="B704" s="67" t="s">
        <v>385</v>
      </c>
      <c r="C704" s="55"/>
      <c r="D704" s="41"/>
      <c r="E704" s="55"/>
      <c r="F704" s="55"/>
      <c r="G704" s="55"/>
      <c r="H704" s="51"/>
      <c r="I704" s="52"/>
      <c r="J704" s="74" t="s">
        <v>820</v>
      </c>
      <c r="K704" s="57"/>
      <c r="L704" s="75">
        <v>49</v>
      </c>
      <c r="M704" s="60">
        <v>3</v>
      </c>
      <c r="N704" s="76">
        <v>1</v>
      </c>
      <c r="O704" s="42"/>
      <c r="P704" s="58" t="s">
        <v>77</v>
      </c>
      <c r="Q704" s="61"/>
      <c r="R704" s="62"/>
      <c r="S704" s="78">
        <f t="shared" si="33"/>
        <v>3</v>
      </c>
      <c r="T704" s="44" t="str">
        <f t="shared" si="34"/>
        <v>3packs</v>
      </c>
      <c r="U704" s="77">
        <f t="shared" si="35"/>
        <v>147</v>
      </c>
      <c r="V704" s="46"/>
      <c r="W704" s="46"/>
      <c r="X704" s="46"/>
    </row>
    <row r="705" spans="1:24" ht="15.75" customHeight="1" thickBot="1" x14ac:dyDescent="0.35">
      <c r="A705" s="40" t="e">
        <v>#N/A</v>
      </c>
      <c r="B705" s="67" t="s">
        <v>385</v>
      </c>
      <c r="C705" s="55"/>
      <c r="D705" s="41"/>
      <c r="E705" s="55"/>
      <c r="F705" s="55"/>
      <c r="G705" s="55"/>
      <c r="H705" s="51"/>
      <c r="I705" s="52"/>
      <c r="J705" s="74" t="s">
        <v>1161</v>
      </c>
      <c r="K705" s="57"/>
      <c r="L705" s="75">
        <v>45</v>
      </c>
      <c r="M705" s="60">
        <v>2</v>
      </c>
      <c r="N705" s="76">
        <v>1</v>
      </c>
      <c r="O705" s="42"/>
      <c r="P705" s="58" t="s">
        <v>77</v>
      </c>
      <c r="Q705" s="61"/>
      <c r="R705" s="62"/>
      <c r="S705" s="78">
        <f t="shared" si="33"/>
        <v>2</v>
      </c>
      <c r="T705" s="44" t="str">
        <f t="shared" si="34"/>
        <v>2packs</v>
      </c>
      <c r="U705" s="77">
        <f t="shared" si="35"/>
        <v>90</v>
      </c>
      <c r="V705" s="46"/>
      <c r="W705" s="46"/>
      <c r="X705" s="46"/>
    </row>
    <row r="706" spans="1:24" ht="15.75" customHeight="1" thickBot="1" x14ac:dyDescent="0.35">
      <c r="A706" s="40" t="e">
        <v>#N/A</v>
      </c>
      <c r="B706" s="67" t="s">
        <v>385</v>
      </c>
      <c r="C706" s="55"/>
      <c r="D706" s="41"/>
      <c r="E706" s="55"/>
      <c r="F706" s="55"/>
      <c r="G706" s="55"/>
      <c r="H706" s="51"/>
      <c r="I706" s="52"/>
      <c r="J706" s="74" t="s">
        <v>820</v>
      </c>
      <c r="K706" s="57"/>
      <c r="L706" s="75">
        <v>45</v>
      </c>
      <c r="M706" s="60">
        <v>20</v>
      </c>
      <c r="N706" s="76">
        <v>1</v>
      </c>
      <c r="O706" s="42"/>
      <c r="P706" s="58" t="s">
        <v>77</v>
      </c>
      <c r="Q706" s="61"/>
      <c r="R706" s="62"/>
      <c r="S706" s="78">
        <f t="shared" si="33"/>
        <v>20</v>
      </c>
      <c r="T706" s="44" t="str">
        <f t="shared" si="34"/>
        <v>20packs</v>
      </c>
      <c r="U706" s="77">
        <f t="shared" si="35"/>
        <v>900</v>
      </c>
      <c r="V706" s="46"/>
      <c r="W706" s="46"/>
      <c r="X706" s="46"/>
    </row>
    <row r="707" spans="1:24" ht="15.75" customHeight="1" thickBot="1" x14ac:dyDescent="0.35">
      <c r="A707" s="40" t="e">
        <v>#N/A</v>
      </c>
      <c r="B707" s="67" t="s">
        <v>1233</v>
      </c>
      <c r="C707" s="55"/>
      <c r="D707" s="41"/>
      <c r="E707" s="55"/>
      <c r="F707" s="55"/>
      <c r="G707" s="55"/>
      <c r="H707" s="51"/>
      <c r="I707" s="52"/>
      <c r="J707" s="74" t="s">
        <v>1234</v>
      </c>
      <c r="K707" s="57"/>
      <c r="L707" s="75">
        <v>172</v>
      </c>
      <c r="M707" s="60">
        <v>2</v>
      </c>
      <c r="N707" s="76">
        <v>1</v>
      </c>
      <c r="O707" s="42"/>
      <c r="P707" s="58" t="s">
        <v>38</v>
      </c>
      <c r="Q707" s="61"/>
      <c r="R707" s="62"/>
      <c r="S707" s="78">
        <f t="shared" si="33"/>
        <v>2</v>
      </c>
      <c r="T707" s="44" t="str">
        <f t="shared" si="34"/>
        <v>2pieces</v>
      </c>
      <c r="U707" s="77">
        <f t="shared" si="35"/>
        <v>344</v>
      </c>
      <c r="V707" s="46"/>
      <c r="W707" s="46"/>
      <c r="X707" s="46"/>
    </row>
    <row r="708" spans="1:24" ht="15.75" customHeight="1" thickBot="1" x14ac:dyDescent="0.35">
      <c r="A708" s="40" t="e">
        <v>#N/A</v>
      </c>
      <c r="B708" s="67" t="s">
        <v>1235</v>
      </c>
      <c r="C708" s="55"/>
      <c r="D708" s="41"/>
      <c r="E708" s="55"/>
      <c r="F708" s="55"/>
      <c r="G708" s="55"/>
      <c r="H708" s="51"/>
      <c r="I708" s="52"/>
      <c r="J708" s="74"/>
      <c r="K708" s="57"/>
      <c r="L708" s="75">
        <v>200</v>
      </c>
      <c r="M708" s="60">
        <v>5</v>
      </c>
      <c r="N708" s="76">
        <v>1000</v>
      </c>
      <c r="O708" s="42"/>
      <c r="P708" s="58" t="s">
        <v>36</v>
      </c>
      <c r="Q708" s="61"/>
      <c r="R708" s="62"/>
      <c r="S708" s="78">
        <f t="shared" si="33"/>
        <v>5000</v>
      </c>
      <c r="T708" s="44" t="str">
        <f t="shared" si="34"/>
        <v>5000grams</v>
      </c>
      <c r="U708" s="77">
        <f t="shared" si="35"/>
        <v>1000</v>
      </c>
      <c r="V708" s="46"/>
      <c r="W708" s="46"/>
      <c r="X708" s="46"/>
    </row>
    <row r="709" spans="1:24" ht="15.75" customHeight="1" thickBot="1" x14ac:dyDescent="0.35">
      <c r="A709" s="40" t="e">
        <v>#N/A</v>
      </c>
      <c r="B709" s="67" t="s">
        <v>1236</v>
      </c>
      <c r="C709" s="55"/>
      <c r="D709" s="41"/>
      <c r="E709" s="55"/>
      <c r="F709" s="55"/>
      <c r="G709" s="55"/>
      <c r="H709" s="51"/>
      <c r="I709" s="52"/>
      <c r="J709" s="74"/>
      <c r="K709" s="57"/>
      <c r="L709" s="75">
        <v>530</v>
      </c>
      <c r="M709" s="60">
        <v>1</v>
      </c>
      <c r="N709" s="76">
        <v>1000</v>
      </c>
      <c r="O709" s="42"/>
      <c r="P709" s="58" t="s">
        <v>36</v>
      </c>
      <c r="Q709" s="61"/>
      <c r="R709" s="62"/>
      <c r="S709" s="78">
        <f t="shared" si="33"/>
        <v>1000</v>
      </c>
      <c r="T709" s="44" t="str">
        <f t="shared" si="34"/>
        <v>1000grams</v>
      </c>
      <c r="U709" s="77">
        <f t="shared" si="35"/>
        <v>530</v>
      </c>
      <c r="V709" s="46"/>
      <c r="W709" s="46"/>
      <c r="X709" s="46"/>
    </row>
    <row r="710" spans="1:24" ht="15.75" customHeight="1" thickBot="1" x14ac:dyDescent="0.35">
      <c r="A710" s="40" t="e">
        <v>#N/A</v>
      </c>
      <c r="B710" s="68" t="s">
        <v>1237</v>
      </c>
      <c r="C710" s="55"/>
      <c r="D710" s="41"/>
      <c r="E710" s="55"/>
      <c r="F710" s="55"/>
      <c r="G710" s="55"/>
      <c r="H710" s="51"/>
      <c r="I710" s="52"/>
      <c r="J710" s="74" t="s">
        <v>1238</v>
      </c>
      <c r="K710" s="57"/>
      <c r="L710" s="75">
        <v>116.5</v>
      </c>
      <c r="M710" s="60">
        <v>1</v>
      </c>
      <c r="N710" s="76">
        <v>400</v>
      </c>
      <c r="O710" s="42"/>
      <c r="P710" s="58" t="s">
        <v>36</v>
      </c>
      <c r="Q710" s="61"/>
      <c r="R710" s="62"/>
      <c r="S710" s="78">
        <f t="shared" si="33"/>
        <v>400</v>
      </c>
      <c r="T710" s="44" t="str">
        <f t="shared" si="34"/>
        <v>400grams</v>
      </c>
      <c r="U710" s="77">
        <f t="shared" si="35"/>
        <v>116.5</v>
      </c>
      <c r="V710" s="46"/>
      <c r="W710" s="46"/>
      <c r="X710" s="46"/>
    </row>
    <row r="711" spans="1:24" ht="15.75" customHeight="1" thickBot="1" x14ac:dyDescent="0.35">
      <c r="A711" s="40" t="e">
        <v>#N/A</v>
      </c>
      <c r="B711" s="67" t="s">
        <v>1239</v>
      </c>
      <c r="C711" s="55"/>
      <c r="D711" s="41"/>
      <c r="E711" s="55"/>
      <c r="F711" s="55"/>
      <c r="G711" s="55"/>
      <c r="H711" s="51"/>
      <c r="I711" s="52"/>
      <c r="J711" s="74" t="s">
        <v>1064</v>
      </c>
      <c r="K711" s="57"/>
      <c r="L711" s="75">
        <v>153</v>
      </c>
      <c r="M711" s="60">
        <v>1</v>
      </c>
      <c r="N711" s="76">
        <v>240</v>
      </c>
      <c r="O711" s="42"/>
      <c r="P711" s="58" t="s">
        <v>36</v>
      </c>
      <c r="Q711" s="61"/>
      <c r="R711" s="62"/>
      <c r="S711" s="78">
        <f t="shared" si="33"/>
        <v>240</v>
      </c>
      <c r="T711" s="44" t="str">
        <f t="shared" si="34"/>
        <v>240grams</v>
      </c>
      <c r="U711" s="77">
        <f t="shared" si="35"/>
        <v>153</v>
      </c>
      <c r="V711" s="46"/>
      <c r="W711" s="46"/>
      <c r="X711" s="46"/>
    </row>
    <row r="712" spans="1:24" ht="15.75" customHeight="1" thickBot="1" x14ac:dyDescent="0.35">
      <c r="A712" s="40" t="e">
        <v>#N/A</v>
      </c>
      <c r="B712" s="67" t="s">
        <v>1239</v>
      </c>
      <c r="C712" s="55"/>
      <c r="D712" s="41"/>
      <c r="E712" s="55"/>
      <c r="F712" s="55"/>
      <c r="G712" s="55"/>
      <c r="H712" s="51"/>
      <c r="I712" s="52"/>
      <c r="J712" s="74" t="s">
        <v>1064</v>
      </c>
      <c r="K712" s="57"/>
      <c r="L712" s="75">
        <v>235</v>
      </c>
      <c r="M712" s="60">
        <v>1</v>
      </c>
      <c r="N712" s="76">
        <v>397</v>
      </c>
      <c r="O712" s="42"/>
      <c r="P712" s="58" t="s">
        <v>36</v>
      </c>
      <c r="Q712" s="61"/>
      <c r="R712" s="62"/>
      <c r="S712" s="78">
        <f t="shared" si="33"/>
        <v>397</v>
      </c>
      <c r="T712" s="44" t="str">
        <f t="shared" si="34"/>
        <v>397grams</v>
      </c>
      <c r="U712" s="77">
        <f t="shared" si="35"/>
        <v>235</v>
      </c>
      <c r="V712" s="46"/>
      <c r="W712" s="46"/>
      <c r="X712" s="46"/>
    </row>
    <row r="713" spans="1:24" ht="15.75" customHeight="1" thickBot="1" x14ac:dyDescent="0.35">
      <c r="A713" s="40" t="e">
        <v>#N/A</v>
      </c>
      <c r="B713" s="68" t="s">
        <v>1239</v>
      </c>
      <c r="C713" s="55"/>
      <c r="D713" s="41"/>
      <c r="E713" s="55"/>
      <c r="F713" s="55"/>
      <c r="G713" s="55"/>
      <c r="H713" s="51"/>
      <c r="I713" s="52"/>
      <c r="J713" s="74" t="s">
        <v>1064</v>
      </c>
      <c r="K713" s="57"/>
      <c r="L713" s="75">
        <v>201.5</v>
      </c>
      <c r="M713" s="60">
        <v>2</v>
      </c>
      <c r="N713" s="76">
        <v>397</v>
      </c>
      <c r="O713" s="42"/>
      <c r="P713" s="58" t="s">
        <v>36</v>
      </c>
      <c r="Q713" s="61"/>
      <c r="R713" s="62"/>
      <c r="S713" s="78">
        <f t="shared" si="33"/>
        <v>794</v>
      </c>
      <c r="T713" s="44" t="str">
        <f t="shared" si="34"/>
        <v>794grams</v>
      </c>
      <c r="U713" s="77">
        <f t="shared" si="35"/>
        <v>403</v>
      </c>
      <c r="V713" s="46"/>
      <c r="W713" s="46"/>
      <c r="X713" s="46"/>
    </row>
    <row r="714" spans="1:24" ht="15.75" customHeight="1" thickBot="1" x14ac:dyDescent="0.35">
      <c r="A714" s="40" t="e">
        <v>#N/A</v>
      </c>
      <c r="B714" s="68" t="s">
        <v>1239</v>
      </c>
      <c r="C714" s="55"/>
      <c r="D714" s="41"/>
      <c r="E714" s="55"/>
      <c r="F714" s="55"/>
      <c r="G714" s="55"/>
      <c r="H714" s="51"/>
      <c r="I714" s="52"/>
      <c r="J714" s="74" t="s">
        <v>1064</v>
      </c>
      <c r="K714" s="57"/>
      <c r="L714" s="75">
        <v>168</v>
      </c>
      <c r="M714" s="60">
        <v>1</v>
      </c>
      <c r="N714" s="76">
        <v>240</v>
      </c>
      <c r="O714" s="42"/>
      <c r="P714" s="58" t="s">
        <v>36</v>
      </c>
      <c r="Q714" s="61"/>
      <c r="R714" s="62"/>
      <c r="S714" s="78">
        <f t="shared" si="33"/>
        <v>240</v>
      </c>
      <c r="T714" s="44" t="str">
        <f t="shared" si="34"/>
        <v>240grams</v>
      </c>
      <c r="U714" s="77">
        <f t="shared" si="35"/>
        <v>168</v>
      </c>
      <c r="V714" s="46"/>
      <c r="W714" s="46"/>
      <c r="X714" s="46"/>
    </row>
    <row r="715" spans="1:24" ht="15.75" customHeight="1" thickBot="1" x14ac:dyDescent="0.35">
      <c r="A715" s="40" t="e">
        <v>#N/A</v>
      </c>
      <c r="B715" s="67" t="s">
        <v>1240</v>
      </c>
      <c r="C715" s="55"/>
      <c r="D715" s="41"/>
      <c r="E715" s="55"/>
      <c r="F715" s="55"/>
      <c r="G715" s="55"/>
      <c r="H715" s="51"/>
      <c r="I715" s="52"/>
      <c r="J715" s="74" t="s">
        <v>1241</v>
      </c>
      <c r="K715" s="57"/>
      <c r="L715" s="75">
        <v>330</v>
      </c>
      <c r="M715" s="60">
        <v>1</v>
      </c>
      <c r="N715" s="76">
        <v>750</v>
      </c>
      <c r="O715" s="42"/>
      <c r="P715" s="58" t="s">
        <v>88</v>
      </c>
      <c r="Q715" s="61"/>
      <c r="R715" s="62"/>
      <c r="S715" s="78">
        <f t="shared" si="33"/>
        <v>750</v>
      </c>
      <c r="T715" s="44" t="str">
        <f t="shared" si="34"/>
        <v>750kilos</v>
      </c>
      <c r="U715" s="77">
        <f t="shared" si="35"/>
        <v>330</v>
      </c>
      <c r="V715" s="46"/>
      <c r="W715" s="46"/>
      <c r="X715" s="46"/>
    </row>
    <row r="716" spans="1:24" ht="15.75" customHeight="1" thickBot="1" x14ac:dyDescent="0.35">
      <c r="A716" s="40" t="e">
        <v>#N/A</v>
      </c>
      <c r="B716" s="67" t="s">
        <v>1242</v>
      </c>
      <c r="C716" s="55"/>
      <c r="D716" s="41"/>
      <c r="E716" s="55"/>
      <c r="F716" s="55"/>
      <c r="G716" s="55"/>
      <c r="H716" s="51"/>
      <c r="I716" s="52"/>
      <c r="J716" s="74" t="s">
        <v>1243</v>
      </c>
      <c r="K716" s="57"/>
      <c r="L716" s="75">
        <v>5.5</v>
      </c>
      <c r="M716" s="60">
        <v>7</v>
      </c>
      <c r="N716" s="76">
        <v>40</v>
      </c>
      <c r="O716" s="42"/>
      <c r="P716" s="58" t="s">
        <v>36</v>
      </c>
      <c r="Q716" s="61"/>
      <c r="R716" s="62"/>
      <c r="S716" s="78">
        <f t="shared" si="33"/>
        <v>280</v>
      </c>
      <c r="T716" s="44" t="str">
        <f t="shared" si="34"/>
        <v>280grams</v>
      </c>
      <c r="U716" s="77">
        <f t="shared" si="35"/>
        <v>38.5</v>
      </c>
      <c r="V716" s="46"/>
      <c r="W716" s="46"/>
      <c r="X716" s="46"/>
    </row>
    <row r="717" spans="1:24" ht="15.75" customHeight="1" thickBot="1" x14ac:dyDescent="0.35">
      <c r="A717" s="40" t="e">
        <v>#N/A</v>
      </c>
      <c r="B717" s="67" t="s">
        <v>1244</v>
      </c>
      <c r="C717" s="55"/>
      <c r="D717" s="41"/>
      <c r="E717" s="55"/>
      <c r="F717" s="55"/>
      <c r="G717" s="55"/>
      <c r="H717" s="51"/>
      <c r="I717" s="52"/>
      <c r="J717" s="74" t="s">
        <v>1243</v>
      </c>
      <c r="K717" s="57"/>
      <c r="L717" s="75">
        <v>6</v>
      </c>
      <c r="M717" s="60">
        <v>6</v>
      </c>
      <c r="N717" s="76">
        <v>40</v>
      </c>
      <c r="O717" s="42"/>
      <c r="P717" s="58" t="s">
        <v>36</v>
      </c>
      <c r="Q717" s="61"/>
      <c r="R717" s="62"/>
      <c r="S717" s="78">
        <f t="shared" si="33"/>
        <v>240</v>
      </c>
      <c r="T717" s="44" t="str">
        <f t="shared" si="34"/>
        <v>240grams</v>
      </c>
      <c r="U717" s="77">
        <f t="shared" si="35"/>
        <v>36</v>
      </c>
      <c r="V717" s="46"/>
      <c r="W717" s="46"/>
      <c r="X717" s="46"/>
    </row>
    <row r="718" spans="1:24" ht="15.75" customHeight="1" thickBot="1" x14ac:dyDescent="0.35">
      <c r="A718" s="40" t="e">
        <v>#N/A</v>
      </c>
      <c r="B718" s="67" t="s">
        <v>1245</v>
      </c>
      <c r="C718" s="55"/>
      <c r="D718" s="41"/>
      <c r="E718" s="55"/>
      <c r="F718" s="55"/>
      <c r="G718" s="55"/>
      <c r="H718" s="51"/>
      <c r="I718" s="52"/>
      <c r="J718" s="74" t="s">
        <v>1246</v>
      </c>
      <c r="K718" s="57"/>
      <c r="L718" s="75">
        <v>89</v>
      </c>
      <c r="M718" s="60">
        <v>1</v>
      </c>
      <c r="N718" s="76">
        <v>60</v>
      </c>
      <c r="O718" s="42"/>
      <c r="P718" s="58" t="s">
        <v>47</v>
      </c>
      <c r="Q718" s="61"/>
      <c r="R718" s="62"/>
      <c r="S718" s="78">
        <f t="shared" si="33"/>
        <v>60</v>
      </c>
      <c r="T718" s="44" t="str">
        <f t="shared" si="34"/>
        <v>60ml</v>
      </c>
      <c r="U718" s="77">
        <f t="shared" si="35"/>
        <v>89</v>
      </c>
      <c r="V718" s="46"/>
      <c r="W718" s="46"/>
      <c r="X718" s="46"/>
    </row>
    <row r="719" spans="1:24" ht="15.75" customHeight="1" thickBot="1" x14ac:dyDescent="0.35">
      <c r="A719" s="40" t="e">
        <v>#N/A</v>
      </c>
      <c r="B719" s="68" t="s">
        <v>1245</v>
      </c>
      <c r="C719" s="55"/>
      <c r="D719" s="41"/>
      <c r="E719" s="55"/>
      <c r="F719" s="55"/>
      <c r="G719" s="55"/>
      <c r="H719" s="51"/>
      <c r="I719" s="52"/>
      <c r="J719" s="74" t="s">
        <v>1246</v>
      </c>
      <c r="K719" s="57"/>
      <c r="L719" s="75">
        <v>140</v>
      </c>
      <c r="M719" s="60">
        <v>1</v>
      </c>
      <c r="N719" s="76">
        <v>60</v>
      </c>
      <c r="O719" s="42"/>
      <c r="P719" s="58" t="s">
        <v>47</v>
      </c>
      <c r="Q719" s="61"/>
      <c r="R719" s="62"/>
      <c r="S719" s="78">
        <f t="shared" si="33"/>
        <v>60</v>
      </c>
      <c r="T719" s="44" t="str">
        <f t="shared" si="34"/>
        <v>60ml</v>
      </c>
      <c r="U719" s="77">
        <f t="shared" si="35"/>
        <v>140</v>
      </c>
      <c r="V719" s="46"/>
      <c r="W719" s="46"/>
      <c r="X719" s="46"/>
    </row>
    <row r="720" spans="1:24" ht="15.75" customHeight="1" thickBot="1" x14ac:dyDescent="0.35">
      <c r="A720" s="40" t="e">
        <v>#N/A</v>
      </c>
      <c r="B720" s="67" t="s">
        <v>1247</v>
      </c>
      <c r="C720" s="55"/>
      <c r="D720" s="41"/>
      <c r="E720" s="55"/>
      <c r="F720" s="55"/>
      <c r="G720" s="55"/>
      <c r="H720" s="51"/>
      <c r="I720" s="52"/>
      <c r="J720" s="74" t="s">
        <v>1248</v>
      </c>
      <c r="K720" s="57"/>
      <c r="L720" s="75">
        <v>22</v>
      </c>
      <c r="M720" s="60">
        <v>3</v>
      </c>
      <c r="N720" s="76">
        <v>50</v>
      </c>
      <c r="O720" s="42"/>
      <c r="P720" s="58" t="s">
        <v>36</v>
      </c>
      <c r="Q720" s="61"/>
      <c r="R720" s="62"/>
      <c r="S720" s="78">
        <f t="shared" si="33"/>
        <v>150</v>
      </c>
      <c r="T720" s="44" t="str">
        <f t="shared" si="34"/>
        <v>150grams</v>
      </c>
      <c r="U720" s="77">
        <f t="shared" si="35"/>
        <v>66</v>
      </c>
      <c r="V720" s="46"/>
      <c r="W720" s="46"/>
      <c r="X720" s="46"/>
    </row>
    <row r="721" spans="1:24" ht="15.75" customHeight="1" thickBot="1" x14ac:dyDescent="0.35">
      <c r="A721" s="40" t="e">
        <v>#N/A</v>
      </c>
      <c r="B721" s="67" t="s">
        <v>402</v>
      </c>
      <c r="C721" s="55"/>
      <c r="D721" s="41"/>
      <c r="E721" s="55"/>
      <c r="F721" s="55"/>
      <c r="G721" s="55"/>
      <c r="H721" s="51"/>
      <c r="I721" s="52"/>
      <c r="J721" s="74" t="s">
        <v>57</v>
      </c>
      <c r="K721" s="57"/>
      <c r="L721" s="75">
        <v>45</v>
      </c>
      <c r="M721" s="60">
        <v>20</v>
      </c>
      <c r="N721" s="76">
        <v>400</v>
      </c>
      <c r="O721" s="42"/>
      <c r="P721" s="58" t="s">
        <v>36</v>
      </c>
      <c r="Q721" s="61"/>
      <c r="R721" s="62"/>
      <c r="S721" s="78">
        <f t="shared" si="33"/>
        <v>8000</v>
      </c>
      <c r="T721" s="44" t="str">
        <f t="shared" si="34"/>
        <v>8000grams</v>
      </c>
      <c r="U721" s="77">
        <f t="shared" si="35"/>
        <v>900</v>
      </c>
      <c r="V721" s="46"/>
      <c r="W721" s="46"/>
      <c r="X721" s="46"/>
    </row>
    <row r="722" spans="1:24" ht="15.75" customHeight="1" thickBot="1" x14ac:dyDescent="0.35">
      <c r="A722" s="40" t="e">
        <v>#N/A</v>
      </c>
      <c r="B722" s="67" t="s">
        <v>402</v>
      </c>
      <c r="C722" s="55"/>
      <c r="D722" s="41"/>
      <c r="E722" s="55"/>
      <c r="F722" s="55"/>
      <c r="G722" s="55"/>
      <c r="H722" s="51"/>
      <c r="I722" s="52"/>
      <c r="J722" s="74" t="s">
        <v>57</v>
      </c>
      <c r="K722" s="57"/>
      <c r="L722" s="75">
        <v>66.5</v>
      </c>
      <c r="M722" s="60">
        <v>3</v>
      </c>
      <c r="N722" s="76">
        <v>500</v>
      </c>
      <c r="O722" s="42"/>
      <c r="P722" s="58" t="s">
        <v>36</v>
      </c>
      <c r="Q722" s="61"/>
      <c r="R722" s="62"/>
      <c r="S722" s="78">
        <f t="shared" si="33"/>
        <v>1500</v>
      </c>
      <c r="T722" s="44" t="str">
        <f t="shared" si="34"/>
        <v>1500grams</v>
      </c>
      <c r="U722" s="77">
        <f t="shared" si="35"/>
        <v>199.5</v>
      </c>
      <c r="V722" s="46"/>
      <c r="W722" s="46"/>
      <c r="X722" s="46"/>
    </row>
    <row r="723" spans="1:24" ht="15.75" customHeight="1" thickBot="1" x14ac:dyDescent="0.35">
      <c r="A723" s="40" t="e">
        <v>#N/A</v>
      </c>
      <c r="B723" s="67" t="s">
        <v>402</v>
      </c>
      <c r="C723" s="55"/>
      <c r="D723" s="41"/>
      <c r="E723" s="55"/>
      <c r="F723" s="55"/>
      <c r="G723" s="55"/>
      <c r="H723" s="51"/>
      <c r="I723" s="52"/>
      <c r="J723" s="74" t="s">
        <v>57</v>
      </c>
      <c r="K723" s="57"/>
      <c r="L723" s="75">
        <v>57.4</v>
      </c>
      <c r="M723" s="60">
        <v>3</v>
      </c>
      <c r="N723" s="76">
        <v>500</v>
      </c>
      <c r="O723" s="42"/>
      <c r="P723" s="58" t="s">
        <v>36</v>
      </c>
      <c r="Q723" s="61"/>
      <c r="R723" s="62"/>
      <c r="S723" s="78">
        <f t="shared" si="33"/>
        <v>1500</v>
      </c>
      <c r="T723" s="44" t="str">
        <f t="shared" si="34"/>
        <v>1500grams</v>
      </c>
      <c r="U723" s="77">
        <f t="shared" si="35"/>
        <v>172.2</v>
      </c>
      <c r="V723" s="46"/>
      <c r="W723" s="46"/>
      <c r="X723" s="46"/>
    </row>
    <row r="724" spans="1:24" ht="15.75" customHeight="1" thickBot="1" x14ac:dyDescent="0.35">
      <c r="A724" s="40" t="e">
        <v>#N/A</v>
      </c>
      <c r="B724" s="67" t="s">
        <v>402</v>
      </c>
      <c r="C724" s="55"/>
      <c r="D724" s="41"/>
      <c r="E724" s="55"/>
      <c r="F724" s="55"/>
      <c r="G724" s="55"/>
      <c r="H724" s="51"/>
      <c r="I724" s="52"/>
      <c r="J724" s="74" t="s">
        <v>57</v>
      </c>
      <c r="K724" s="57"/>
      <c r="L724" s="75">
        <v>57.4</v>
      </c>
      <c r="M724" s="60">
        <v>7</v>
      </c>
      <c r="N724" s="76">
        <v>500</v>
      </c>
      <c r="O724" s="42"/>
      <c r="P724" s="58" t="s">
        <v>36</v>
      </c>
      <c r="Q724" s="61"/>
      <c r="R724" s="62"/>
      <c r="S724" s="78">
        <f t="shared" si="33"/>
        <v>3500</v>
      </c>
      <c r="T724" s="44" t="str">
        <f t="shared" si="34"/>
        <v>3500grams</v>
      </c>
      <c r="U724" s="77">
        <f t="shared" si="35"/>
        <v>401.8</v>
      </c>
      <c r="V724" s="46"/>
      <c r="W724" s="46"/>
      <c r="X724" s="46"/>
    </row>
    <row r="725" spans="1:24" ht="15.75" customHeight="1" thickBot="1" x14ac:dyDescent="0.35">
      <c r="A725" s="40" t="e">
        <v>#N/A</v>
      </c>
      <c r="B725" s="67" t="s">
        <v>402</v>
      </c>
      <c r="C725" s="55"/>
      <c r="D725" s="41"/>
      <c r="E725" s="55"/>
      <c r="F725" s="55"/>
      <c r="G725" s="55"/>
      <c r="H725" s="51"/>
      <c r="I725" s="52"/>
      <c r="J725" s="74" t="s">
        <v>57</v>
      </c>
      <c r="K725" s="57"/>
      <c r="L725" s="75">
        <v>59.5</v>
      </c>
      <c r="M725" s="60">
        <v>5</v>
      </c>
      <c r="N725" s="76">
        <v>500</v>
      </c>
      <c r="O725" s="42"/>
      <c r="P725" s="58" t="s">
        <v>36</v>
      </c>
      <c r="Q725" s="61"/>
      <c r="R725" s="62"/>
      <c r="S725" s="78">
        <f t="shared" si="33"/>
        <v>2500</v>
      </c>
      <c r="T725" s="44" t="str">
        <f t="shared" si="34"/>
        <v>2500grams</v>
      </c>
      <c r="U725" s="77">
        <f t="shared" si="35"/>
        <v>297.5</v>
      </c>
      <c r="V725" s="46"/>
      <c r="W725" s="46"/>
      <c r="X725" s="46"/>
    </row>
    <row r="726" spans="1:24" ht="15.75" customHeight="1" thickBot="1" x14ac:dyDescent="0.35">
      <c r="A726" s="40" t="e">
        <v>#N/A</v>
      </c>
      <c r="B726" s="67" t="s">
        <v>402</v>
      </c>
      <c r="C726" s="55"/>
      <c r="D726" s="41"/>
      <c r="E726" s="55"/>
      <c r="F726" s="55"/>
      <c r="G726" s="55"/>
      <c r="H726" s="51"/>
      <c r="I726" s="52"/>
      <c r="J726" s="74" t="s">
        <v>57</v>
      </c>
      <c r="K726" s="57"/>
      <c r="L726" s="75">
        <v>57.4</v>
      </c>
      <c r="M726" s="60">
        <v>8</v>
      </c>
      <c r="N726" s="76">
        <v>500</v>
      </c>
      <c r="O726" s="42"/>
      <c r="P726" s="58" t="s">
        <v>36</v>
      </c>
      <c r="Q726" s="61"/>
      <c r="R726" s="62"/>
      <c r="S726" s="78">
        <f t="shared" si="33"/>
        <v>4000</v>
      </c>
      <c r="T726" s="44" t="str">
        <f t="shared" si="34"/>
        <v>4000grams</v>
      </c>
      <c r="U726" s="77">
        <f t="shared" si="35"/>
        <v>459.2</v>
      </c>
      <c r="V726" s="46"/>
      <c r="W726" s="46"/>
      <c r="X726" s="46"/>
    </row>
    <row r="727" spans="1:24" ht="15.75" customHeight="1" thickBot="1" x14ac:dyDescent="0.35">
      <c r="A727" s="40" t="e">
        <v>#N/A</v>
      </c>
      <c r="B727" s="67" t="s">
        <v>402</v>
      </c>
      <c r="C727" s="55"/>
      <c r="D727" s="41"/>
      <c r="E727" s="55"/>
      <c r="F727" s="55"/>
      <c r="G727" s="55"/>
      <c r="H727" s="51"/>
      <c r="I727" s="52"/>
      <c r="J727" s="74" t="s">
        <v>57</v>
      </c>
      <c r="K727" s="57"/>
      <c r="L727" s="75">
        <v>77</v>
      </c>
      <c r="M727" s="60">
        <v>5</v>
      </c>
      <c r="N727" s="76">
        <v>500</v>
      </c>
      <c r="O727" s="42"/>
      <c r="P727" s="58" t="s">
        <v>36</v>
      </c>
      <c r="Q727" s="61"/>
      <c r="R727" s="62"/>
      <c r="S727" s="78">
        <f t="shared" si="33"/>
        <v>2500</v>
      </c>
      <c r="T727" s="44" t="str">
        <f t="shared" si="34"/>
        <v>2500grams</v>
      </c>
      <c r="U727" s="77">
        <f t="shared" si="35"/>
        <v>385</v>
      </c>
      <c r="V727" s="46"/>
      <c r="W727" s="46"/>
      <c r="X727" s="46"/>
    </row>
    <row r="728" spans="1:24" ht="15.75" customHeight="1" thickBot="1" x14ac:dyDescent="0.35">
      <c r="A728" s="40" t="e">
        <v>#N/A</v>
      </c>
      <c r="B728" s="67" t="s">
        <v>402</v>
      </c>
      <c r="C728" s="55"/>
      <c r="D728" s="41"/>
      <c r="E728" s="55"/>
      <c r="F728" s="55"/>
      <c r="G728" s="55"/>
      <c r="H728" s="51"/>
      <c r="I728" s="52"/>
      <c r="J728" s="74" t="s">
        <v>57</v>
      </c>
      <c r="K728" s="57"/>
      <c r="L728" s="75">
        <v>57.4</v>
      </c>
      <c r="M728" s="60">
        <v>5</v>
      </c>
      <c r="N728" s="76">
        <v>500</v>
      </c>
      <c r="O728" s="42"/>
      <c r="P728" s="58" t="s">
        <v>36</v>
      </c>
      <c r="Q728" s="61"/>
      <c r="R728" s="62"/>
      <c r="S728" s="78">
        <f t="shared" si="33"/>
        <v>2500</v>
      </c>
      <c r="T728" s="44" t="str">
        <f t="shared" si="34"/>
        <v>2500grams</v>
      </c>
      <c r="U728" s="77">
        <f t="shared" si="35"/>
        <v>287</v>
      </c>
      <c r="V728" s="46"/>
      <c r="W728" s="46"/>
      <c r="X728" s="46"/>
    </row>
    <row r="729" spans="1:24" ht="15.75" customHeight="1" thickBot="1" x14ac:dyDescent="0.35">
      <c r="A729" s="40" t="e">
        <v>#N/A</v>
      </c>
      <c r="B729" s="68" t="s">
        <v>402</v>
      </c>
      <c r="C729" s="55"/>
      <c r="D729" s="41"/>
      <c r="E729" s="55"/>
      <c r="F729" s="55"/>
      <c r="G729" s="55"/>
      <c r="H729" s="51"/>
      <c r="I729" s="52"/>
      <c r="J729" s="74" t="s">
        <v>57</v>
      </c>
      <c r="K729" s="57"/>
      <c r="L729" s="75">
        <v>87</v>
      </c>
      <c r="M729" s="60">
        <v>1</v>
      </c>
      <c r="N729" s="76">
        <v>500</v>
      </c>
      <c r="O729" s="42"/>
      <c r="P729" s="58" t="s">
        <v>36</v>
      </c>
      <c r="Q729" s="61"/>
      <c r="R729" s="62"/>
      <c r="S729" s="78">
        <f t="shared" si="33"/>
        <v>500</v>
      </c>
      <c r="T729" s="44" t="str">
        <f t="shared" si="34"/>
        <v>500grams</v>
      </c>
      <c r="U729" s="77">
        <f t="shared" si="35"/>
        <v>87</v>
      </c>
      <c r="V729" s="46"/>
      <c r="W729" s="46"/>
      <c r="X729" s="46"/>
    </row>
    <row r="730" spans="1:24" ht="15.75" customHeight="1" thickBot="1" x14ac:dyDescent="0.35">
      <c r="A730" s="40" t="e">
        <v>#N/A</v>
      </c>
      <c r="B730" s="67" t="s">
        <v>402</v>
      </c>
      <c r="C730" s="55"/>
      <c r="D730" s="41"/>
      <c r="E730" s="55"/>
      <c r="F730" s="55"/>
      <c r="G730" s="55"/>
      <c r="H730" s="51"/>
      <c r="I730" s="52"/>
      <c r="J730" s="74" t="s">
        <v>57</v>
      </c>
      <c r="K730" s="57"/>
      <c r="L730" s="75">
        <v>57.4</v>
      </c>
      <c r="M730" s="60">
        <v>4</v>
      </c>
      <c r="N730" s="76">
        <v>500</v>
      </c>
      <c r="O730" s="42"/>
      <c r="P730" s="58" t="s">
        <v>36</v>
      </c>
      <c r="Q730" s="61"/>
      <c r="R730" s="62"/>
      <c r="S730" s="78">
        <f t="shared" si="33"/>
        <v>2000</v>
      </c>
      <c r="T730" s="44" t="str">
        <f t="shared" si="34"/>
        <v>2000grams</v>
      </c>
      <c r="U730" s="77">
        <f t="shared" si="35"/>
        <v>229.6</v>
      </c>
      <c r="V730" s="46"/>
      <c r="W730" s="46"/>
      <c r="X730" s="46"/>
    </row>
    <row r="731" spans="1:24" ht="15.75" customHeight="1" thickBot="1" x14ac:dyDescent="0.35">
      <c r="A731" s="40" t="e">
        <v>#N/A</v>
      </c>
      <c r="B731" s="67" t="s">
        <v>1249</v>
      </c>
      <c r="C731" s="55"/>
      <c r="D731" s="41"/>
      <c r="E731" s="55"/>
      <c r="F731" s="55"/>
      <c r="G731" s="55"/>
      <c r="H731" s="51"/>
      <c r="I731" s="52"/>
      <c r="J731" s="74" t="s">
        <v>832</v>
      </c>
      <c r="K731" s="57"/>
      <c r="L731" s="75">
        <v>195</v>
      </c>
      <c r="M731" s="60">
        <v>6</v>
      </c>
      <c r="N731" s="76">
        <v>1000</v>
      </c>
      <c r="O731" s="42"/>
      <c r="P731" s="58" t="s">
        <v>88</v>
      </c>
      <c r="Q731" s="61"/>
      <c r="R731" s="62"/>
      <c r="S731" s="78">
        <f t="shared" si="33"/>
        <v>6000</v>
      </c>
      <c r="T731" s="44" t="str">
        <f t="shared" si="34"/>
        <v>6000kilos</v>
      </c>
      <c r="U731" s="77">
        <f t="shared" si="35"/>
        <v>1170</v>
      </c>
      <c r="V731" s="46"/>
      <c r="W731" s="46"/>
      <c r="X731" s="46"/>
    </row>
    <row r="732" spans="1:24" ht="15.75" customHeight="1" thickBot="1" x14ac:dyDescent="0.35">
      <c r="A732" s="40" t="e">
        <v>#N/A</v>
      </c>
      <c r="B732" s="67" t="s">
        <v>1250</v>
      </c>
      <c r="C732" s="55"/>
      <c r="D732" s="41"/>
      <c r="E732" s="55"/>
      <c r="F732" s="55"/>
      <c r="G732" s="55"/>
      <c r="H732" s="51"/>
      <c r="I732" s="52"/>
      <c r="J732" s="74" t="s">
        <v>1251</v>
      </c>
      <c r="K732" s="57"/>
      <c r="L732" s="75">
        <v>218</v>
      </c>
      <c r="M732" s="60">
        <v>2</v>
      </c>
      <c r="N732" s="76">
        <v>1000</v>
      </c>
      <c r="O732" s="42"/>
      <c r="P732" s="58" t="s">
        <v>36</v>
      </c>
      <c r="Q732" s="61"/>
      <c r="R732" s="62"/>
      <c r="S732" s="78">
        <f t="shared" si="33"/>
        <v>2000</v>
      </c>
      <c r="T732" s="44" t="str">
        <f t="shared" si="34"/>
        <v>2000grams</v>
      </c>
      <c r="U732" s="77">
        <f t="shared" si="35"/>
        <v>436</v>
      </c>
      <c r="V732" s="46"/>
      <c r="W732" s="46"/>
      <c r="X732" s="46"/>
    </row>
    <row r="733" spans="1:24" ht="15.75" customHeight="1" thickBot="1" x14ac:dyDescent="0.35">
      <c r="A733" s="40" t="e">
        <v>#N/A</v>
      </c>
      <c r="B733" s="67" t="s">
        <v>1250</v>
      </c>
      <c r="C733" s="55"/>
      <c r="D733" s="41"/>
      <c r="E733" s="55"/>
      <c r="F733" s="55"/>
      <c r="G733" s="55"/>
      <c r="H733" s="51"/>
      <c r="I733" s="52"/>
      <c r="J733" s="74" t="s">
        <v>1252</v>
      </c>
      <c r="K733" s="57"/>
      <c r="L733" s="75">
        <v>289</v>
      </c>
      <c r="M733" s="60">
        <v>1</v>
      </c>
      <c r="N733" s="76">
        <v>1000</v>
      </c>
      <c r="O733" s="42"/>
      <c r="P733" s="58" t="s">
        <v>36</v>
      </c>
      <c r="Q733" s="61"/>
      <c r="R733" s="62"/>
      <c r="S733" s="78">
        <f t="shared" si="33"/>
        <v>1000</v>
      </c>
      <c r="T733" s="44" t="str">
        <f t="shared" si="34"/>
        <v>1000grams</v>
      </c>
      <c r="U733" s="77">
        <f t="shared" si="35"/>
        <v>289</v>
      </c>
      <c r="V733" s="46"/>
      <c r="W733" s="46"/>
      <c r="X733" s="46"/>
    </row>
    <row r="734" spans="1:24" ht="15.75" customHeight="1" thickBot="1" x14ac:dyDescent="0.35">
      <c r="A734" s="40" t="e">
        <v>#N/A</v>
      </c>
      <c r="B734" s="67" t="s">
        <v>1253</v>
      </c>
      <c r="C734" s="55"/>
      <c r="D734" s="41"/>
      <c r="E734" s="55"/>
      <c r="F734" s="55"/>
      <c r="G734" s="55"/>
      <c r="H734" s="51"/>
      <c r="I734" s="52"/>
      <c r="J734" s="74" t="s">
        <v>832</v>
      </c>
      <c r="K734" s="57"/>
      <c r="L734" s="75">
        <v>215</v>
      </c>
      <c r="M734" s="60">
        <v>2</v>
      </c>
      <c r="N734" s="76">
        <v>1000</v>
      </c>
      <c r="O734" s="42"/>
      <c r="P734" s="58" t="s">
        <v>36</v>
      </c>
      <c r="Q734" s="61"/>
      <c r="R734" s="62"/>
      <c r="S734" s="78">
        <f t="shared" si="33"/>
        <v>2000</v>
      </c>
      <c r="T734" s="44" t="str">
        <f t="shared" si="34"/>
        <v>2000grams</v>
      </c>
      <c r="U734" s="77">
        <f t="shared" si="35"/>
        <v>430</v>
      </c>
      <c r="V734" s="46"/>
      <c r="W734" s="46"/>
      <c r="X734" s="46"/>
    </row>
    <row r="735" spans="1:24" ht="15.75" customHeight="1" thickBot="1" x14ac:dyDescent="0.35">
      <c r="A735" s="40" t="e">
        <v>#N/A</v>
      </c>
      <c r="B735" s="67" t="s">
        <v>1254</v>
      </c>
      <c r="C735" s="55"/>
      <c r="D735" s="41"/>
      <c r="E735" s="55"/>
      <c r="F735" s="55"/>
      <c r="G735" s="55"/>
      <c r="H735" s="51"/>
      <c r="I735" s="52"/>
      <c r="J735" s="74" t="s">
        <v>832</v>
      </c>
      <c r="K735" s="57"/>
      <c r="L735" s="75">
        <v>189.5</v>
      </c>
      <c r="M735" s="60">
        <v>5</v>
      </c>
      <c r="N735" s="76">
        <v>1000</v>
      </c>
      <c r="O735" s="42"/>
      <c r="P735" s="58" t="s">
        <v>36</v>
      </c>
      <c r="Q735" s="61"/>
      <c r="R735" s="62"/>
      <c r="S735" s="78">
        <f t="shared" si="33"/>
        <v>5000</v>
      </c>
      <c r="T735" s="44" t="str">
        <f t="shared" si="34"/>
        <v>5000grams</v>
      </c>
      <c r="U735" s="77">
        <f t="shared" si="35"/>
        <v>947.5</v>
      </c>
      <c r="V735" s="46"/>
      <c r="W735" s="46"/>
      <c r="X735" s="46"/>
    </row>
    <row r="736" spans="1:24" ht="15.75" customHeight="1" thickBot="1" x14ac:dyDescent="0.35">
      <c r="A736" s="40" t="e">
        <v>#N/A</v>
      </c>
      <c r="B736" s="67" t="s">
        <v>1254</v>
      </c>
      <c r="C736" s="55"/>
      <c r="D736" s="41"/>
      <c r="E736" s="55"/>
      <c r="F736" s="55"/>
      <c r="G736" s="55"/>
      <c r="H736" s="51"/>
      <c r="I736" s="52"/>
      <c r="J736" s="74" t="s">
        <v>1251</v>
      </c>
      <c r="K736" s="57"/>
      <c r="L736" s="75">
        <v>208</v>
      </c>
      <c r="M736" s="60">
        <v>2</v>
      </c>
      <c r="N736" s="76">
        <v>1000</v>
      </c>
      <c r="O736" s="42"/>
      <c r="P736" s="58" t="s">
        <v>36</v>
      </c>
      <c r="Q736" s="61"/>
      <c r="R736" s="62"/>
      <c r="S736" s="78">
        <f t="shared" si="33"/>
        <v>2000</v>
      </c>
      <c r="T736" s="44" t="str">
        <f t="shared" si="34"/>
        <v>2000grams</v>
      </c>
      <c r="U736" s="77">
        <f t="shared" si="35"/>
        <v>416</v>
      </c>
      <c r="V736" s="46"/>
      <c r="W736" s="46"/>
      <c r="X736" s="46"/>
    </row>
    <row r="737" spans="1:24" ht="15.75" customHeight="1" thickBot="1" x14ac:dyDescent="0.35">
      <c r="A737" s="40" t="e">
        <v>#N/A</v>
      </c>
      <c r="B737" s="67" t="s">
        <v>1254</v>
      </c>
      <c r="C737" s="55"/>
      <c r="D737" s="41"/>
      <c r="E737" s="55"/>
      <c r="F737" s="55"/>
      <c r="G737" s="55"/>
      <c r="H737" s="51"/>
      <c r="I737" s="52"/>
      <c r="J737" s="74" t="s">
        <v>832</v>
      </c>
      <c r="K737" s="57"/>
      <c r="L737" s="75">
        <v>189</v>
      </c>
      <c r="M737" s="60">
        <v>9</v>
      </c>
      <c r="N737" s="76">
        <v>1000</v>
      </c>
      <c r="O737" s="42"/>
      <c r="P737" s="58" t="s">
        <v>36</v>
      </c>
      <c r="Q737" s="61"/>
      <c r="R737" s="62"/>
      <c r="S737" s="78">
        <f t="shared" si="33"/>
        <v>9000</v>
      </c>
      <c r="T737" s="44" t="str">
        <f t="shared" si="34"/>
        <v>9000grams</v>
      </c>
      <c r="U737" s="77">
        <f t="shared" si="35"/>
        <v>1701</v>
      </c>
      <c r="V737" s="46"/>
      <c r="W737" s="46"/>
      <c r="X737" s="46"/>
    </row>
    <row r="738" spans="1:24" ht="15.75" customHeight="1" thickBot="1" x14ac:dyDescent="0.35">
      <c r="A738" s="40" t="e">
        <v>#N/A</v>
      </c>
      <c r="B738" s="67" t="s">
        <v>1254</v>
      </c>
      <c r="C738" s="55"/>
      <c r="D738" s="41"/>
      <c r="E738" s="55"/>
      <c r="F738" s="55"/>
      <c r="G738" s="55"/>
      <c r="H738" s="51"/>
      <c r="I738" s="52"/>
      <c r="J738" s="74" t="s">
        <v>832</v>
      </c>
      <c r="K738" s="57"/>
      <c r="L738" s="75">
        <v>205</v>
      </c>
      <c r="M738" s="60">
        <v>1</v>
      </c>
      <c r="N738" s="76">
        <v>1000</v>
      </c>
      <c r="O738" s="42"/>
      <c r="P738" s="58" t="s">
        <v>36</v>
      </c>
      <c r="Q738" s="61"/>
      <c r="R738" s="62"/>
      <c r="S738" s="78">
        <f t="shared" si="33"/>
        <v>1000</v>
      </c>
      <c r="T738" s="44" t="str">
        <f t="shared" si="34"/>
        <v>1000grams</v>
      </c>
      <c r="U738" s="77">
        <f t="shared" si="35"/>
        <v>205</v>
      </c>
      <c r="V738" s="46"/>
      <c r="W738" s="46"/>
      <c r="X738" s="46"/>
    </row>
    <row r="739" spans="1:24" ht="15.75" customHeight="1" thickBot="1" x14ac:dyDescent="0.35">
      <c r="A739" s="40" t="e">
        <v>#N/A</v>
      </c>
      <c r="B739" s="67" t="s">
        <v>1254</v>
      </c>
      <c r="C739" s="55"/>
      <c r="D739" s="41"/>
      <c r="E739" s="55"/>
      <c r="F739" s="55"/>
      <c r="G739" s="55"/>
      <c r="H739" s="51"/>
      <c r="I739" s="52"/>
      <c r="J739" s="74" t="s">
        <v>832</v>
      </c>
      <c r="K739" s="57"/>
      <c r="L739" s="75">
        <v>175</v>
      </c>
      <c r="M739" s="60">
        <v>1</v>
      </c>
      <c r="N739" s="76">
        <v>1000</v>
      </c>
      <c r="O739" s="42"/>
      <c r="P739" s="58" t="s">
        <v>36</v>
      </c>
      <c r="Q739" s="61"/>
      <c r="R739" s="62"/>
      <c r="S739" s="78">
        <f t="shared" si="33"/>
        <v>1000</v>
      </c>
      <c r="T739" s="44" t="str">
        <f t="shared" si="34"/>
        <v>1000grams</v>
      </c>
      <c r="U739" s="77">
        <f t="shared" si="35"/>
        <v>175</v>
      </c>
      <c r="V739" s="46"/>
      <c r="W739" s="46"/>
      <c r="X739" s="46"/>
    </row>
    <row r="740" spans="1:24" ht="15.75" customHeight="1" thickBot="1" x14ac:dyDescent="0.35">
      <c r="A740" s="40" t="e">
        <v>#N/A</v>
      </c>
      <c r="B740" s="67" t="s">
        <v>1255</v>
      </c>
      <c r="C740" s="55"/>
      <c r="D740" s="41"/>
      <c r="E740" s="55"/>
      <c r="F740" s="55"/>
      <c r="G740" s="55"/>
      <c r="H740" s="51"/>
      <c r="I740" s="52"/>
      <c r="J740" s="74" t="s">
        <v>832</v>
      </c>
      <c r="K740" s="57"/>
      <c r="L740" s="75">
        <v>195</v>
      </c>
      <c r="M740" s="60">
        <v>5</v>
      </c>
      <c r="N740" s="76">
        <v>1000</v>
      </c>
      <c r="O740" s="42"/>
      <c r="P740" s="58" t="s">
        <v>36</v>
      </c>
      <c r="Q740" s="61"/>
      <c r="R740" s="62"/>
      <c r="S740" s="78">
        <f t="shared" si="33"/>
        <v>5000</v>
      </c>
      <c r="T740" s="44" t="str">
        <f t="shared" si="34"/>
        <v>5000grams</v>
      </c>
      <c r="U740" s="77">
        <f t="shared" si="35"/>
        <v>975</v>
      </c>
      <c r="V740" s="46"/>
      <c r="W740" s="46"/>
      <c r="X740" s="46"/>
    </row>
    <row r="741" spans="1:24" ht="15.75" customHeight="1" thickBot="1" x14ac:dyDescent="0.35">
      <c r="A741" s="40" t="e">
        <v>#N/A</v>
      </c>
      <c r="B741" s="67" t="s">
        <v>1255</v>
      </c>
      <c r="C741" s="55"/>
      <c r="D741" s="41"/>
      <c r="E741" s="55"/>
      <c r="F741" s="55"/>
      <c r="G741" s="55"/>
      <c r="H741" s="51"/>
      <c r="I741" s="52"/>
      <c r="J741" s="74" t="s">
        <v>832</v>
      </c>
      <c r="K741" s="57"/>
      <c r="L741" s="75">
        <v>215</v>
      </c>
      <c r="M741" s="60">
        <v>3</v>
      </c>
      <c r="N741" s="76">
        <v>1000</v>
      </c>
      <c r="O741" s="42"/>
      <c r="P741" s="58" t="s">
        <v>36</v>
      </c>
      <c r="Q741" s="61"/>
      <c r="R741" s="62"/>
      <c r="S741" s="78">
        <f t="shared" si="33"/>
        <v>3000</v>
      </c>
      <c r="T741" s="44" t="str">
        <f t="shared" si="34"/>
        <v>3000grams</v>
      </c>
      <c r="U741" s="77">
        <f t="shared" si="35"/>
        <v>645</v>
      </c>
      <c r="V741" s="46"/>
      <c r="W741" s="46"/>
      <c r="X741" s="46"/>
    </row>
    <row r="742" spans="1:24" ht="15.75" customHeight="1" thickBot="1" x14ac:dyDescent="0.35">
      <c r="A742" s="40" t="e">
        <v>#N/A</v>
      </c>
      <c r="B742" s="67" t="s">
        <v>1256</v>
      </c>
      <c r="C742" s="55"/>
      <c r="D742" s="41"/>
      <c r="E742" s="55"/>
      <c r="F742" s="55"/>
      <c r="G742" s="55"/>
      <c r="H742" s="51"/>
      <c r="I742" s="52"/>
      <c r="J742" s="74" t="s">
        <v>1119</v>
      </c>
      <c r="K742" s="57"/>
      <c r="L742" s="75">
        <v>192</v>
      </c>
      <c r="M742" s="60">
        <v>1</v>
      </c>
      <c r="N742" s="76">
        <v>1</v>
      </c>
      <c r="O742" s="42"/>
      <c r="P742" s="58" t="s">
        <v>88</v>
      </c>
      <c r="Q742" s="61"/>
      <c r="R742" s="62"/>
      <c r="S742" s="78">
        <f t="shared" si="33"/>
        <v>1</v>
      </c>
      <c r="T742" s="44" t="str">
        <f t="shared" si="34"/>
        <v>1kilos</v>
      </c>
      <c r="U742" s="77">
        <f t="shared" si="35"/>
        <v>192</v>
      </c>
      <c r="V742" s="46"/>
      <c r="W742" s="46"/>
      <c r="X742" s="46"/>
    </row>
    <row r="743" spans="1:24" ht="15.75" customHeight="1" thickBot="1" x14ac:dyDescent="0.35">
      <c r="A743" s="40" t="e">
        <v>#N/A</v>
      </c>
      <c r="B743" s="67" t="s">
        <v>1257</v>
      </c>
      <c r="C743" s="55"/>
      <c r="D743" s="41"/>
      <c r="E743" s="55"/>
      <c r="F743" s="55"/>
      <c r="G743" s="55"/>
      <c r="H743" s="51"/>
      <c r="I743" s="52"/>
      <c r="J743" s="74" t="s">
        <v>833</v>
      </c>
      <c r="K743" s="57"/>
      <c r="L743" s="75">
        <v>165</v>
      </c>
      <c r="M743" s="60">
        <v>1</v>
      </c>
      <c r="N743" s="76">
        <v>500</v>
      </c>
      <c r="O743" s="42"/>
      <c r="P743" s="58" t="s">
        <v>36</v>
      </c>
      <c r="Q743" s="61"/>
      <c r="R743" s="62"/>
      <c r="S743" s="78">
        <f t="shared" si="33"/>
        <v>500</v>
      </c>
      <c r="T743" s="44" t="str">
        <f t="shared" si="34"/>
        <v>500grams</v>
      </c>
      <c r="U743" s="77">
        <f t="shared" si="35"/>
        <v>165</v>
      </c>
      <c r="V743" s="46"/>
      <c r="W743" s="46"/>
      <c r="X743" s="46"/>
    </row>
    <row r="744" spans="1:24" ht="15.75" customHeight="1" thickBot="1" x14ac:dyDescent="0.35">
      <c r="A744" s="40" t="e">
        <v>#N/A</v>
      </c>
      <c r="B744" s="67" t="s">
        <v>1258</v>
      </c>
      <c r="C744" s="55"/>
      <c r="D744" s="41"/>
      <c r="E744" s="55"/>
      <c r="F744" s="55"/>
      <c r="G744" s="55"/>
      <c r="H744" s="51"/>
      <c r="I744" s="52"/>
      <c r="J744" s="74" t="s">
        <v>1259</v>
      </c>
      <c r="K744" s="57"/>
      <c r="L744" s="75">
        <v>22</v>
      </c>
      <c r="M744" s="60">
        <v>2</v>
      </c>
      <c r="N744" s="76">
        <v>1</v>
      </c>
      <c r="O744" s="42"/>
      <c r="P744" s="58" t="s">
        <v>77</v>
      </c>
      <c r="Q744" s="61"/>
      <c r="R744" s="62"/>
      <c r="S744" s="78">
        <f t="shared" si="33"/>
        <v>2</v>
      </c>
      <c r="T744" s="44" t="str">
        <f t="shared" si="34"/>
        <v>2packs</v>
      </c>
      <c r="U744" s="77">
        <f t="shared" si="35"/>
        <v>44</v>
      </c>
      <c r="V744" s="46"/>
      <c r="W744" s="46"/>
      <c r="X744" s="46"/>
    </row>
    <row r="745" spans="1:24" ht="15.75" customHeight="1" thickBot="1" x14ac:dyDescent="0.35">
      <c r="A745" s="40" t="e">
        <v>#N/A</v>
      </c>
      <c r="B745" s="67" t="s">
        <v>1258</v>
      </c>
      <c r="C745" s="55"/>
      <c r="D745" s="41"/>
      <c r="E745" s="55"/>
      <c r="F745" s="55"/>
      <c r="G745" s="55"/>
      <c r="H745" s="51"/>
      <c r="I745" s="52"/>
      <c r="J745" s="74" t="s">
        <v>1260</v>
      </c>
      <c r="K745" s="57"/>
      <c r="L745" s="75">
        <v>25</v>
      </c>
      <c r="M745" s="60">
        <v>7</v>
      </c>
      <c r="N745" s="76">
        <v>1</v>
      </c>
      <c r="O745" s="42"/>
      <c r="P745" s="58" t="s">
        <v>77</v>
      </c>
      <c r="Q745" s="61"/>
      <c r="R745" s="62"/>
      <c r="S745" s="78">
        <f t="shared" si="33"/>
        <v>7</v>
      </c>
      <c r="T745" s="44" t="str">
        <f t="shared" si="34"/>
        <v>7packs</v>
      </c>
      <c r="U745" s="77">
        <f t="shared" si="35"/>
        <v>175</v>
      </c>
      <c r="V745" s="46"/>
      <c r="W745" s="46"/>
      <c r="X745" s="46"/>
    </row>
    <row r="746" spans="1:24" ht="15.75" customHeight="1" thickBot="1" x14ac:dyDescent="0.35">
      <c r="A746" s="40" t="e">
        <v>#N/A</v>
      </c>
      <c r="B746" s="68" t="s">
        <v>1261</v>
      </c>
      <c r="C746" s="55"/>
      <c r="D746" s="41"/>
      <c r="E746" s="55"/>
      <c r="F746" s="55"/>
      <c r="G746" s="55"/>
      <c r="H746" s="51"/>
      <c r="I746" s="52"/>
      <c r="J746" s="74" t="s">
        <v>1262</v>
      </c>
      <c r="K746" s="57"/>
      <c r="L746" s="75">
        <v>25</v>
      </c>
      <c r="M746" s="60">
        <v>6</v>
      </c>
      <c r="N746" s="76">
        <v>100</v>
      </c>
      <c r="O746" s="42"/>
      <c r="P746" s="58" t="s">
        <v>38</v>
      </c>
      <c r="Q746" s="61"/>
      <c r="R746" s="62"/>
      <c r="S746" s="78">
        <f t="shared" si="33"/>
        <v>600</v>
      </c>
      <c r="T746" s="44" t="str">
        <f t="shared" si="34"/>
        <v>600pieces</v>
      </c>
      <c r="U746" s="77">
        <f t="shared" si="35"/>
        <v>150</v>
      </c>
      <c r="V746" s="46"/>
      <c r="W746" s="46"/>
      <c r="X746" s="46"/>
    </row>
    <row r="747" spans="1:24" ht="15.75" customHeight="1" thickBot="1" x14ac:dyDescent="0.35">
      <c r="A747" s="40" t="e">
        <v>#N/A</v>
      </c>
      <c r="B747" s="68" t="s">
        <v>1263</v>
      </c>
      <c r="C747" s="55"/>
      <c r="D747" s="41"/>
      <c r="E747" s="55"/>
      <c r="F747" s="55"/>
      <c r="G747" s="55"/>
      <c r="H747" s="51"/>
      <c r="I747" s="52"/>
      <c r="J747" s="74" t="s">
        <v>591</v>
      </c>
      <c r="K747" s="57"/>
      <c r="L747" s="75">
        <v>21.5</v>
      </c>
      <c r="M747" s="60">
        <v>1</v>
      </c>
      <c r="N747" s="76">
        <v>19</v>
      </c>
      <c r="O747" s="42"/>
      <c r="P747" s="58" t="s">
        <v>36</v>
      </c>
      <c r="Q747" s="61"/>
      <c r="R747" s="62"/>
      <c r="S747" s="78">
        <f t="shared" si="33"/>
        <v>19</v>
      </c>
      <c r="T747" s="44" t="str">
        <f t="shared" si="34"/>
        <v>19grams</v>
      </c>
      <c r="U747" s="77">
        <f t="shared" si="35"/>
        <v>21.5</v>
      </c>
      <c r="V747" s="46"/>
      <c r="W747" s="46"/>
      <c r="X747" s="46"/>
    </row>
    <row r="748" spans="1:24" ht="15.75" customHeight="1" thickBot="1" x14ac:dyDescent="0.35">
      <c r="A748" s="40" t="e">
        <v>#N/A</v>
      </c>
      <c r="B748" s="67" t="s">
        <v>1264</v>
      </c>
      <c r="C748" s="55"/>
      <c r="D748" s="41"/>
      <c r="E748" s="55"/>
      <c r="F748" s="55"/>
      <c r="G748" s="55"/>
      <c r="H748" s="51"/>
      <c r="I748" s="52"/>
      <c r="J748" s="74" t="s">
        <v>1265</v>
      </c>
      <c r="K748" s="57"/>
      <c r="L748" s="75">
        <v>21.65</v>
      </c>
      <c r="M748" s="60">
        <v>8</v>
      </c>
      <c r="N748" s="76">
        <v>40</v>
      </c>
      <c r="O748" s="42"/>
      <c r="P748" s="58" t="s">
        <v>36</v>
      </c>
      <c r="Q748" s="61"/>
      <c r="R748" s="62"/>
      <c r="S748" s="78">
        <f t="shared" si="33"/>
        <v>320</v>
      </c>
      <c r="T748" s="44" t="str">
        <f t="shared" si="34"/>
        <v>320grams</v>
      </c>
      <c r="U748" s="77">
        <f t="shared" si="35"/>
        <v>173.2</v>
      </c>
      <c r="V748" s="46"/>
      <c r="W748" s="46"/>
      <c r="X748" s="46"/>
    </row>
    <row r="749" spans="1:24" ht="15.75" customHeight="1" thickBot="1" x14ac:dyDescent="0.35">
      <c r="A749" s="40" t="e">
        <v>#N/A</v>
      </c>
      <c r="B749" s="67" t="s">
        <v>1264</v>
      </c>
      <c r="C749" s="55"/>
      <c r="D749" s="41"/>
      <c r="E749" s="55"/>
      <c r="F749" s="55"/>
      <c r="G749" s="55"/>
      <c r="H749" s="51"/>
      <c r="I749" s="52"/>
      <c r="J749" s="74" t="s">
        <v>1266</v>
      </c>
      <c r="K749" s="57"/>
      <c r="L749" s="75">
        <v>21.65</v>
      </c>
      <c r="M749" s="60">
        <v>10</v>
      </c>
      <c r="N749" s="76">
        <v>40</v>
      </c>
      <c r="O749" s="42"/>
      <c r="P749" s="58" t="s">
        <v>36</v>
      </c>
      <c r="Q749" s="61"/>
      <c r="R749" s="62"/>
      <c r="S749" s="78">
        <f t="shared" si="33"/>
        <v>400</v>
      </c>
      <c r="T749" s="44" t="str">
        <f t="shared" si="34"/>
        <v>400grams</v>
      </c>
      <c r="U749" s="77">
        <f t="shared" si="35"/>
        <v>216.5</v>
      </c>
      <c r="V749" s="46"/>
      <c r="W749" s="46"/>
      <c r="X749" s="46"/>
    </row>
    <row r="750" spans="1:24" ht="15.75" customHeight="1" thickBot="1" x14ac:dyDescent="0.35">
      <c r="A750" s="40" t="e">
        <v>#N/A</v>
      </c>
      <c r="B750" s="67" t="s">
        <v>1264</v>
      </c>
      <c r="C750" s="55"/>
      <c r="D750" s="41"/>
      <c r="E750" s="55"/>
      <c r="F750" s="55"/>
      <c r="G750" s="55"/>
      <c r="H750" s="51"/>
      <c r="I750" s="52"/>
      <c r="J750" s="74" t="s">
        <v>1267</v>
      </c>
      <c r="K750" s="57"/>
      <c r="L750" s="75">
        <v>21.65</v>
      </c>
      <c r="M750" s="60">
        <v>17</v>
      </c>
      <c r="N750" s="76">
        <v>40</v>
      </c>
      <c r="O750" s="42"/>
      <c r="P750" s="58" t="s">
        <v>36</v>
      </c>
      <c r="Q750" s="61"/>
      <c r="R750" s="62"/>
      <c r="S750" s="78">
        <f t="shared" si="33"/>
        <v>680</v>
      </c>
      <c r="T750" s="44" t="str">
        <f t="shared" si="34"/>
        <v>680grams</v>
      </c>
      <c r="U750" s="77">
        <f t="shared" si="35"/>
        <v>368.04999999999995</v>
      </c>
      <c r="V750" s="46"/>
      <c r="W750" s="46"/>
      <c r="X750" s="46"/>
    </row>
    <row r="751" spans="1:24" ht="15.75" customHeight="1" thickBot="1" x14ac:dyDescent="0.35">
      <c r="A751" s="40" t="e">
        <v>#N/A</v>
      </c>
      <c r="B751" s="67" t="s">
        <v>1264</v>
      </c>
      <c r="C751" s="55"/>
      <c r="D751" s="41"/>
      <c r="E751" s="55"/>
      <c r="F751" s="55"/>
      <c r="G751" s="55"/>
      <c r="H751" s="51"/>
      <c r="I751" s="52"/>
      <c r="J751" s="74" t="s">
        <v>1268</v>
      </c>
      <c r="K751" s="57"/>
      <c r="L751" s="75">
        <v>25.55</v>
      </c>
      <c r="M751" s="60">
        <v>10</v>
      </c>
      <c r="N751" s="76">
        <v>40</v>
      </c>
      <c r="O751" s="42"/>
      <c r="P751" s="58" t="s">
        <v>36</v>
      </c>
      <c r="Q751" s="61"/>
      <c r="R751" s="62"/>
      <c r="S751" s="78">
        <f t="shared" si="33"/>
        <v>400</v>
      </c>
      <c r="T751" s="44" t="str">
        <f t="shared" si="34"/>
        <v>400grams</v>
      </c>
      <c r="U751" s="77">
        <f t="shared" si="35"/>
        <v>255.5</v>
      </c>
      <c r="V751" s="46"/>
      <c r="W751" s="46"/>
      <c r="X751" s="46"/>
    </row>
    <row r="752" spans="1:24" ht="15.75" customHeight="1" thickBot="1" x14ac:dyDescent="0.35">
      <c r="A752" s="40" t="e">
        <v>#N/A</v>
      </c>
      <c r="B752" s="67" t="s">
        <v>1264</v>
      </c>
      <c r="C752" s="55"/>
      <c r="D752" s="41"/>
      <c r="E752" s="55"/>
      <c r="F752" s="55"/>
      <c r="G752" s="55"/>
      <c r="H752" s="51"/>
      <c r="I752" s="52"/>
      <c r="J752" s="74" t="s">
        <v>1269</v>
      </c>
      <c r="K752" s="57"/>
      <c r="L752" s="75">
        <v>21.65</v>
      </c>
      <c r="M752" s="60">
        <v>5</v>
      </c>
      <c r="N752" s="76">
        <v>40</v>
      </c>
      <c r="O752" s="42"/>
      <c r="P752" s="58" t="s">
        <v>36</v>
      </c>
      <c r="Q752" s="61"/>
      <c r="R752" s="62"/>
      <c r="S752" s="78">
        <f t="shared" si="33"/>
        <v>200</v>
      </c>
      <c r="T752" s="44" t="str">
        <f t="shared" si="34"/>
        <v>200grams</v>
      </c>
      <c r="U752" s="77">
        <f t="shared" si="35"/>
        <v>108.25</v>
      </c>
      <c r="V752" s="46"/>
      <c r="W752" s="46"/>
      <c r="X752" s="46"/>
    </row>
    <row r="753" spans="1:24" ht="15.75" customHeight="1" thickBot="1" x14ac:dyDescent="0.35">
      <c r="A753" s="40" t="e">
        <v>#N/A</v>
      </c>
      <c r="B753" s="67" t="s">
        <v>1264</v>
      </c>
      <c r="C753" s="55"/>
      <c r="D753" s="41"/>
      <c r="E753" s="55"/>
      <c r="F753" s="55"/>
      <c r="G753" s="55"/>
      <c r="H753" s="51"/>
      <c r="I753" s="52"/>
      <c r="J753" s="74" t="s">
        <v>1270</v>
      </c>
      <c r="K753" s="57"/>
      <c r="L753" s="75">
        <v>25.55</v>
      </c>
      <c r="M753" s="60">
        <v>7</v>
      </c>
      <c r="N753" s="76">
        <v>40</v>
      </c>
      <c r="O753" s="42"/>
      <c r="P753" s="58" t="s">
        <v>36</v>
      </c>
      <c r="Q753" s="61"/>
      <c r="R753" s="62"/>
      <c r="S753" s="78">
        <f t="shared" si="33"/>
        <v>280</v>
      </c>
      <c r="T753" s="44" t="str">
        <f t="shared" si="34"/>
        <v>280grams</v>
      </c>
      <c r="U753" s="77">
        <f t="shared" si="35"/>
        <v>178.85</v>
      </c>
      <c r="V753" s="46"/>
      <c r="W753" s="46"/>
      <c r="X753" s="46"/>
    </row>
    <row r="754" spans="1:24" ht="15.75" customHeight="1" thickBot="1" x14ac:dyDescent="0.35">
      <c r="A754" s="40" t="e">
        <v>#N/A</v>
      </c>
      <c r="B754" s="67" t="s">
        <v>1264</v>
      </c>
      <c r="C754" s="55"/>
      <c r="D754" s="41"/>
      <c r="E754" s="55"/>
      <c r="F754" s="55"/>
      <c r="G754" s="55"/>
      <c r="H754" s="51"/>
      <c r="I754" s="52"/>
      <c r="J754" s="74" t="s">
        <v>1271</v>
      </c>
      <c r="K754" s="57"/>
      <c r="L754" s="75">
        <v>21.65</v>
      </c>
      <c r="M754" s="60">
        <v>10</v>
      </c>
      <c r="N754" s="76">
        <v>40</v>
      </c>
      <c r="O754" s="42"/>
      <c r="P754" s="58" t="s">
        <v>36</v>
      </c>
      <c r="Q754" s="61"/>
      <c r="R754" s="62"/>
      <c r="S754" s="78">
        <f t="shared" si="33"/>
        <v>400</v>
      </c>
      <c r="T754" s="44" t="str">
        <f t="shared" si="34"/>
        <v>400grams</v>
      </c>
      <c r="U754" s="77">
        <f t="shared" si="35"/>
        <v>216.5</v>
      </c>
      <c r="V754" s="46"/>
      <c r="W754" s="46"/>
      <c r="X754" s="46"/>
    </row>
    <row r="755" spans="1:24" ht="15.75" customHeight="1" thickBot="1" x14ac:dyDescent="0.35">
      <c r="A755" s="40" t="e">
        <v>#N/A</v>
      </c>
      <c r="B755" s="67" t="s">
        <v>1264</v>
      </c>
      <c r="C755" s="55"/>
      <c r="D755" s="41"/>
      <c r="E755" s="55"/>
      <c r="F755" s="55"/>
      <c r="G755" s="55"/>
      <c r="H755" s="51"/>
      <c r="I755" s="52"/>
      <c r="J755" s="74" t="s">
        <v>1272</v>
      </c>
      <c r="K755" s="57"/>
      <c r="L755" s="75">
        <v>21.22</v>
      </c>
      <c r="M755" s="60">
        <v>63</v>
      </c>
      <c r="N755" s="76">
        <v>48</v>
      </c>
      <c r="O755" s="42"/>
      <c r="P755" s="58" t="s">
        <v>36</v>
      </c>
      <c r="Q755" s="61"/>
      <c r="R755" s="62"/>
      <c r="S755" s="78">
        <f t="shared" si="33"/>
        <v>3024</v>
      </c>
      <c r="T755" s="44" t="str">
        <f t="shared" si="34"/>
        <v>3024grams</v>
      </c>
      <c r="U755" s="77">
        <f t="shared" si="35"/>
        <v>1336.86</v>
      </c>
      <c r="V755" s="46"/>
      <c r="W755" s="46"/>
      <c r="X755" s="46"/>
    </row>
    <row r="756" spans="1:24" ht="15.75" customHeight="1" thickBot="1" x14ac:dyDescent="0.35">
      <c r="A756" s="40" t="e">
        <v>#N/A</v>
      </c>
      <c r="B756" s="67" t="s">
        <v>1264</v>
      </c>
      <c r="C756" s="55"/>
      <c r="D756" s="41"/>
      <c r="E756" s="55"/>
      <c r="F756" s="55"/>
      <c r="G756" s="55"/>
      <c r="H756" s="51"/>
      <c r="I756" s="52"/>
      <c r="J756" s="74" t="s">
        <v>1273</v>
      </c>
      <c r="K756" s="57"/>
      <c r="L756" s="75">
        <v>32.6</v>
      </c>
      <c r="M756" s="60">
        <v>10</v>
      </c>
      <c r="N756" s="76">
        <v>60</v>
      </c>
      <c r="O756" s="42"/>
      <c r="P756" s="58" t="s">
        <v>36</v>
      </c>
      <c r="Q756" s="61"/>
      <c r="R756" s="62"/>
      <c r="S756" s="78">
        <f t="shared" si="33"/>
        <v>600</v>
      </c>
      <c r="T756" s="44" t="str">
        <f t="shared" si="34"/>
        <v>600grams</v>
      </c>
      <c r="U756" s="77">
        <f t="shared" si="35"/>
        <v>326</v>
      </c>
      <c r="V756" s="46"/>
      <c r="W756" s="46"/>
      <c r="X756" s="46"/>
    </row>
    <row r="757" spans="1:24" ht="15.75" customHeight="1" thickBot="1" x14ac:dyDescent="0.35">
      <c r="A757" s="40" t="e">
        <v>#N/A</v>
      </c>
      <c r="B757" s="67" t="s">
        <v>1264</v>
      </c>
      <c r="C757" s="55"/>
      <c r="D757" s="41"/>
      <c r="E757" s="55"/>
      <c r="F757" s="55"/>
      <c r="G757" s="55"/>
      <c r="H757" s="51"/>
      <c r="I757" s="52"/>
      <c r="J757" s="74" t="s">
        <v>1274</v>
      </c>
      <c r="K757" s="57"/>
      <c r="L757" s="75">
        <v>21.5</v>
      </c>
      <c r="M757" s="60">
        <v>7</v>
      </c>
      <c r="N757" s="76">
        <v>60</v>
      </c>
      <c r="O757" s="42"/>
      <c r="P757" s="58" t="s">
        <v>36</v>
      </c>
      <c r="Q757" s="61"/>
      <c r="R757" s="62"/>
      <c r="S757" s="78">
        <f t="shared" si="33"/>
        <v>420</v>
      </c>
      <c r="T757" s="44" t="str">
        <f t="shared" si="34"/>
        <v>420grams</v>
      </c>
      <c r="U757" s="77">
        <f t="shared" si="35"/>
        <v>150.5</v>
      </c>
      <c r="V757" s="46"/>
      <c r="W757" s="46"/>
      <c r="X757" s="46"/>
    </row>
    <row r="758" spans="1:24" ht="15.75" customHeight="1" thickBot="1" x14ac:dyDescent="0.35">
      <c r="A758" s="40" t="e">
        <v>#N/A</v>
      </c>
      <c r="B758" s="67" t="s">
        <v>1264</v>
      </c>
      <c r="C758" s="55"/>
      <c r="D758" s="41"/>
      <c r="E758" s="55"/>
      <c r="F758" s="55"/>
      <c r="G758" s="55"/>
      <c r="H758" s="51"/>
      <c r="I758" s="52"/>
      <c r="J758" s="74" t="s">
        <v>1275</v>
      </c>
      <c r="K758" s="57"/>
      <c r="L758" s="75">
        <v>21.03</v>
      </c>
      <c r="M758" s="60">
        <v>32</v>
      </c>
      <c r="N758" s="76">
        <v>40</v>
      </c>
      <c r="O758" s="42"/>
      <c r="P758" s="58" t="s">
        <v>36</v>
      </c>
      <c r="Q758" s="61"/>
      <c r="R758" s="62"/>
      <c r="S758" s="78">
        <f t="shared" ref="S758:S821" si="36">M758*N758</f>
        <v>1280</v>
      </c>
      <c r="T758" s="44" t="str">
        <f t="shared" ref="T758:T821" si="37">CONCATENATE(S758,Q758,P758)</f>
        <v>1280grams</v>
      </c>
      <c r="U758" s="77">
        <f t="shared" ref="U758:U821" si="38">L758*M758</f>
        <v>672.96</v>
      </c>
      <c r="V758" s="46"/>
      <c r="W758" s="46"/>
      <c r="X758" s="46"/>
    </row>
    <row r="759" spans="1:24" ht="15.75" customHeight="1" thickBot="1" x14ac:dyDescent="0.35">
      <c r="A759" s="40" t="e">
        <v>#N/A</v>
      </c>
      <c r="B759" s="68" t="s">
        <v>1264</v>
      </c>
      <c r="C759" s="55"/>
      <c r="D759" s="41"/>
      <c r="E759" s="55"/>
      <c r="F759" s="55"/>
      <c r="G759" s="55"/>
      <c r="H759" s="51"/>
      <c r="I759" s="52"/>
      <c r="J759" s="74" t="s">
        <v>1276</v>
      </c>
      <c r="K759" s="57"/>
      <c r="L759" s="75">
        <v>21.22</v>
      </c>
      <c r="M759" s="60">
        <v>37</v>
      </c>
      <c r="N759" s="76">
        <v>40</v>
      </c>
      <c r="O759" s="42"/>
      <c r="P759" s="58" t="s">
        <v>36</v>
      </c>
      <c r="Q759" s="61"/>
      <c r="R759" s="62"/>
      <c r="S759" s="78">
        <f t="shared" si="36"/>
        <v>1480</v>
      </c>
      <c r="T759" s="44" t="str">
        <f t="shared" si="37"/>
        <v>1480grams</v>
      </c>
      <c r="U759" s="77">
        <f t="shared" si="38"/>
        <v>785.14</v>
      </c>
      <c r="V759" s="46"/>
      <c r="W759" s="46"/>
      <c r="X759" s="46"/>
    </row>
    <row r="760" spans="1:24" ht="15.75" customHeight="1" thickBot="1" x14ac:dyDescent="0.35">
      <c r="A760" s="40" t="e">
        <v>#N/A</v>
      </c>
      <c r="B760" s="67" t="s">
        <v>1264</v>
      </c>
      <c r="C760" s="55"/>
      <c r="D760" s="41"/>
      <c r="E760" s="55"/>
      <c r="F760" s="55"/>
      <c r="G760" s="55"/>
      <c r="H760" s="51"/>
      <c r="I760" s="52"/>
      <c r="J760" s="74" t="s">
        <v>1277</v>
      </c>
      <c r="K760" s="57"/>
      <c r="L760" s="75">
        <v>25.3</v>
      </c>
      <c r="M760" s="60">
        <v>36</v>
      </c>
      <c r="N760" s="76">
        <v>40</v>
      </c>
      <c r="O760" s="42"/>
      <c r="P760" s="58" t="s">
        <v>36</v>
      </c>
      <c r="Q760" s="61"/>
      <c r="R760" s="62"/>
      <c r="S760" s="78">
        <f t="shared" si="36"/>
        <v>1440</v>
      </c>
      <c r="T760" s="44" t="str">
        <f t="shared" si="37"/>
        <v>1440grams</v>
      </c>
      <c r="U760" s="77">
        <f t="shared" si="38"/>
        <v>910.80000000000007</v>
      </c>
      <c r="V760" s="46"/>
      <c r="W760" s="46"/>
      <c r="X760" s="46"/>
    </row>
    <row r="761" spans="1:24" ht="15.75" customHeight="1" thickBot="1" x14ac:dyDescent="0.35">
      <c r="A761" s="40" t="e">
        <v>#N/A</v>
      </c>
      <c r="B761" s="68" t="s">
        <v>1278</v>
      </c>
      <c r="C761" s="55"/>
      <c r="D761" s="41"/>
      <c r="E761" s="55"/>
      <c r="F761" s="55"/>
      <c r="G761" s="55"/>
      <c r="H761" s="51"/>
      <c r="I761" s="52"/>
      <c r="J761" s="74" t="s">
        <v>1279</v>
      </c>
      <c r="K761" s="57"/>
      <c r="L761" s="75">
        <v>88.1</v>
      </c>
      <c r="M761" s="60">
        <v>1</v>
      </c>
      <c r="N761" s="76">
        <v>500</v>
      </c>
      <c r="O761" s="42"/>
      <c r="P761" s="58" t="s">
        <v>36</v>
      </c>
      <c r="Q761" s="61"/>
      <c r="R761" s="62"/>
      <c r="S761" s="78">
        <f t="shared" si="36"/>
        <v>500</v>
      </c>
      <c r="T761" s="44" t="str">
        <f t="shared" si="37"/>
        <v>500grams</v>
      </c>
      <c r="U761" s="77">
        <f t="shared" si="38"/>
        <v>88.1</v>
      </c>
      <c r="V761" s="46"/>
      <c r="W761" s="46"/>
      <c r="X761" s="46"/>
    </row>
    <row r="762" spans="1:24" ht="15.75" customHeight="1" thickBot="1" x14ac:dyDescent="0.35">
      <c r="A762" s="40" t="e">
        <v>#N/A</v>
      </c>
      <c r="B762" s="67" t="s">
        <v>1280</v>
      </c>
      <c r="C762" s="55"/>
      <c r="D762" s="41"/>
      <c r="E762" s="55"/>
      <c r="F762" s="55"/>
      <c r="G762" s="55"/>
      <c r="H762" s="51"/>
      <c r="I762" s="52"/>
      <c r="J762" s="74" t="s">
        <v>1281</v>
      </c>
      <c r="K762" s="57"/>
      <c r="L762" s="75">
        <v>10.83</v>
      </c>
      <c r="M762" s="60">
        <v>10</v>
      </c>
      <c r="N762" s="76">
        <v>33</v>
      </c>
      <c r="O762" s="42"/>
      <c r="P762" s="58" t="s">
        <v>36</v>
      </c>
      <c r="Q762" s="61"/>
      <c r="R762" s="62"/>
      <c r="S762" s="78">
        <f t="shared" si="36"/>
        <v>330</v>
      </c>
      <c r="T762" s="44" t="str">
        <f t="shared" si="37"/>
        <v>330grams</v>
      </c>
      <c r="U762" s="77">
        <f t="shared" si="38"/>
        <v>108.3</v>
      </c>
      <c r="V762" s="46"/>
      <c r="W762" s="46"/>
      <c r="X762" s="46"/>
    </row>
    <row r="763" spans="1:24" ht="15.75" customHeight="1" thickBot="1" x14ac:dyDescent="0.35">
      <c r="A763" s="40" t="e">
        <v>#N/A</v>
      </c>
      <c r="B763" s="67" t="s">
        <v>1280</v>
      </c>
      <c r="C763" s="55"/>
      <c r="D763" s="41"/>
      <c r="E763" s="55"/>
      <c r="F763" s="55"/>
      <c r="G763" s="55"/>
      <c r="H763" s="51"/>
      <c r="I763" s="52"/>
      <c r="J763" s="74" t="s">
        <v>1282</v>
      </c>
      <c r="K763" s="57"/>
      <c r="L763" s="75">
        <v>65</v>
      </c>
      <c r="M763" s="60">
        <v>2</v>
      </c>
      <c r="N763" s="76">
        <v>6</v>
      </c>
      <c r="O763" s="42"/>
      <c r="P763" s="58" t="s">
        <v>38</v>
      </c>
      <c r="Q763" s="61"/>
      <c r="R763" s="62"/>
      <c r="S763" s="78">
        <f t="shared" si="36"/>
        <v>12</v>
      </c>
      <c r="T763" s="44" t="str">
        <f t="shared" si="37"/>
        <v>12pieces</v>
      </c>
      <c r="U763" s="77">
        <f t="shared" si="38"/>
        <v>130</v>
      </c>
      <c r="V763" s="46"/>
      <c r="W763" s="46"/>
      <c r="X763" s="46"/>
    </row>
    <row r="764" spans="1:24" ht="15.75" customHeight="1" thickBot="1" x14ac:dyDescent="0.35">
      <c r="A764" s="40" t="e">
        <v>#N/A</v>
      </c>
      <c r="B764" s="67" t="s">
        <v>1280</v>
      </c>
      <c r="C764" s="55"/>
      <c r="D764" s="41"/>
      <c r="E764" s="55"/>
      <c r="F764" s="55"/>
      <c r="G764" s="55"/>
      <c r="H764" s="51"/>
      <c r="I764" s="52"/>
      <c r="J764" s="74" t="s">
        <v>1282</v>
      </c>
      <c r="K764" s="57"/>
      <c r="L764" s="75">
        <v>65</v>
      </c>
      <c r="M764" s="60">
        <v>1</v>
      </c>
      <c r="N764" s="76">
        <v>6</v>
      </c>
      <c r="O764" s="42"/>
      <c r="P764" s="58" t="s">
        <v>38</v>
      </c>
      <c r="Q764" s="61"/>
      <c r="R764" s="62"/>
      <c r="S764" s="78">
        <f t="shared" si="36"/>
        <v>6</v>
      </c>
      <c r="T764" s="44" t="str">
        <f t="shared" si="37"/>
        <v>6pieces</v>
      </c>
      <c r="U764" s="77">
        <f t="shared" si="38"/>
        <v>65</v>
      </c>
      <c r="V764" s="46"/>
      <c r="W764" s="46"/>
      <c r="X764" s="46"/>
    </row>
    <row r="765" spans="1:24" ht="15.75" customHeight="1" thickBot="1" x14ac:dyDescent="0.35">
      <c r="A765" s="40" t="e">
        <v>#N/A</v>
      </c>
      <c r="B765" s="67" t="s">
        <v>1280</v>
      </c>
      <c r="C765" s="55"/>
      <c r="D765" s="41"/>
      <c r="E765" s="55"/>
      <c r="F765" s="55"/>
      <c r="G765" s="55"/>
      <c r="H765" s="51"/>
      <c r="I765" s="52"/>
      <c r="J765" s="74" t="s">
        <v>1282</v>
      </c>
      <c r="K765" s="57"/>
      <c r="L765" s="75">
        <v>64.5</v>
      </c>
      <c r="M765" s="60">
        <v>1</v>
      </c>
      <c r="N765" s="76">
        <v>6</v>
      </c>
      <c r="O765" s="42"/>
      <c r="P765" s="58" t="s">
        <v>38</v>
      </c>
      <c r="Q765" s="61"/>
      <c r="R765" s="62"/>
      <c r="S765" s="78">
        <f t="shared" si="36"/>
        <v>6</v>
      </c>
      <c r="T765" s="44" t="str">
        <f t="shared" si="37"/>
        <v>6pieces</v>
      </c>
      <c r="U765" s="77">
        <f t="shared" si="38"/>
        <v>64.5</v>
      </c>
      <c r="V765" s="46"/>
      <c r="W765" s="46"/>
      <c r="X765" s="46"/>
    </row>
    <row r="766" spans="1:24" ht="15.75" customHeight="1" thickBot="1" x14ac:dyDescent="0.35">
      <c r="A766" s="40" t="e">
        <v>#N/A</v>
      </c>
      <c r="B766" s="67" t="s">
        <v>1283</v>
      </c>
      <c r="C766" s="55"/>
      <c r="D766" s="41"/>
      <c r="E766" s="55"/>
      <c r="F766" s="55"/>
      <c r="G766" s="55"/>
      <c r="H766" s="51"/>
      <c r="I766" s="52"/>
      <c r="J766" s="74" t="s">
        <v>1281</v>
      </c>
      <c r="K766" s="57"/>
      <c r="L766" s="75">
        <v>10.83</v>
      </c>
      <c r="M766" s="60">
        <v>11</v>
      </c>
      <c r="N766" s="76">
        <v>33</v>
      </c>
      <c r="O766" s="42"/>
      <c r="P766" s="58" t="s">
        <v>36</v>
      </c>
      <c r="Q766" s="61"/>
      <c r="R766" s="62"/>
      <c r="S766" s="78">
        <f t="shared" si="36"/>
        <v>363</v>
      </c>
      <c r="T766" s="44" t="str">
        <f t="shared" si="37"/>
        <v>363grams</v>
      </c>
      <c r="U766" s="77">
        <f t="shared" si="38"/>
        <v>119.13</v>
      </c>
      <c r="V766" s="46"/>
      <c r="W766" s="46"/>
      <c r="X766" s="46"/>
    </row>
    <row r="767" spans="1:24" ht="15.75" customHeight="1" thickBot="1" x14ac:dyDescent="0.35">
      <c r="A767" s="40" t="e">
        <v>#N/A</v>
      </c>
      <c r="B767" s="67" t="s">
        <v>1284</v>
      </c>
      <c r="C767" s="55"/>
      <c r="D767" s="41"/>
      <c r="E767" s="55"/>
      <c r="F767" s="55"/>
      <c r="G767" s="55"/>
      <c r="H767" s="51"/>
      <c r="I767" s="52"/>
      <c r="J767" s="74" t="s">
        <v>1285</v>
      </c>
      <c r="K767" s="57"/>
      <c r="L767" s="75">
        <v>71</v>
      </c>
      <c r="M767" s="60">
        <v>1</v>
      </c>
      <c r="N767" s="76">
        <v>13</v>
      </c>
      <c r="O767" s="42"/>
      <c r="P767" s="58" t="s">
        <v>36</v>
      </c>
      <c r="Q767" s="61"/>
      <c r="R767" s="62"/>
      <c r="S767" s="78">
        <f t="shared" si="36"/>
        <v>13</v>
      </c>
      <c r="T767" s="44" t="str">
        <f t="shared" si="37"/>
        <v>13grams</v>
      </c>
      <c r="U767" s="77">
        <f t="shared" si="38"/>
        <v>71</v>
      </c>
      <c r="V767" s="46"/>
      <c r="W767" s="46"/>
      <c r="X767" s="46"/>
    </row>
    <row r="768" spans="1:24" ht="15.75" customHeight="1" thickBot="1" x14ac:dyDescent="0.35">
      <c r="A768" s="40" t="e">
        <v>#N/A</v>
      </c>
      <c r="B768" s="68" t="s">
        <v>1284</v>
      </c>
      <c r="C768" s="55"/>
      <c r="D768" s="41"/>
      <c r="E768" s="55"/>
      <c r="F768" s="55"/>
      <c r="G768" s="55"/>
      <c r="H768" s="51"/>
      <c r="I768" s="52"/>
      <c r="J768" s="74" t="s">
        <v>816</v>
      </c>
      <c r="K768" s="57"/>
      <c r="L768" s="75">
        <v>59.25</v>
      </c>
      <c r="M768" s="60">
        <v>1</v>
      </c>
      <c r="N768" s="76">
        <v>13</v>
      </c>
      <c r="O768" s="42"/>
      <c r="P768" s="58" t="s">
        <v>36</v>
      </c>
      <c r="Q768" s="61"/>
      <c r="R768" s="62"/>
      <c r="S768" s="78">
        <f t="shared" si="36"/>
        <v>13</v>
      </c>
      <c r="T768" s="44" t="str">
        <f t="shared" si="37"/>
        <v>13grams</v>
      </c>
      <c r="U768" s="77">
        <f t="shared" si="38"/>
        <v>59.25</v>
      </c>
      <c r="V768" s="46"/>
      <c r="W768" s="46"/>
      <c r="X768" s="46"/>
    </row>
    <row r="769" spans="1:24" ht="15.75" customHeight="1" thickBot="1" x14ac:dyDescent="0.35">
      <c r="A769" s="40" t="e">
        <v>#N/A</v>
      </c>
      <c r="B769" s="68" t="s">
        <v>1284</v>
      </c>
      <c r="C769" s="55"/>
      <c r="D769" s="41"/>
      <c r="E769" s="55"/>
      <c r="F769" s="55"/>
      <c r="G769" s="55"/>
      <c r="H769" s="51"/>
      <c r="I769" s="52"/>
      <c r="J769" s="74" t="s">
        <v>816</v>
      </c>
      <c r="K769" s="57"/>
      <c r="L769" s="75">
        <v>59.25</v>
      </c>
      <c r="M769" s="60">
        <v>1</v>
      </c>
      <c r="N769" s="76">
        <v>13</v>
      </c>
      <c r="O769" s="42"/>
      <c r="P769" s="58" t="s">
        <v>36</v>
      </c>
      <c r="Q769" s="61"/>
      <c r="R769" s="62"/>
      <c r="S769" s="78">
        <f t="shared" si="36"/>
        <v>13</v>
      </c>
      <c r="T769" s="44" t="str">
        <f t="shared" si="37"/>
        <v>13grams</v>
      </c>
      <c r="U769" s="77">
        <f t="shared" si="38"/>
        <v>59.25</v>
      </c>
      <c r="V769" s="46"/>
      <c r="W769" s="46"/>
      <c r="X769" s="46"/>
    </row>
    <row r="770" spans="1:24" ht="15.75" customHeight="1" thickBot="1" x14ac:dyDescent="0.35">
      <c r="A770" s="40" t="e">
        <v>#N/A</v>
      </c>
      <c r="B770" s="68" t="s">
        <v>1284</v>
      </c>
      <c r="C770" s="55"/>
      <c r="D770" s="41"/>
      <c r="E770" s="55"/>
      <c r="F770" s="55"/>
      <c r="G770" s="55"/>
      <c r="H770" s="51"/>
      <c r="I770" s="52"/>
      <c r="J770" s="74" t="s">
        <v>816</v>
      </c>
      <c r="K770" s="57"/>
      <c r="L770" s="75">
        <v>59.25</v>
      </c>
      <c r="M770" s="60">
        <v>2</v>
      </c>
      <c r="N770" s="76">
        <v>13</v>
      </c>
      <c r="O770" s="42"/>
      <c r="P770" s="58" t="s">
        <v>36</v>
      </c>
      <c r="Q770" s="61"/>
      <c r="R770" s="62"/>
      <c r="S770" s="78">
        <f t="shared" si="36"/>
        <v>26</v>
      </c>
      <c r="T770" s="44" t="str">
        <f t="shared" si="37"/>
        <v>26grams</v>
      </c>
      <c r="U770" s="77">
        <f t="shared" si="38"/>
        <v>118.5</v>
      </c>
      <c r="V770" s="46"/>
      <c r="W770" s="46"/>
      <c r="X770" s="46"/>
    </row>
    <row r="771" spans="1:24" ht="15.75" customHeight="1" thickBot="1" x14ac:dyDescent="0.35">
      <c r="A771" s="40" t="e">
        <v>#N/A</v>
      </c>
      <c r="B771" s="68" t="s">
        <v>1284</v>
      </c>
      <c r="C771" s="55"/>
      <c r="D771" s="41"/>
      <c r="E771" s="55"/>
      <c r="F771" s="55"/>
      <c r="G771" s="55"/>
      <c r="H771" s="51"/>
      <c r="I771" s="52"/>
      <c r="J771" s="74" t="s">
        <v>816</v>
      </c>
      <c r="K771" s="57"/>
      <c r="L771" s="75">
        <v>59.25</v>
      </c>
      <c r="M771" s="60">
        <v>2</v>
      </c>
      <c r="N771" s="76">
        <v>13</v>
      </c>
      <c r="O771" s="42"/>
      <c r="P771" s="58" t="s">
        <v>36</v>
      </c>
      <c r="Q771" s="61"/>
      <c r="R771" s="62"/>
      <c r="S771" s="78">
        <f t="shared" si="36"/>
        <v>26</v>
      </c>
      <c r="T771" s="44" t="str">
        <f t="shared" si="37"/>
        <v>26grams</v>
      </c>
      <c r="U771" s="77">
        <f t="shared" si="38"/>
        <v>118.5</v>
      </c>
      <c r="V771" s="46"/>
      <c r="W771" s="46"/>
      <c r="X771" s="46"/>
    </row>
    <row r="772" spans="1:24" ht="15.75" customHeight="1" thickBot="1" x14ac:dyDescent="0.35">
      <c r="A772" s="40" t="e">
        <v>#N/A</v>
      </c>
      <c r="B772" s="67" t="s">
        <v>409</v>
      </c>
      <c r="C772" s="55"/>
      <c r="D772" s="41"/>
      <c r="E772" s="55"/>
      <c r="F772" s="55"/>
      <c r="G772" s="55"/>
      <c r="H772" s="51"/>
      <c r="I772" s="52"/>
      <c r="J772" s="74" t="s">
        <v>1203</v>
      </c>
      <c r="K772" s="57"/>
      <c r="L772" s="75">
        <v>98</v>
      </c>
      <c r="M772" s="60">
        <v>5</v>
      </c>
      <c r="N772" s="76">
        <v>900</v>
      </c>
      <c r="O772" s="42"/>
      <c r="P772" s="58" t="s">
        <v>36</v>
      </c>
      <c r="Q772" s="61"/>
      <c r="R772" s="62"/>
      <c r="S772" s="78">
        <f t="shared" si="36"/>
        <v>4500</v>
      </c>
      <c r="T772" s="44" t="str">
        <f t="shared" si="37"/>
        <v>4500grams</v>
      </c>
      <c r="U772" s="77">
        <f t="shared" si="38"/>
        <v>490</v>
      </c>
      <c r="V772" s="46"/>
      <c r="W772" s="46"/>
      <c r="X772" s="46"/>
    </row>
    <row r="773" spans="1:24" ht="15.75" customHeight="1" thickBot="1" x14ac:dyDescent="0.35">
      <c r="A773" s="40" t="e">
        <v>#N/A</v>
      </c>
      <c r="B773" s="67" t="s">
        <v>411</v>
      </c>
      <c r="C773" s="55"/>
      <c r="D773" s="41"/>
      <c r="E773" s="55"/>
      <c r="F773" s="55"/>
      <c r="G773" s="55"/>
      <c r="H773" s="51"/>
      <c r="I773" s="52"/>
      <c r="J773" s="74" t="s">
        <v>412</v>
      </c>
      <c r="K773" s="57"/>
      <c r="L773" s="75">
        <v>170.6</v>
      </c>
      <c r="M773" s="60">
        <v>2</v>
      </c>
      <c r="N773" s="76">
        <v>340</v>
      </c>
      <c r="O773" s="42"/>
      <c r="P773" s="58" t="s">
        <v>36</v>
      </c>
      <c r="Q773" s="61"/>
      <c r="R773" s="62"/>
      <c r="S773" s="78">
        <f t="shared" si="36"/>
        <v>680</v>
      </c>
      <c r="T773" s="44" t="str">
        <f t="shared" si="37"/>
        <v>680grams</v>
      </c>
      <c r="U773" s="77">
        <f t="shared" si="38"/>
        <v>341.2</v>
      </c>
      <c r="V773" s="46"/>
      <c r="W773" s="46"/>
      <c r="X773" s="46"/>
    </row>
    <row r="774" spans="1:24" ht="15.75" customHeight="1" thickBot="1" x14ac:dyDescent="0.35">
      <c r="A774" s="40" t="e">
        <v>#N/A</v>
      </c>
      <c r="B774" s="67" t="s">
        <v>411</v>
      </c>
      <c r="C774" s="55"/>
      <c r="D774" s="41"/>
      <c r="E774" s="55"/>
      <c r="F774" s="55"/>
      <c r="G774" s="55"/>
      <c r="H774" s="51"/>
      <c r="I774" s="52"/>
      <c r="J774" s="74" t="s">
        <v>412</v>
      </c>
      <c r="K774" s="57"/>
      <c r="L774" s="75">
        <v>170.6</v>
      </c>
      <c r="M774" s="60">
        <v>2</v>
      </c>
      <c r="N774" s="76">
        <v>340</v>
      </c>
      <c r="O774" s="42"/>
      <c r="P774" s="58" t="s">
        <v>36</v>
      </c>
      <c r="Q774" s="61"/>
      <c r="R774" s="62"/>
      <c r="S774" s="78">
        <f t="shared" si="36"/>
        <v>680</v>
      </c>
      <c r="T774" s="44" t="str">
        <f t="shared" si="37"/>
        <v>680grams</v>
      </c>
      <c r="U774" s="77">
        <f t="shared" si="38"/>
        <v>341.2</v>
      </c>
      <c r="V774" s="46"/>
      <c r="W774" s="46"/>
      <c r="X774" s="46"/>
    </row>
    <row r="775" spans="1:24" ht="15.75" customHeight="1" thickBot="1" x14ac:dyDescent="0.35">
      <c r="A775" s="40" t="e">
        <v>#N/A</v>
      </c>
      <c r="B775" s="67" t="s">
        <v>414</v>
      </c>
      <c r="C775" s="55"/>
      <c r="D775" s="41"/>
      <c r="E775" s="55"/>
      <c r="F775" s="55"/>
      <c r="G775" s="55"/>
      <c r="H775" s="51"/>
      <c r="I775" s="52"/>
      <c r="J775" s="74" t="s">
        <v>415</v>
      </c>
      <c r="K775" s="57"/>
      <c r="L775" s="75">
        <v>6.5</v>
      </c>
      <c r="M775" s="60">
        <v>80</v>
      </c>
      <c r="N775" s="76">
        <v>10</v>
      </c>
      <c r="O775" s="42"/>
      <c r="P775" s="58" t="s">
        <v>38</v>
      </c>
      <c r="Q775" s="61"/>
      <c r="R775" s="62"/>
      <c r="S775" s="78">
        <f t="shared" si="36"/>
        <v>800</v>
      </c>
      <c r="T775" s="44" t="str">
        <f t="shared" si="37"/>
        <v>800pieces</v>
      </c>
      <c r="U775" s="77">
        <f t="shared" si="38"/>
        <v>520</v>
      </c>
      <c r="V775" s="46"/>
      <c r="W775" s="46"/>
      <c r="X775" s="46"/>
    </row>
    <row r="776" spans="1:24" ht="15.75" customHeight="1" thickBot="1" x14ac:dyDescent="0.35">
      <c r="A776" s="40" t="e">
        <v>#N/A</v>
      </c>
      <c r="B776" s="68" t="s">
        <v>1286</v>
      </c>
      <c r="C776" s="55"/>
      <c r="D776" s="41"/>
      <c r="E776" s="55"/>
      <c r="F776" s="55"/>
      <c r="G776" s="55"/>
      <c r="H776" s="51"/>
      <c r="I776" s="52"/>
      <c r="J776" s="74" t="s">
        <v>1287</v>
      </c>
      <c r="K776" s="57"/>
      <c r="L776" s="75">
        <v>285</v>
      </c>
      <c r="M776" s="60">
        <v>2</v>
      </c>
      <c r="N776" s="76">
        <v>1000</v>
      </c>
      <c r="O776" s="42"/>
      <c r="P776" s="58" t="s">
        <v>77</v>
      </c>
      <c r="Q776" s="61"/>
      <c r="R776" s="62"/>
      <c r="S776" s="78">
        <f t="shared" si="36"/>
        <v>2000</v>
      </c>
      <c r="T776" s="44" t="str">
        <f t="shared" si="37"/>
        <v>2000packs</v>
      </c>
      <c r="U776" s="77">
        <f t="shared" si="38"/>
        <v>570</v>
      </c>
      <c r="V776" s="46"/>
      <c r="W776" s="46"/>
      <c r="X776" s="46"/>
    </row>
    <row r="777" spans="1:24" ht="15.75" customHeight="1" thickBot="1" x14ac:dyDescent="0.35">
      <c r="A777" s="40" t="e">
        <v>#N/A</v>
      </c>
      <c r="B777" s="67" t="s">
        <v>425</v>
      </c>
      <c r="C777" s="55"/>
      <c r="D777" s="41"/>
      <c r="E777" s="55"/>
      <c r="F777" s="55"/>
      <c r="G777" s="55"/>
      <c r="H777" s="51"/>
      <c r="I777" s="52"/>
      <c r="J777" s="74" t="s">
        <v>1288</v>
      </c>
      <c r="K777" s="57"/>
      <c r="L777" s="75">
        <v>80</v>
      </c>
      <c r="M777" s="60">
        <v>3</v>
      </c>
      <c r="N777" s="76">
        <v>5</v>
      </c>
      <c r="O777" s="42"/>
      <c r="P777" s="58" t="s">
        <v>88</v>
      </c>
      <c r="Q777" s="61"/>
      <c r="R777" s="62"/>
      <c r="S777" s="78">
        <f t="shared" si="36"/>
        <v>15</v>
      </c>
      <c r="T777" s="44" t="str">
        <f t="shared" si="37"/>
        <v>15kilos</v>
      </c>
      <c r="U777" s="77">
        <f t="shared" si="38"/>
        <v>240</v>
      </c>
      <c r="V777" s="46"/>
      <c r="W777" s="46"/>
      <c r="X777" s="46"/>
    </row>
    <row r="778" spans="1:24" ht="15.75" customHeight="1" thickBot="1" x14ac:dyDescent="0.35">
      <c r="A778" s="40" t="e">
        <v>#N/A</v>
      </c>
      <c r="B778" s="67" t="s">
        <v>1289</v>
      </c>
      <c r="C778" s="55"/>
      <c r="D778" s="41"/>
      <c r="E778" s="55"/>
      <c r="F778" s="55"/>
      <c r="G778" s="55"/>
      <c r="H778" s="51"/>
      <c r="I778" s="52"/>
      <c r="J778" s="74"/>
      <c r="K778" s="57"/>
      <c r="L778" s="75">
        <v>55</v>
      </c>
      <c r="M778" s="60">
        <v>7</v>
      </c>
      <c r="N778" s="76">
        <v>1</v>
      </c>
      <c r="O778" s="42"/>
      <c r="P778" s="58" t="s">
        <v>88</v>
      </c>
      <c r="Q778" s="61"/>
      <c r="R778" s="62"/>
      <c r="S778" s="78">
        <f t="shared" si="36"/>
        <v>7</v>
      </c>
      <c r="T778" s="44" t="str">
        <f t="shared" si="37"/>
        <v>7kilos</v>
      </c>
      <c r="U778" s="77">
        <f t="shared" si="38"/>
        <v>385</v>
      </c>
      <c r="V778" s="46"/>
      <c r="W778" s="46"/>
      <c r="X778" s="46"/>
    </row>
    <row r="779" spans="1:24" ht="15.75" customHeight="1" thickBot="1" x14ac:dyDescent="0.35">
      <c r="A779" s="40" t="e">
        <v>#N/A</v>
      </c>
      <c r="B779" s="67" t="s">
        <v>1289</v>
      </c>
      <c r="C779" s="55"/>
      <c r="D779" s="41"/>
      <c r="E779" s="55"/>
      <c r="F779" s="55"/>
      <c r="G779" s="55"/>
      <c r="H779" s="51"/>
      <c r="I779" s="52"/>
      <c r="J779" s="74"/>
      <c r="K779" s="57"/>
      <c r="L779" s="75">
        <v>20</v>
      </c>
      <c r="M779" s="60">
        <v>29</v>
      </c>
      <c r="N779" s="76">
        <v>1000</v>
      </c>
      <c r="O779" s="42"/>
      <c r="P779" s="58" t="s">
        <v>36</v>
      </c>
      <c r="Q779" s="61"/>
      <c r="R779" s="62"/>
      <c r="S779" s="78">
        <f t="shared" si="36"/>
        <v>29000</v>
      </c>
      <c r="T779" s="44" t="str">
        <f t="shared" si="37"/>
        <v>29000grams</v>
      </c>
      <c r="U779" s="77">
        <f t="shared" si="38"/>
        <v>580</v>
      </c>
      <c r="V779" s="46"/>
      <c r="W779" s="46"/>
      <c r="X779" s="46"/>
    </row>
    <row r="780" spans="1:24" ht="15.75" customHeight="1" thickBot="1" x14ac:dyDescent="0.35">
      <c r="A780" s="40" t="e">
        <v>#N/A</v>
      </c>
      <c r="B780" s="67" t="s">
        <v>1290</v>
      </c>
      <c r="C780" s="55"/>
      <c r="D780" s="41"/>
      <c r="E780" s="55"/>
      <c r="F780" s="55"/>
      <c r="G780" s="55"/>
      <c r="H780" s="51"/>
      <c r="I780" s="52"/>
      <c r="J780" s="74"/>
      <c r="K780" s="57"/>
      <c r="L780" s="75">
        <v>55</v>
      </c>
      <c r="M780" s="60">
        <v>1</v>
      </c>
      <c r="N780" s="76">
        <v>1000</v>
      </c>
      <c r="O780" s="42"/>
      <c r="P780" s="58" t="s">
        <v>36</v>
      </c>
      <c r="Q780" s="61"/>
      <c r="R780" s="62"/>
      <c r="S780" s="78">
        <f t="shared" si="36"/>
        <v>1000</v>
      </c>
      <c r="T780" s="44" t="str">
        <f t="shared" si="37"/>
        <v>1000grams</v>
      </c>
      <c r="U780" s="77">
        <f t="shared" si="38"/>
        <v>55</v>
      </c>
      <c r="V780" s="46"/>
      <c r="W780" s="46"/>
      <c r="X780" s="46"/>
    </row>
    <row r="781" spans="1:24" ht="15.75" customHeight="1" thickBot="1" x14ac:dyDescent="0.35">
      <c r="A781" s="40" t="e">
        <v>#N/A</v>
      </c>
      <c r="B781" s="67" t="s">
        <v>1290</v>
      </c>
      <c r="C781" s="55"/>
      <c r="D781" s="41"/>
      <c r="E781" s="55"/>
      <c r="F781" s="55"/>
      <c r="G781" s="55"/>
      <c r="H781" s="51"/>
      <c r="I781" s="52"/>
      <c r="J781" s="74" t="s">
        <v>874</v>
      </c>
      <c r="K781" s="57"/>
      <c r="L781" s="75">
        <v>175</v>
      </c>
      <c r="M781" s="60">
        <v>1</v>
      </c>
      <c r="N781" s="76">
        <v>1000</v>
      </c>
      <c r="O781" s="42"/>
      <c r="P781" s="58" t="s">
        <v>36</v>
      </c>
      <c r="Q781" s="61"/>
      <c r="R781" s="62"/>
      <c r="S781" s="78">
        <f t="shared" si="36"/>
        <v>1000</v>
      </c>
      <c r="T781" s="44" t="str">
        <f t="shared" si="37"/>
        <v>1000grams</v>
      </c>
      <c r="U781" s="77">
        <f t="shared" si="38"/>
        <v>175</v>
      </c>
      <c r="V781" s="46"/>
      <c r="W781" s="46"/>
      <c r="X781" s="46"/>
    </row>
    <row r="782" spans="1:24" ht="15.75" customHeight="1" thickBot="1" x14ac:dyDescent="0.35">
      <c r="A782" s="40" t="e">
        <v>#N/A</v>
      </c>
      <c r="B782" s="67" t="s">
        <v>1291</v>
      </c>
      <c r="C782" s="55"/>
      <c r="D782" s="41"/>
      <c r="E782" s="55"/>
      <c r="F782" s="55"/>
      <c r="G782" s="55"/>
      <c r="H782" s="51"/>
      <c r="I782" s="52"/>
      <c r="J782" s="74"/>
      <c r="K782" s="57"/>
      <c r="L782" s="75">
        <v>35</v>
      </c>
      <c r="M782" s="60">
        <v>1</v>
      </c>
      <c r="N782" s="76">
        <v>1000</v>
      </c>
      <c r="O782" s="42"/>
      <c r="P782" s="58" t="s">
        <v>36</v>
      </c>
      <c r="Q782" s="61"/>
      <c r="R782" s="62"/>
      <c r="S782" s="78">
        <f t="shared" si="36"/>
        <v>1000</v>
      </c>
      <c r="T782" s="44" t="str">
        <f t="shared" si="37"/>
        <v>1000grams</v>
      </c>
      <c r="U782" s="77">
        <f t="shared" si="38"/>
        <v>35</v>
      </c>
      <c r="V782" s="46"/>
      <c r="W782" s="46"/>
      <c r="X782" s="46"/>
    </row>
    <row r="783" spans="1:24" ht="15.75" customHeight="1" thickBot="1" x14ac:dyDescent="0.35">
      <c r="A783" s="40" t="e">
        <v>#N/A</v>
      </c>
      <c r="B783" s="67" t="s">
        <v>1292</v>
      </c>
      <c r="C783" s="55"/>
      <c r="D783" s="41"/>
      <c r="E783" s="55"/>
      <c r="F783" s="55"/>
      <c r="G783" s="55"/>
      <c r="H783" s="51"/>
      <c r="I783" s="52"/>
      <c r="J783" s="74"/>
      <c r="K783" s="57"/>
      <c r="L783" s="75">
        <v>10</v>
      </c>
      <c r="M783" s="60">
        <v>1</v>
      </c>
      <c r="N783" s="76">
        <v>1</v>
      </c>
      <c r="O783" s="42"/>
      <c r="P783" s="58" t="s">
        <v>1293</v>
      </c>
      <c r="Q783" s="61"/>
      <c r="R783" s="62"/>
      <c r="S783" s="78">
        <f t="shared" si="36"/>
        <v>1</v>
      </c>
      <c r="T783" s="44" t="str">
        <f t="shared" si="37"/>
        <v>1bundle</v>
      </c>
      <c r="U783" s="77">
        <f t="shared" si="38"/>
        <v>10</v>
      </c>
      <c r="V783" s="46"/>
      <c r="W783" s="46"/>
      <c r="X783" s="46"/>
    </row>
    <row r="784" spans="1:24" ht="15.75" customHeight="1" thickBot="1" x14ac:dyDescent="0.35">
      <c r="A784" s="40" t="e">
        <v>#N/A</v>
      </c>
      <c r="B784" s="67" t="s">
        <v>1292</v>
      </c>
      <c r="C784" s="55"/>
      <c r="D784" s="41"/>
      <c r="E784" s="55"/>
      <c r="F784" s="55"/>
      <c r="G784" s="55"/>
      <c r="H784" s="51"/>
      <c r="I784" s="52"/>
      <c r="J784" s="74" t="s">
        <v>142</v>
      </c>
      <c r="K784" s="57"/>
      <c r="L784" s="75">
        <v>75</v>
      </c>
      <c r="M784" s="60">
        <v>2</v>
      </c>
      <c r="N784" s="76">
        <v>1000</v>
      </c>
      <c r="O784" s="42"/>
      <c r="P784" s="58" t="s">
        <v>36</v>
      </c>
      <c r="Q784" s="61"/>
      <c r="R784" s="62"/>
      <c r="S784" s="78">
        <f t="shared" si="36"/>
        <v>2000</v>
      </c>
      <c r="T784" s="44" t="str">
        <f t="shared" si="37"/>
        <v>2000grams</v>
      </c>
      <c r="U784" s="77">
        <f t="shared" si="38"/>
        <v>150</v>
      </c>
      <c r="V784" s="46"/>
      <c r="W784" s="46"/>
      <c r="X784" s="46"/>
    </row>
    <row r="785" spans="1:24" ht="15.75" customHeight="1" thickBot="1" x14ac:dyDescent="0.35">
      <c r="A785" s="40" t="e">
        <v>#N/A</v>
      </c>
      <c r="B785" s="67" t="s">
        <v>1292</v>
      </c>
      <c r="C785" s="55"/>
      <c r="D785" s="41"/>
      <c r="E785" s="55"/>
      <c r="F785" s="55"/>
      <c r="G785" s="55"/>
      <c r="H785" s="51"/>
      <c r="I785" s="52"/>
      <c r="J785" s="74" t="s">
        <v>142</v>
      </c>
      <c r="K785" s="57"/>
      <c r="L785" s="75">
        <v>95</v>
      </c>
      <c r="M785" s="60">
        <v>2</v>
      </c>
      <c r="N785" s="76">
        <v>1</v>
      </c>
      <c r="O785" s="42"/>
      <c r="P785" s="58" t="s">
        <v>1293</v>
      </c>
      <c r="Q785" s="61"/>
      <c r="R785" s="62"/>
      <c r="S785" s="78">
        <f t="shared" si="36"/>
        <v>2</v>
      </c>
      <c r="T785" s="44" t="str">
        <f t="shared" si="37"/>
        <v>2bundle</v>
      </c>
      <c r="U785" s="77">
        <f t="shared" si="38"/>
        <v>190</v>
      </c>
      <c r="V785" s="46"/>
      <c r="W785" s="46"/>
      <c r="X785" s="46"/>
    </row>
    <row r="786" spans="1:24" ht="15.75" customHeight="1" thickBot="1" x14ac:dyDescent="0.35">
      <c r="A786" s="40" t="e">
        <v>#N/A</v>
      </c>
      <c r="B786" s="67" t="s">
        <v>1294</v>
      </c>
      <c r="C786" s="55"/>
      <c r="D786" s="41"/>
      <c r="E786" s="55"/>
      <c r="F786" s="55"/>
      <c r="G786" s="55"/>
      <c r="H786" s="51"/>
      <c r="I786" s="52"/>
      <c r="J786" s="74" t="s">
        <v>1295</v>
      </c>
      <c r="K786" s="57"/>
      <c r="L786" s="75">
        <v>84.1</v>
      </c>
      <c r="M786" s="60">
        <v>2</v>
      </c>
      <c r="N786" s="76">
        <v>340</v>
      </c>
      <c r="O786" s="42"/>
      <c r="P786" s="58" t="s">
        <v>36</v>
      </c>
      <c r="Q786" s="61"/>
      <c r="R786" s="62"/>
      <c r="S786" s="78">
        <f t="shared" si="36"/>
        <v>680</v>
      </c>
      <c r="T786" s="44" t="str">
        <f t="shared" si="37"/>
        <v>680grams</v>
      </c>
      <c r="U786" s="77">
        <f t="shared" si="38"/>
        <v>168.2</v>
      </c>
      <c r="V786" s="46"/>
      <c r="W786" s="46"/>
      <c r="X786" s="46"/>
    </row>
    <row r="787" spans="1:24" ht="15.75" customHeight="1" thickBot="1" x14ac:dyDescent="0.35">
      <c r="A787" s="40" t="e">
        <v>#N/A</v>
      </c>
      <c r="B787" s="67" t="s">
        <v>1296</v>
      </c>
      <c r="C787" s="55"/>
      <c r="D787" s="41"/>
      <c r="E787" s="55"/>
      <c r="F787" s="55"/>
      <c r="G787" s="55"/>
      <c r="H787" s="51"/>
      <c r="I787" s="52"/>
      <c r="J787" s="74" t="s">
        <v>1297</v>
      </c>
      <c r="K787" s="57"/>
      <c r="L787" s="75">
        <v>340</v>
      </c>
      <c r="M787" s="60">
        <v>2</v>
      </c>
      <c r="N787" s="76">
        <v>500</v>
      </c>
      <c r="O787" s="42"/>
      <c r="P787" s="58" t="s">
        <v>36</v>
      </c>
      <c r="Q787" s="61"/>
      <c r="R787" s="62"/>
      <c r="S787" s="78">
        <f t="shared" si="36"/>
        <v>1000</v>
      </c>
      <c r="T787" s="44" t="str">
        <f t="shared" si="37"/>
        <v>1000grams</v>
      </c>
      <c r="U787" s="77">
        <f t="shared" si="38"/>
        <v>680</v>
      </c>
      <c r="V787" s="46"/>
      <c r="W787" s="46"/>
      <c r="X787" s="46"/>
    </row>
    <row r="788" spans="1:24" ht="15.75" customHeight="1" thickBot="1" x14ac:dyDescent="0.35">
      <c r="A788" s="40" t="e">
        <v>#N/A</v>
      </c>
      <c r="B788" s="67" t="s">
        <v>429</v>
      </c>
      <c r="C788" s="55"/>
      <c r="D788" s="41"/>
      <c r="E788" s="55"/>
      <c r="F788" s="55"/>
      <c r="G788" s="55"/>
      <c r="H788" s="51"/>
      <c r="I788" s="52"/>
      <c r="J788" s="74" t="s">
        <v>827</v>
      </c>
      <c r="K788" s="57"/>
      <c r="L788" s="75">
        <v>42.3</v>
      </c>
      <c r="M788" s="60">
        <v>12</v>
      </c>
      <c r="N788" s="76">
        <v>250</v>
      </c>
      <c r="O788" s="42"/>
      <c r="P788" s="58" t="s">
        <v>36</v>
      </c>
      <c r="Q788" s="61"/>
      <c r="R788" s="62"/>
      <c r="S788" s="78">
        <f t="shared" si="36"/>
        <v>3000</v>
      </c>
      <c r="T788" s="44" t="str">
        <f t="shared" si="37"/>
        <v>3000grams</v>
      </c>
      <c r="U788" s="77">
        <f t="shared" si="38"/>
        <v>507.59999999999997</v>
      </c>
      <c r="V788" s="46"/>
      <c r="W788" s="46"/>
      <c r="X788" s="46"/>
    </row>
    <row r="789" spans="1:24" ht="15.75" customHeight="1" thickBot="1" x14ac:dyDescent="0.35">
      <c r="A789" s="40" t="e">
        <v>#N/A</v>
      </c>
      <c r="B789" s="67" t="s">
        <v>429</v>
      </c>
      <c r="C789" s="55"/>
      <c r="D789" s="41"/>
      <c r="E789" s="55"/>
      <c r="F789" s="55"/>
      <c r="G789" s="55"/>
      <c r="H789" s="51"/>
      <c r="I789" s="52"/>
      <c r="J789" s="74" t="s">
        <v>1298</v>
      </c>
      <c r="K789" s="57"/>
      <c r="L789" s="75">
        <v>40.200000000000003</v>
      </c>
      <c r="M789" s="60">
        <v>5</v>
      </c>
      <c r="N789" s="76">
        <v>250</v>
      </c>
      <c r="O789" s="42"/>
      <c r="P789" s="58" t="s">
        <v>138</v>
      </c>
      <c r="Q789" s="61"/>
      <c r="R789" s="62"/>
      <c r="S789" s="78">
        <f t="shared" si="36"/>
        <v>1250</v>
      </c>
      <c r="T789" s="44" t="str">
        <f t="shared" si="37"/>
        <v>1250drained weight grams</v>
      </c>
      <c r="U789" s="77">
        <f t="shared" si="38"/>
        <v>201</v>
      </c>
      <c r="V789" s="46"/>
      <c r="W789" s="46"/>
      <c r="X789" s="46"/>
    </row>
    <row r="790" spans="1:24" ht="15.75" customHeight="1" thickBot="1" x14ac:dyDescent="0.35">
      <c r="A790" s="40" t="e">
        <v>#N/A</v>
      </c>
      <c r="B790" s="67" t="s">
        <v>429</v>
      </c>
      <c r="C790" s="55"/>
      <c r="D790" s="41"/>
      <c r="E790" s="55"/>
      <c r="F790" s="55"/>
      <c r="G790" s="55"/>
      <c r="H790" s="51"/>
      <c r="I790" s="52"/>
      <c r="J790" s="74" t="s">
        <v>1298</v>
      </c>
      <c r="K790" s="57"/>
      <c r="L790" s="75">
        <v>40.200000000000003</v>
      </c>
      <c r="M790" s="60">
        <v>5</v>
      </c>
      <c r="N790" s="76">
        <v>250</v>
      </c>
      <c r="O790" s="42"/>
      <c r="P790" s="58" t="s">
        <v>138</v>
      </c>
      <c r="Q790" s="61"/>
      <c r="R790" s="62"/>
      <c r="S790" s="78">
        <f t="shared" si="36"/>
        <v>1250</v>
      </c>
      <c r="T790" s="44" t="str">
        <f t="shared" si="37"/>
        <v>1250drained weight grams</v>
      </c>
      <c r="U790" s="77">
        <f t="shared" si="38"/>
        <v>201</v>
      </c>
      <c r="V790" s="46"/>
      <c r="W790" s="46"/>
      <c r="X790" s="46"/>
    </row>
    <row r="791" spans="1:24" ht="15.75" customHeight="1" thickBot="1" x14ac:dyDescent="0.35">
      <c r="A791" s="40" t="e">
        <v>#N/A</v>
      </c>
      <c r="B791" s="67" t="s">
        <v>429</v>
      </c>
      <c r="C791" s="55"/>
      <c r="D791" s="41"/>
      <c r="E791" s="55"/>
      <c r="F791" s="55"/>
      <c r="G791" s="55"/>
      <c r="H791" s="51"/>
      <c r="I791" s="52"/>
      <c r="J791" s="74" t="s">
        <v>1299</v>
      </c>
      <c r="K791" s="57"/>
      <c r="L791" s="75">
        <v>56.2</v>
      </c>
      <c r="M791" s="60">
        <v>26</v>
      </c>
      <c r="N791" s="76">
        <v>260</v>
      </c>
      <c r="O791" s="42"/>
      <c r="P791" s="58" t="s">
        <v>36</v>
      </c>
      <c r="Q791" s="61"/>
      <c r="R791" s="62"/>
      <c r="S791" s="78">
        <f t="shared" si="36"/>
        <v>6760</v>
      </c>
      <c r="T791" s="44" t="str">
        <f t="shared" si="37"/>
        <v>6760grams</v>
      </c>
      <c r="U791" s="77">
        <f t="shared" si="38"/>
        <v>1461.2</v>
      </c>
      <c r="V791" s="46"/>
      <c r="W791" s="46"/>
      <c r="X791" s="46"/>
    </row>
    <row r="792" spans="1:24" ht="15.75" customHeight="1" thickBot="1" x14ac:dyDescent="0.35">
      <c r="A792" s="40" t="e">
        <v>#N/A</v>
      </c>
      <c r="B792" s="67" t="s">
        <v>429</v>
      </c>
      <c r="C792" s="55"/>
      <c r="D792" s="41"/>
      <c r="E792" s="55"/>
      <c r="F792" s="55"/>
      <c r="G792" s="55"/>
      <c r="H792" s="51"/>
      <c r="I792" s="52"/>
      <c r="J792" s="74" t="s">
        <v>1300</v>
      </c>
      <c r="K792" s="57"/>
      <c r="L792" s="75">
        <v>50</v>
      </c>
      <c r="M792" s="60">
        <v>3</v>
      </c>
      <c r="N792" s="76">
        <v>223</v>
      </c>
      <c r="O792" s="42"/>
      <c r="P792" s="58" t="s">
        <v>36</v>
      </c>
      <c r="Q792" s="61"/>
      <c r="R792" s="62"/>
      <c r="S792" s="78">
        <f t="shared" si="36"/>
        <v>669</v>
      </c>
      <c r="T792" s="44" t="str">
        <f t="shared" si="37"/>
        <v>669grams</v>
      </c>
      <c r="U792" s="77">
        <f t="shared" si="38"/>
        <v>150</v>
      </c>
      <c r="V792" s="46"/>
      <c r="W792" s="46"/>
      <c r="X792" s="46"/>
    </row>
    <row r="793" spans="1:24" ht="15.75" customHeight="1" thickBot="1" x14ac:dyDescent="0.35">
      <c r="A793" s="40" t="e">
        <v>#N/A</v>
      </c>
      <c r="B793" s="68" t="s">
        <v>429</v>
      </c>
      <c r="C793" s="55"/>
      <c r="D793" s="41"/>
      <c r="E793" s="55"/>
      <c r="F793" s="55"/>
      <c r="G793" s="55"/>
      <c r="H793" s="51"/>
      <c r="I793" s="52"/>
      <c r="J793" s="74" t="s">
        <v>1298</v>
      </c>
      <c r="K793" s="57"/>
      <c r="L793" s="75">
        <v>42.5</v>
      </c>
      <c r="M793" s="60">
        <v>1</v>
      </c>
      <c r="N793" s="76">
        <v>425</v>
      </c>
      <c r="O793" s="42"/>
      <c r="P793" s="58" t="s">
        <v>36</v>
      </c>
      <c r="Q793" s="61"/>
      <c r="R793" s="62"/>
      <c r="S793" s="78">
        <f t="shared" si="36"/>
        <v>425</v>
      </c>
      <c r="T793" s="44" t="str">
        <f t="shared" si="37"/>
        <v>425grams</v>
      </c>
      <c r="U793" s="77">
        <f t="shared" si="38"/>
        <v>42.5</v>
      </c>
      <c r="V793" s="46"/>
      <c r="W793" s="46"/>
      <c r="X793" s="46"/>
    </row>
    <row r="794" spans="1:24" ht="15.75" customHeight="1" thickBot="1" x14ac:dyDescent="0.35">
      <c r="A794" s="40" t="e">
        <v>#N/A</v>
      </c>
      <c r="B794" s="67" t="s">
        <v>1301</v>
      </c>
      <c r="C794" s="55"/>
      <c r="D794" s="41"/>
      <c r="E794" s="55"/>
      <c r="F794" s="55"/>
      <c r="G794" s="55"/>
      <c r="H794" s="51"/>
      <c r="I794" s="52"/>
      <c r="J794" s="74" t="s">
        <v>1302</v>
      </c>
      <c r="K794" s="57"/>
      <c r="L794" s="75">
        <v>106.75</v>
      </c>
      <c r="M794" s="60">
        <v>10</v>
      </c>
      <c r="N794" s="76">
        <v>1</v>
      </c>
      <c r="O794" s="42"/>
      <c r="P794" s="58" t="s">
        <v>53</v>
      </c>
      <c r="Q794" s="61"/>
      <c r="R794" s="62"/>
      <c r="S794" s="78">
        <f t="shared" si="36"/>
        <v>10</v>
      </c>
      <c r="T794" s="44" t="str">
        <f t="shared" si="37"/>
        <v>10gal</v>
      </c>
      <c r="U794" s="77">
        <f t="shared" si="38"/>
        <v>1067.5</v>
      </c>
      <c r="V794" s="46"/>
      <c r="W794" s="46"/>
      <c r="X794" s="46"/>
    </row>
    <row r="795" spans="1:24" ht="15.75" customHeight="1" thickBot="1" x14ac:dyDescent="0.35">
      <c r="A795" s="40" t="e">
        <v>#N/A</v>
      </c>
      <c r="B795" s="67" t="s">
        <v>1301</v>
      </c>
      <c r="C795" s="55"/>
      <c r="D795" s="41"/>
      <c r="E795" s="55"/>
      <c r="F795" s="55"/>
      <c r="G795" s="55"/>
      <c r="H795" s="51"/>
      <c r="I795" s="52"/>
      <c r="J795" s="74" t="s">
        <v>1031</v>
      </c>
      <c r="K795" s="57"/>
      <c r="L795" s="75">
        <v>76</v>
      </c>
      <c r="M795" s="60">
        <v>6</v>
      </c>
      <c r="N795" s="76">
        <v>1</v>
      </c>
      <c r="O795" s="42"/>
      <c r="P795" s="58" t="s">
        <v>53</v>
      </c>
      <c r="Q795" s="61"/>
      <c r="R795" s="62"/>
      <c r="S795" s="78">
        <f t="shared" si="36"/>
        <v>6</v>
      </c>
      <c r="T795" s="44" t="str">
        <f t="shared" si="37"/>
        <v>6gal</v>
      </c>
      <c r="U795" s="77">
        <f t="shared" si="38"/>
        <v>456</v>
      </c>
      <c r="V795" s="46"/>
      <c r="W795" s="46"/>
      <c r="X795" s="46"/>
    </row>
    <row r="796" spans="1:24" ht="15.75" customHeight="1" thickBot="1" x14ac:dyDescent="0.35">
      <c r="A796" s="40" t="e">
        <v>#N/A</v>
      </c>
      <c r="B796" s="67" t="s">
        <v>431</v>
      </c>
      <c r="C796" s="55"/>
      <c r="D796" s="41"/>
      <c r="E796" s="55"/>
      <c r="F796" s="55"/>
      <c r="G796" s="55"/>
      <c r="H796" s="51"/>
      <c r="I796" s="52"/>
      <c r="J796" s="74" t="s">
        <v>432</v>
      </c>
      <c r="K796" s="57"/>
      <c r="L796" s="75">
        <v>120</v>
      </c>
      <c r="M796" s="60">
        <v>3</v>
      </c>
      <c r="N796" s="76">
        <v>1000</v>
      </c>
      <c r="O796" s="42"/>
      <c r="P796" s="58" t="s">
        <v>36</v>
      </c>
      <c r="Q796" s="61"/>
      <c r="R796" s="62"/>
      <c r="S796" s="78">
        <f t="shared" si="36"/>
        <v>3000</v>
      </c>
      <c r="T796" s="44" t="str">
        <f t="shared" si="37"/>
        <v>3000grams</v>
      </c>
      <c r="U796" s="77">
        <f t="shared" si="38"/>
        <v>360</v>
      </c>
      <c r="V796" s="46"/>
      <c r="W796" s="46"/>
      <c r="X796" s="46"/>
    </row>
    <row r="797" spans="1:24" ht="15.75" customHeight="1" thickBot="1" x14ac:dyDescent="0.35">
      <c r="A797" s="40" t="e">
        <v>#N/A</v>
      </c>
      <c r="B797" s="67" t="s">
        <v>431</v>
      </c>
      <c r="C797" s="55"/>
      <c r="D797" s="41"/>
      <c r="E797" s="55"/>
      <c r="F797" s="55"/>
      <c r="G797" s="55"/>
      <c r="H797" s="51"/>
      <c r="I797" s="52"/>
      <c r="J797" s="74" t="s">
        <v>1303</v>
      </c>
      <c r="K797" s="57"/>
      <c r="L797" s="75">
        <v>120</v>
      </c>
      <c r="M797" s="60">
        <v>3</v>
      </c>
      <c r="N797" s="76">
        <v>1000</v>
      </c>
      <c r="O797" s="42"/>
      <c r="P797" s="58" t="s">
        <v>36</v>
      </c>
      <c r="Q797" s="61"/>
      <c r="R797" s="62"/>
      <c r="S797" s="78">
        <f t="shared" si="36"/>
        <v>3000</v>
      </c>
      <c r="T797" s="44" t="str">
        <f t="shared" si="37"/>
        <v>3000grams</v>
      </c>
      <c r="U797" s="77">
        <f t="shared" si="38"/>
        <v>360</v>
      </c>
      <c r="V797" s="46"/>
      <c r="W797" s="46"/>
      <c r="X797" s="46"/>
    </row>
    <row r="798" spans="1:24" ht="15.75" customHeight="1" thickBot="1" x14ac:dyDescent="0.35">
      <c r="A798" s="40" t="e">
        <v>#N/A</v>
      </c>
      <c r="B798" s="67" t="s">
        <v>431</v>
      </c>
      <c r="C798" s="55"/>
      <c r="D798" s="41"/>
      <c r="E798" s="55"/>
      <c r="F798" s="55"/>
      <c r="G798" s="55"/>
      <c r="H798" s="51"/>
      <c r="I798" s="52"/>
      <c r="J798" s="74" t="s">
        <v>1060</v>
      </c>
      <c r="K798" s="57"/>
      <c r="L798" s="75">
        <v>55</v>
      </c>
      <c r="M798" s="60">
        <v>2</v>
      </c>
      <c r="N798" s="76">
        <v>2000</v>
      </c>
      <c r="O798" s="42"/>
      <c r="P798" s="58" t="s">
        <v>36</v>
      </c>
      <c r="Q798" s="61"/>
      <c r="R798" s="62"/>
      <c r="S798" s="78">
        <f t="shared" si="36"/>
        <v>4000</v>
      </c>
      <c r="T798" s="44" t="str">
        <f t="shared" si="37"/>
        <v>4000grams</v>
      </c>
      <c r="U798" s="77">
        <f t="shared" si="38"/>
        <v>110</v>
      </c>
      <c r="V798" s="46"/>
      <c r="W798" s="46"/>
      <c r="X798" s="46"/>
    </row>
    <row r="799" spans="1:24" ht="15.75" customHeight="1" thickBot="1" x14ac:dyDescent="0.35">
      <c r="A799" s="40" t="e">
        <v>#N/A</v>
      </c>
      <c r="B799" s="67" t="s">
        <v>431</v>
      </c>
      <c r="C799" s="55"/>
      <c r="D799" s="41"/>
      <c r="E799" s="55"/>
      <c r="F799" s="55"/>
      <c r="G799" s="55"/>
      <c r="H799" s="51"/>
      <c r="I799" s="52"/>
      <c r="J799" s="74" t="s">
        <v>1198</v>
      </c>
      <c r="K799" s="57"/>
      <c r="L799" s="75">
        <v>56.35</v>
      </c>
      <c r="M799" s="60">
        <v>9</v>
      </c>
      <c r="N799" s="76">
        <v>220</v>
      </c>
      <c r="O799" s="42"/>
      <c r="P799" s="58" t="s">
        <v>36</v>
      </c>
      <c r="Q799" s="61"/>
      <c r="R799" s="62"/>
      <c r="S799" s="78">
        <f t="shared" si="36"/>
        <v>1980</v>
      </c>
      <c r="T799" s="44" t="str">
        <f t="shared" si="37"/>
        <v>1980grams</v>
      </c>
      <c r="U799" s="77">
        <f t="shared" si="38"/>
        <v>507.15000000000003</v>
      </c>
      <c r="V799" s="46"/>
      <c r="W799" s="46"/>
      <c r="X799" s="46"/>
    </row>
    <row r="800" spans="1:24" ht="15.75" customHeight="1" thickBot="1" x14ac:dyDescent="0.35">
      <c r="A800" s="40" t="e">
        <v>#N/A</v>
      </c>
      <c r="B800" s="67" t="s">
        <v>1304</v>
      </c>
      <c r="C800" s="55"/>
      <c r="D800" s="41"/>
      <c r="E800" s="55"/>
      <c r="F800" s="55"/>
      <c r="G800" s="55"/>
      <c r="H800" s="51"/>
      <c r="I800" s="52"/>
      <c r="J800" s="74"/>
      <c r="K800" s="57"/>
      <c r="L800" s="75">
        <v>200</v>
      </c>
      <c r="M800" s="60">
        <v>5</v>
      </c>
      <c r="N800" s="76">
        <v>1000</v>
      </c>
      <c r="O800" s="42"/>
      <c r="P800" s="58" t="s">
        <v>36</v>
      </c>
      <c r="Q800" s="61"/>
      <c r="R800" s="62"/>
      <c r="S800" s="78">
        <f t="shared" si="36"/>
        <v>5000</v>
      </c>
      <c r="T800" s="44" t="str">
        <f t="shared" si="37"/>
        <v>5000grams</v>
      </c>
      <c r="U800" s="77">
        <f t="shared" si="38"/>
        <v>1000</v>
      </c>
      <c r="V800" s="46"/>
      <c r="W800" s="46"/>
      <c r="X800" s="46"/>
    </row>
    <row r="801" spans="1:24" ht="15.75" customHeight="1" thickBot="1" x14ac:dyDescent="0.35">
      <c r="A801" s="40" t="e">
        <v>#N/A</v>
      </c>
      <c r="B801" s="67" t="s">
        <v>1305</v>
      </c>
      <c r="C801" s="55"/>
      <c r="D801" s="41"/>
      <c r="E801" s="55"/>
      <c r="F801" s="55"/>
      <c r="G801" s="55"/>
      <c r="H801" s="51"/>
      <c r="I801" s="52"/>
      <c r="J801" s="74"/>
      <c r="K801" s="57"/>
      <c r="L801" s="75">
        <v>70</v>
      </c>
      <c r="M801" s="60">
        <v>1</v>
      </c>
      <c r="N801" s="76">
        <v>1000</v>
      </c>
      <c r="O801" s="42"/>
      <c r="P801" s="58" t="s">
        <v>36</v>
      </c>
      <c r="Q801" s="61"/>
      <c r="R801" s="62"/>
      <c r="S801" s="78">
        <f t="shared" si="36"/>
        <v>1000</v>
      </c>
      <c r="T801" s="44" t="str">
        <f t="shared" si="37"/>
        <v>1000grams</v>
      </c>
      <c r="U801" s="77">
        <f t="shared" si="38"/>
        <v>70</v>
      </c>
      <c r="V801" s="46"/>
      <c r="W801" s="46"/>
      <c r="X801" s="46"/>
    </row>
    <row r="802" spans="1:24" ht="15.75" customHeight="1" thickBot="1" x14ac:dyDescent="0.35">
      <c r="A802" s="40" t="e">
        <v>#N/A</v>
      </c>
      <c r="B802" s="67" t="s">
        <v>1305</v>
      </c>
      <c r="C802" s="55"/>
      <c r="D802" s="41"/>
      <c r="E802" s="55"/>
      <c r="F802" s="55"/>
      <c r="G802" s="55"/>
      <c r="H802" s="51"/>
      <c r="I802" s="52"/>
      <c r="J802" s="74" t="s">
        <v>142</v>
      </c>
      <c r="K802" s="57"/>
      <c r="L802" s="75">
        <v>46</v>
      </c>
      <c r="M802" s="60">
        <v>2</v>
      </c>
      <c r="N802" s="76">
        <v>1000</v>
      </c>
      <c r="O802" s="42"/>
      <c r="P802" s="58" t="s">
        <v>36</v>
      </c>
      <c r="Q802" s="61"/>
      <c r="R802" s="62"/>
      <c r="S802" s="78">
        <f t="shared" si="36"/>
        <v>2000</v>
      </c>
      <c r="T802" s="44" t="str">
        <f t="shared" si="37"/>
        <v>2000grams</v>
      </c>
      <c r="U802" s="77">
        <f t="shared" si="38"/>
        <v>92</v>
      </c>
      <c r="V802" s="46"/>
      <c r="W802" s="46"/>
      <c r="X802" s="46"/>
    </row>
    <row r="803" spans="1:24" ht="15.75" customHeight="1" thickBot="1" x14ac:dyDescent="0.35">
      <c r="A803" s="40" t="e">
        <v>#N/A</v>
      </c>
      <c r="B803" s="68" t="s">
        <v>1306</v>
      </c>
      <c r="C803" s="55"/>
      <c r="D803" s="41"/>
      <c r="E803" s="55"/>
      <c r="F803" s="55"/>
      <c r="G803" s="55"/>
      <c r="H803" s="51"/>
      <c r="I803" s="52"/>
      <c r="J803" s="74"/>
      <c r="K803" s="57"/>
      <c r="L803" s="75">
        <v>95</v>
      </c>
      <c r="M803" s="60">
        <v>2</v>
      </c>
      <c r="N803" s="76">
        <v>1</v>
      </c>
      <c r="O803" s="42"/>
      <c r="P803" s="58" t="s">
        <v>88</v>
      </c>
      <c r="Q803" s="61"/>
      <c r="R803" s="62"/>
      <c r="S803" s="78">
        <f t="shared" si="36"/>
        <v>2</v>
      </c>
      <c r="T803" s="44" t="str">
        <f t="shared" si="37"/>
        <v>2kilos</v>
      </c>
      <c r="U803" s="77">
        <f t="shared" si="38"/>
        <v>190</v>
      </c>
      <c r="V803" s="46"/>
      <c r="W803" s="46"/>
      <c r="X803" s="46"/>
    </row>
    <row r="804" spans="1:24" ht="15.75" customHeight="1" thickBot="1" x14ac:dyDescent="0.35">
      <c r="A804" s="40" t="e">
        <v>#N/A</v>
      </c>
      <c r="B804" s="67" t="s">
        <v>1306</v>
      </c>
      <c r="C804" s="55"/>
      <c r="D804" s="41"/>
      <c r="E804" s="55"/>
      <c r="F804" s="55"/>
      <c r="G804" s="55"/>
      <c r="H804" s="51"/>
      <c r="I804" s="52"/>
      <c r="J804" s="74"/>
      <c r="K804" s="57"/>
      <c r="L804" s="75">
        <v>110</v>
      </c>
      <c r="M804" s="60">
        <v>2</v>
      </c>
      <c r="N804" s="76">
        <v>1000</v>
      </c>
      <c r="O804" s="42"/>
      <c r="P804" s="58" t="s">
        <v>36</v>
      </c>
      <c r="Q804" s="61"/>
      <c r="R804" s="62"/>
      <c r="S804" s="78">
        <f t="shared" si="36"/>
        <v>2000</v>
      </c>
      <c r="T804" s="44" t="str">
        <f t="shared" si="37"/>
        <v>2000grams</v>
      </c>
      <c r="U804" s="77">
        <f t="shared" si="38"/>
        <v>220</v>
      </c>
      <c r="V804" s="46"/>
      <c r="W804" s="46"/>
      <c r="X804" s="46"/>
    </row>
    <row r="805" spans="1:24" ht="15.75" customHeight="1" thickBot="1" x14ac:dyDescent="0.35">
      <c r="A805" s="40" t="e">
        <v>#N/A</v>
      </c>
      <c r="B805" s="67" t="s">
        <v>1306</v>
      </c>
      <c r="C805" s="55"/>
      <c r="D805" s="41"/>
      <c r="E805" s="55"/>
      <c r="F805" s="55"/>
      <c r="G805" s="55"/>
      <c r="H805" s="51"/>
      <c r="I805" s="52"/>
      <c r="J805" s="74"/>
      <c r="K805" s="57"/>
      <c r="L805" s="75">
        <v>50</v>
      </c>
      <c r="M805" s="60">
        <v>10</v>
      </c>
      <c r="N805" s="76">
        <v>1000</v>
      </c>
      <c r="O805" s="42"/>
      <c r="P805" s="58" t="s">
        <v>36</v>
      </c>
      <c r="Q805" s="61"/>
      <c r="R805" s="62"/>
      <c r="S805" s="78">
        <f t="shared" si="36"/>
        <v>10000</v>
      </c>
      <c r="T805" s="44" t="str">
        <f t="shared" si="37"/>
        <v>10000grams</v>
      </c>
      <c r="U805" s="77">
        <f t="shared" si="38"/>
        <v>500</v>
      </c>
      <c r="V805" s="46"/>
      <c r="W805" s="46"/>
      <c r="X805" s="46"/>
    </row>
    <row r="806" spans="1:24" ht="15.75" customHeight="1" thickBot="1" x14ac:dyDescent="0.35">
      <c r="A806" s="40" t="e">
        <v>#N/A</v>
      </c>
      <c r="B806" s="67" t="s">
        <v>1307</v>
      </c>
      <c r="C806" s="55"/>
      <c r="D806" s="41"/>
      <c r="E806" s="55"/>
      <c r="F806" s="55"/>
      <c r="G806" s="55"/>
      <c r="H806" s="51"/>
      <c r="I806" s="52"/>
      <c r="J806" s="74" t="s">
        <v>1308</v>
      </c>
      <c r="K806" s="57"/>
      <c r="L806" s="75">
        <v>130</v>
      </c>
      <c r="M806" s="60">
        <v>1</v>
      </c>
      <c r="N806" s="76">
        <v>340</v>
      </c>
      <c r="O806" s="42"/>
      <c r="P806" s="58" t="s">
        <v>36</v>
      </c>
      <c r="Q806" s="61"/>
      <c r="R806" s="62"/>
      <c r="S806" s="78">
        <f t="shared" si="36"/>
        <v>340</v>
      </c>
      <c r="T806" s="44" t="str">
        <f t="shared" si="37"/>
        <v>340grams</v>
      </c>
      <c r="U806" s="77">
        <f t="shared" si="38"/>
        <v>130</v>
      </c>
      <c r="V806" s="46"/>
      <c r="W806" s="46"/>
      <c r="X806" s="46"/>
    </row>
    <row r="807" spans="1:24" ht="15.75" customHeight="1" thickBot="1" x14ac:dyDescent="0.35">
      <c r="A807" s="40" t="e">
        <v>#N/A</v>
      </c>
      <c r="B807" s="68" t="s">
        <v>442</v>
      </c>
      <c r="C807" s="55"/>
      <c r="D807" s="41"/>
      <c r="E807" s="55"/>
      <c r="F807" s="55"/>
      <c r="G807" s="55"/>
      <c r="H807" s="51"/>
      <c r="I807" s="52"/>
      <c r="J807" s="74" t="s">
        <v>1309</v>
      </c>
      <c r="K807" s="57"/>
      <c r="L807" s="75">
        <v>860</v>
      </c>
      <c r="M807" s="60">
        <v>1</v>
      </c>
      <c r="N807" s="76">
        <v>6800</v>
      </c>
      <c r="O807" s="42"/>
      <c r="P807" s="58" t="s">
        <v>36</v>
      </c>
      <c r="Q807" s="61"/>
      <c r="R807" s="62"/>
      <c r="S807" s="78">
        <f t="shared" si="36"/>
        <v>6800</v>
      </c>
      <c r="T807" s="44" t="str">
        <f t="shared" si="37"/>
        <v>6800grams</v>
      </c>
      <c r="U807" s="77">
        <f t="shared" si="38"/>
        <v>860</v>
      </c>
      <c r="V807" s="46"/>
      <c r="W807" s="46"/>
      <c r="X807" s="46"/>
    </row>
    <row r="808" spans="1:24" ht="15.75" customHeight="1" thickBot="1" x14ac:dyDescent="0.35">
      <c r="A808" s="40" t="e">
        <v>#N/A</v>
      </c>
      <c r="B808" s="67" t="s">
        <v>1310</v>
      </c>
      <c r="C808" s="55"/>
      <c r="D808" s="41"/>
      <c r="E808" s="55"/>
      <c r="F808" s="55"/>
      <c r="G808" s="55"/>
      <c r="H808" s="51"/>
      <c r="I808" s="52"/>
      <c r="J808" s="74" t="s">
        <v>1311</v>
      </c>
      <c r="K808" s="57"/>
      <c r="L808" s="75">
        <v>129</v>
      </c>
      <c r="M808" s="60">
        <v>2</v>
      </c>
      <c r="N808" s="76">
        <v>454</v>
      </c>
      <c r="O808" s="42"/>
      <c r="P808" s="58" t="s">
        <v>36</v>
      </c>
      <c r="Q808" s="61"/>
      <c r="R808" s="62"/>
      <c r="S808" s="78">
        <f t="shared" si="36"/>
        <v>908</v>
      </c>
      <c r="T808" s="44" t="str">
        <f t="shared" si="37"/>
        <v>908grams</v>
      </c>
      <c r="U808" s="77">
        <f t="shared" si="38"/>
        <v>258</v>
      </c>
      <c r="V808" s="46"/>
      <c r="W808" s="46"/>
      <c r="X808" s="46"/>
    </row>
    <row r="809" spans="1:24" ht="15.75" customHeight="1" thickBot="1" x14ac:dyDescent="0.35">
      <c r="A809" s="40" t="e">
        <v>#N/A</v>
      </c>
      <c r="B809" s="67" t="s">
        <v>1310</v>
      </c>
      <c r="C809" s="55"/>
      <c r="D809" s="41"/>
      <c r="E809" s="55"/>
      <c r="F809" s="55"/>
      <c r="G809" s="55"/>
      <c r="H809" s="51"/>
      <c r="I809" s="52"/>
      <c r="J809" s="74" t="s">
        <v>925</v>
      </c>
      <c r="K809" s="57"/>
      <c r="L809" s="75">
        <v>143.5</v>
      </c>
      <c r="M809" s="60">
        <v>2</v>
      </c>
      <c r="N809" s="76">
        <v>500</v>
      </c>
      <c r="O809" s="42"/>
      <c r="P809" s="58" t="s">
        <v>36</v>
      </c>
      <c r="Q809" s="61"/>
      <c r="R809" s="62"/>
      <c r="S809" s="78">
        <f t="shared" si="36"/>
        <v>1000</v>
      </c>
      <c r="T809" s="44" t="str">
        <f t="shared" si="37"/>
        <v>1000grams</v>
      </c>
      <c r="U809" s="77">
        <f t="shared" si="38"/>
        <v>287</v>
      </c>
      <c r="V809" s="46"/>
      <c r="W809" s="46"/>
      <c r="X809" s="46"/>
    </row>
    <row r="810" spans="1:24" ht="15.75" customHeight="1" thickBot="1" x14ac:dyDescent="0.35">
      <c r="A810" s="40" t="e">
        <v>#N/A</v>
      </c>
      <c r="B810" s="67" t="s">
        <v>1310</v>
      </c>
      <c r="C810" s="55"/>
      <c r="D810" s="41"/>
      <c r="E810" s="55"/>
      <c r="F810" s="55"/>
      <c r="G810" s="55"/>
      <c r="H810" s="51"/>
      <c r="I810" s="52"/>
      <c r="J810" s="74" t="s">
        <v>1311</v>
      </c>
      <c r="K810" s="57"/>
      <c r="L810" s="75">
        <v>137</v>
      </c>
      <c r="M810" s="60">
        <v>1</v>
      </c>
      <c r="N810" s="76">
        <v>454</v>
      </c>
      <c r="O810" s="42"/>
      <c r="P810" s="58" t="s">
        <v>36</v>
      </c>
      <c r="Q810" s="61"/>
      <c r="R810" s="62"/>
      <c r="S810" s="78">
        <f t="shared" si="36"/>
        <v>454</v>
      </c>
      <c r="T810" s="44" t="str">
        <f t="shared" si="37"/>
        <v>454grams</v>
      </c>
      <c r="U810" s="77">
        <f t="shared" si="38"/>
        <v>137</v>
      </c>
      <c r="V810" s="46"/>
      <c r="W810" s="46"/>
      <c r="X810" s="46"/>
    </row>
    <row r="811" spans="1:24" ht="15.75" customHeight="1" thickBot="1" x14ac:dyDescent="0.35">
      <c r="A811" s="40" t="e">
        <v>#N/A</v>
      </c>
      <c r="B811" s="67" t="s">
        <v>1310</v>
      </c>
      <c r="C811" s="55"/>
      <c r="D811" s="41"/>
      <c r="E811" s="55"/>
      <c r="F811" s="55"/>
      <c r="G811" s="55"/>
      <c r="H811" s="51"/>
      <c r="I811" s="52"/>
      <c r="J811" s="74" t="s">
        <v>925</v>
      </c>
      <c r="K811" s="57"/>
      <c r="L811" s="75">
        <v>117.5</v>
      </c>
      <c r="M811" s="60">
        <v>1</v>
      </c>
      <c r="N811" s="76">
        <v>500</v>
      </c>
      <c r="O811" s="42"/>
      <c r="P811" s="58" t="s">
        <v>36</v>
      </c>
      <c r="Q811" s="61"/>
      <c r="R811" s="62"/>
      <c r="S811" s="78">
        <f t="shared" si="36"/>
        <v>500</v>
      </c>
      <c r="T811" s="44" t="str">
        <f t="shared" si="37"/>
        <v>500grams</v>
      </c>
      <c r="U811" s="77">
        <f t="shared" si="38"/>
        <v>117.5</v>
      </c>
      <c r="V811" s="46"/>
      <c r="W811" s="46"/>
      <c r="X811" s="46"/>
    </row>
    <row r="812" spans="1:24" ht="15.75" customHeight="1" thickBot="1" x14ac:dyDescent="0.35">
      <c r="A812" s="40" t="e">
        <v>#N/A</v>
      </c>
      <c r="B812" s="67" t="s">
        <v>446</v>
      </c>
      <c r="C812" s="55"/>
      <c r="D812" s="41"/>
      <c r="E812" s="55"/>
      <c r="F812" s="55"/>
      <c r="G812" s="55"/>
      <c r="H812" s="51"/>
      <c r="I812" s="52"/>
      <c r="J812" s="74" t="s">
        <v>924</v>
      </c>
      <c r="K812" s="57"/>
      <c r="L812" s="75">
        <v>400</v>
      </c>
      <c r="M812" s="60">
        <v>0</v>
      </c>
      <c r="N812" s="76">
        <v>1</v>
      </c>
      <c r="O812" s="42"/>
      <c r="P812" s="58" t="s">
        <v>88</v>
      </c>
      <c r="Q812" s="61"/>
      <c r="R812" s="62"/>
      <c r="S812" s="78">
        <f t="shared" si="36"/>
        <v>0</v>
      </c>
      <c r="T812" s="44" t="str">
        <f t="shared" si="37"/>
        <v>0kilos</v>
      </c>
      <c r="U812" s="77">
        <f t="shared" si="38"/>
        <v>0</v>
      </c>
      <c r="V812" s="46"/>
      <c r="W812" s="46"/>
      <c r="X812" s="46"/>
    </row>
    <row r="813" spans="1:24" ht="15.75" customHeight="1" thickBot="1" x14ac:dyDescent="0.35">
      <c r="A813" s="40" t="e">
        <v>#N/A</v>
      </c>
      <c r="B813" s="67" t="s">
        <v>446</v>
      </c>
      <c r="C813" s="55"/>
      <c r="D813" s="41"/>
      <c r="E813" s="55"/>
      <c r="F813" s="55"/>
      <c r="G813" s="55"/>
      <c r="H813" s="51"/>
      <c r="I813" s="52"/>
      <c r="J813" s="74" t="s">
        <v>813</v>
      </c>
      <c r="K813" s="57"/>
      <c r="L813" s="75">
        <v>125</v>
      </c>
      <c r="M813" s="60">
        <v>1</v>
      </c>
      <c r="N813" s="76">
        <v>250</v>
      </c>
      <c r="O813" s="42"/>
      <c r="P813" s="58" t="s">
        <v>36</v>
      </c>
      <c r="Q813" s="61"/>
      <c r="R813" s="62"/>
      <c r="S813" s="78">
        <f t="shared" si="36"/>
        <v>250</v>
      </c>
      <c r="T813" s="44" t="str">
        <f t="shared" si="37"/>
        <v>250grams</v>
      </c>
      <c r="U813" s="77">
        <f t="shared" si="38"/>
        <v>125</v>
      </c>
      <c r="V813" s="46"/>
      <c r="W813" s="46"/>
      <c r="X813" s="46"/>
    </row>
    <row r="814" spans="1:24" ht="15.75" customHeight="1" thickBot="1" x14ac:dyDescent="0.35">
      <c r="A814" s="40" t="e">
        <v>#N/A</v>
      </c>
      <c r="B814" s="67" t="s">
        <v>446</v>
      </c>
      <c r="C814" s="55"/>
      <c r="D814" s="41"/>
      <c r="E814" s="55"/>
      <c r="F814" s="55"/>
      <c r="G814" s="55"/>
      <c r="H814" s="51"/>
      <c r="I814" s="52"/>
      <c r="J814" s="74" t="s">
        <v>708</v>
      </c>
      <c r="K814" s="57"/>
      <c r="L814" s="75">
        <v>98</v>
      </c>
      <c r="M814" s="60">
        <v>1</v>
      </c>
      <c r="N814" s="76">
        <v>1000</v>
      </c>
      <c r="O814" s="42"/>
      <c r="P814" s="58" t="s">
        <v>36</v>
      </c>
      <c r="Q814" s="61"/>
      <c r="R814" s="62"/>
      <c r="S814" s="78">
        <f t="shared" si="36"/>
        <v>1000</v>
      </c>
      <c r="T814" s="44" t="str">
        <f t="shared" si="37"/>
        <v>1000grams</v>
      </c>
      <c r="U814" s="77">
        <f t="shared" si="38"/>
        <v>98</v>
      </c>
      <c r="V814" s="46"/>
      <c r="W814" s="46"/>
      <c r="X814" s="46"/>
    </row>
    <row r="815" spans="1:24" ht="15.75" customHeight="1" thickBot="1" x14ac:dyDescent="0.35">
      <c r="A815" s="40" t="e">
        <v>#N/A</v>
      </c>
      <c r="B815" s="67" t="s">
        <v>447</v>
      </c>
      <c r="C815" s="55"/>
      <c r="D815" s="41"/>
      <c r="E815" s="55"/>
      <c r="F815" s="55"/>
      <c r="G815" s="55"/>
      <c r="H815" s="51"/>
      <c r="I815" s="52"/>
      <c r="J815" s="74" t="s">
        <v>448</v>
      </c>
      <c r="K815" s="57"/>
      <c r="L815" s="75">
        <v>48.7</v>
      </c>
      <c r="M815" s="60">
        <v>1</v>
      </c>
      <c r="N815" s="76">
        <v>550</v>
      </c>
      <c r="O815" s="42"/>
      <c r="P815" s="58" t="s">
        <v>36</v>
      </c>
      <c r="Q815" s="61"/>
      <c r="R815" s="62"/>
      <c r="S815" s="78">
        <f t="shared" si="36"/>
        <v>550</v>
      </c>
      <c r="T815" s="44" t="str">
        <f t="shared" si="37"/>
        <v>550grams</v>
      </c>
      <c r="U815" s="77">
        <f t="shared" si="38"/>
        <v>48.7</v>
      </c>
      <c r="V815" s="46"/>
      <c r="W815" s="46"/>
      <c r="X815" s="46"/>
    </row>
    <row r="816" spans="1:24" ht="15.75" customHeight="1" thickBot="1" x14ac:dyDescent="0.35">
      <c r="A816" s="40" t="e">
        <v>#N/A</v>
      </c>
      <c r="B816" s="67" t="s">
        <v>447</v>
      </c>
      <c r="C816" s="55"/>
      <c r="D816" s="41"/>
      <c r="E816" s="55"/>
      <c r="F816" s="55"/>
      <c r="G816" s="55"/>
      <c r="H816" s="51"/>
      <c r="I816" s="52"/>
      <c r="J816" s="74" t="s">
        <v>1312</v>
      </c>
      <c r="K816" s="57"/>
      <c r="L816" s="75">
        <v>35.1</v>
      </c>
      <c r="M816" s="60">
        <v>1</v>
      </c>
      <c r="N816" s="76">
        <v>325</v>
      </c>
      <c r="O816" s="42"/>
      <c r="P816" s="58" t="s">
        <v>36</v>
      </c>
      <c r="Q816" s="61"/>
      <c r="R816" s="62"/>
      <c r="S816" s="78">
        <f t="shared" si="36"/>
        <v>325</v>
      </c>
      <c r="T816" s="44" t="str">
        <f t="shared" si="37"/>
        <v>325grams</v>
      </c>
      <c r="U816" s="77">
        <f t="shared" si="38"/>
        <v>35.1</v>
      </c>
      <c r="V816" s="46"/>
      <c r="W816" s="46"/>
      <c r="X816" s="46"/>
    </row>
    <row r="817" spans="1:24" ht="15.75" customHeight="1" thickBot="1" x14ac:dyDescent="0.35">
      <c r="A817" s="40" t="e">
        <v>#N/A</v>
      </c>
      <c r="B817" s="67" t="s">
        <v>447</v>
      </c>
      <c r="C817" s="55"/>
      <c r="D817" s="41"/>
      <c r="E817" s="55"/>
      <c r="F817" s="55"/>
      <c r="G817" s="55"/>
      <c r="H817" s="51"/>
      <c r="I817" s="52"/>
      <c r="J817" s="74" t="s">
        <v>448</v>
      </c>
      <c r="K817" s="57"/>
      <c r="L817" s="75">
        <v>48.7</v>
      </c>
      <c r="M817" s="60">
        <v>1</v>
      </c>
      <c r="N817" s="76">
        <v>550</v>
      </c>
      <c r="O817" s="42"/>
      <c r="P817" s="58" t="s">
        <v>36</v>
      </c>
      <c r="Q817" s="61"/>
      <c r="R817" s="62"/>
      <c r="S817" s="78">
        <f t="shared" si="36"/>
        <v>550</v>
      </c>
      <c r="T817" s="44" t="str">
        <f t="shared" si="37"/>
        <v>550grams</v>
      </c>
      <c r="U817" s="77">
        <f t="shared" si="38"/>
        <v>48.7</v>
      </c>
      <c r="V817" s="46"/>
      <c r="W817" s="46"/>
      <c r="X817" s="46"/>
    </row>
    <row r="818" spans="1:24" ht="15.75" customHeight="1" thickBot="1" x14ac:dyDescent="0.35">
      <c r="A818" s="40" t="e">
        <v>#N/A</v>
      </c>
      <c r="B818" s="67" t="s">
        <v>447</v>
      </c>
      <c r="C818" s="55"/>
      <c r="D818" s="41"/>
      <c r="E818" s="55"/>
      <c r="F818" s="55"/>
      <c r="G818" s="55"/>
      <c r="H818" s="51"/>
      <c r="I818" s="52"/>
      <c r="J818" s="74" t="s">
        <v>1313</v>
      </c>
      <c r="K818" s="57"/>
      <c r="L818" s="75">
        <v>77.3</v>
      </c>
      <c r="M818" s="60">
        <v>5</v>
      </c>
      <c r="N818" s="76">
        <v>1000</v>
      </c>
      <c r="O818" s="42"/>
      <c r="P818" s="58" t="s">
        <v>88</v>
      </c>
      <c r="Q818" s="61"/>
      <c r="R818" s="62"/>
      <c r="S818" s="78">
        <f t="shared" si="36"/>
        <v>5000</v>
      </c>
      <c r="T818" s="44" t="str">
        <f t="shared" si="37"/>
        <v>5000kilos</v>
      </c>
      <c r="U818" s="77">
        <f t="shared" si="38"/>
        <v>386.5</v>
      </c>
      <c r="V818" s="46"/>
      <c r="W818" s="46"/>
      <c r="X818" s="46"/>
    </row>
    <row r="819" spans="1:24" ht="15.75" customHeight="1" thickBot="1" x14ac:dyDescent="0.35">
      <c r="A819" s="40" t="e">
        <v>#N/A</v>
      </c>
      <c r="B819" s="67" t="s">
        <v>447</v>
      </c>
      <c r="C819" s="55"/>
      <c r="D819" s="41"/>
      <c r="E819" s="55"/>
      <c r="F819" s="55"/>
      <c r="G819" s="55"/>
      <c r="H819" s="51"/>
      <c r="I819" s="52"/>
      <c r="J819" s="74" t="s">
        <v>1314</v>
      </c>
      <c r="K819" s="57"/>
      <c r="L819" s="75">
        <v>251</v>
      </c>
      <c r="M819" s="60">
        <v>4</v>
      </c>
      <c r="N819" s="76">
        <v>1</v>
      </c>
      <c r="O819" s="42"/>
      <c r="P819" s="58" t="s">
        <v>53</v>
      </c>
      <c r="Q819" s="61"/>
      <c r="R819" s="62"/>
      <c r="S819" s="78">
        <f t="shared" si="36"/>
        <v>4</v>
      </c>
      <c r="T819" s="44" t="str">
        <f t="shared" si="37"/>
        <v>4gal</v>
      </c>
      <c r="U819" s="77">
        <f t="shared" si="38"/>
        <v>1004</v>
      </c>
      <c r="V819" s="46"/>
      <c r="W819" s="46"/>
      <c r="X819" s="46"/>
    </row>
    <row r="820" spans="1:24" ht="15.75" customHeight="1" thickBot="1" x14ac:dyDescent="0.35">
      <c r="A820" s="40" t="e">
        <v>#N/A</v>
      </c>
      <c r="B820" s="68" t="s">
        <v>447</v>
      </c>
      <c r="C820" s="55"/>
      <c r="D820" s="41"/>
      <c r="E820" s="55"/>
      <c r="F820" s="55"/>
      <c r="G820" s="55"/>
      <c r="H820" s="51"/>
      <c r="I820" s="52"/>
      <c r="J820" s="74" t="s">
        <v>448</v>
      </c>
      <c r="K820" s="57"/>
      <c r="L820" s="75">
        <v>48.7</v>
      </c>
      <c r="M820" s="60">
        <v>1</v>
      </c>
      <c r="N820" s="76">
        <v>550</v>
      </c>
      <c r="O820" s="42"/>
      <c r="P820" s="58" t="s">
        <v>36</v>
      </c>
      <c r="Q820" s="61"/>
      <c r="R820" s="62"/>
      <c r="S820" s="78">
        <f t="shared" si="36"/>
        <v>550</v>
      </c>
      <c r="T820" s="44" t="str">
        <f t="shared" si="37"/>
        <v>550grams</v>
      </c>
      <c r="U820" s="77">
        <f t="shared" si="38"/>
        <v>48.7</v>
      </c>
      <c r="V820" s="46"/>
      <c r="W820" s="46"/>
      <c r="X820" s="46"/>
    </row>
    <row r="821" spans="1:24" ht="15.75" customHeight="1" thickBot="1" x14ac:dyDescent="0.35">
      <c r="A821" s="40" t="e">
        <v>#N/A</v>
      </c>
      <c r="B821" s="67" t="s">
        <v>447</v>
      </c>
      <c r="C821" s="55"/>
      <c r="D821" s="41"/>
      <c r="E821" s="55"/>
      <c r="F821" s="55"/>
      <c r="G821" s="55"/>
      <c r="H821" s="51"/>
      <c r="I821" s="52"/>
      <c r="J821" s="74" t="s">
        <v>1313</v>
      </c>
      <c r="K821" s="57"/>
      <c r="L821" s="75">
        <v>36.25</v>
      </c>
      <c r="M821" s="60">
        <v>4</v>
      </c>
      <c r="N821" s="76">
        <v>325</v>
      </c>
      <c r="O821" s="42"/>
      <c r="P821" s="58" t="s">
        <v>36</v>
      </c>
      <c r="Q821" s="61"/>
      <c r="R821" s="62"/>
      <c r="S821" s="78">
        <f t="shared" si="36"/>
        <v>1300</v>
      </c>
      <c r="T821" s="44" t="str">
        <f t="shared" si="37"/>
        <v>1300grams</v>
      </c>
      <c r="U821" s="77">
        <f t="shared" si="38"/>
        <v>145</v>
      </c>
      <c r="V821" s="46"/>
      <c r="W821" s="46"/>
      <c r="X821" s="46"/>
    </row>
    <row r="822" spans="1:24" ht="15.75" customHeight="1" thickBot="1" x14ac:dyDescent="0.35">
      <c r="A822" s="40" t="e">
        <v>#N/A</v>
      </c>
      <c r="B822" s="67" t="s">
        <v>447</v>
      </c>
      <c r="C822" s="55"/>
      <c r="D822" s="41"/>
      <c r="E822" s="55"/>
      <c r="F822" s="55"/>
      <c r="G822" s="55"/>
      <c r="H822" s="51"/>
      <c r="I822" s="52"/>
      <c r="J822" s="74" t="s">
        <v>1313</v>
      </c>
      <c r="K822" s="57"/>
      <c r="L822" s="75">
        <v>48.7</v>
      </c>
      <c r="M822" s="60">
        <v>1</v>
      </c>
      <c r="N822" s="76">
        <v>4</v>
      </c>
      <c r="O822" s="42"/>
      <c r="P822" s="58" t="s">
        <v>685</v>
      </c>
      <c r="Q822" s="61"/>
      <c r="R822" s="62"/>
      <c r="S822" s="78">
        <f t="shared" ref="S822:S885" si="39">M822*N822</f>
        <v>4</v>
      </c>
      <c r="T822" s="44" t="str">
        <f t="shared" ref="T822:T885" si="40">CONCATENATE(S822,Q822,P822)</f>
        <v>4liters</v>
      </c>
      <c r="U822" s="77">
        <f t="shared" ref="U822:U885" si="41">L822*M822</f>
        <v>48.7</v>
      </c>
      <c r="V822" s="46"/>
      <c r="W822" s="46"/>
      <c r="X822" s="46"/>
    </row>
    <row r="823" spans="1:24" ht="15.75" customHeight="1" thickBot="1" x14ac:dyDescent="0.35">
      <c r="A823" s="40" t="e">
        <v>#N/A</v>
      </c>
      <c r="B823" s="67" t="s">
        <v>1315</v>
      </c>
      <c r="C823" s="55"/>
      <c r="D823" s="41"/>
      <c r="E823" s="55"/>
      <c r="F823" s="55"/>
      <c r="G823" s="55"/>
      <c r="H823" s="51"/>
      <c r="I823" s="52"/>
      <c r="J823" s="74"/>
      <c r="K823" s="57"/>
      <c r="L823" s="75">
        <v>25</v>
      </c>
      <c r="M823" s="60">
        <v>4</v>
      </c>
      <c r="N823" s="76">
        <v>1</v>
      </c>
      <c r="O823" s="42"/>
      <c r="P823" s="58" t="s">
        <v>38</v>
      </c>
      <c r="Q823" s="61"/>
      <c r="R823" s="62"/>
      <c r="S823" s="78">
        <f t="shared" si="39"/>
        <v>4</v>
      </c>
      <c r="T823" s="44" t="str">
        <f t="shared" si="40"/>
        <v>4pieces</v>
      </c>
      <c r="U823" s="77">
        <f t="shared" si="41"/>
        <v>100</v>
      </c>
      <c r="V823" s="46"/>
      <c r="W823" s="46"/>
      <c r="X823" s="46"/>
    </row>
    <row r="824" spans="1:24" ht="15.75" customHeight="1" thickBot="1" x14ac:dyDescent="0.35">
      <c r="A824" s="40" t="e">
        <v>#N/A</v>
      </c>
      <c r="B824" s="67" t="s">
        <v>1315</v>
      </c>
      <c r="C824" s="55"/>
      <c r="D824" s="41"/>
      <c r="E824" s="55"/>
      <c r="F824" s="55"/>
      <c r="G824" s="55"/>
      <c r="H824" s="51"/>
      <c r="I824" s="52"/>
      <c r="J824" s="74" t="s">
        <v>1316</v>
      </c>
      <c r="K824" s="57"/>
      <c r="L824" s="75">
        <v>25</v>
      </c>
      <c r="M824" s="60">
        <v>2</v>
      </c>
      <c r="N824" s="76">
        <v>1000</v>
      </c>
      <c r="O824" s="42"/>
      <c r="P824" s="58" t="s">
        <v>36</v>
      </c>
      <c r="Q824" s="61"/>
      <c r="R824" s="62"/>
      <c r="S824" s="78">
        <f t="shared" si="39"/>
        <v>2000</v>
      </c>
      <c r="T824" s="44" t="str">
        <f t="shared" si="40"/>
        <v>2000grams</v>
      </c>
      <c r="U824" s="77">
        <f t="shared" si="41"/>
        <v>50</v>
      </c>
      <c r="V824" s="46"/>
      <c r="W824" s="46"/>
      <c r="X824" s="46"/>
    </row>
    <row r="825" spans="1:24" ht="15.75" customHeight="1" thickBot="1" x14ac:dyDescent="0.35">
      <c r="A825" s="40" t="e">
        <v>#N/A</v>
      </c>
      <c r="B825" s="67" t="s">
        <v>1315</v>
      </c>
      <c r="C825" s="55"/>
      <c r="D825" s="41"/>
      <c r="E825" s="55"/>
      <c r="F825" s="55"/>
      <c r="G825" s="55"/>
      <c r="H825" s="51"/>
      <c r="I825" s="52"/>
      <c r="J825" s="74"/>
      <c r="K825" s="57"/>
      <c r="L825" s="75">
        <v>28</v>
      </c>
      <c r="M825" s="60">
        <v>1</v>
      </c>
      <c r="N825" s="76">
        <v>1</v>
      </c>
      <c r="O825" s="42"/>
      <c r="P825" s="58" t="s">
        <v>38</v>
      </c>
      <c r="Q825" s="61"/>
      <c r="R825" s="62"/>
      <c r="S825" s="78">
        <f t="shared" si="39"/>
        <v>1</v>
      </c>
      <c r="T825" s="44" t="str">
        <f t="shared" si="40"/>
        <v>1pieces</v>
      </c>
      <c r="U825" s="77">
        <f t="shared" si="41"/>
        <v>28</v>
      </c>
      <c r="V825" s="46"/>
      <c r="W825" s="46"/>
      <c r="X825" s="46"/>
    </row>
    <row r="826" spans="1:24" ht="15.75" customHeight="1" thickBot="1" x14ac:dyDescent="0.35">
      <c r="A826" s="40" t="e">
        <v>#N/A</v>
      </c>
      <c r="B826" s="67" t="s">
        <v>1317</v>
      </c>
      <c r="C826" s="55"/>
      <c r="D826" s="41"/>
      <c r="E826" s="55"/>
      <c r="F826" s="55"/>
      <c r="G826" s="55"/>
      <c r="H826" s="51"/>
      <c r="I826" s="52"/>
      <c r="J826" s="74" t="s">
        <v>810</v>
      </c>
      <c r="K826" s="57"/>
      <c r="L826" s="75">
        <v>180</v>
      </c>
      <c r="M826" s="60">
        <v>12</v>
      </c>
      <c r="N826" s="76">
        <v>200</v>
      </c>
      <c r="O826" s="42"/>
      <c r="P826" s="58" t="s">
        <v>36</v>
      </c>
      <c r="Q826" s="61"/>
      <c r="R826" s="62"/>
      <c r="S826" s="78">
        <f t="shared" si="39"/>
        <v>2400</v>
      </c>
      <c r="T826" s="44" t="str">
        <f t="shared" si="40"/>
        <v>2400grams</v>
      </c>
      <c r="U826" s="77">
        <f t="shared" si="41"/>
        <v>2160</v>
      </c>
      <c r="V826" s="46"/>
      <c r="W826" s="46"/>
      <c r="X826" s="46"/>
    </row>
    <row r="827" spans="1:24" ht="15.75" customHeight="1" thickBot="1" x14ac:dyDescent="0.35">
      <c r="A827" s="40" t="e">
        <v>#N/A</v>
      </c>
      <c r="B827" s="67" t="s">
        <v>1318</v>
      </c>
      <c r="C827" s="55"/>
      <c r="D827" s="41"/>
      <c r="E827" s="55"/>
      <c r="F827" s="55"/>
      <c r="G827" s="55"/>
      <c r="H827" s="51"/>
      <c r="I827" s="52"/>
      <c r="J827" s="74" t="s">
        <v>810</v>
      </c>
      <c r="K827" s="57"/>
      <c r="L827" s="75">
        <v>180</v>
      </c>
      <c r="M827" s="60">
        <v>24</v>
      </c>
      <c r="N827" s="76">
        <v>200</v>
      </c>
      <c r="O827" s="42"/>
      <c r="P827" s="58" t="s">
        <v>36</v>
      </c>
      <c r="Q827" s="61"/>
      <c r="R827" s="62"/>
      <c r="S827" s="78">
        <f t="shared" si="39"/>
        <v>4800</v>
      </c>
      <c r="T827" s="44" t="str">
        <f t="shared" si="40"/>
        <v>4800grams</v>
      </c>
      <c r="U827" s="77">
        <f t="shared" si="41"/>
        <v>4320</v>
      </c>
      <c r="V827" s="46"/>
      <c r="W827" s="46"/>
      <c r="X827" s="46"/>
    </row>
    <row r="828" spans="1:24" ht="15.75" customHeight="1" thickBot="1" x14ac:dyDescent="0.35">
      <c r="A828" s="40" t="e">
        <v>#N/A</v>
      </c>
      <c r="B828" s="67" t="s">
        <v>1319</v>
      </c>
      <c r="C828" s="55"/>
      <c r="D828" s="41"/>
      <c r="E828" s="55"/>
      <c r="F828" s="55"/>
      <c r="G828" s="55"/>
      <c r="H828" s="51"/>
      <c r="I828" s="52"/>
      <c r="J828" s="74" t="s">
        <v>142</v>
      </c>
      <c r="K828" s="57"/>
      <c r="L828" s="75">
        <v>250</v>
      </c>
      <c r="M828" s="60">
        <v>0</v>
      </c>
      <c r="N828" s="76">
        <v>1000</v>
      </c>
      <c r="O828" s="42"/>
      <c r="P828" s="58" t="s">
        <v>36</v>
      </c>
      <c r="Q828" s="61"/>
      <c r="R828" s="62"/>
      <c r="S828" s="78">
        <f t="shared" si="39"/>
        <v>0</v>
      </c>
      <c r="T828" s="44" t="str">
        <f t="shared" si="40"/>
        <v>0grams</v>
      </c>
      <c r="U828" s="77">
        <f t="shared" si="41"/>
        <v>0</v>
      </c>
      <c r="V828" s="46"/>
      <c r="W828" s="46"/>
      <c r="X828" s="46"/>
    </row>
    <row r="829" spans="1:24" ht="15.75" customHeight="1" thickBot="1" x14ac:dyDescent="0.35">
      <c r="A829" s="40" t="e">
        <v>#N/A</v>
      </c>
      <c r="B829" s="67" t="s">
        <v>1319</v>
      </c>
      <c r="C829" s="55"/>
      <c r="D829" s="41"/>
      <c r="E829" s="55"/>
      <c r="F829" s="55"/>
      <c r="G829" s="55"/>
      <c r="H829" s="51"/>
      <c r="I829" s="52"/>
      <c r="J829" s="74" t="s">
        <v>142</v>
      </c>
      <c r="K829" s="57"/>
      <c r="L829" s="75">
        <v>195</v>
      </c>
      <c r="M829" s="60">
        <v>1</v>
      </c>
      <c r="N829" s="76">
        <v>1000</v>
      </c>
      <c r="O829" s="42"/>
      <c r="P829" s="58" t="s">
        <v>36</v>
      </c>
      <c r="Q829" s="61"/>
      <c r="R829" s="62"/>
      <c r="S829" s="78">
        <f t="shared" si="39"/>
        <v>1000</v>
      </c>
      <c r="T829" s="44" t="str">
        <f t="shared" si="40"/>
        <v>1000grams</v>
      </c>
      <c r="U829" s="77">
        <f t="shared" si="41"/>
        <v>195</v>
      </c>
      <c r="V829" s="46"/>
      <c r="W829" s="46"/>
      <c r="X829" s="46"/>
    </row>
    <row r="830" spans="1:24" ht="15.75" customHeight="1" thickBot="1" x14ac:dyDescent="0.35">
      <c r="A830" s="40" t="e">
        <v>#N/A</v>
      </c>
      <c r="B830" s="67" t="s">
        <v>1320</v>
      </c>
      <c r="C830" s="55"/>
      <c r="D830" s="41"/>
      <c r="E830" s="55"/>
      <c r="F830" s="55"/>
      <c r="G830" s="55"/>
      <c r="H830" s="51"/>
      <c r="I830" s="52"/>
      <c r="J830" s="74" t="s">
        <v>1321</v>
      </c>
      <c r="K830" s="57"/>
      <c r="L830" s="75">
        <v>320</v>
      </c>
      <c r="M830" s="60">
        <v>0</v>
      </c>
      <c r="N830" s="76">
        <v>1</v>
      </c>
      <c r="O830" s="42"/>
      <c r="P830" s="58" t="s">
        <v>685</v>
      </c>
      <c r="Q830" s="61"/>
      <c r="R830" s="62"/>
      <c r="S830" s="78">
        <f t="shared" si="39"/>
        <v>0</v>
      </c>
      <c r="T830" s="44" t="str">
        <f t="shared" si="40"/>
        <v>0liters</v>
      </c>
      <c r="U830" s="77">
        <f t="shared" si="41"/>
        <v>0</v>
      </c>
      <c r="V830" s="46"/>
      <c r="W830" s="46"/>
      <c r="X830" s="46"/>
    </row>
    <row r="831" spans="1:24" ht="15.75" customHeight="1" thickBot="1" x14ac:dyDescent="0.35">
      <c r="A831" s="40" t="e">
        <v>#N/A</v>
      </c>
      <c r="B831" s="68" t="s">
        <v>1322</v>
      </c>
      <c r="C831" s="55"/>
      <c r="D831" s="41"/>
      <c r="E831" s="55"/>
      <c r="F831" s="55"/>
      <c r="G831" s="55"/>
      <c r="H831" s="51"/>
      <c r="I831" s="52"/>
      <c r="J831" s="74" t="s">
        <v>1323</v>
      </c>
      <c r="K831" s="57"/>
      <c r="L831" s="75">
        <v>310</v>
      </c>
      <c r="M831" s="60">
        <v>1</v>
      </c>
      <c r="N831" s="76">
        <v>1800</v>
      </c>
      <c r="O831" s="42"/>
      <c r="P831" s="58" t="s">
        <v>47</v>
      </c>
      <c r="Q831" s="61"/>
      <c r="R831" s="62"/>
      <c r="S831" s="78">
        <f t="shared" si="39"/>
        <v>1800</v>
      </c>
      <c r="T831" s="44" t="str">
        <f t="shared" si="40"/>
        <v>1800ml</v>
      </c>
      <c r="U831" s="77">
        <f t="shared" si="41"/>
        <v>310</v>
      </c>
      <c r="V831" s="46"/>
      <c r="W831" s="46"/>
      <c r="X831" s="46"/>
    </row>
    <row r="832" spans="1:24" ht="15.75" customHeight="1" thickBot="1" x14ac:dyDescent="0.35">
      <c r="A832" s="40" t="e">
        <v>#N/A</v>
      </c>
      <c r="B832" s="67" t="s">
        <v>449</v>
      </c>
      <c r="C832" s="55"/>
      <c r="D832" s="41"/>
      <c r="E832" s="55"/>
      <c r="F832" s="55"/>
      <c r="G832" s="55"/>
      <c r="H832" s="51"/>
      <c r="I832" s="52"/>
      <c r="J832" s="74" t="s">
        <v>1324</v>
      </c>
      <c r="K832" s="57"/>
      <c r="L832" s="75">
        <v>65</v>
      </c>
      <c r="M832" s="60">
        <v>1</v>
      </c>
      <c r="N832" s="76">
        <v>350</v>
      </c>
      <c r="O832" s="42"/>
      <c r="P832" s="58" t="s">
        <v>47</v>
      </c>
      <c r="Q832" s="61"/>
      <c r="R832" s="62"/>
      <c r="S832" s="78">
        <f t="shared" si="39"/>
        <v>350</v>
      </c>
      <c r="T832" s="44" t="str">
        <f t="shared" si="40"/>
        <v>350ml</v>
      </c>
      <c r="U832" s="77">
        <f t="shared" si="41"/>
        <v>65</v>
      </c>
      <c r="V832" s="46"/>
      <c r="W832" s="46"/>
      <c r="X832" s="46"/>
    </row>
    <row r="833" spans="1:24" ht="15.75" customHeight="1" thickBot="1" x14ac:dyDescent="0.35">
      <c r="A833" s="40" t="e">
        <v>#N/A</v>
      </c>
      <c r="B833" s="67" t="s">
        <v>1325</v>
      </c>
      <c r="C833" s="55"/>
      <c r="D833" s="41"/>
      <c r="E833" s="55"/>
      <c r="F833" s="55"/>
      <c r="G833" s="55"/>
      <c r="H833" s="51"/>
      <c r="I833" s="52"/>
      <c r="J833" s="74"/>
      <c r="K833" s="57"/>
      <c r="L833" s="75">
        <v>45</v>
      </c>
      <c r="M833" s="60">
        <v>1</v>
      </c>
      <c r="N833" s="76">
        <v>350</v>
      </c>
      <c r="O833" s="42"/>
      <c r="P833" s="58" t="s">
        <v>47</v>
      </c>
      <c r="Q833" s="61"/>
      <c r="R833" s="62"/>
      <c r="S833" s="78">
        <f t="shared" si="39"/>
        <v>350</v>
      </c>
      <c r="T833" s="44" t="str">
        <f t="shared" si="40"/>
        <v>350ml</v>
      </c>
      <c r="U833" s="77">
        <f t="shared" si="41"/>
        <v>45</v>
      </c>
      <c r="V833" s="46"/>
      <c r="W833" s="46"/>
      <c r="X833" s="46"/>
    </row>
    <row r="834" spans="1:24" ht="15.75" customHeight="1" thickBot="1" x14ac:dyDescent="0.35">
      <c r="A834" s="40" t="e">
        <v>#N/A</v>
      </c>
      <c r="B834" s="67" t="s">
        <v>1326</v>
      </c>
      <c r="C834" s="55"/>
      <c r="D834" s="41"/>
      <c r="E834" s="55"/>
      <c r="F834" s="55"/>
      <c r="G834" s="55"/>
      <c r="H834" s="51"/>
      <c r="I834" s="52"/>
      <c r="J834" s="74" t="s">
        <v>816</v>
      </c>
      <c r="K834" s="57"/>
      <c r="L834" s="75">
        <v>22</v>
      </c>
      <c r="M834" s="60">
        <v>2</v>
      </c>
      <c r="N834" s="76">
        <v>1</v>
      </c>
      <c r="O834" s="42"/>
      <c r="P834" s="58" t="s">
        <v>38</v>
      </c>
      <c r="Q834" s="61"/>
      <c r="R834" s="62"/>
      <c r="S834" s="78">
        <f t="shared" si="39"/>
        <v>2</v>
      </c>
      <c r="T834" s="44" t="str">
        <f t="shared" si="40"/>
        <v>2pieces</v>
      </c>
      <c r="U834" s="77">
        <f t="shared" si="41"/>
        <v>44</v>
      </c>
      <c r="V834" s="46"/>
      <c r="W834" s="46"/>
      <c r="X834" s="46"/>
    </row>
    <row r="835" spans="1:24" ht="15.75" customHeight="1" thickBot="1" x14ac:dyDescent="0.35">
      <c r="A835" s="40" t="e">
        <v>#N/A</v>
      </c>
      <c r="B835" s="68" t="s">
        <v>1327</v>
      </c>
      <c r="C835" s="55"/>
      <c r="D835" s="41"/>
      <c r="E835" s="55"/>
      <c r="F835" s="55"/>
      <c r="G835" s="55"/>
      <c r="H835" s="51"/>
      <c r="I835" s="52"/>
      <c r="J835" s="74" t="s">
        <v>1328</v>
      </c>
      <c r="K835" s="57"/>
      <c r="L835" s="75">
        <v>100</v>
      </c>
      <c r="M835" s="60">
        <v>1</v>
      </c>
      <c r="N835" s="76">
        <v>1000</v>
      </c>
      <c r="O835" s="42"/>
      <c r="P835" s="58" t="s">
        <v>47</v>
      </c>
      <c r="Q835" s="61"/>
      <c r="R835" s="62"/>
      <c r="S835" s="78">
        <f t="shared" si="39"/>
        <v>1000</v>
      </c>
      <c r="T835" s="44" t="str">
        <f t="shared" si="40"/>
        <v>1000ml</v>
      </c>
      <c r="U835" s="77">
        <f t="shared" si="41"/>
        <v>100</v>
      </c>
      <c r="V835" s="46"/>
      <c r="W835" s="46"/>
      <c r="X835" s="46"/>
    </row>
    <row r="836" spans="1:24" ht="15.75" customHeight="1" thickBot="1" x14ac:dyDescent="0.35">
      <c r="A836" s="40" t="e">
        <v>#N/A</v>
      </c>
      <c r="B836" s="67" t="s">
        <v>1329</v>
      </c>
      <c r="C836" s="55"/>
      <c r="D836" s="41"/>
      <c r="E836" s="55"/>
      <c r="F836" s="55"/>
      <c r="G836" s="55"/>
      <c r="H836" s="51"/>
      <c r="I836" s="52"/>
      <c r="J836" s="74" t="s">
        <v>949</v>
      </c>
      <c r="K836" s="57"/>
      <c r="L836" s="75">
        <v>318</v>
      </c>
      <c r="M836" s="60">
        <v>0</v>
      </c>
      <c r="N836" s="76">
        <v>1</v>
      </c>
      <c r="O836" s="42"/>
      <c r="P836" s="58" t="s">
        <v>685</v>
      </c>
      <c r="Q836" s="61"/>
      <c r="R836" s="62"/>
      <c r="S836" s="78">
        <f t="shared" si="39"/>
        <v>0</v>
      </c>
      <c r="T836" s="44" t="str">
        <f t="shared" si="40"/>
        <v>0liters</v>
      </c>
      <c r="U836" s="77">
        <f t="shared" si="41"/>
        <v>0</v>
      </c>
      <c r="V836" s="46"/>
      <c r="W836" s="46"/>
      <c r="X836" s="46"/>
    </row>
    <row r="837" spans="1:24" ht="15.75" customHeight="1" thickBot="1" x14ac:dyDescent="0.35">
      <c r="A837" s="40" t="e">
        <v>#N/A</v>
      </c>
      <c r="B837" s="67" t="s">
        <v>454</v>
      </c>
      <c r="C837" s="55"/>
      <c r="D837" s="41"/>
      <c r="E837" s="55"/>
      <c r="F837" s="55"/>
      <c r="G837" s="55"/>
      <c r="H837" s="51"/>
      <c r="I837" s="52"/>
      <c r="J837" s="74" t="s">
        <v>456</v>
      </c>
      <c r="K837" s="57"/>
      <c r="L837" s="75">
        <v>301.8</v>
      </c>
      <c r="M837" s="60">
        <v>1</v>
      </c>
      <c r="N837" s="76">
        <v>1000</v>
      </c>
      <c r="O837" s="42"/>
      <c r="P837" s="58" t="s">
        <v>47</v>
      </c>
      <c r="Q837" s="61"/>
      <c r="R837" s="62"/>
      <c r="S837" s="78">
        <f t="shared" si="39"/>
        <v>1000</v>
      </c>
      <c r="T837" s="44" t="str">
        <f t="shared" si="40"/>
        <v>1000ml</v>
      </c>
      <c r="U837" s="77">
        <f t="shared" si="41"/>
        <v>301.8</v>
      </c>
      <c r="V837" s="46"/>
      <c r="W837" s="46"/>
      <c r="X837" s="46"/>
    </row>
    <row r="838" spans="1:24" ht="15.75" customHeight="1" thickBot="1" x14ac:dyDescent="0.35">
      <c r="A838" s="40" t="e">
        <v>#N/A</v>
      </c>
      <c r="B838" s="67" t="s">
        <v>457</v>
      </c>
      <c r="C838" s="55"/>
      <c r="D838" s="41"/>
      <c r="E838" s="55"/>
      <c r="F838" s="55"/>
      <c r="G838" s="55"/>
      <c r="H838" s="51"/>
      <c r="I838" s="52"/>
      <c r="J838" s="74" t="s">
        <v>1330</v>
      </c>
      <c r="K838" s="57"/>
      <c r="L838" s="75">
        <v>22.9</v>
      </c>
      <c r="M838" s="60">
        <v>6</v>
      </c>
      <c r="N838" s="76">
        <v>85</v>
      </c>
      <c r="O838" s="42"/>
      <c r="P838" s="58" t="s">
        <v>36</v>
      </c>
      <c r="Q838" s="61"/>
      <c r="R838" s="62"/>
      <c r="S838" s="78">
        <f t="shared" si="39"/>
        <v>510</v>
      </c>
      <c r="T838" s="44" t="str">
        <f t="shared" si="40"/>
        <v>510grams</v>
      </c>
      <c r="U838" s="77">
        <f t="shared" si="41"/>
        <v>137.39999999999998</v>
      </c>
      <c r="V838" s="46"/>
      <c r="W838" s="46"/>
      <c r="X838" s="46"/>
    </row>
    <row r="839" spans="1:24" ht="15.75" customHeight="1" thickBot="1" x14ac:dyDescent="0.35">
      <c r="A839" s="40" t="e">
        <v>#N/A</v>
      </c>
      <c r="B839" s="67" t="s">
        <v>457</v>
      </c>
      <c r="C839" s="55"/>
      <c r="D839" s="41"/>
      <c r="E839" s="55"/>
      <c r="F839" s="55"/>
      <c r="G839" s="55"/>
      <c r="H839" s="51"/>
      <c r="I839" s="52"/>
      <c r="J839" s="74" t="s">
        <v>1212</v>
      </c>
      <c r="K839" s="57"/>
      <c r="L839" s="75">
        <v>23.7</v>
      </c>
      <c r="M839" s="60">
        <v>10</v>
      </c>
      <c r="N839" s="76">
        <v>85</v>
      </c>
      <c r="O839" s="42"/>
      <c r="P839" s="58" t="s">
        <v>36</v>
      </c>
      <c r="Q839" s="61"/>
      <c r="R839" s="62"/>
      <c r="S839" s="78">
        <f t="shared" si="39"/>
        <v>850</v>
      </c>
      <c r="T839" s="44" t="str">
        <f t="shared" si="40"/>
        <v>850grams</v>
      </c>
      <c r="U839" s="77">
        <f t="shared" si="41"/>
        <v>237</v>
      </c>
      <c r="V839" s="46"/>
      <c r="W839" s="46"/>
      <c r="X839" s="46"/>
    </row>
    <row r="840" spans="1:24" ht="15.75" customHeight="1" thickBot="1" x14ac:dyDescent="0.35">
      <c r="A840" s="40" t="e">
        <v>#N/A</v>
      </c>
      <c r="B840" s="67" t="s">
        <v>457</v>
      </c>
      <c r="C840" s="55"/>
      <c r="D840" s="41"/>
      <c r="E840" s="55"/>
      <c r="F840" s="55"/>
      <c r="G840" s="55"/>
      <c r="H840" s="51"/>
      <c r="I840" s="52"/>
      <c r="J840" s="74" t="s">
        <v>1331</v>
      </c>
      <c r="K840" s="57"/>
      <c r="L840" s="75">
        <v>25</v>
      </c>
      <c r="M840" s="60">
        <v>3</v>
      </c>
      <c r="N840" s="76">
        <v>85</v>
      </c>
      <c r="O840" s="42"/>
      <c r="P840" s="58" t="s">
        <v>36</v>
      </c>
      <c r="Q840" s="61"/>
      <c r="R840" s="62"/>
      <c r="S840" s="78">
        <f t="shared" si="39"/>
        <v>255</v>
      </c>
      <c r="T840" s="44" t="str">
        <f t="shared" si="40"/>
        <v>255grams</v>
      </c>
      <c r="U840" s="77">
        <f t="shared" si="41"/>
        <v>75</v>
      </c>
      <c r="V840" s="46"/>
      <c r="W840" s="46"/>
      <c r="X840" s="46"/>
    </row>
    <row r="841" spans="1:24" ht="15.75" customHeight="1" thickBot="1" x14ac:dyDescent="0.35">
      <c r="A841" s="40" t="e">
        <v>#N/A</v>
      </c>
      <c r="B841" s="68" t="s">
        <v>457</v>
      </c>
      <c r="C841" s="55"/>
      <c r="D841" s="41"/>
      <c r="E841" s="55"/>
      <c r="F841" s="55"/>
      <c r="G841" s="55"/>
      <c r="H841" s="51"/>
      <c r="I841" s="52"/>
      <c r="J841" s="74" t="s">
        <v>1332</v>
      </c>
      <c r="K841" s="57"/>
      <c r="L841" s="75">
        <v>23.7</v>
      </c>
      <c r="M841" s="60">
        <v>4</v>
      </c>
      <c r="N841" s="76">
        <v>85</v>
      </c>
      <c r="O841" s="42"/>
      <c r="P841" s="58" t="s">
        <v>36</v>
      </c>
      <c r="Q841" s="61"/>
      <c r="R841" s="62"/>
      <c r="S841" s="78">
        <f t="shared" si="39"/>
        <v>340</v>
      </c>
      <c r="T841" s="44" t="str">
        <f t="shared" si="40"/>
        <v>340grams</v>
      </c>
      <c r="U841" s="77">
        <f t="shared" si="41"/>
        <v>94.8</v>
      </c>
      <c r="V841" s="46"/>
      <c r="W841" s="46"/>
      <c r="X841" s="46"/>
    </row>
    <row r="842" spans="1:24" ht="15.75" customHeight="1" thickBot="1" x14ac:dyDescent="0.35">
      <c r="A842" s="40" t="e">
        <v>#N/A</v>
      </c>
      <c r="B842" s="67" t="s">
        <v>457</v>
      </c>
      <c r="C842" s="55"/>
      <c r="D842" s="41"/>
      <c r="E842" s="55"/>
      <c r="F842" s="55"/>
      <c r="G842" s="55"/>
      <c r="H842" s="51"/>
      <c r="I842" s="52"/>
      <c r="J842" s="74" t="s">
        <v>1332</v>
      </c>
      <c r="K842" s="57"/>
      <c r="L842" s="75">
        <v>25</v>
      </c>
      <c r="M842" s="60">
        <v>15</v>
      </c>
      <c r="N842" s="76">
        <v>85</v>
      </c>
      <c r="O842" s="42"/>
      <c r="P842" s="58" t="s">
        <v>36</v>
      </c>
      <c r="Q842" s="61"/>
      <c r="R842" s="62"/>
      <c r="S842" s="78">
        <f t="shared" si="39"/>
        <v>1275</v>
      </c>
      <c r="T842" s="44" t="str">
        <f t="shared" si="40"/>
        <v>1275grams</v>
      </c>
      <c r="U842" s="77">
        <f t="shared" si="41"/>
        <v>375</v>
      </c>
      <c r="V842" s="46"/>
      <c r="W842" s="46"/>
      <c r="X842" s="46"/>
    </row>
    <row r="843" spans="1:24" ht="15.75" customHeight="1" thickBot="1" x14ac:dyDescent="0.35">
      <c r="A843" s="40" t="e">
        <v>#N/A</v>
      </c>
      <c r="B843" s="68" t="s">
        <v>457</v>
      </c>
      <c r="C843" s="55"/>
      <c r="D843" s="41"/>
      <c r="E843" s="55"/>
      <c r="F843" s="55"/>
      <c r="G843" s="55"/>
      <c r="H843" s="51"/>
      <c r="I843" s="52"/>
      <c r="J843" s="74" t="s">
        <v>1331</v>
      </c>
      <c r="K843" s="57"/>
      <c r="L843" s="75">
        <v>27.2</v>
      </c>
      <c r="M843" s="60">
        <v>19</v>
      </c>
      <c r="N843" s="76">
        <v>85</v>
      </c>
      <c r="O843" s="42"/>
      <c r="P843" s="58" t="s">
        <v>36</v>
      </c>
      <c r="Q843" s="61"/>
      <c r="R843" s="62"/>
      <c r="S843" s="78">
        <f t="shared" si="39"/>
        <v>1615</v>
      </c>
      <c r="T843" s="44" t="str">
        <f t="shared" si="40"/>
        <v>1615grams</v>
      </c>
      <c r="U843" s="77">
        <f t="shared" si="41"/>
        <v>516.79999999999995</v>
      </c>
      <c r="V843" s="46"/>
      <c r="W843" s="46"/>
      <c r="X843" s="46"/>
    </row>
    <row r="844" spans="1:24" ht="15.75" customHeight="1" thickBot="1" x14ac:dyDescent="0.35">
      <c r="A844" s="40" t="e">
        <v>#N/A</v>
      </c>
      <c r="B844" s="67" t="s">
        <v>1333</v>
      </c>
      <c r="C844" s="55"/>
      <c r="D844" s="41"/>
      <c r="E844" s="55"/>
      <c r="F844" s="55"/>
      <c r="G844" s="55"/>
      <c r="H844" s="51"/>
      <c r="I844" s="52"/>
      <c r="J844" s="74" t="s">
        <v>1334</v>
      </c>
      <c r="K844" s="57"/>
      <c r="L844" s="75">
        <v>50</v>
      </c>
      <c r="M844" s="60">
        <v>3</v>
      </c>
      <c r="N844" s="76">
        <v>500</v>
      </c>
      <c r="O844" s="42"/>
      <c r="P844" s="58" t="s">
        <v>36</v>
      </c>
      <c r="Q844" s="61"/>
      <c r="R844" s="62"/>
      <c r="S844" s="78">
        <f t="shared" si="39"/>
        <v>1500</v>
      </c>
      <c r="T844" s="44" t="str">
        <f t="shared" si="40"/>
        <v>1500grams</v>
      </c>
      <c r="U844" s="77">
        <f t="shared" si="41"/>
        <v>150</v>
      </c>
      <c r="V844" s="46"/>
      <c r="W844" s="46"/>
      <c r="X844" s="46"/>
    </row>
    <row r="845" spans="1:24" ht="15.75" customHeight="1" thickBot="1" x14ac:dyDescent="0.35">
      <c r="A845" s="40" t="e">
        <v>#N/A</v>
      </c>
      <c r="B845" s="67" t="s">
        <v>1335</v>
      </c>
      <c r="C845" s="55"/>
      <c r="D845" s="41"/>
      <c r="E845" s="55"/>
      <c r="F845" s="55"/>
      <c r="G845" s="55"/>
      <c r="H845" s="51"/>
      <c r="I845" s="52"/>
      <c r="J845" s="74"/>
      <c r="K845" s="57"/>
      <c r="L845" s="75">
        <v>47</v>
      </c>
      <c r="M845" s="60">
        <v>2</v>
      </c>
      <c r="N845" s="76">
        <v>800</v>
      </c>
      <c r="O845" s="42"/>
      <c r="P845" s="58" t="s">
        <v>36</v>
      </c>
      <c r="Q845" s="61"/>
      <c r="R845" s="62"/>
      <c r="S845" s="78">
        <f t="shared" si="39"/>
        <v>1600</v>
      </c>
      <c r="T845" s="44" t="str">
        <f t="shared" si="40"/>
        <v>1600grams</v>
      </c>
      <c r="U845" s="77">
        <f t="shared" si="41"/>
        <v>94</v>
      </c>
      <c r="V845" s="46"/>
      <c r="W845" s="46"/>
      <c r="X845" s="46"/>
    </row>
    <row r="846" spans="1:24" ht="15.75" customHeight="1" thickBot="1" x14ac:dyDescent="0.35">
      <c r="A846" s="40" t="e">
        <v>#N/A</v>
      </c>
      <c r="B846" s="67" t="s">
        <v>1336</v>
      </c>
      <c r="C846" s="55"/>
      <c r="D846" s="41"/>
      <c r="E846" s="55"/>
      <c r="F846" s="55"/>
      <c r="G846" s="55"/>
      <c r="H846" s="51"/>
      <c r="I846" s="52"/>
      <c r="J846" s="74"/>
      <c r="K846" s="57"/>
      <c r="L846" s="75">
        <v>4497</v>
      </c>
      <c r="M846" s="60">
        <v>1</v>
      </c>
      <c r="N846" s="76">
        <v>50</v>
      </c>
      <c r="O846" s="42"/>
      <c r="P846" s="58" t="s">
        <v>88</v>
      </c>
      <c r="Q846" s="61"/>
      <c r="R846" s="62"/>
      <c r="S846" s="78">
        <f t="shared" si="39"/>
        <v>50</v>
      </c>
      <c r="T846" s="44" t="str">
        <f t="shared" si="40"/>
        <v>50kilos</v>
      </c>
      <c r="U846" s="77">
        <f t="shared" si="41"/>
        <v>4497</v>
      </c>
      <c r="V846" s="46"/>
      <c r="W846" s="46"/>
      <c r="X846" s="46"/>
    </row>
    <row r="847" spans="1:24" ht="15.75" customHeight="1" thickBot="1" x14ac:dyDescent="0.35">
      <c r="A847" s="40" t="e">
        <v>#N/A</v>
      </c>
      <c r="B847" s="68" t="s">
        <v>1336</v>
      </c>
      <c r="C847" s="55"/>
      <c r="D847" s="41"/>
      <c r="E847" s="55"/>
      <c r="F847" s="55"/>
      <c r="G847" s="55"/>
      <c r="H847" s="51"/>
      <c r="I847" s="52"/>
      <c r="J847" s="74" t="s">
        <v>1337</v>
      </c>
      <c r="K847" s="57"/>
      <c r="L847" s="75">
        <v>4134</v>
      </c>
      <c r="M847" s="60">
        <v>3</v>
      </c>
      <c r="N847" s="76">
        <v>1</v>
      </c>
      <c r="O847" s="42"/>
      <c r="P847" s="58" t="s">
        <v>1338</v>
      </c>
      <c r="Q847" s="61"/>
      <c r="R847" s="62"/>
      <c r="S847" s="78">
        <f t="shared" si="39"/>
        <v>3</v>
      </c>
      <c r="T847" s="44" t="str">
        <f t="shared" si="40"/>
        <v>3cylinder</v>
      </c>
      <c r="U847" s="77">
        <f t="shared" si="41"/>
        <v>12402</v>
      </c>
      <c r="V847" s="46"/>
      <c r="W847" s="46"/>
      <c r="X847" s="46"/>
    </row>
    <row r="848" spans="1:24" ht="15.75" customHeight="1" thickBot="1" x14ac:dyDescent="0.35">
      <c r="A848" s="40" t="e">
        <v>#N/A</v>
      </c>
      <c r="B848" s="67" t="s">
        <v>1339</v>
      </c>
      <c r="C848" s="55"/>
      <c r="D848" s="41"/>
      <c r="E848" s="55"/>
      <c r="F848" s="55"/>
      <c r="G848" s="55"/>
      <c r="H848" s="51"/>
      <c r="I848" s="52"/>
      <c r="J848" s="74"/>
      <c r="K848" s="57"/>
      <c r="L848" s="75">
        <v>20</v>
      </c>
      <c r="M848" s="60">
        <v>15</v>
      </c>
      <c r="N848" s="76">
        <v>1000</v>
      </c>
      <c r="O848" s="42"/>
      <c r="P848" s="58" t="s">
        <v>36</v>
      </c>
      <c r="Q848" s="61"/>
      <c r="R848" s="62"/>
      <c r="S848" s="78">
        <f t="shared" si="39"/>
        <v>15000</v>
      </c>
      <c r="T848" s="44" t="str">
        <f t="shared" si="40"/>
        <v>15000grams</v>
      </c>
      <c r="U848" s="77">
        <f t="shared" si="41"/>
        <v>300</v>
      </c>
      <c r="V848" s="46"/>
      <c r="W848" s="46"/>
      <c r="X848" s="46"/>
    </row>
    <row r="849" spans="1:24" ht="15.75" customHeight="1" thickBot="1" x14ac:dyDescent="0.35">
      <c r="A849" s="40" t="e">
        <v>#N/A</v>
      </c>
      <c r="B849" s="67" t="s">
        <v>1340</v>
      </c>
      <c r="C849" s="55"/>
      <c r="D849" s="41"/>
      <c r="E849" s="55"/>
      <c r="F849" s="55"/>
      <c r="G849" s="55"/>
      <c r="H849" s="51"/>
      <c r="I849" s="52"/>
      <c r="J849" s="74" t="s">
        <v>1341</v>
      </c>
      <c r="K849" s="57"/>
      <c r="L849" s="75">
        <v>55.2</v>
      </c>
      <c r="M849" s="60">
        <v>1</v>
      </c>
      <c r="N849" s="76">
        <v>10</v>
      </c>
      <c r="O849" s="42"/>
      <c r="P849" s="58" t="s">
        <v>38</v>
      </c>
      <c r="Q849" s="61"/>
      <c r="R849" s="62"/>
      <c r="S849" s="78">
        <f t="shared" si="39"/>
        <v>10</v>
      </c>
      <c r="T849" s="44" t="str">
        <f t="shared" si="40"/>
        <v>10pieces</v>
      </c>
      <c r="U849" s="77">
        <f t="shared" si="41"/>
        <v>55.2</v>
      </c>
      <c r="V849" s="46"/>
      <c r="W849" s="46"/>
      <c r="X849" s="46"/>
    </row>
    <row r="850" spans="1:24" ht="15.75" customHeight="1" thickBot="1" x14ac:dyDescent="0.35">
      <c r="A850" s="40" t="e">
        <v>#N/A</v>
      </c>
      <c r="B850" s="67" t="s">
        <v>1342</v>
      </c>
      <c r="C850" s="55"/>
      <c r="D850" s="41"/>
      <c r="E850" s="55"/>
      <c r="F850" s="55"/>
      <c r="G850" s="55"/>
      <c r="H850" s="51"/>
      <c r="I850" s="52"/>
      <c r="J850" s="74"/>
      <c r="K850" s="57"/>
      <c r="L850" s="75">
        <v>20</v>
      </c>
      <c r="M850" s="60">
        <v>21</v>
      </c>
      <c r="N850" s="76">
        <v>1000</v>
      </c>
      <c r="O850" s="42"/>
      <c r="P850" s="58" t="s">
        <v>36</v>
      </c>
      <c r="Q850" s="61"/>
      <c r="R850" s="62"/>
      <c r="S850" s="78">
        <f t="shared" si="39"/>
        <v>21000</v>
      </c>
      <c r="T850" s="44" t="str">
        <f t="shared" si="40"/>
        <v>21000grams</v>
      </c>
      <c r="U850" s="77">
        <f t="shared" si="41"/>
        <v>420</v>
      </c>
      <c r="V850" s="46"/>
      <c r="W850" s="46"/>
      <c r="X850" s="46"/>
    </row>
    <row r="851" spans="1:24" ht="15.75" customHeight="1" thickBot="1" x14ac:dyDescent="0.35">
      <c r="A851" s="40" t="e">
        <v>#N/A</v>
      </c>
      <c r="B851" s="67" t="s">
        <v>1342</v>
      </c>
      <c r="C851" s="55"/>
      <c r="D851" s="41"/>
      <c r="E851" s="55"/>
      <c r="F851" s="55"/>
      <c r="G851" s="55"/>
      <c r="H851" s="51"/>
      <c r="I851" s="52"/>
      <c r="J851" s="74"/>
      <c r="K851" s="57"/>
      <c r="L851" s="75">
        <v>1</v>
      </c>
      <c r="M851" s="60">
        <v>900</v>
      </c>
      <c r="N851" s="76">
        <v>1</v>
      </c>
      <c r="O851" s="42"/>
      <c r="P851" s="58" t="s">
        <v>38</v>
      </c>
      <c r="Q851" s="61"/>
      <c r="R851" s="62"/>
      <c r="S851" s="78">
        <f t="shared" si="39"/>
        <v>900</v>
      </c>
      <c r="T851" s="44" t="str">
        <f t="shared" si="40"/>
        <v>900pieces</v>
      </c>
      <c r="U851" s="77">
        <f t="shared" si="41"/>
        <v>900</v>
      </c>
      <c r="V851" s="46"/>
      <c r="W851" s="46"/>
      <c r="X851" s="46"/>
    </row>
    <row r="852" spans="1:24" ht="15.75" customHeight="1" thickBot="1" x14ac:dyDescent="0.35">
      <c r="A852" s="40" t="e">
        <v>#N/A</v>
      </c>
      <c r="B852" s="67" t="s">
        <v>1342</v>
      </c>
      <c r="C852" s="55"/>
      <c r="D852" s="41"/>
      <c r="E852" s="55"/>
      <c r="F852" s="55"/>
      <c r="G852" s="55"/>
      <c r="H852" s="51"/>
      <c r="I852" s="52"/>
      <c r="J852" s="74" t="s">
        <v>874</v>
      </c>
      <c r="K852" s="57"/>
      <c r="L852" s="75">
        <v>180</v>
      </c>
      <c r="M852" s="60">
        <v>1</v>
      </c>
      <c r="N852" s="76">
        <v>1000</v>
      </c>
      <c r="O852" s="42"/>
      <c r="P852" s="58" t="s">
        <v>36</v>
      </c>
      <c r="Q852" s="61"/>
      <c r="R852" s="62"/>
      <c r="S852" s="78">
        <f t="shared" si="39"/>
        <v>1000</v>
      </c>
      <c r="T852" s="44" t="str">
        <f t="shared" si="40"/>
        <v>1000grams</v>
      </c>
      <c r="U852" s="77">
        <f t="shared" si="41"/>
        <v>180</v>
      </c>
      <c r="V852" s="46"/>
      <c r="W852" s="46"/>
      <c r="X852" s="46"/>
    </row>
    <row r="853" spans="1:24" ht="15.75" customHeight="1" thickBot="1" x14ac:dyDescent="0.35">
      <c r="A853" s="40" t="e">
        <v>#N/A</v>
      </c>
      <c r="B853" s="67" t="s">
        <v>1342</v>
      </c>
      <c r="C853" s="55"/>
      <c r="D853" s="41"/>
      <c r="E853" s="55"/>
      <c r="F853" s="55"/>
      <c r="G853" s="55"/>
      <c r="H853" s="51"/>
      <c r="I853" s="52"/>
      <c r="J853" s="74" t="s">
        <v>874</v>
      </c>
      <c r="K853" s="57"/>
      <c r="L853" s="75">
        <v>42</v>
      </c>
      <c r="M853" s="60">
        <v>6</v>
      </c>
      <c r="N853" s="76">
        <v>200</v>
      </c>
      <c r="O853" s="42"/>
      <c r="P853" s="58" t="s">
        <v>36</v>
      </c>
      <c r="Q853" s="61"/>
      <c r="R853" s="62"/>
      <c r="S853" s="78">
        <f t="shared" si="39"/>
        <v>1200</v>
      </c>
      <c r="T853" s="44" t="str">
        <f t="shared" si="40"/>
        <v>1200grams</v>
      </c>
      <c r="U853" s="77">
        <f t="shared" si="41"/>
        <v>252</v>
      </c>
      <c r="V853" s="46"/>
      <c r="W853" s="46"/>
      <c r="X853" s="46"/>
    </row>
    <row r="854" spans="1:24" ht="15.75" customHeight="1" thickBot="1" x14ac:dyDescent="0.35">
      <c r="A854" s="40" t="e">
        <v>#N/A</v>
      </c>
      <c r="B854" s="67" t="s">
        <v>1343</v>
      </c>
      <c r="C854" s="55"/>
      <c r="D854" s="41"/>
      <c r="E854" s="55"/>
      <c r="F854" s="55"/>
      <c r="G854" s="55"/>
      <c r="H854" s="51"/>
      <c r="I854" s="52"/>
      <c r="J854" s="74" t="s">
        <v>1344</v>
      </c>
      <c r="K854" s="57"/>
      <c r="L854" s="75">
        <v>45</v>
      </c>
      <c r="M854" s="60">
        <v>1</v>
      </c>
      <c r="N854" s="76">
        <v>1</v>
      </c>
      <c r="O854" s="42"/>
      <c r="P854" s="58" t="s">
        <v>77</v>
      </c>
      <c r="Q854" s="61"/>
      <c r="R854" s="62"/>
      <c r="S854" s="78">
        <f t="shared" si="39"/>
        <v>1</v>
      </c>
      <c r="T854" s="44" t="str">
        <f t="shared" si="40"/>
        <v>1packs</v>
      </c>
      <c r="U854" s="77">
        <f t="shared" si="41"/>
        <v>45</v>
      </c>
      <c r="V854" s="46"/>
      <c r="W854" s="46"/>
      <c r="X854" s="46"/>
    </row>
    <row r="855" spans="1:24" ht="15.75" customHeight="1" thickBot="1" x14ac:dyDescent="0.35">
      <c r="A855" s="40" t="e">
        <v>#N/A</v>
      </c>
      <c r="B855" s="68" t="s">
        <v>1343</v>
      </c>
      <c r="C855" s="55"/>
      <c r="D855" s="41"/>
      <c r="E855" s="55"/>
      <c r="F855" s="55"/>
      <c r="G855" s="55"/>
      <c r="H855" s="51"/>
      <c r="I855" s="52"/>
      <c r="J855" s="74" t="s">
        <v>1345</v>
      </c>
      <c r="K855" s="57"/>
      <c r="L855" s="75">
        <v>1.8</v>
      </c>
      <c r="M855" s="60">
        <v>50</v>
      </c>
      <c r="N855" s="76">
        <v>1</v>
      </c>
      <c r="O855" s="42"/>
      <c r="P855" s="58" t="s">
        <v>38</v>
      </c>
      <c r="Q855" s="61"/>
      <c r="R855" s="62"/>
      <c r="S855" s="78">
        <f t="shared" si="39"/>
        <v>50</v>
      </c>
      <c r="T855" s="44" t="str">
        <f t="shared" si="40"/>
        <v>50pieces</v>
      </c>
      <c r="U855" s="77">
        <f t="shared" si="41"/>
        <v>90</v>
      </c>
      <c r="V855" s="46"/>
      <c r="W855" s="46"/>
      <c r="X855" s="46"/>
    </row>
    <row r="856" spans="1:24" ht="15.75" customHeight="1" thickBot="1" x14ac:dyDescent="0.35">
      <c r="A856" s="40" t="e">
        <v>#N/A</v>
      </c>
      <c r="B856" s="67" t="s">
        <v>1346</v>
      </c>
      <c r="C856" s="55"/>
      <c r="D856" s="41"/>
      <c r="E856" s="55"/>
      <c r="F856" s="55"/>
      <c r="G856" s="55"/>
      <c r="H856" s="51"/>
      <c r="I856" s="52"/>
      <c r="J856" s="74" t="s">
        <v>1347</v>
      </c>
      <c r="K856" s="57"/>
      <c r="L856" s="75">
        <v>25</v>
      </c>
      <c r="M856" s="60">
        <v>2</v>
      </c>
      <c r="N856" s="76">
        <v>1</v>
      </c>
      <c r="O856" s="42"/>
      <c r="P856" s="58" t="s">
        <v>77</v>
      </c>
      <c r="Q856" s="61"/>
      <c r="R856" s="62"/>
      <c r="S856" s="78">
        <f t="shared" si="39"/>
        <v>2</v>
      </c>
      <c r="T856" s="44" t="str">
        <f t="shared" si="40"/>
        <v>2packs</v>
      </c>
      <c r="U856" s="77">
        <f t="shared" si="41"/>
        <v>50</v>
      </c>
      <c r="V856" s="46"/>
      <c r="W856" s="46"/>
      <c r="X856" s="46"/>
    </row>
    <row r="857" spans="1:24" ht="15.75" customHeight="1" thickBot="1" x14ac:dyDescent="0.35">
      <c r="A857" s="40" t="e">
        <v>#N/A</v>
      </c>
      <c r="B857" s="67" t="s">
        <v>459</v>
      </c>
      <c r="C857" s="55"/>
      <c r="D857" s="41"/>
      <c r="E857" s="55"/>
      <c r="F857" s="55"/>
      <c r="G857" s="55"/>
      <c r="H857" s="51"/>
      <c r="I857" s="52"/>
      <c r="J857" s="74" t="s">
        <v>1348</v>
      </c>
      <c r="K857" s="57"/>
      <c r="L857" s="75">
        <v>185</v>
      </c>
      <c r="M857" s="60">
        <v>2</v>
      </c>
      <c r="N857" s="76">
        <v>340</v>
      </c>
      <c r="O857" s="42"/>
      <c r="P857" s="58" t="s">
        <v>36</v>
      </c>
      <c r="Q857" s="61"/>
      <c r="R857" s="62"/>
      <c r="S857" s="78">
        <f t="shared" si="39"/>
        <v>680</v>
      </c>
      <c r="T857" s="44" t="str">
        <f t="shared" si="40"/>
        <v>680grams</v>
      </c>
      <c r="U857" s="77">
        <f t="shared" si="41"/>
        <v>370</v>
      </c>
      <c r="V857" s="46"/>
      <c r="W857" s="46"/>
      <c r="X857" s="46"/>
    </row>
    <row r="858" spans="1:24" ht="15.75" customHeight="1" thickBot="1" x14ac:dyDescent="0.35">
      <c r="A858" s="40" t="e">
        <v>#N/A</v>
      </c>
      <c r="B858" s="67" t="s">
        <v>459</v>
      </c>
      <c r="C858" s="55"/>
      <c r="D858" s="41"/>
      <c r="E858" s="55"/>
      <c r="F858" s="55"/>
      <c r="G858" s="55"/>
      <c r="H858" s="51"/>
      <c r="I858" s="52"/>
      <c r="J858" s="74" t="s">
        <v>1349</v>
      </c>
      <c r="K858" s="57"/>
      <c r="L858" s="75">
        <v>109.9</v>
      </c>
      <c r="M858" s="60">
        <v>5</v>
      </c>
      <c r="N858" s="76">
        <v>340</v>
      </c>
      <c r="O858" s="42"/>
      <c r="P858" s="58" t="s">
        <v>36</v>
      </c>
      <c r="Q858" s="61"/>
      <c r="R858" s="62"/>
      <c r="S858" s="78">
        <f t="shared" si="39"/>
        <v>1700</v>
      </c>
      <c r="T858" s="44" t="str">
        <f t="shared" si="40"/>
        <v>1700grams</v>
      </c>
      <c r="U858" s="77">
        <f t="shared" si="41"/>
        <v>549.5</v>
      </c>
      <c r="V858" s="46"/>
      <c r="W858" s="46"/>
      <c r="X858" s="46"/>
    </row>
    <row r="859" spans="1:24" ht="15.75" customHeight="1" thickBot="1" x14ac:dyDescent="0.35">
      <c r="A859" s="40" t="e">
        <v>#N/A</v>
      </c>
      <c r="B859" s="67" t="s">
        <v>459</v>
      </c>
      <c r="C859" s="55"/>
      <c r="D859" s="41"/>
      <c r="E859" s="55"/>
      <c r="F859" s="55"/>
      <c r="G859" s="55"/>
      <c r="H859" s="51"/>
      <c r="I859" s="52"/>
      <c r="J859" s="74" t="s">
        <v>1350</v>
      </c>
      <c r="K859" s="57"/>
      <c r="L859" s="75">
        <v>218</v>
      </c>
      <c r="M859" s="60">
        <v>11</v>
      </c>
      <c r="N859" s="76">
        <v>340</v>
      </c>
      <c r="O859" s="42"/>
      <c r="P859" s="58" t="s">
        <v>36</v>
      </c>
      <c r="Q859" s="61"/>
      <c r="R859" s="62"/>
      <c r="S859" s="78">
        <f t="shared" si="39"/>
        <v>3740</v>
      </c>
      <c r="T859" s="44" t="str">
        <f t="shared" si="40"/>
        <v>3740grams</v>
      </c>
      <c r="U859" s="77">
        <f t="shared" si="41"/>
        <v>2398</v>
      </c>
      <c r="V859" s="46"/>
      <c r="W859" s="46"/>
      <c r="X859" s="46"/>
    </row>
    <row r="860" spans="1:24" ht="15.75" customHeight="1" thickBot="1" x14ac:dyDescent="0.35">
      <c r="A860" s="40" t="e">
        <v>#N/A</v>
      </c>
      <c r="B860" s="67" t="s">
        <v>459</v>
      </c>
      <c r="C860" s="55"/>
      <c r="D860" s="41"/>
      <c r="E860" s="55"/>
      <c r="F860" s="55"/>
      <c r="G860" s="55"/>
      <c r="H860" s="51"/>
      <c r="I860" s="52"/>
      <c r="J860" s="74" t="s">
        <v>1351</v>
      </c>
      <c r="K860" s="57"/>
      <c r="L860" s="75">
        <v>208</v>
      </c>
      <c r="M860" s="60">
        <v>2</v>
      </c>
      <c r="N860" s="76">
        <v>340</v>
      </c>
      <c r="O860" s="42"/>
      <c r="P860" s="58" t="s">
        <v>36</v>
      </c>
      <c r="Q860" s="61"/>
      <c r="R860" s="62"/>
      <c r="S860" s="78">
        <f t="shared" si="39"/>
        <v>680</v>
      </c>
      <c r="T860" s="44" t="str">
        <f t="shared" si="40"/>
        <v>680grams</v>
      </c>
      <c r="U860" s="77">
        <f t="shared" si="41"/>
        <v>416</v>
      </c>
      <c r="V860" s="46"/>
      <c r="W860" s="46"/>
      <c r="X860" s="46"/>
    </row>
    <row r="861" spans="1:24" ht="15.75" customHeight="1" thickBot="1" x14ac:dyDescent="0.35">
      <c r="A861" s="40" t="e">
        <v>#N/A</v>
      </c>
      <c r="B861" s="67" t="s">
        <v>461</v>
      </c>
      <c r="C861" s="55"/>
      <c r="D861" s="41"/>
      <c r="E861" s="55"/>
      <c r="F861" s="55"/>
      <c r="G861" s="55"/>
      <c r="H861" s="51"/>
      <c r="I861" s="52"/>
      <c r="J861" s="74" t="s">
        <v>1352</v>
      </c>
      <c r="K861" s="57"/>
      <c r="L861" s="75">
        <v>144.80000000000001</v>
      </c>
      <c r="M861" s="60">
        <v>4</v>
      </c>
      <c r="N861" s="76">
        <v>340</v>
      </c>
      <c r="O861" s="42"/>
      <c r="P861" s="58" t="s">
        <v>36</v>
      </c>
      <c r="Q861" s="61"/>
      <c r="R861" s="62"/>
      <c r="S861" s="78">
        <f t="shared" si="39"/>
        <v>1360</v>
      </c>
      <c r="T861" s="44" t="str">
        <f t="shared" si="40"/>
        <v>1360grams</v>
      </c>
      <c r="U861" s="77">
        <f t="shared" si="41"/>
        <v>579.20000000000005</v>
      </c>
      <c r="V861" s="46"/>
      <c r="W861" s="46"/>
      <c r="X861" s="46"/>
    </row>
    <row r="862" spans="1:24" ht="15.75" customHeight="1" thickBot="1" x14ac:dyDescent="0.35">
      <c r="A862" s="40" t="e">
        <v>#N/A</v>
      </c>
      <c r="B862" s="67" t="s">
        <v>461</v>
      </c>
      <c r="C862" s="55"/>
      <c r="D862" s="41"/>
      <c r="E862" s="55"/>
      <c r="F862" s="55"/>
      <c r="G862" s="55"/>
      <c r="H862" s="51"/>
      <c r="I862" s="52"/>
      <c r="J862" s="74" t="s">
        <v>1353</v>
      </c>
      <c r="K862" s="57"/>
      <c r="L862" s="75">
        <v>89.8</v>
      </c>
      <c r="M862" s="60">
        <v>17</v>
      </c>
      <c r="N862" s="76">
        <v>340</v>
      </c>
      <c r="O862" s="42"/>
      <c r="P862" s="58" t="s">
        <v>36</v>
      </c>
      <c r="Q862" s="61"/>
      <c r="R862" s="62"/>
      <c r="S862" s="78">
        <f t="shared" si="39"/>
        <v>5780</v>
      </c>
      <c r="T862" s="44" t="str">
        <f t="shared" si="40"/>
        <v>5780grams</v>
      </c>
      <c r="U862" s="77">
        <f t="shared" si="41"/>
        <v>1526.6</v>
      </c>
      <c r="V862" s="46"/>
      <c r="W862" s="46"/>
      <c r="X862" s="46"/>
    </row>
    <row r="863" spans="1:24" ht="15.75" customHeight="1" thickBot="1" x14ac:dyDescent="0.35">
      <c r="A863" s="40" t="e">
        <v>#N/A</v>
      </c>
      <c r="B863" s="67" t="s">
        <v>461</v>
      </c>
      <c r="C863" s="55"/>
      <c r="D863" s="41"/>
      <c r="E863" s="55"/>
      <c r="F863" s="55"/>
      <c r="G863" s="55"/>
      <c r="H863" s="51"/>
      <c r="I863" s="52"/>
      <c r="J863" s="74" t="s">
        <v>1354</v>
      </c>
      <c r="K863" s="57"/>
      <c r="L863" s="75">
        <v>115.1</v>
      </c>
      <c r="M863" s="60">
        <v>8</v>
      </c>
      <c r="N863" s="76">
        <v>397</v>
      </c>
      <c r="O863" s="42"/>
      <c r="P863" s="58" t="s">
        <v>36</v>
      </c>
      <c r="Q863" s="61"/>
      <c r="R863" s="62"/>
      <c r="S863" s="78">
        <f t="shared" si="39"/>
        <v>3176</v>
      </c>
      <c r="T863" s="44" t="str">
        <f t="shared" si="40"/>
        <v>3176grams</v>
      </c>
      <c r="U863" s="77">
        <f t="shared" si="41"/>
        <v>920.8</v>
      </c>
      <c r="V863" s="46"/>
      <c r="W863" s="46"/>
      <c r="X863" s="46"/>
    </row>
    <row r="864" spans="1:24" ht="15.75" customHeight="1" thickBot="1" x14ac:dyDescent="0.35">
      <c r="A864" s="40" t="e">
        <v>#N/A</v>
      </c>
      <c r="B864" s="67" t="s">
        <v>461</v>
      </c>
      <c r="C864" s="55"/>
      <c r="D864" s="41"/>
      <c r="E864" s="55"/>
      <c r="F864" s="55"/>
      <c r="G864" s="55"/>
      <c r="H864" s="51"/>
      <c r="I864" s="52"/>
      <c r="J864" s="74" t="s">
        <v>1355</v>
      </c>
      <c r="K864" s="57"/>
      <c r="L864" s="75">
        <v>142.30000000000001</v>
      </c>
      <c r="M864" s="60">
        <v>6</v>
      </c>
      <c r="N864" s="76">
        <v>340</v>
      </c>
      <c r="O864" s="42"/>
      <c r="P864" s="58" t="s">
        <v>36</v>
      </c>
      <c r="Q864" s="61"/>
      <c r="R864" s="62"/>
      <c r="S864" s="78">
        <f t="shared" si="39"/>
        <v>2040</v>
      </c>
      <c r="T864" s="44" t="str">
        <f t="shared" si="40"/>
        <v>2040grams</v>
      </c>
      <c r="U864" s="77">
        <f t="shared" si="41"/>
        <v>853.80000000000007</v>
      </c>
      <c r="V864" s="46"/>
      <c r="W864" s="46"/>
      <c r="X864" s="46"/>
    </row>
    <row r="865" spans="1:24" ht="15.75" customHeight="1" thickBot="1" x14ac:dyDescent="0.35">
      <c r="A865" s="40" t="e">
        <v>#N/A</v>
      </c>
      <c r="B865" s="68" t="s">
        <v>461</v>
      </c>
      <c r="C865" s="55"/>
      <c r="D865" s="41"/>
      <c r="E865" s="55"/>
      <c r="F865" s="55"/>
      <c r="G865" s="55"/>
      <c r="H865" s="51"/>
      <c r="I865" s="52"/>
      <c r="J865" s="74" t="s">
        <v>1356</v>
      </c>
      <c r="K865" s="57"/>
      <c r="L865" s="75">
        <v>88.8</v>
      </c>
      <c r="M865" s="60">
        <v>2</v>
      </c>
      <c r="N865" s="76">
        <v>350</v>
      </c>
      <c r="O865" s="42"/>
      <c r="P865" s="58" t="s">
        <v>36</v>
      </c>
      <c r="Q865" s="61"/>
      <c r="R865" s="62"/>
      <c r="S865" s="78">
        <f t="shared" si="39"/>
        <v>700</v>
      </c>
      <c r="T865" s="44" t="str">
        <f t="shared" si="40"/>
        <v>700grams</v>
      </c>
      <c r="U865" s="77">
        <f t="shared" si="41"/>
        <v>177.6</v>
      </c>
      <c r="V865" s="46"/>
      <c r="W865" s="46"/>
      <c r="X865" s="46"/>
    </row>
    <row r="866" spans="1:24" ht="15.75" customHeight="1" thickBot="1" x14ac:dyDescent="0.35">
      <c r="A866" s="40" t="e">
        <v>#N/A</v>
      </c>
      <c r="B866" s="67" t="s">
        <v>1357</v>
      </c>
      <c r="C866" s="55"/>
      <c r="D866" s="41"/>
      <c r="E866" s="55"/>
      <c r="F866" s="55"/>
      <c r="G866" s="55"/>
      <c r="H866" s="51"/>
      <c r="I866" s="52"/>
      <c r="J866" s="74" t="s">
        <v>832</v>
      </c>
      <c r="K866" s="57"/>
      <c r="L866" s="75">
        <v>85.1</v>
      </c>
      <c r="M866" s="60">
        <v>8</v>
      </c>
      <c r="N866" s="76">
        <v>350</v>
      </c>
      <c r="O866" s="42"/>
      <c r="P866" s="58" t="s">
        <v>36</v>
      </c>
      <c r="Q866" s="61"/>
      <c r="R866" s="62"/>
      <c r="S866" s="78">
        <f t="shared" si="39"/>
        <v>2800</v>
      </c>
      <c r="T866" s="44" t="str">
        <f t="shared" si="40"/>
        <v>2800grams</v>
      </c>
      <c r="U866" s="77">
        <f t="shared" si="41"/>
        <v>680.8</v>
      </c>
      <c r="V866" s="46"/>
      <c r="W866" s="46"/>
      <c r="X866" s="46"/>
    </row>
    <row r="867" spans="1:24" ht="15.75" customHeight="1" thickBot="1" x14ac:dyDescent="0.35">
      <c r="A867" s="40" t="e">
        <v>#N/A</v>
      </c>
      <c r="B867" s="67" t="s">
        <v>1357</v>
      </c>
      <c r="C867" s="55"/>
      <c r="D867" s="41"/>
      <c r="E867" s="55"/>
      <c r="F867" s="55"/>
      <c r="G867" s="55"/>
      <c r="H867" s="51"/>
      <c r="I867" s="52"/>
      <c r="J867" s="74" t="s">
        <v>1330</v>
      </c>
      <c r="K867" s="57"/>
      <c r="L867" s="75">
        <v>82.5</v>
      </c>
      <c r="M867" s="60">
        <v>6</v>
      </c>
      <c r="N867" s="76">
        <v>350</v>
      </c>
      <c r="O867" s="42"/>
      <c r="P867" s="58" t="s">
        <v>36</v>
      </c>
      <c r="Q867" s="61"/>
      <c r="R867" s="62"/>
      <c r="S867" s="78">
        <f t="shared" si="39"/>
        <v>2100</v>
      </c>
      <c r="T867" s="44" t="str">
        <f t="shared" si="40"/>
        <v>2100grams</v>
      </c>
      <c r="U867" s="77">
        <f t="shared" si="41"/>
        <v>495</v>
      </c>
      <c r="V867" s="46"/>
      <c r="W867" s="46"/>
      <c r="X867" s="46"/>
    </row>
    <row r="868" spans="1:24" ht="15.75" customHeight="1" thickBot="1" x14ac:dyDescent="0.35">
      <c r="A868" s="40" t="e">
        <v>#N/A</v>
      </c>
      <c r="B868" s="67" t="s">
        <v>1357</v>
      </c>
      <c r="C868" s="55"/>
      <c r="D868" s="41"/>
      <c r="E868" s="55"/>
      <c r="F868" s="55"/>
      <c r="G868" s="55"/>
      <c r="H868" s="51"/>
      <c r="I868" s="52"/>
      <c r="J868" s="74" t="s">
        <v>1358</v>
      </c>
      <c r="K868" s="57"/>
      <c r="L868" s="75">
        <v>85.1</v>
      </c>
      <c r="M868" s="60">
        <v>1</v>
      </c>
      <c r="N868" s="76">
        <v>350</v>
      </c>
      <c r="O868" s="42"/>
      <c r="P868" s="58" t="s">
        <v>36</v>
      </c>
      <c r="Q868" s="61"/>
      <c r="R868" s="62"/>
      <c r="S868" s="78">
        <f t="shared" si="39"/>
        <v>350</v>
      </c>
      <c r="T868" s="44" t="str">
        <f t="shared" si="40"/>
        <v>350grams</v>
      </c>
      <c r="U868" s="77">
        <f t="shared" si="41"/>
        <v>85.1</v>
      </c>
      <c r="V868" s="46"/>
      <c r="W868" s="46"/>
      <c r="X868" s="46"/>
    </row>
    <row r="869" spans="1:24" ht="15.75" customHeight="1" thickBot="1" x14ac:dyDescent="0.35">
      <c r="A869" s="40" t="e">
        <v>#N/A</v>
      </c>
      <c r="B869" s="67" t="s">
        <v>463</v>
      </c>
      <c r="C869" s="55"/>
      <c r="D869" s="41"/>
      <c r="E869" s="55"/>
      <c r="F869" s="55"/>
      <c r="G869" s="55"/>
      <c r="H869" s="51"/>
      <c r="I869" s="52"/>
      <c r="J869" s="74"/>
      <c r="K869" s="57"/>
      <c r="L869" s="75">
        <v>140</v>
      </c>
      <c r="M869" s="60">
        <v>1</v>
      </c>
      <c r="N869" s="76">
        <v>1</v>
      </c>
      <c r="O869" s="42"/>
      <c r="P869" s="58" t="s">
        <v>88</v>
      </c>
      <c r="Q869" s="61"/>
      <c r="R869" s="62"/>
      <c r="S869" s="78">
        <f t="shared" si="39"/>
        <v>1</v>
      </c>
      <c r="T869" s="44" t="str">
        <f t="shared" si="40"/>
        <v>1kilos</v>
      </c>
      <c r="U869" s="77">
        <f t="shared" si="41"/>
        <v>140</v>
      </c>
      <c r="V869" s="46"/>
      <c r="W869" s="46"/>
      <c r="X869" s="46"/>
    </row>
    <row r="870" spans="1:24" ht="15.75" customHeight="1" thickBot="1" x14ac:dyDescent="0.35">
      <c r="A870" s="40" t="e">
        <v>#N/A</v>
      </c>
      <c r="B870" s="67" t="s">
        <v>1359</v>
      </c>
      <c r="C870" s="55"/>
      <c r="D870" s="41"/>
      <c r="E870" s="55"/>
      <c r="F870" s="55"/>
      <c r="G870" s="55"/>
      <c r="H870" s="51"/>
      <c r="I870" s="52"/>
      <c r="J870" s="74" t="s">
        <v>1360</v>
      </c>
      <c r="K870" s="57"/>
      <c r="L870" s="75">
        <v>106.5</v>
      </c>
      <c r="M870" s="60">
        <v>1</v>
      </c>
      <c r="N870" s="76">
        <v>230</v>
      </c>
      <c r="O870" s="42"/>
      <c r="P870" s="58" t="s">
        <v>138</v>
      </c>
      <c r="Q870" s="61"/>
      <c r="R870" s="62"/>
      <c r="S870" s="78">
        <f t="shared" si="39"/>
        <v>230</v>
      </c>
      <c r="T870" s="44" t="str">
        <f t="shared" si="40"/>
        <v>230drained weight grams</v>
      </c>
      <c r="U870" s="77">
        <f t="shared" si="41"/>
        <v>106.5</v>
      </c>
      <c r="V870" s="46"/>
      <c r="W870" s="46"/>
      <c r="X870" s="46"/>
    </row>
    <row r="871" spans="1:24" ht="15.75" customHeight="1" thickBot="1" x14ac:dyDescent="0.35">
      <c r="A871" s="40" t="e">
        <v>#N/A</v>
      </c>
      <c r="B871" s="67" t="s">
        <v>464</v>
      </c>
      <c r="C871" s="55"/>
      <c r="D871" s="41"/>
      <c r="E871" s="55"/>
      <c r="F871" s="55"/>
      <c r="G871" s="55"/>
      <c r="H871" s="51"/>
      <c r="I871" s="52"/>
      <c r="J871" s="74" t="s">
        <v>827</v>
      </c>
      <c r="K871" s="57"/>
      <c r="L871" s="75">
        <v>106.5</v>
      </c>
      <c r="M871" s="60">
        <v>2</v>
      </c>
      <c r="N871" s="76">
        <v>230</v>
      </c>
      <c r="O871" s="42"/>
      <c r="P871" s="58" t="s">
        <v>36</v>
      </c>
      <c r="Q871" s="61"/>
      <c r="R871" s="62"/>
      <c r="S871" s="78">
        <f t="shared" si="39"/>
        <v>460</v>
      </c>
      <c r="T871" s="44" t="str">
        <f t="shared" si="40"/>
        <v>460grams</v>
      </c>
      <c r="U871" s="77">
        <f t="shared" si="41"/>
        <v>213</v>
      </c>
      <c r="V871" s="46"/>
      <c r="W871" s="46"/>
      <c r="X871" s="46"/>
    </row>
    <row r="872" spans="1:24" ht="15.75" customHeight="1" thickBot="1" x14ac:dyDescent="0.35">
      <c r="A872" s="40" t="e">
        <v>#N/A</v>
      </c>
      <c r="B872" s="67" t="s">
        <v>464</v>
      </c>
      <c r="C872" s="55"/>
      <c r="D872" s="41"/>
      <c r="E872" s="55"/>
      <c r="F872" s="55"/>
      <c r="G872" s="55"/>
      <c r="H872" s="51"/>
      <c r="I872" s="52"/>
      <c r="J872" s="74" t="s">
        <v>1361</v>
      </c>
      <c r="K872" s="57"/>
      <c r="L872" s="75">
        <v>138.5</v>
      </c>
      <c r="M872" s="60">
        <v>1</v>
      </c>
      <c r="N872" s="76">
        <v>565</v>
      </c>
      <c r="O872" s="42"/>
      <c r="P872" s="58" t="s">
        <v>36</v>
      </c>
      <c r="Q872" s="61"/>
      <c r="R872" s="62"/>
      <c r="S872" s="78">
        <f t="shared" si="39"/>
        <v>565</v>
      </c>
      <c r="T872" s="44" t="str">
        <f t="shared" si="40"/>
        <v>565grams</v>
      </c>
      <c r="U872" s="77">
        <f t="shared" si="41"/>
        <v>138.5</v>
      </c>
      <c r="V872" s="46"/>
      <c r="W872" s="46"/>
      <c r="X872" s="46"/>
    </row>
    <row r="873" spans="1:24" ht="15.75" customHeight="1" thickBot="1" x14ac:dyDescent="0.35">
      <c r="A873" s="40" t="e">
        <v>#N/A</v>
      </c>
      <c r="B873" s="67" t="s">
        <v>464</v>
      </c>
      <c r="C873" s="55"/>
      <c r="D873" s="41"/>
      <c r="E873" s="55"/>
      <c r="F873" s="55"/>
      <c r="G873" s="55"/>
      <c r="H873" s="51"/>
      <c r="I873" s="52"/>
      <c r="J873" s="74" t="s">
        <v>827</v>
      </c>
      <c r="K873" s="57"/>
      <c r="L873" s="75">
        <v>80.25</v>
      </c>
      <c r="M873" s="60">
        <v>1</v>
      </c>
      <c r="N873" s="76">
        <v>565</v>
      </c>
      <c r="O873" s="42"/>
      <c r="P873" s="58" t="s">
        <v>36</v>
      </c>
      <c r="Q873" s="61"/>
      <c r="R873" s="62"/>
      <c r="S873" s="78">
        <f t="shared" si="39"/>
        <v>565</v>
      </c>
      <c r="T873" s="44" t="str">
        <f t="shared" si="40"/>
        <v>565grams</v>
      </c>
      <c r="U873" s="77">
        <f t="shared" si="41"/>
        <v>80.25</v>
      </c>
      <c r="V873" s="46"/>
      <c r="W873" s="46"/>
      <c r="X873" s="46"/>
    </row>
    <row r="874" spans="1:24" ht="15.75" customHeight="1" thickBot="1" x14ac:dyDescent="0.35">
      <c r="A874" s="40" t="e">
        <v>#N/A</v>
      </c>
      <c r="B874" s="67" t="s">
        <v>1362</v>
      </c>
      <c r="C874" s="55"/>
      <c r="D874" s="41"/>
      <c r="E874" s="55"/>
      <c r="F874" s="55"/>
      <c r="G874" s="55"/>
      <c r="H874" s="51"/>
      <c r="I874" s="52"/>
      <c r="J874" s="74" t="s">
        <v>1189</v>
      </c>
      <c r="K874" s="57"/>
      <c r="L874" s="75">
        <v>35</v>
      </c>
      <c r="M874" s="60">
        <v>1</v>
      </c>
      <c r="N874" s="76">
        <v>375</v>
      </c>
      <c r="O874" s="42"/>
      <c r="P874" s="58" t="s">
        <v>47</v>
      </c>
      <c r="Q874" s="61"/>
      <c r="R874" s="62"/>
      <c r="S874" s="78">
        <f t="shared" si="39"/>
        <v>375</v>
      </c>
      <c r="T874" s="44" t="str">
        <f t="shared" si="40"/>
        <v>375ml</v>
      </c>
      <c r="U874" s="77">
        <f t="shared" si="41"/>
        <v>35</v>
      </c>
      <c r="V874" s="46"/>
      <c r="W874" s="46"/>
      <c r="X874" s="46"/>
    </row>
    <row r="875" spans="1:24" ht="15.75" customHeight="1" thickBot="1" x14ac:dyDescent="0.35">
      <c r="A875" s="40" t="e">
        <v>#N/A</v>
      </c>
      <c r="B875" s="67" t="s">
        <v>1363</v>
      </c>
      <c r="C875" s="55"/>
      <c r="D875" s="41"/>
      <c r="E875" s="55"/>
      <c r="F875" s="55"/>
      <c r="G875" s="55"/>
      <c r="H875" s="51"/>
      <c r="I875" s="52"/>
      <c r="J875" s="74" t="s">
        <v>1364</v>
      </c>
      <c r="K875" s="57"/>
      <c r="L875" s="75">
        <v>154</v>
      </c>
      <c r="M875" s="60">
        <v>1</v>
      </c>
      <c r="N875" s="76">
        <v>340</v>
      </c>
      <c r="O875" s="42"/>
      <c r="P875" s="58" t="s">
        <v>36</v>
      </c>
      <c r="Q875" s="61"/>
      <c r="R875" s="62"/>
      <c r="S875" s="78">
        <f t="shared" si="39"/>
        <v>340</v>
      </c>
      <c r="T875" s="44" t="str">
        <f t="shared" si="40"/>
        <v>340grams</v>
      </c>
      <c r="U875" s="77">
        <f t="shared" si="41"/>
        <v>154</v>
      </c>
      <c r="V875" s="46"/>
      <c r="W875" s="46"/>
      <c r="X875" s="46"/>
    </row>
    <row r="876" spans="1:24" ht="15.75" customHeight="1" thickBot="1" x14ac:dyDescent="0.35">
      <c r="A876" s="40" t="e">
        <v>#N/A</v>
      </c>
      <c r="B876" s="67" t="s">
        <v>1365</v>
      </c>
      <c r="C876" s="55"/>
      <c r="D876" s="41"/>
      <c r="E876" s="55"/>
      <c r="F876" s="55"/>
      <c r="G876" s="55"/>
      <c r="H876" s="51"/>
      <c r="I876" s="52"/>
      <c r="J876" s="74" t="s">
        <v>1311</v>
      </c>
      <c r="K876" s="57"/>
      <c r="L876" s="75">
        <v>296.7</v>
      </c>
      <c r="M876" s="60">
        <v>1</v>
      </c>
      <c r="N876" s="76">
        <v>1</v>
      </c>
      <c r="O876" s="42"/>
      <c r="P876" s="58" t="s">
        <v>88</v>
      </c>
      <c r="Q876" s="61"/>
      <c r="R876" s="62"/>
      <c r="S876" s="78">
        <f t="shared" si="39"/>
        <v>1</v>
      </c>
      <c r="T876" s="44" t="str">
        <f t="shared" si="40"/>
        <v>1kilos</v>
      </c>
      <c r="U876" s="77">
        <f t="shared" si="41"/>
        <v>296.7</v>
      </c>
      <c r="V876" s="46"/>
      <c r="W876" s="46"/>
      <c r="X876" s="46"/>
    </row>
    <row r="877" spans="1:24" ht="15.75" customHeight="1" thickBot="1" x14ac:dyDescent="0.35">
      <c r="A877" s="40" t="e">
        <v>#N/A</v>
      </c>
      <c r="B877" s="67" t="s">
        <v>1365</v>
      </c>
      <c r="C877" s="55"/>
      <c r="D877" s="41"/>
      <c r="E877" s="55"/>
      <c r="F877" s="55"/>
      <c r="G877" s="55"/>
      <c r="H877" s="51"/>
      <c r="I877" s="52"/>
      <c r="J877" s="74" t="s">
        <v>1311</v>
      </c>
      <c r="K877" s="57"/>
      <c r="L877" s="75">
        <v>380</v>
      </c>
      <c r="M877" s="60">
        <v>5</v>
      </c>
      <c r="N877" s="76">
        <v>5</v>
      </c>
      <c r="O877" s="42"/>
      <c r="P877" s="58" t="s">
        <v>88</v>
      </c>
      <c r="Q877" s="61"/>
      <c r="R877" s="62"/>
      <c r="S877" s="78">
        <f t="shared" si="39"/>
        <v>25</v>
      </c>
      <c r="T877" s="44" t="str">
        <f t="shared" si="40"/>
        <v>25kilos</v>
      </c>
      <c r="U877" s="77">
        <f t="shared" si="41"/>
        <v>1900</v>
      </c>
      <c r="V877" s="46"/>
      <c r="W877" s="46"/>
      <c r="X877" s="46"/>
    </row>
    <row r="878" spans="1:24" ht="15.75" customHeight="1" thickBot="1" x14ac:dyDescent="0.35">
      <c r="A878" s="40" t="e">
        <v>#N/A</v>
      </c>
      <c r="B878" s="67" t="s">
        <v>1365</v>
      </c>
      <c r="C878" s="55"/>
      <c r="D878" s="41"/>
      <c r="E878" s="55"/>
      <c r="F878" s="55"/>
      <c r="G878" s="55"/>
      <c r="H878" s="51"/>
      <c r="I878" s="52"/>
      <c r="J878" s="74" t="s">
        <v>1311</v>
      </c>
      <c r="K878" s="57"/>
      <c r="L878" s="75">
        <v>59.34</v>
      </c>
      <c r="M878" s="60">
        <v>8</v>
      </c>
      <c r="N878" s="76">
        <v>5000</v>
      </c>
      <c r="O878" s="42"/>
      <c r="P878" s="58" t="s">
        <v>36</v>
      </c>
      <c r="Q878" s="61"/>
      <c r="R878" s="62"/>
      <c r="S878" s="78">
        <f t="shared" si="39"/>
        <v>40000</v>
      </c>
      <c r="T878" s="44" t="str">
        <f t="shared" si="40"/>
        <v>40000grams</v>
      </c>
      <c r="U878" s="77">
        <f t="shared" si="41"/>
        <v>474.72</v>
      </c>
      <c r="V878" s="46"/>
      <c r="W878" s="46"/>
      <c r="X878" s="46"/>
    </row>
    <row r="879" spans="1:24" ht="15.75" customHeight="1" thickBot="1" x14ac:dyDescent="0.35">
      <c r="A879" s="40" t="e">
        <v>#N/A</v>
      </c>
      <c r="B879" s="67" t="s">
        <v>1365</v>
      </c>
      <c r="C879" s="55"/>
      <c r="D879" s="41"/>
      <c r="E879" s="55"/>
      <c r="F879" s="55"/>
      <c r="G879" s="55"/>
      <c r="H879" s="51"/>
      <c r="I879" s="52"/>
      <c r="J879" s="74" t="s">
        <v>1311</v>
      </c>
      <c r="K879" s="57"/>
      <c r="L879" s="75">
        <v>40</v>
      </c>
      <c r="M879" s="60">
        <v>5</v>
      </c>
      <c r="N879" s="76">
        <v>500</v>
      </c>
      <c r="O879" s="42"/>
      <c r="P879" s="58" t="s">
        <v>36</v>
      </c>
      <c r="Q879" s="61"/>
      <c r="R879" s="62"/>
      <c r="S879" s="78">
        <f t="shared" si="39"/>
        <v>2500</v>
      </c>
      <c r="T879" s="44" t="str">
        <f t="shared" si="40"/>
        <v>2500grams</v>
      </c>
      <c r="U879" s="77">
        <f t="shared" si="41"/>
        <v>200</v>
      </c>
      <c r="V879" s="46"/>
      <c r="W879" s="46"/>
      <c r="X879" s="46"/>
    </row>
    <row r="880" spans="1:24" ht="15.75" customHeight="1" thickBot="1" x14ac:dyDescent="0.35">
      <c r="A880" s="40" t="e">
        <v>#N/A</v>
      </c>
      <c r="B880" s="67" t="s">
        <v>1365</v>
      </c>
      <c r="C880" s="55"/>
      <c r="D880" s="41"/>
      <c r="E880" s="55"/>
      <c r="F880" s="55"/>
      <c r="G880" s="55"/>
      <c r="H880" s="51"/>
      <c r="I880" s="52"/>
      <c r="J880" s="74" t="s">
        <v>1311</v>
      </c>
      <c r="K880" s="57"/>
      <c r="L880" s="75">
        <v>80</v>
      </c>
      <c r="M880" s="60">
        <v>5</v>
      </c>
      <c r="N880" s="76">
        <v>500</v>
      </c>
      <c r="O880" s="42"/>
      <c r="P880" s="58" t="s">
        <v>36</v>
      </c>
      <c r="Q880" s="61"/>
      <c r="R880" s="62"/>
      <c r="S880" s="78">
        <f t="shared" si="39"/>
        <v>2500</v>
      </c>
      <c r="T880" s="44" t="str">
        <f t="shared" si="40"/>
        <v>2500grams</v>
      </c>
      <c r="U880" s="77">
        <f t="shared" si="41"/>
        <v>400</v>
      </c>
      <c r="V880" s="46"/>
      <c r="W880" s="46"/>
      <c r="X880" s="46"/>
    </row>
    <row r="881" spans="1:24" ht="15.75" customHeight="1" thickBot="1" x14ac:dyDescent="0.35">
      <c r="A881" s="40" t="e">
        <v>#N/A</v>
      </c>
      <c r="B881" s="68" t="s">
        <v>1365</v>
      </c>
      <c r="C881" s="55"/>
      <c r="D881" s="41"/>
      <c r="E881" s="55"/>
      <c r="F881" s="55"/>
      <c r="G881" s="55"/>
      <c r="H881" s="51"/>
      <c r="I881" s="52"/>
      <c r="J881" s="74" t="s">
        <v>1311</v>
      </c>
      <c r="K881" s="57"/>
      <c r="L881" s="75">
        <v>62</v>
      </c>
      <c r="M881" s="60">
        <v>7</v>
      </c>
      <c r="N881" s="76">
        <v>500</v>
      </c>
      <c r="O881" s="42"/>
      <c r="P881" s="58" t="s">
        <v>36</v>
      </c>
      <c r="Q881" s="61"/>
      <c r="R881" s="62"/>
      <c r="S881" s="78">
        <f t="shared" si="39"/>
        <v>3500</v>
      </c>
      <c r="T881" s="44" t="str">
        <f t="shared" si="40"/>
        <v>3500grams</v>
      </c>
      <c r="U881" s="77">
        <f t="shared" si="41"/>
        <v>434</v>
      </c>
      <c r="V881" s="46"/>
      <c r="W881" s="46"/>
      <c r="X881" s="46"/>
    </row>
    <row r="882" spans="1:24" ht="15.75" customHeight="1" thickBot="1" x14ac:dyDescent="0.35">
      <c r="A882" s="40" t="e">
        <v>#N/A</v>
      </c>
      <c r="B882" s="67" t="s">
        <v>1366</v>
      </c>
      <c r="C882" s="55"/>
      <c r="D882" s="41"/>
      <c r="E882" s="55"/>
      <c r="F882" s="55"/>
      <c r="G882" s="55"/>
      <c r="H882" s="51"/>
      <c r="I882" s="52"/>
      <c r="J882" s="74" t="s">
        <v>1367</v>
      </c>
      <c r="K882" s="57"/>
      <c r="L882" s="75">
        <v>87</v>
      </c>
      <c r="M882" s="60">
        <v>1</v>
      </c>
      <c r="N882" s="76">
        <v>1000</v>
      </c>
      <c r="O882" s="42"/>
      <c r="P882" s="58" t="s">
        <v>36</v>
      </c>
      <c r="Q882" s="61"/>
      <c r="R882" s="62"/>
      <c r="S882" s="78">
        <f t="shared" si="39"/>
        <v>1000</v>
      </c>
      <c r="T882" s="44" t="str">
        <f t="shared" si="40"/>
        <v>1000grams</v>
      </c>
      <c r="U882" s="77">
        <f t="shared" si="41"/>
        <v>87</v>
      </c>
      <c r="V882" s="46"/>
      <c r="W882" s="46"/>
      <c r="X882" s="46"/>
    </row>
    <row r="883" spans="1:24" ht="15.75" customHeight="1" thickBot="1" x14ac:dyDescent="0.35">
      <c r="A883" s="40" t="e">
        <v>#N/A</v>
      </c>
      <c r="B883" s="67" t="s">
        <v>1366</v>
      </c>
      <c r="C883" s="55"/>
      <c r="D883" s="41"/>
      <c r="E883" s="55"/>
      <c r="F883" s="55"/>
      <c r="G883" s="55"/>
      <c r="H883" s="51"/>
      <c r="I883" s="52"/>
      <c r="J883" s="74" t="s">
        <v>1368</v>
      </c>
      <c r="K883" s="57"/>
      <c r="L883" s="75">
        <v>39.700000000000003</v>
      </c>
      <c r="M883" s="60">
        <v>2</v>
      </c>
      <c r="N883" s="76">
        <v>400</v>
      </c>
      <c r="O883" s="42"/>
      <c r="P883" s="58" t="s">
        <v>36</v>
      </c>
      <c r="Q883" s="61"/>
      <c r="R883" s="62"/>
      <c r="S883" s="78">
        <f t="shared" si="39"/>
        <v>800</v>
      </c>
      <c r="T883" s="44" t="str">
        <f t="shared" si="40"/>
        <v>800grams</v>
      </c>
      <c r="U883" s="77">
        <f t="shared" si="41"/>
        <v>79.400000000000006</v>
      </c>
      <c r="V883" s="46"/>
      <c r="W883" s="46"/>
      <c r="X883" s="46"/>
    </row>
    <row r="884" spans="1:24" ht="15.75" customHeight="1" thickBot="1" x14ac:dyDescent="0.35">
      <c r="A884" s="40" t="e">
        <v>#N/A</v>
      </c>
      <c r="B884" s="67" t="s">
        <v>1369</v>
      </c>
      <c r="C884" s="55"/>
      <c r="D884" s="41"/>
      <c r="E884" s="55"/>
      <c r="F884" s="55"/>
      <c r="G884" s="55"/>
      <c r="H884" s="51"/>
      <c r="I884" s="52"/>
      <c r="J884" s="74" t="s">
        <v>1370</v>
      </c>
      <c r="K884" s="57"/>
      <c r="L884" s="75">
        <v>73.5</v>
      </c>
      <c r="M884" s="60">
        <v>1</v>
      </c>
      <c r="N884" s="76">
        <v>425</v>
      </c>
      <c r="O884" s="42"/>
      <c r="P884" s="58" t="s">
        <v>36</v>
      </c>
      <c r="Q884" s="61"/>
      <c r="R884" s="62"/>
      <c r="S884" s="78">
        <f t="shared" si="39"/>
        <v>425</v>
      </c>
      <c r="T884" s="44" t="str">
        <f t="shared" si="40"/>
        <v>425grams</v>
      </c>
      <c r="U884" s="77">
        <f t="shared" si="41"/>
        <v>73.5</v>
      </c>
      <c r="V884" s="46"/>
      <c r="W884" s="46"/>
      <c r="X884" s="46"/>
    </row>
    <row r="885" spans="1:24" ht="15.75" customHeight="1" thickBot="1" x14ac:dyDescent="0.35">
      <c r="A885" s="40" t="e">
        <v>#N/A</v>
      </c>
      <c r="B885" s="67" t="s">
        <v>1369</v>
      </c>
      <c r="C885" s="55"/>
      <c r="D885" s="41"/>
      <c r="E885" s="55"/>
      <c r="F885" s="55"/>
      <c r="G885" s="55"/>
      <c r="H885" s="51"/>
      <c r="I885" s="52"/>
      <c r="J885" s="74" t="s">
        <v>1371</v>
      </c>
      <c r="K885" s="57"/>
      <c r="L885" s="75">
        <v>64.400000000000006</v>
      </c>
      <c r="M885" s="60">
        <v>5</v>
      </c>
      <c r="N885" s="76">
        <v>425</v>
      </c>
      <c r="O885" s="42"/>
      <c r="P885" s="58" t="s">
        <v>36</v>
      </c>
      <c r="Q885" s="61"/>
      <c r="R885" s="62"/>
      <c r="S885" s="78">
        <f t="shared" si="39"/>
        <v>2125</v>
      </c>
      <c r="T885" s="44" t="str">
        <f t="shared" si="40"/>
        <v>2125grams</v>
      </c>
      <c r="U885" s="77">
        <f t="shared" si="41"/>
        <v>322</v>
      </c>
      <c r="V885" s="46"/>
      <c r="W885" s="46"/>
      <c r="X885" s="46"/>
    </row>
    <row r="886" spans="1:24" ht="15.75" customHeight="1" thickBot="1" x14ac:dyDescent="0.35">
      <c r="A886" s="40" t="e">
        <v>#N/A</v>
      </c>
      <c r="B886" s="67" t="s">
        <v>1369</v>
      </c>
      <c r="C886" s="55"/>
      <c r="D886" s="41"/>
      <c r="E886" s="55"/>
      <c r="F886" s="55"/>
      <c r="G886" s="55"/>
      <c r="H886" s="51"/>
      <c r="I886" s="52"/>
      <c r="J886" s="74" t="s">
        <v>1372</v>
      </c>
      <c r="K886" s="57"/>
      <c r="L886" s="75">
        <v>73.599999999999994</v>
      </c>
      <c r="M886" s="60">
        <v>6</v>
      </c>
      <c r="N886" s="76">
        <v>425</v>
      </c>
      <c r="O886" s="42"/>
      <c r="P886" s="58" t="s">
        <v>36</v>
      </c>
      <c r="Q886" s="61"/>
      <c r="R886" s="62"/>
      <c r="S886" s="78">
        <f t="shared" ref="S886:S949" si="42">M886*N886</f>
        <v>2550</v>
      </c>
      <c r="T886" s="44" t="str">
        <f t="shared" ref="T886:T949" si="43">CONCATENATE(S886,Q886,P886)</f>
        <v>2550grams</v>
      </c>
      <c r="U886" s="77">
        <f t="shared" ref="U886:U949" si="44">L886*M886</f>
        <v>441.59999999999997</v>
      </c>
      <c r="V886" s="46"/>
      <c r="W886" s="46"/>
      <c r="X886" s="46"/>
    </row>
    <row r="887" spans="1:24" ht="15.75" customHeight="1" thickBot="1" x14ac:dyDescent="0.35">
      <c r="A887" s="40" t="e">
        <v>#N/A</v>
      </c>
      <c r="B887" s="67" t="s">
        <v>469</v>
      </c>
      <c r="C887" s="55"/>
      <c r="D887" s="41"/>
      <c r="E887" s="55"/>
      <c r="F887" s="55"/>
      <c r="G887" s="55"/>
      <c r="H887" s="51"/>
      <c r="I887" s="52"/>
      <c r="J887" s="74" t="s">
        <v>1373</v>
      </c>
      <c r="K887" s="57"/>
      <c r="L887" s="75">
        <v>67.400000000000006</v>
      </c>
      <c r="M887" s="60">
        <v>10</v>
      </c>
      <c r="N887" s="76">
        <v>425</v>
      </c>
      <c r="O887" s="42"/>
      <c r="P887" s="58" t="s">
        <v>36</v>
      </c>
      <c r="Q887" s="61"/>
      <c r="R887" s="62"/>
      <c r="S887" s="78">
        <f t="shared" si="42"/>
        <v>4250</v>
      </c>
      <c r="T887" s="44" t="str">
        <f t="shared" si="43"/>
        <v>4250grams</v>
      </c>
      <c r="U887" s="77">
        <f t="shared" si="44"/>
        <v>674</v>
      </c>
      <c r="V887" s="46"/>
      <c r="W887" s="46"/>
      <c r="X887" s="46"/>
    </row>
    <row r="888" spans="1:24" ht="15.75" customHeight="1" thickBot="1" x14ac:dyDescent="0.35">
      <c r="A888" s="40" t="e">
        <v>#N/A</v>
      </c>
      <c r="B888" s="68" t="s">
        <v>469</v>
      </c>
      <c r="C888" s="55"/>
      <c r="D888" s="41"/>
      <c r="E888" s="55"/>
      <c r="F888" s="55"/>
      <c r="G888" s="55"/>
      <c r="H888" s="51"/>
      <c r="I888" s="52"/>
      <c r="J888" s="74" t="s">
        <v>470</v>
      </c>
      <c r="K888" s="57"/>
      <c r="L888" s="75">
        <v>73.599999999999994</v>
      </c>
      <c r="M888" s="60">
        <v>9</v>
      </c>
      <c r="N888" s="76">
        <v>425</v>
      </c>
      <c r="O888" s="42"/>
      <c r="P888" s="58" t="s">
        <v>36</v>
      </c>
      <c r="Q888" s="61"/>
      <c r="R888" s="62"/>
      <c r="S888" s="78">
        <f t="shared" si="42"/>
        <v>3825</v>
      </c>
      <c r="T888" s="44" t="str">
        <f t="shared" si="43"/>
        <v>3825grams</v>
      </c>
      <c r="U888" s="77">
        <f t="shared" si="44"/>
        <v>662.4</v>
      </c>
      <c r="V888" s="46"/>
      <c r="W888" s="46"/>
      <c r="X888" s="46"/>
    </row>
    <row r="889" spans="1:24" ht="15.75" customHeight="1" thickBot="1" x14ac:dyDescent="0.35">
      <c r="A889" s="40" t="e">
        <v>#N/A</v>
      </c>
      <c r="B889" s="67" t="s">
        <v>469</v>
      </c>
      <c r="C889" s="55"/>
      <c r="D889" s="41"/>
      <c r="E889" s="55"/>
      <c r="F889" s="55"/>
      <c r="G889" s="55"/>
      <c r="H889" s="51"/>
      <c r="I889" s="52"/>
      <c r="J889" s="74" t="s">
        <v>470</v>
      </c>
      <c r="K889" s="57"/>
      <c r="L889" s="75">
        <v>73.599999999999994</v>
      </c>
      <c r="M889" s="60">
        <v>7</v>
      </c>
      <c r="N889" s="76">
        <v>425</v>
      </c>
      <c r="O889" s="42"/>
      <c r="P889" s="58" t="s">
        <v>36</v>
      </c>
      <c r="Q889" s="61"/>
      <c r="R889" s="62"/>
      <c r="S889" s="78">
        <f t="shared" si="42"/>
        <v>2975</v>
      </c>
      <c r="T889" s="44" t="str">
        <f t="shared" si="43"/>
        <v>2975grams</v>
      </c>
      <c r="U889" s="77">
        <f t="shared" si="44"/>
        <v>515.19999999999993</v>
      </c>
      <c r="V889" s="46"/>
      <c r="W889" s="46"/>
      <c r="X889" s="46"/>
    </row>
    <row r="890" spans="1:24" ht="15.75" customHeight="1" thickBot="1" x14ac:dyDescent="0.35">
      <c r="A890" s="40" t="e">
        <v>#N/A</v>
      </c>
      <c r="B890" s="67" t="s">
        <v>469</v>
      </c>
      <c r="C890" s="55"/>
      <c r="D890" s="41"/>
      <c r="E890" s="55"/>
      <c r="F890" s="55"/>
      <c r="G890" s="55"/>
      <c r="H890" s="51"/>
      <c r="I890" s="52"/>
      <c r="J890" s="74" t="s">
        <v>1371</v>
      </c>
      <c r="K890" s="57"/>
      <c r="L890" s="75">
        <v>72</v>
      </c>
      <c r="M890" s="60">
        <v>10</v>
      </c>
      <c r="N890" s="76">
        <v>425</v>
      </c>
      <c r="O890" s="42"/>
      <c r="P890" s="58" t="s">
        <v>36</v>
      </c>
      <c r="Q890" s="61"/>
      <c r="R890" s="62"/>
      <c r="S890" s="78">
        <f t="shared" si="42"/>
        <v>4250</v>
      </c>
      <c r="T890" s="44" t="str">
        <f t="shared" si="43"/>
        <v>4250grams</v>
      </c>
      <c r="U890" s="77">
        <f t="shared" si="44"/>
        <v>720</v>
      </c>
      <c r="V890" s="46"/>
      <c r="W890" s="46"/>
      <c r="X890" s="46"/>
    </row>
    <row r="891" spans="1:24" ht="15.75" customHeight="1" thickBot="1" x14ac:dyDescent="0.35">
      <c r="A891" s="40" t="e">
        <v>#N/A</v>
      </c>
      <c r="B891" s="67" t="s">
        <v>469</v>
      </c>
      <c r="C891" s="55"/>
      <c r="D891" s="41"/>
      <c r="E891" s="55"/>
      <c r="F891" s="55"/>
      <c r="G891" s="55"/>
      <c r="H891" s="51"/>
      <c r="I891" s="52"/>
      <c r="J891" s="74" t="s">
        <v>1374</v>
      </c>
      <c r="K891" s="57"/>
      <c r="L891" s="75">
        <v>73.099999999999994</v>
      </c>
      <c r="M891" s="60">
        <v>3</v>
      </c>
      <c r="N891" s="76">
        <v>425</v>
      </c>
      <c r="O891" s="42"/>
      <c r="P891" s="58" t="s">
        <v>36</v>
      </c>
      <c r="Q891" s="61"/>
      <c r="R891" s="62"/>
      <c r="S891" s="78">
        <f t="shared" si="42"/>
        <v>1275</v>
      </c>
      <c r="T891" s="44" t="str">
        <f t="shared" si="43"/>
        <v>1275grams</v>
      </c>
      <c r="U891" s="77">
        <f t="shared" si="44"/>
        <v>219.29999999999998</v>
      </c>
      <c r="V891" s="46"/>
      <c r="W891" s="46"/>
      <c r="X891" s="46"/>
    </row>
    <row r="892" spans="1:24" ht="15.75" customHeight="1" thickBot="1" x14ac:dyDescent="0.35">
      <c r="A892" s="40" t="e">
        <v>#N/A</v>
      </c>
      <c r="B892" s="67" t="s">
        <v>476</v>
      </c>
      <c r="C892" s="55"/>
      <c r="D892" s="41"/>
      <c r="E892" s="55"/>
      <c r="F892" s="55"/>
      <c r="G892" s="55"/>
      <c r="H892" s="51"/>
      <c r="I892" s="52"/>
      <c r="J892" s="74" t="s">
        <v>1375</v>
      </c>
      <c r="K892" s="57"/>
      <c r="L892" s="75">
        <v>4.91</v>
      </c>
      <c r="M892" s="60">
        <v>48</v>
      </c>
      <c r="N892" s="76">
        <v>8</v>
      </c>
      <c r="O892" s="42"/>
      <c r="P892" s="58" t="s">
        <v>36</v>
      </c>
      <c r="Q892" s="61"/>
      <c r="R892" s="62"/>
      <c r="S892" s="78">
        <f t="shared" si="42"/>
        <v>384</v>
      </c>
      <c r="T892" s="44" t="str">
        <f t="shared" si="43"/>
        <v>384grams</v>
      </c>
      <c r="U892" s="77">
        <f t="shared" si="44"/>
        <v>235.68</v>
      </c>
      <c r="V892" s="46"/>
      <c r="W892" s="46"/>
      <c r="X892" s="46"/>
    </row>
    <row r="893" spans="1:24" ht="15.75" customHeight="1" thickBot="1" x14ac:dyDescent="0.35">
      <c r="A893" s="40" t="e">
        <v>#N/A</v>
      </c>
      <c r="B893" s="68" t="s">
        <v>476</v>
      </c>
      <c r="C893" s="55"/>
      <c r="D893" s="41"/>
      <c r="E893" s="55"/>
      <c r="F893" s="55"/>
      <c r="G893" s="55"/>
      <c r="H893" s="51"/>
      <c r="I893" s="52"/>
      <c r="J893" s="74" t="s">
        <v>1375</v>
      </c>
      <c r="K893" s="57"/>
      <c r="L893" s="75">
        <v>63</v>
      </c>
      <c r="M893" s="60">
        <v>1</v>
      </c>
      <c r="N893" s="76">
        <v>150</v>
      </c>
      <c r="O893" s="42"/>
      <c r="P893" s="58" t="s">
        <v>36</v>
      </c>
      <c r="Q893" s="61"/>
      <c r="R893" s="62"/>
      <c r="S893" s="78">
        <f t="shared" si="42"/>
        <v>150</v>
      </c>
      <c r="T893" s="44" t="str">
        <f t="shared" si="43"/>
        <v>150grams</v>
      </c>
      <c r="U893" s="77">
        <f t="shared" si="44"/>
        <v>63</v>
      </c>
      <c r="V893" s="46"/>
      <c r="W893" s="46"/>
      <c r="X893" s="46"/>
    </row>
    <row r="894" spans="1:24" ht="15.75" customHeight="1" thickBot="1" x14ac:dyDescent="0.35">
      <c r="A894" s="40" t="e">
        <v>#N/A</v>
      </c>
      <c r="B894" s="67" t="s">
        <v>476</v>
      </c>
      <c r="C894" s="55"/>
      <c r="D894" s="41"/>
      <c r="E894" s="55"/>
      <c r="F894" s="55"/>
      <c r="G894" s="55"/>
      <c r="H894" s="51"/>
      <c r="I894" s="52"/>
      <c r="J894" s="74" t="s">
        <v>1375</v>
      </c>
      <c r="K894" s="57"/>
      <c r="L894" s="75">
        <v>71.7</v>
      </c>
      <c r="M894" s="60">
        <v>7</v>
      </c>
      <c r="N894" s="76">
        <v>150</v>
      </c>
      <c r="O894" s="42"/>
      <c r="P894" s="58" t="s">
        <v>36</v>
      </c>
      <c r="Q894" s="61"/>
      <c r="R894" s="62"/>
      <c r="S894" s="78">
        <f t="shared" si="42"/>
        <v>1050</v>
      </c>
      <c r="T894" s="44" t="str">
        <f t="shared" si="43"/>
        <v>1050grams</v>
      </c>
      <c r="U894" s="77">
        <f t="shared" si="44"/>
        <v>501.90000000000003</v>
      </c>
      <c r="V894" s="46"/>
      <c r="W894" s="46"/>
      <c r="X894" s="46"/>
    </row>
    <row r="895" spans="1:24" ht="15.75" customHeight="1" thickBot="1" x14ac:dyDescent="0.35">
      <c r="A895" s="40" t="e">
        <v>#N/A</v>
      </c>
      <c r="B895" s="67" t="s">
        <v>476</v>
      </c>
      <c r="C895" s="55"/>
      <c r="D895" s="41"/>
      <c r="E895" s="55"/>
      <c r="F895" s="55"/>
      <c r="G895" s="55"/>
      <c r="H895" s="51"/>
      <c r="I895" s="52"/>
      <c r="J895" s="74" t="s">
        <v>1375</v>
      </c>
      <c r="K895" s="57"/>
      <c r="L895" s="75">
        <v>4.92</v>
      </c>
      <c r="M895" s="60">
        <v>700</v>
      </c>
      <c r="N895" s="76">
        <v>8</v>
      </c>
      <c r="O895" s="42"/>
      <c r="P895" s="58" t="s">
        <v>36</v>
      </c>
      <c r="Q895" s="61"/>
      <c r="R895" s="62"/>
      <c r="S895" s="78">
        <f t="shared" si="42"/>
        <v>5600</v>
      </c>
      <c r="T895" s="44" t="str">
        <f t="shared" si="43"/>
        <v>5600grams</v>
      </c>
      <c r="U895" s="77">
        <f t="shared" si="44"/>
        <v>3444</v>
      </c>
      <c r="V895" s="46"/>
      <c r="W895" s="46"/>
      <c r="X895" s="46"/>
    </row>
    <row r="896" spans="1:24" ht="15.75" customHeight="1" thickBot="1" x14ac:dyDescent="0.35">
      <c r="A896" s="40" t="e">
        <v>#N/A</v>
      </c>
      <c r="B896" s="67" t="s">
        <v>476</v>
      </c>
      <c r="C896" s="55"/>
      <c r="D896" s="41"/>
      <c r="E896" s="55"/>
      <c r="F896" s="55"/>
      <c r="G896" s="55"/>
      <c r="H896" s="51"/>
      <c r="I896" s="52"/>
      <c r="J896" s="74" t="s">
        <v>1375</v>
      </c>
      <c r="K896" s="57"/>
      <c r="L896" s="75">
        <v>71.709999999999994</v>
      </c>
      <c r="M896" s="60">
        <v>4</v>
      </c>
      <c r="N896" s="76">
        <v>150</v>
      </c>
      <c r="O896" s="42"/>
      <c r="P896" s="58" t="s">
        <v>36</v>
      </c>
      <c r="Q896" s="61"/>
      <c r="R896" s="62"/>
      <c r="S896" s="78">
        <f t="shared" si="42"/>
        <v>600</v>
      </c>
      <c r="T896" s="44" t="str">
        <f t="shared" si="43"/>
        <v>600grams</v>
      </c>
      <c r="U896" s="77">
        <f t="shared" si="44"/>
        <v>286.83999999999997</v>
      </c>
      <c r="V896" s="46"/>
      <c r="W896" s="46"/>
      <c r="X896" s="46"/>
    </row>
    <row r="897" spans="1:24" ht="15.75" customHeight="1" thickBot="1" x14ac:dyDescent="0.35">
      <c r="A897" s="40" t="e">
        <v>#N/A</v>
      </c>
      <c r="B897" s="68" t="s">
        <v>476</v>
      </c>
      <c r="C897" s="55"/>
      <c r="D897" s="41"/>
      <c r="E897" s="55"/>
      <c r="F897" s="55"/>
      <c r="G897" s="55"/>
      <c r="H897" s="51"/>
      <c r="I897" s="52"/>
      <c r="J897" s="74" t="s">
        <v>1375</v>
      </c>
      <c r="K897" s="57"/>
      <c r="L897" s="75">
        <v>74.5</v>
      </c>
      <c r="M897" s="60">
        <v>1</v>
      </c>
      <c r="N897" s="76">
        <v>150</v>
      </c>
      <c r="O897" s="42"/>
      <c r="P897" s="58" t="s">
        <v>36</v>
      </c>
      <c r="Q897" s="61"/>
      <c r="R897" s="62"/>
      <c r="S897" s="78">
        <f t="shared" si="42"/>
        <v>150</v>
      </c>
      <c r="T897" s="44" t="str">
        <f t="shared" si="43"/>
        <v>150grams</v>
      </c>
      <c r="U897" s="77">
        <f t="shared" si="44"/>
        <v>74.5</v>
      </c>
      <c r="V897" s="46"/>
      <c r="W897" s="46"/>
      <c r="X897" s="46"/>
    </row>
    <row r="898" spans="1:24" ht="15.75" customHeight="1" thickBot="1" x14ac:dyDescent="0.35">
      <c r="A898" s="40" t="e">
        <v>#N/A</v>
      </c>
      <c r="B898" s="67" t="s">
        <v>476</v>
      </c>
      <c r="C898" s="55"/>
      <c r="D898" s="41"/>
      <c r="E898" s="55"/>
      <c r="F898" s="55"/>
      <c r="G898" s="55"/>
      <c r="H898" s="51"/>
      <c r="I898" s="52"/>
      <c r="J898" s="74" t="s">
        <v>1375</v>
      </c>
      <c r="K898" s="57"/>
      <c r="L898" s="75">
        <v>71.7</v>
      </c>
      <c r="M898" s="60">
        <v>2</v>
      </c>
      <c r="N898" s="76">
        <v>150</v>
      </c>
      <c r="O898" s="42"/>
      <c r="P898" s="58" t="s">
        <v>36</v>
      </c>
      <c r="Q898" s="61"/>
      <c r="R898" s="62"/>
      <c r="S898" s="78">
        <f t="shared" si="42"/>
        <v>300</v>
      </c>
      <c r="T898" s="44" t="str">
        <f t="shared" si="43"/>
        <v>300grams</v>
      </c>
      <c r="U898" s="77">
        <f t="shared" si="44"/>
        <v>143.4</v>
      </c>
      <c r="V898" s="46"/>
      <c r="W898" s="46"/>
      <c r="X898" s="46"/>
    </row>
    <row r="899" spans="1:24" ht="15.75" customHeight="1" thickBot="1" x14ac:dyDescent="0.35">
      <c r="A899" s="40" t="e">
        <v>#N/A</v>
      </c>
      <c r="B899" s="67" t="s">
        <v>1376</v>
      </c>
      <c r="C899" s="55"/>
      <c r="D899" s="41"/>
      <c r="E899" s="55"/>
      <c r="F899" s="55"/>
      <c r="G899" s="55"/>
      <c r="H899" s="51"/>
      <c r="I899" s="52"/>
      <c r="J899" s="74" t="s">
        <v>1334</v>
      </c>
      <c r="K899" s="57"/>
      <c r="L899" s="75">
        <v>90</v>
      </c>
      <c r="M899" s="60">
        <v>3</v>
      </c>
      <c r="N899" s="76">
        <v>1</v>
      </c>
      <c r="O899" s="42"/>
      <c r="P899" s="58" t="s">
        <v>88</v>
      </c>
      <c r="Q899" s="61"/>
      <c r="R899" s="62"/>
      <c r="S899" s="78">
        <f t="shared" si="42"/>
        <v>3</v>
      </c>
      <c r="T899" s="44" t="str">
        <f t="shared" si="43"/>
        <v>3kilos</v>
      </c>
      <c r="U899" s="77">
        <f t="shared" si="44"/>
        <v>270</v>
      </c>
      <c r="V899" s="46"/>
      <c r="W899" s="46"/>
      <c r="X899" s="46"/>
    </row>
    <row r="900" spans="1:24" ht="15.75" customHeight="1" thickBot="1" x14ac:dyDescent="0.35">
      <c r="A900" s="40" t="e">
        <v>#N/A</v>
      </c>
      <c r="B900" s="67" t="s">
        <v>478</v>
      </c>
      <c r="C900" s="55"/>
      <c r="D900" s="41"/>
      <c r="E900" s="55"/>
      <c r="F900" s="55"/>
      <c r="G900" s="55"/>
      <c r="H900" s="51"/>
      <c r="I900" s="52"/>
      <c r="J900" s="74"/>
      <c r="K900" s="57"/>
      <c r="L900" s="75">
        <v>85</v>
      </c>
      <c r="M900" s="60">
        <v>4</v>
      </c>
      <c r="N900" s="76">
        <v>1</v>
      </c>
      <c r="O900" s="42"/>
      <c r="P900" s="58" t="s">
        <v>88</v>
      </c>
      <c r="Q900" s="61"/>
      <c r="R900" s="62"/>
      <c r="S900" s="78">
        <f t="shared" si="42"/>
        <v>4</v>
      </c>
      <c r="T900" s="44" t="str">
        <f t="shared" si="43"/>
        <v>4kilos</v>
      </c>
      <c r="U900" s="77">
        <f t="shared" si="44"/>
        <v>340</v>
      </c>
      <c r="V900" s="46"/>
      <c r="W900" s="46"/>
      <c r="X900" s="46"/>
    </row>
    <row r="901" spans="1:24" ht="15.75" customHeight="1" thickBot="1" x14ac:dyDescent="0.35">
      <c r="A901" s="40" t="e">
        <v>#N/A</v>
      </c>
      <c r="B901" s="67" t="s">
        <v>478</v>
      </c>
      <c r="C901" s="55"/>
      <c r="D901" s="41"/>
      <c r="E901" s="55"/>
      <c r="F901" s="55"/>
      <c r="G901" s="55"/>
      <c r="H901" s="51"/>
      <c r="I901" s="52"/>
      <c r="J901" s="74" t="s">
        <v>1297</v>
      </c>
      <c r="K901" s="57"/>
      <c r="L901" s="75">
        <v>100</v>
      </c>
      <c r="M901" s="60">
        <v>1</v>
      </c>
      <c r="N901" s="76">
        <v>1</v>
      </c>
      <c r="O901" s="42"/>
      <c r="P901" s="58" t="s">
        <v>88</v>
      </c>
      <c r="Q901" s="61"/>
      <c r="R901" s="62"/>
      <c r="S901" s="78">
        <f t="shared" si="42"/>
        <v>1</v>
      </c>
      <c r="T901" s="44" t="str">
        <f t="shared" si="43"/>
        <v>1kilos</v>
      </c>
      <c r="U901" s="77">
        <f t="shared" si="44"/>
        <v>100</v>
      </c>
      <c r="V901" s="46"/>
      <c r="W901" s="46"/>
      <c r="X901" s="46"/>
    </row>
    <row r="902" spans="1:24" ht="15.75" customHeight="1" thickBot="1" x14ac:dyDescent="0.35">
      <c r="A902" s="40" t="e">
        <v>#N/A</v>
      </c>
      <c r="B902" s="67" t="s">
        <v>478</v>
      </c>
      <c r="C902" s="55"/>
      <c r="D902" s="41"/>
      <c r="E902" s="55"/>
      <c r="F902" s="55"/>
      <c r="G902" s="55"/>
      <c r="H902" s="51"/>
      <c r="I902" s="52"/>
      <c r="J902" s="74" t="s">
        <v>1297</v>
      </c>
      <c r="K902" s="57"/>
      <c r="L902" s="75">
        <v>85</v>
      </c>
      <c r="M902" s="60">
        <v>4</v>
      </c>
      <c r="N902" s="76">
        <v>1</v>
      </c>
      <c r="O902" s="42"/>
      <c r="P902" s="58" t="s">
        <v>88</v>
      </c>
      <c r="Q902" s="61"/>
      <c r="R902" s="62"/>
      <c r="S902" s="78">
        <f t="shared" si="42"/>
        <v>4</v>
      </c>
      <c r="T902" s="44" t="str">
        <f t="shared" si="43"/>
        <v>4kilos</v>
      </c>
      <c r="U902" s="77">
        <f t="shared" si="44"/>
        <v>340</v>
      </c>
      <c r="V902" s="46"/>
      <c r="W902" s="46"/>
      <c r="X902" s="46"/>
    </row>
    <row r="903" spans="1:24" ht="15.75" customHeight="1" thickBot="1" x14ac:dyDescent="0.35">
      <c r="A903" s="40" t="e">
        <v>#N/A</v>
      </c>
      <c r="B903" s="67" t="s">
        <v>478</v>
      </c>
      <c r="C903" s="55"/>
      <c r="D903" s="41"/>
      <c r="E903" s="55"/>
      <c r="F903" s="55"/>
      <c r="G903" s="55"/>
      <c r="H903" s="51"/>
      <c r="I903" s="52"/>
      <c r="J903" s="74" t="s">
        <v>829</v>
      </c>
      <c r="K903" s="57"/>
      <c r="L903" s="75">
        <v>120</v>
      </c>
      <c r="M903" s="60">
        <v>3</v>
      </c>
      <c r="N903" s="76">
        <v>1000</v>
      </c>
      <c r="O903" s="42"/>
      <c r="P903" s="58" t="s">
        <v>36</v>
      </c>
      <c r="Q903" s="61"/>
      <c r="R903" s="62"/>
      <c r="S903" s="78">
        <f t="shared" si="42"/>
        <v>3000</v>
      </c>
      <c r="T903" s="44" t="str">
        <f t="shared" si="43"/>
        <v>3000grams</v>
      </c>
      <c r="U903" s="77">
        <f t="shared" si="44"/>
        <v>360</v>
      </c>
      <c r="V903" s="46"/>
      <c r="W903" s="46"/>
      <c r="X903" s="46"/>
    </row>
    <row r="904" spans="1:24" ht="15.75" customHeight="1" thickBot="1" x14ac:dyDescent="0.35">
      <c r="A904" s="40" t="e">
        <v>#N/A</v>
      </c>
      <c r="B904" s="68" t="s">
        <v>478</v>
      </c>
      <c r="C904" s="55"/>
      <c r="D904" s="41"/>
      <c r="E904" s="55"/>
      <c r="F904" s="55"/>
      <c r="G904" s="55"/>
      <c r="H904" s="51"/>
      <c r="I904" s="52"/>
      <c r="J904" s="74" t="s">
        <v>1377</v>
      </c>
      <c r="K904" s="57"/>
      <c r="L904" s="75">
        <v>85</v>
      </c>
      <c r="M904" s="60">
        <v>2</v>
      </c>
      <c r="N904" s="76">
        <v>1</v>
      </c>
      <c r="O904" s="42"/>
      <c r="P904" s="58" t="s">
        <v>88</v>
      </c>
      <c r="Q904" s="61"/>
      <c r="R904" s="62"/>
      <c r="S904" s="78">
        <f t="shared" si="42"/>
        <v>2</v>
      </c>
      <c r="T904" s="44" t="str">
        <f t="shared" si="43"/>
        <v>2kilos</v>
      </c>
      <c r="U904" s="77">
        <f t="shared" si="44"/>
        <v>170</v>
      </c>
      <c r="V904" s="46"/>
      <c r="W904" s="46"/>
      <c r="X904" s="46"/>
    </row>
    <row r="905" spans="1:24" ht="15.75" customHeight="1" thickBot="1" x14ac:dyDescent="0.35">
      <c r="A905" s="40" t="e">
        <v>#N/A</v>
      </c>
      <c r="B905" s="67" t="s">
        <v>1378</v>
      </c>
      <c r="C905" s="55"/>
      <c r="D905" s="41"/>
      <c r="E905" s="55"/>
      <c r="F905" s="55"/>
      <c r="G905" s="55"/>
      <c r="H905" s="51"/>
      <c r="I905" s="52"/>
      <c r="J905" s="74"/>
      <c r="K905" s="57"/>
      <c r="L905" s="75">
        <v>35</v>
      </c>
      <c r="M905" s="60">
        <v>1</v>
      </c>
      <c r="N905" s="76">
        <v>1000</v>
      </c>
      <c r="O905" s="42"/>
      <c r="P905" s="58" t="s">
        <v>36</v>
      </c>
      <c r="Q905" s="61"/>
      <c r="R905" s="62"/>
      <c r="S905" s="78">
        <f t="shared" si="42"/>
        <v>1000</v>
      </c>
      <c r="T905" s="44" t="str">
        <f t="shared" si="43"/>
        <v>1000grams</v>
      </c>
      <c r="U905" s="77">
        <f t="shared" si="44"/>
        <v>35</v>
      </c>
      <c r="V905" s="46"/>
      <c r="W905" s="46"/>
      <c r="X905" s="46"/>
    </row>
    <row r="906" spans="1:24" ht="15.75" customHeight="1" thickBot="1" x14ac:dyDescent="0.35">
      <c r="A906" s="40" t="e">
        <v>#N/A</v>
      </c>
      <c r="B906" s="67" t="s">
        <v>1379</v>
      </c>
      <c r="C906" s="55"/>
      <c r="D906" s="41"/>
      <c r="E906" s="55"/>
      <c r="F906" s="55"/>
      <c r="G906" s="55"/>
      <c r="H906" s="51"/>
      <c r="I906" s="52"/>
      <c r="J906" s="74" t="s">
        <v>1380</v>
      </c>
      <c r="K906" s="57"/>
      <c r="L906" s="75">
        <v>47</v>
      </c>
      <c r="M906" s="60">
        <v>1</v>
      </c>
      <c r="N906" s="76">
        <v>1000</v>
      </c>
      <c r="O906" s="42"/>
      <c r="P906" s="58" t="s">
        <v>36</v>
      </c>
      <c r="Q906" s="61"/>
      <c r="R906" s="62"/>
      <c r="S906" s="78">
        <f t="shared" si="42"/>
        <v>1000</v>
      </c>
      <c r="T906" s="44" t="str">
        <f t="shared" si="43"/>
        <v>1000grams</v>
      </c>
      <c r="U906" s="77">
        <f t="shared" si="44"/>
        <v>47</v>
      </c>
      <c r="V906" s="46"/>
      <c r="W906" s="46"/>
      <c r="X906" s="46"/>
    </row>
    <row r="907" spans="1:24" ht="15.75" customHeight="1" thickBot="1" x14ac:dyDescent="0.35">
      <c r="A907" s="40" t="e">
        <v>#N/A</v>
      </c>
      <c r="B907" s="67" t="s">
        <v>1381</v>
      </c>
      <c r="C907" s="55"/>
      <c r="D907" s="41"/>
      <c r="E907" s="55"/>
      <c r="F907" s="55"/>
      <c r="G907" s="55"/>
      <c r="H907" s="51"/>
      <c r="I907" s="52"/>
      <c r="J907" s="74"/>
      <c r="K907" s="57"/>
      <c r="L907" s="75">
        <v>100</v>
      </c>
      <c r="M907" s="60">
        <v>1</v>
      </c>
      <c r="N907" s="76">
        <v>1000</v>
      </c>
      <c r="O907" s="42"/>
      <c r="P907" s="58" t="s">
        <v>36</v>
      </c>
      <c r="Q907" s="61"/>
      <c r="R907" s="62"/>
      <c r="S907" s="78">
        <f t="shared" si="42"/>
        <v>1000</v>
      </c>
      <c r="T907" s="44" t="str">
        <f t="shared" si="43"/>
        <v>1000grams</v>
      </c>
      <c r="U907" s="77">
        <f t="shared" si="44"/>
        <v>100</v>
      </c>
      <c r="V907" s="46"/>
      <c r="W907" s="46"/>
      <c r="X907" s="46"/>
    </row>
    <row r="908" spans="1:24" ht="15.75" customHeight="1" thickBot="1" x14ac:dyDescent="0.35">
      <c r="A908" s="40" t="e">
        <v>#N/A</v>
      </c>
      <c r="B908" s="67" t="s">
        <v>484</v>
      </c>
      <c r="C908" s="55"/>
      <c r="D908" s="41"/>
      <c r="E908" s="55"/>
      <c r="F908" s="55"/>
      <c r="G908" s="55"/>
      <c r="H908" s="51"/>
      <c r="I908" s="52"/>
      <c r="J908" s="74" t="s">
        <v>1119</v>
      </c>
      <c r="K908" s="57"/>
      <c r="L908" s="75">
        <v>317.8</v>
      </c>
      <c r="M908" s="60">
        <v>1</v>
      </c>
      <c r="N908" s="76">
        <v>1000</v>
      </c>
      <c r="O908" s="42"/>
      <c r="P908" s="58" t="s">
        <v>36</v>
      </c>
      <c r="Q908" s="61"/>
      <c r="R908" s="62"/>
      <c r="S908" s="78">
        <f t="shared" si="42"/>
        <v>1000</v>
      </c>
      <c r="T908" s="44" t="str">
        <f t="shared" si="43"/>
        <v>1000grams</v>
      </c>
      <c r="U908" s="77">
        <f t="shared" si="44"/>
        <v>317.8</v>
      </c>
      <c r="V908" s="46"/>
      <c r="W908" s="46"/>
      <c r="X908" s="46"/>
    </row>
    <row r="909" spans="1:24" ht="15.75" customHeight="1" thickBot="1" x14ac:dyDescent="0.35">
      <c r="A909" s="40" t="e">
        <v>#N/A</v>
      </c>
      <c r="B909" s="67" t="s">
        <v>484</v>
      </c>
      <c r="C909" s="55"/>
      <c r="D909" s="41"/>
      <c r="E909" s="55"/>
      <c r="F909" s="55"/>
      <c r="G909" s="55"/>
      <c r="H909" s="51"/>
      <c r="I909" s="52"/>
      <c r="J909" s="74" t="s">
        <v>1119</v>
      </c>
      <c r="K909" s="57"/>
      <c r="L909" s="75">
        <v>517.45000000000005</v>
      </c>
      <c r="M909" s="60">
        <v>1</v>
      </c>
      <c r="N909" s="76">
        <v>2</v>
      </c>
      <c r="O909" s="42"/>
      <c r="P909" s="58" t="s">
        <v>88</v>
      </c>
      <c r="Q909" s="61"/>
      <c r="R909" s="62"/>
      <c r="S909" s="78">
        <f t="shared" si="42"/>
        <v>2</v>
      </c>
      <c r="T909" s="44" t="str">
        <f t="shared" si="43"/>
        <v>2kilos</v>
      </c>
      <c r="U909" s="77">
        <f t="shared" si="44"/>
        <v>517.45000000000005</v>
      </c>
      <c r="V909" s="46"/>
      <c r="W909" s="46"/>
      <c r="X909" s="46"/>
    </row>
    <row r="910" spans="1:24" ht="15.75" customHeight="1" thickBot="1" x14ac:dyDescent="0.35">
      <c r="A910" s="40" t="e">
        <v>#N/A</v>
      </c>
      <c r="B910" s="67" t="s">
        <v>484</v>
      </c>
      <c r="C910" s="55"/>
      <c r="D910" s="41"/>
      <c r="E910" s="55"/>
      <c r="F910" s="55"/>
      <c r="G910" s="55"/>
      <c r="H910" s="51"/>
      <c r="I910" s="52"/>
      <c r="J910" s="74" t="s">
        <v>181</v>
      </c>
      <c r="K910" s="57"/>
      <c r="L910" s="75">
        <v>317.8</v>
      </c>
      <c r="M910" s="60">
        <v>1</v>
      </c>
      <c r="N910" s="76">
        <v>1000</v>
      </c>
      <c r="O910" s="42"/>
      <c r="P910" s="58" t="s">
        <v>36</v>
      </c>
      <c r="Q910" s="61"/>
      <c r="R910" s="62"/>
      <c r="S910" s="78">
        <f t="shared" si="42"/>
        <v>1000</v>
      </c>
      <c r="T910" s="44" t="str">
        <f t="shared" si="43"/>
        <v>1000grams</v>
      </c>
      <c r="U910" s="77">
        <f t="shared" si="44"/>
        <v>317.8</v>
      </c>
      <c r="V910" s="46"/>
      <c r="W910" s="46"/>
      <c r="X910" s="46"/>
    </row>
    <row r="911" spans="1:24" ht="15.75" customHeight="1" thickBot="1" x14ac:dyDescent="0.35">
      <c r="A911" s="40" t="e">
        <v>#N/A</v>
      </c>
      <c r="B911" s="67" t="s">
        <v>484</v>
      </c>
      <c r="C911" s="55"/>
      <c r="D911" s="41"/>
      <c r="E911" s="55"/>
      <c r="F911" s="55"/>
      <c r="G911" s="55"/>
      <c r="H911" s="51"/>
      <c r="I911" s="52"/>
      <c r="J911" s="74" t="s">
        <v>1382</v>
      </c>
      <c r="K911" s="57"/>
      <c r="L911" s="75">
        <v>65</v>
      </c>
      <c r="M911" s="60">
        <v>2</v>
      </c>
      <c r="N911" s="76">
        <v>200</v>
      </c>
      <c r="O911" s="42"/>
      <c r="P911" s="58" t="s">
        <v>36</v>
      </c>
      <c r="Q911" s="61"/>
      <c r="R911" s="62"/>
      <c r="S911" s="78">
        <f t="shared" si="42"/>
        <v>400</v>
      </c>
      <c r="T911" s="44" t="str">
        <f t="shared" si="43"/>
        <v>400grams</v>
      </c>
      <c r="U911" s="77">
        <f t="shared" si="44"/>
        <v>130</v>
      </c>
      <c r="V911" s="46"/>
      <c r="W911" s="46"/>
      <c r="X911" s="46"/>
    </row>
    <row r="912" spans="1:24" ht="15.75" customHeight="1" thickBot="1" x14ac:dyDescent="0.35">
      <c r="A912" s="40" t="e">
        <v>#N/A</v>
      </c>
      <c r="B912" s="67" t="s">
        <v>484</v>
      </c>
      <c r="C912" s="55"/>
      <c r="D912" s="41"/>
      <c r="E912" s="55"/>
      <c r="F912" s="55"/>
      <c r="G912" s="55"/>
      <c r="H912" s="51"/>
      <c r="I912" s="52"/>
      <c r="J912" s="74" t="s">
        <v>709</v>
      </c>
      <c r="K912" s="57"/>
      <c r="L912" s="75">
        <v>90</v>
      </c>
      <c r="M912" s="60">
        <v>0</v>
      </c>
      <c r="N912" s="76">
        <v>1</v>
      </c>
      <c r="O912" s="42"/>
      <c r="P912" s="58" t="s">
        <v>88</v>
      </c>
      <c r="Q912" s="61"/>
      <c r="R912" s="62"/>
      <c r="S912" s="78">
        <f t="shared" si="42"/>
        <v>0</v>
      </c>
      <c r="T912" s="44" t="str">
        <f t="shared" si="43"/>
        <v>0kilos</v>
      </c>
      <c r="U912" s="77">
        <f t="shared" si="44"/>
        <v>0</v>
      </c>
      <c r="V912" s="46"/>
      <c r="W912" s="46"/>
      <c r="X912" s="46"/>
    </row>
    <row r="913" spans="1:24" ht="15.75" customHeight="1" thickBot="1" x14ac:dyDescent="0.35">
      <c r="A913" s="40" t="e">
        <v>#N/A</v>
      </c>
      <c r="B913" s="67" t="s">
        <v>484</v>
      </c>
      <c r="C913" s="55"/>
      <c r="D913" s="41"/>
      <c r="E913" s="55"/>
      <c r="F913" s="55"/>
      <c r="G913" s="55"/>
      <c r="H913" s="51"/>
      <c r="I913" s="52"/>
      <c r="J913" s="74" t="s">
        <v>1383</v>
      </c>
      <c r="K913" s="57"/>
      <c r="L913" s="75">
        <v>47</v>
      </c>
      <c r="M913" s="60">
        <v>1</v>
      </c>
      <c r="N913" s="76">
        <v>200</v>
      </c>
      <c r="O913" s="42"/>
      <c r="P913" s="58" t="s">
        <v>36</v>
      </c>
      <c r="Q913" s="61"/>
      <c r="R913" s="62"/>
      <c r="S913" s="78">
        <f t="shared" si="42"/>
        <v>200</v>
      </c>
      <c r="T913" s="44" t="str">
        <f t="shared" si="43"/>
        <v>200grams</v>
      </c>
      <c r="U913" s="77">
        <f t="shared" si="44"/>
        <v>47</v>
      </c>
      <c r="V913" s="46"/>
      <c r="W913" s="46"/>
      <c r="X913" s="46"/>
    </row>
    <row r="914" spans="1:24" ht="15.75" customHeight="1" thickBot="1" x14ac:dyDescent="0.35">
      <c r="A914" s="40" t="e">
        <v>#N/A</v>
      </c>
      <c r="B914" s="67" t="s">
        <v>484</v>
      </c>
      <c r="C914" s="55"/>
      <c r="D914" s="41"/>
      <c r="E914" s="55"/>
      <c r="F914" s="55"/>
      <c r="G914" s="55"/>
      <c r="H914" s="51"/>
      <c r="I914" s="52"/>
      <c r="J914" s="74" t="s">
        <v>1119</v>
      </c>
      <c r="K914" s="57"/>
      <c r="L914" s="75">
        <v>299.2</v>
      </c>
      <c r="M914" s="60">
        <v>2</v>
      </c>
      <c r="N914" s="76">
        <v>1</v>
      </c>
      <c r="O914" s="42"/>
      <c r="P914" s="58" t="s">
        <v>88</v>
      </c>
      <c r="Q914" s="61"/>
      <c r="R914" s="62"/>
      <c r="S914" s="78">
        <f t="shared" si="42"/>
        <v>2</v>
      </c>
      <c r="T914" s="44" t="str">
        <f t="shared" si="43"/>
        <v>2kilos</v>
      </c>
      <c r="U914" s="77">
        <f t="shared" si="44"/>
        <v>598.4</v>
      </c>
      <c r="V914" s="46"/>
      <c r="W914" s="46"/>
      <c r="X914" s="46"/>
    </row>
    <row r="915" spans="1:24" ht="15.75" customHeight="1" thickBot="1" x14ac:dyDescent="0.35">
      <c r="A915" s="40" t="e">
        <v>#N/A</v>
      </c>
      <c r="B915" s="68" t="s">
        <v>484</v>
      </c>
      <c r="C915" s="55"/>
      <c r="D915" s="41"/>
      <c r="E915" s="55"/>
      <c r="F915" s="55"/>
      <c r="G915" s="55"/>
      <c r="H915" s="51"/>
      <c r="I915" s="52"/>
      <c r="J915" s="74" t="s">
        <v>1384</v>
      </c>
      <c r="K915" s="57"/>
      <c r="L915" s="75">
        <v>49.09</v>
      </c>
      <c r="M915" s="60">
        <v>9</v>
      </c>
      <c r="N915" s="76">
        <v>500</v>
      </c>
      <c r="O915" s="42"/>
      <c r="P915" s="58" t="s">
        <v>36</v>
      </c>
      <c r="Q915" s="61"/>
      <c r="R915" s="62"/>
      <c r="S915" s="78">
        <f t="shared" si="42"/>
        <v>4500</v>
      </c>
      <c r="T915" s="44" t="str">
        <f t="shared" si="43"/>
        <v>4500grams</v>
      </c>
      <c r="U915" s="77">
        <f t="shared" si="44"/>
        <v>441.81000000000006</v>
      </c>
      <c r="V915" s="46"/>
      <c r="W915" s="46"/>
      <c r="X915" s="46"/>
    </row>
    <row r="916" spans="1:24" ht="15.75" customHeight="1" thickBot="1" x14ac:dyDescent="0.35">
      <c r="A916" s="40" t="e">
        <v>#N/A</v>
      </c>
      <c r="B916" s="68" t="s">
        <v>1385</v>
      </c>
      <c r="C916" s="55"/>
      <c r="D916" s="41"/>
      <c r="E916" s="55"/>
      <c r="F916" s="55"/>
      <c r="G916" s="55"/>
      <c r="H916" s="51"/>
      <c r="I916" s="52"/>
      <c r="J916" s="74" t="s">
        <v>816</v>
      </c>
      <c r="K916" s="57"/>
      <c r="L916" s="75">
        <v>57.1</v>
      </c>
      <c r="M916" s="60">
        <v>2</v>
      </c>
      <c r="N916" s="76">
        <v>7</v>
      </c>
      <c r="O916" s="42"/>
      <c r="P916" s="58" t="s">
        <v>36</v>
      </c>
      <c r="Q916" s="61"/>
      <c r="R916" s="62"/>
      <c r="S916" s="78">
        <f t="shared" si="42"/>
        <v>14</v>
      </c>
      <c r="T916" s="44" t="str">
        <f t="shared" si="43"/>
        <v>14grams</v>
      </c>
      <c r="U916" s="77">
        <f t="shared" si="44"/>
        <v>114.2</v>
      </c>
      <c r="V916" s="46"/>
      <c r="W916" s="46"/>
      <c r="X916" s="46"/>
    </row>
    <row r="917" spans="1:24" ht="15.75" customHeight="1" thickBot="1" x14ac:dyDescent="0.35">
      <c r="A917" s="40" t="e">
        <v>#N/A</v>
      </c>
      <c r="B917" s="68" t="s">
        <v>1386</v>
      </c>
      <c r="C917" s="55"/>
      <c r="D917" s="41"/>
      <c r="E917" s="55"/>
      <c r="F917" s="55"/>
      <c r="G917" s="55"/>
      <c r="H917" s="51"/>
      <c r="I917" s="52"/>
      <c r="J917" s="74" t="s">
        <v>1387</v>
      </c>
      <c r="K917" s="57"/>
      <c r="L917" s="75">
        <v>24.6</v>
      </c>
      <c r="M917" s="60">
        <v>8</v>
      </c>
      <c r="N917" s="76">
        <v>84</v>
      </c>
      <c r="O917" s="42"/>
      <c r="P917" s="58" t="s">
        <v>36</v>
      </c>
      <c r="Q917" s="61"/>
      <c r="R917" s="62"/>
      <c r="S917" s="78">
        <f t="shared" si="42"/>
        <v>672</v>
      </c>
      <c r="T917" s="44" t="str">
        <f t="shared" si="43"/>
        <v>672grams</v>
      </c>
      <c r="U917" s="77">
        <f t="shared" si="44"/>
        <v>196.8</v>
      </c>
      <c r="V917" s="46"/>
      <c r="W917" s="46"/>
      <c r="X917" s="46"/>
    </row>
    <row r="918" spans="1:24" ht="15.75" customHeight="1" thickBot="1" x14ac:dyDescent="0.35">
      <c r="A918" s="40" t="e">
        <v>#N/A</v>
      </c>
      <c r="B918" s="67" t="s">
        <v>488</v>
      </c>
      <c r="C918" s="55"/>
      <c r="D918" s="41"/>
      <c r="E918" s="55"/>
      <c r="F918" s="55"/>
      <c r="G918" s="55"/>
      <c r="H918" s="51"/>
      <c r="I918" s="52"/>
      <c r="J918" s="74" t="s">
        <v>1388</v>
      </c>
      <c r="K918" s="57"/>
      <c r="L918" s="75">
        <v>11.9</v>
      </c>
      <c r="M918" s="60">
        <v>13</v>
      </c>
      <c r="N918" s="76">
        <v>24</v>
      </c>
      <c r="O918" s="42"/>
      <c r="P918" s="58" t="s">
        <v>36</v>
      </c>
      <c r="Q918" s="61"/>
      <c r="R918" s="62"/>
      <c r="S918" s="78">
        <f t="shared" si="42"/>
        <v>312</v>
      </c>
      <c r="T918" s="44" t="str">
        <f t="shared" si="43"/>
        <v>312grams</v>
      </c>
      <c r="U918" s="77">
        <f t="shared" si="44"/>
        <v>154.70000000000002</v>
      </c>
      <c r="V918" s="46"/>
      <c r="W918" s="46"/>
      <c r="X918" s="46"/>
    </row>
    <row r="919" spans="1:24" ht="15.75" customHeight="1" thickBot="1" x14ac:dyDescent="0.35">
      <c r="A919" s="40" t="e">
        <v>#N/A</v>
      </c>
      <c r="B919" s="67" t="s">
        <v>1389</v>
      </c>
      <c r="C919" s="55"/>
      <c r="D919" s="41"/>
      <c r="E919" s="55"/>
      <c r="F919" s="55"/>
      <c r="G919" s="55"/>
      <c r="H919" s="51"/>
      <c r="I919" s="52"/>
      <c r="J919" s="74" t="s">
        <v>1390</v>
      </c>
      <c r="K919" s="57"/>
      <c r="L919" s="75">
        <v>11</v>
      </c>
      <c r="M919" s="60">
        <v>9</v>
      </c>
      <c r="N919" s="76">
        <v>27</v>
      </c>
      <c r="O919" s="42"/>
      <c r="P919" s="58" t="s">
        <v>47</v>
      </c>
      <c r="Q919" s="61"/>
      <c r="R919" s="62"/>
      <c r="S919" s="78">
        <f t="shared" si="42"/>
        <v>243</v>
      </c>
      <c r="T919" s="44" t="str">
        <f t="shared" si="43"/>
        <v>243ml</v>
      </c>
      <c r="U919" s="77">
        <f t="shared" si="44"/>
        <v>99</v>
      </c>
      <c r="V919" s="46"/>
      <c r="W919" s="46"/>
      <c r="X919" s="46"/>
    </row>
    <row r="920" spans="1:24" ht="15.75" customHeight="1" thickBot="1" x14ac:dyDescent="0.35">
      <c r="A920" s="40" t="e">
        <v>#N/A</v>
      </c>
      <c r="B920" s="67" t="s">
        <v>1389</v>
      </c>
      <c r="C920" s="55"/>
      <c r="D920" s="41"/>
      <c r="E920" s="55"/>
      <c r="F920" s="55"/>
      <c r="G920" s="55"/>
      <c r="H920" s="51"/>
      <c r="I920" s="52"/>
      <c r="J920" s="74" t="s">
        <v>1391</v>
      </c>
      <c r="K920" s="57"/>
      <c r="L920" s="75">
        <v>428</v>
      </c>
      <c r="M920" s="60">
        <v>2</v>
      </c>
      <c r="N920" s="76">
        <v>3500</v>
      </c>
      <c r="O920" s="42"/>
      <c r="P920" s="58" t="s">
        <v>47</v>
      </c>
      <c r="Q920" s="61"/>
      <c r="R920" s="62"/>
      <c r="S920" s="78">
        <f t="shared" si="42"/>
        <v>7000</v>
      </c>
      <c r="T920" s="44" t="str">
        <f t="shared" si="43"/>
        <v>7000ml</v>
      </c>
      <c r="U920" s="77">
        <f t="shared" si="44"/>
        <v>856</v>
      </c>
      <c r="V920" s="46"/>
      <c r="W920" s="46"/>
      <c r="X920" s="46"/>
    </row>
    <row r="921" spans="1:24" ht="15.75" customHeight="1" thickBot="1" x14ac:dyDescent="0.35">
      <c r="A921" s="40" t="e">
        <v>#N/A</v>
      </c>
      <c r="B921" s="67" t="s">
        <v>1389</v>
      </c>
      <c r="C921" s="55"/>
      <c r="D921" s="41"/>
      <c r="E921" s="55"/>
      <c r="F921" s="55"/>
      <c r="G921" s="55"/>
      <c r="H921" s="51"/>
      <c r="I921" s="52"/>
      <c r="J921" s="74" t="s">
        <v>1391</v>
      </c>
      <c r="K921" s="57"/>
      <c r="L921" s="75">
        <v>435</v>
      </c>
      <c r="M921" s="60">
        <v>1</v>
      </c>
      <c r="N921" s="76">
        <v>3500</v>
      </c>
      <c r="O921" s="42"/>
      <c r="P921" s="58" t="s">
        <v>47</v>
      </c>
      <c r="Q921" s="61"/>
      <c r="R921" s="62"/>
      <c r="S921" s="78">
        <f t="shared" si="42"/>
        <v>3500</v>
      </c>
      <c r="T921" s="44" t="str">
        <f t="shared" si="43"/>
        <v>3500ml</v>
      </c>
      <c r="U921" s="77">
        <f t="shared" si="44"/>
        <v>435</v>
      </c>
      <c r="V921" s="46"/>
      <c r="W921" s="46"/>
      <c r="X921" s="46"/>
    </row>
    <row r="922" spans="1:24" ht="15.75" customHeight="1" thickBot="1" x14ac:dyDescent="0.35">
      <c r="A922" s="40" t="e">
        <v>#N/A</v>
      </c>
      <c r="B922" s="67" t="s">
        <v>1389</v>
      </c>
      <c r="C922" s="55"/>
      <c r="D922" s="41"/>
      <c r="E922" s="55"/>
      <c r="F922" s="55"/>
      <c r="G922" s="55"/>
      <c r="H922" s="51"/>
      <c r="I922" s="52"/>
      <c r="J922" s="74" t="s">
        <v>1391</v>
      </c>
      <c r="K922" s="57"/>
      <c r="L922" s="75">
        <v>490.7</v>
      </c>
      <c r="M922" s="60">
        <v>3</v>
      </c>
      <c r="N922" s="76">
        <v>3500</v>
      </c>
      <c r="O922" s="42"/>
      <c r="P922" s="58" t="s">
        <v>47</v>
      </c>
      <c r="Q922" s="61"/>
      <c r="R922" s="62"/>
      <c r="S922" s="78">
        <f t="shared" si="42"/>
        <v>10500</v>
      </c>
      <c r="T922" s="44" t="str">
        <f t="shared" si="43"/>
        <v>10500ml</v>
      </c>
      <c r="U922" s="77">
        <f t="shared" si="44"/>
        <v>1472.1</v>
      </c>
      <c r="V922" s="46"/>
      <c r="W922" s="46"/>
      <c r="X922" s="46"/>
    </row>
    <row r="923" spans="1:24" ht="15.75" customHeight="1" thickBot="1" x14ac:dyDescent="0.35">
      <c r="A923" s="40" t="e">
        <v>#N/A</v>
      </c>
      <c r="B923" s="67" t="s">
        <v>1389</v>
      </c>
      <c r="C923" s="55"/>
      <c r="D923" s="41"/>
      <c r="E923" s="55"/>
      <c r="F923" s="55"/>
      <c r="G923" s="55"/>
      <c r="H923" s="51"/>
      <c r="I923" s="52"/>
      <c r="J923" s="74" t="s">
        <v>1391</v>
      </c>
      <c r="K923" s="57"/>
      <c r="L923" s="75">
        <v>420</v>
      </c>
      <c r="M923" s="60">
        <v>4</v>
      </c>
      <c r="N923" s="76">
        <v>3500</v>
      </c>
      <c r="O923" s="42"/>
      <c r="P923" s="58" t="s">
        <v>47</v>
      </c>
      <c r="Q923" s="61"/>
      <c r="R923" s="62"/>
      <c r="S923" s="78">
        <f t="shared" si="42"/>
        <v>14000</v>
      </c>
      <c r="T923" s="44" t="str">
        <f t="shared" si="43"/>
        <v>14000ml</v>
      </c>
      <c r="U923" s="77">
        <f t="shared" si="44"/>
        <v>1680</v>
      </c>
      <c r="V923" s="46"/>
      <c r="W923" s="46"/>
      <c r="X923" s="46"/>
    </row>
    <row r="924" spans="1:24" ht="15.75" customHeight="1" thickBot="1" x14ac:dyDescent="0.35">
      <c r="A924" s="40" t="e">
        <v>#N/A</v>
      </c>
      <c r="B924" s="67" t="s">
        <v>1389</v>
      </c>
      <c r="C924" s="55"/>
      <c r="D924" s="41"/>
      <c r="E924" s="55"/>
      <c r="F924" s="55"/>
      <c r="G924" s="55"/>
      <c r="H924" s="51"/>
      <c r="I924" s="52"/>
      <c r="J924" s="74" t="s">
        <v>1390</v>
      </c>
      <c r="K924" s="57"/>
      <c r="L924" s="75">
        <v>1217</v>
      </c>
      <c r="M924" s="60">
        <v>2</v>
      </c>
      <c r="N924" s="76">
        <v>3500</v>
      </c>
      <c r="O924" s="42"/>
      <c r="P924" s="58" t="s">
        <v>47</v>
      </c>
      <c r="Q924" s="61"/>
      <c r="R924" s="62"/>
      <c r="S924" s="78">
        <f t="shared" si="42"/>
        <v>7000</v>
      </c>
      <c r="T924" s="44" t="str">
        <f t="shared" si="43"/>
        <v>7000ml</v>
      </c>
      <c r="U924" s="77">
        <f t="shared" si="44"/>
        <v>2434</v>
      </c>
      <c r="V924" s="46"/>
      <c r="W924" s="46"/>
      <c r="X924" s="46"/>
    </row>
    <row r="925" spans="1:24" ht="15.75" customHeight="1" thickBot="1" x14ac:dyDescent="0.35">
      <c r="A925" s="40" t="e">
        <v>#N/A</v>
      </c>
      <c r="B925" s="67" t="s">
        <v>1392</v>
      </c>
      <c r="C925" s="55"/>
      <c r="D925" s="41"/>
      <c r="E925" s="55"/>
      <c r="F925" s="55"/>
      <c r="G925" s="55"/>
      <c r="H925" s="51"/>
      <c r="I925" s="52"/>
      <c r="J925" s="74" t="s">
        <v>1393</v>
      </c>
      <c r="K925" s="57"/>
      <c r="L925" s="75">
        <v>7.33</v>
      </c>
      <c r="M925" s="60">
        <v>370</v>
      </c>
      <c r="N925" s="76"/>
      <c r="O925" s="42"/>
      <c r="P925" s="58" t="s">
        <v>38</v>
      </c>
      <c r="Q925" s="61"/>
      <c r="R925" s="62"/>
      <c r="S925" s="78">
        <f t="shared" si="42"/>
        <v>0</v>
      </c>
      <c r="T925" s="44" t="str">
        <f t="shared" si="43"/>
        <v>0pieces</v>
      </c>
      <c r="U925" s="77">
        <f t="shared" si="44"/>
        <v>2712.1</v>
      </c>
      <c r="V925" s="46"/>
      <c r="W925" s="46"/>
      <c r="X925" s="46"/>
    </row>
    <row r="926" spans="1:24" ht="15.75" customHeight="1" thickBot="1" x14ac:dyDescent="0.35">
      <c r="A926" s="40" t="e">
        <v>#N/A</v>
      </c>
      <c r="B926" s="67" t="s">
        <v>1392</v>
      </c>
      <c r="C926" s="55"/>
      <c r="D926" s="41"/>
      <c r="E926" s="55"/>
      <c r="F926" s="55"/>
      <c r="G926" s="55"/>
      <c r="H926" s="51"/>
      <c r="I926" s="52"/>
      <c r="J926" s="74" t="s">
        <v>1394</v>
      </c>
      <c r="K926" s="57"/>
      <c r="L926" s="75">
        <v>7.9</v>
      </c>
      <c r="M926" s="60">
        <v>250</v>
      </c>
      <c r="N926" s="76"/>
      <c r="O926" s="42"/>
      <c r="P926" s="58" t="s">
        <v>38</v>
      </c>
      <c r="Q926" s="61"/>
      <c r="R926" s="62"/>
      <c r="S926" s="78">
        <f t="shared" si="42"/>
        <v>0</v>
      </c>
      <c r="T926" s="44" t="str">
        <f t="shared" si="43"/>
        <v>0pieces</v>
      </c>
      <c r="U926" s="77">
        <f t="shared" si="44"/>
        <v>1975</v>
      </c>
      <c r="V926" s="46"/>
      <c r="W926" s="46"/>
      <c r="X926" s="46"/>
    </row>
    <row r="927" spans="1:24" ht="15.75" customHeight="1" thickBot="1" x14ac:dyDescent="0.35">
      <c r="A927" s="40" t="e">
        <v>#N/A</v>
      </c>
      <c r="B927" s="67" t="s">
        <v>1395</v>
      </c>
      <c r="C927" s="55"/>
      <c r="D927" s="41"/>
      <c r="E927" s="55"/>
      <c r="F927" s="55"/>
      <c r="G927" s="55"/>
      <c r="H927" s="51"/>
      <c r="I927" s="52"/>
      <c r="J927" s="74" t="s">
        <v>1330</v>
      </c>
      <c r="K927" s="57"/>
      <c r="L927" s="75">
        <v>31</v>
      </c>
      <c r="M927" s="60">
        <v>4</v>
      </c>
      <c r="N927" s="76">
        <v>210</v>
      </c>
      <c r="O927" s="42"/>
      <c r="P927" s="58" t="s">
        <v>36</v>
      </c>
      <c r="Q927" s="61"/>
      <c r="R927" s="62"/>
      <c r="S927" s="78">
        <f t="shared" si="42"/>
        <v>840</v>
      </c>
      <c r="T927" s="44" t="str">
        <f t="shared" si="43"/>
        <v>840grams</v>
      </c>
      <c r="U927" s="77">
        <f t="shared" si="44"/>
        <v>124</v>
      </c>
      <c r="V927" s="46"/>
      <c r="W927" s="46"/>
      <c r="X927" s="46"/>
    </row>
    <row r="928" spans="1:24" ht="15.75" customHeight="1" thickBot="1" x14ac:dyDescent="0.35">
      <c r="A928" s="40" t="e">
        <v>#N/A</v>
      </c>
      <c r="B928" s="67" t="s">
        <v>1395</v>
      </c>
      <c r="C928" s="55"/>
      <c r="D928" s="41"/>
      <c r="E928" s="55"/>
      <c r="F928" s="55"/>
      <c r="G928" s="55"/>
      <c r="H928" s="51"/>
      <c r="I928" s="52"/>
      <c r="J928" s="74" t="s">
        <v>872</v>
      </c>
      <c r="K928" s="57"/>
      <c r="L928" s="75">
        <v>31.9</v>
      </c>
      <c r="M928" s="60">
        <v>8</v>
      </c>
      <c r="N928" s="76">
        <v>250</v>
      </c>
      <c r="O928" s="42"/>
      <c r="P928" s="58" t="s">
        <v>36</v>
      </c>
      <c r="Q928" s="61"/>
      <c r="R928" s="62"/>
      <c r="S928" s="78">
        <f t="shared" si="42"/>
        <v>2000</v>
      </c>
      <c r="T928" s="44" t="str">
        <f t="shared" si="43"/>
        <v>2000grams</v>
      </c>
      <c r="U928" s="77">
        <f t="shared" si="44"/>
        <v>255.2</v>
      </c>
      <c r="V928" s="46"/>
      <c r="W928" s="46"/>
      <c r="X928" s="46"/>
    </row>
    <row r="929" spans="1:24" ht="15.75" customHeight="1" thickBot="1" x14ac:dyDescent="0.35">
      <c r="A929" s="40" t="e">
        <v>#N/A</v>
      </c>
      <c r="B929" s="67" t="s">
        <v>1395</v>
      </c>
      <c r="C929" s="55"/>
      <c r="D929" s="41"/>
      <c r="E929" s="55"/>
      <c r="F929" s="55"/>
      <c r="G929" s="55"/>
      <c r="H929" s="51"/>
      <c r="I929" s="52"/>
      <c r="J929" s="74" t="s">
        <v>872</v>
      </c>
      <c r="K929" s="57"/>
      <c r="L929" s="75">
        <v>31.9</v>
      </c>
      <c r="M929" s="60">
        <v>8</v>
      </c>
      <c r="N929" s="76">
        <v>250</v>
      </c>
      <c r="O929" s="42"/>
      <c r="P929" s="58" t="s">
        <v>36</v>
      </c>
      <c r="Q929" s="61"/>
      <c r="R929" s="62"/>
      <c r="S929" s="78">
        <f t="shared" si="42"/>
        <v>2000</v>
      </c>
      <c r="T929" s="44" t="str">
        <f t="shared" si="43"/>
        <v>2000grams</v>
      </c>
      <c r="U929" s="77">
        <f t="shared" si="44"/>
        <v>255.2</v>
      </c>
      <c r="V929" s="46"/>
      <c r="W929" s="46"/>
      <c r="X929" s="46"/>
    </row>
    <row r="930" spans="1:24" ht="15.75" customHeight="1" thickBot="1" x14ac:dyDescent="0.35">
      <c r="A930" s="40" t="e">
        <v>#N/A</v>
      </c>
      <c r="B930" s="67" t="s">
        <v>1395</v>
      </c>
      <c r="C930" s="55"/>
      <c r="D930" s="41"/>
      <c r="E930" s="55"/>
      <c r="F930" s="55"/>
      <c r="G930" s="55"/>
      <c r="H930" s="51"/>
      <c r="I930" s="52"/>
      <c r="J930" s="74" t="s">
        <v>872</v>
      </c>
      <c r="K930" s="57"/>
      <c r="L930" s="75">
        <v>35.75</v>
      </c>
      <c r="M930" s="60">
        <v>10</v>
      </c>
      <c r="N930" s="76">
        <v>250</v>
      </c>
      <c r="O930" s="42"/>
      <c r="P930" s="58" t="s">
        <v>36</v>
      </c>
      <c r="Q930" s="61"/>
      <c r="R930" s="62"/>
      <c r="S930" s="78">
        <f t="shared" si="42"/>
        <v>2500</v>
      </c>
      <c r="T930" s="44" t="str">
        <f t="shared" si="43"/>
        <v>2500grams</v>
      </c>
      <c r="U930" s="77">
        <f t="shared" si="44"/>
        <v>357.5</v>
      </c>
      <c r="V930" s="46"/>
      <c r="W930" s="46"/>
      <c r="X930" s="46"/>
    </row>
    <row r="931" spans="1:24" ht="15.75" customHeight="1" thickBot="1" x14ac:dyDescent="0.35">
      <c r="A931" s="40" t="e">
        <v>#N/A</v>
      </c>
      <c r="B931" s="67" t="s">
        <v>1396</v>
      </c>
      <c r="C931" s="55"/>
      <c r="D931" s="41"/>
      <c r="E931" s="55"/>
      <c r="F931" s="55"/>
      <c r="G931" s="55"/>
      <c r="H931" s="51"/>
      <c r="I931" s="52"/>
      <c r="J931" s="74" t="s">
        <v>816</v>
      </c>
      <c r="K931" s="57"/>
      <c r="L931" s="75">
        <v>89</v>
      </c>
      <c r="M931" s="60">
        <v>1</v>
      </c>
      <c r="N931" s="76">
        <v>60</v>
      </c>
      <c r="O931" s="42"/>
      <c r="P931" s="58" t="s">
        <v>36</v>
      </c>
      <c r="Q931" s="61"/>
      <c r="R931" s="62"/>
      <c r="S931" s="78">
        <f t="shared" si="42"/>
        <v>60</v>
      </c>
      <c r="T931" s="44" t="str">
        <f t="shared" si="43"/>
        <v>60grams</v>
      </c>
      <c r="U931" s="77">
        <f t="shared" si="44"/>
        <v>89</v>
      </c>
      <c r="V931" s="46"/>
      <c r="W931" s="46"/>
      <c r="X931" s="46"/>
    </row>
    <row r="932" spans="1:24" ht="15.75" customHeight="1" thickBot="1" x14ac:dyDescent="0.35">
      <c r="A932" s="40" t="e">
        <v>#N/A</v>
      </c>
      <c r="B932" s="67" t="s">
        <v>1397</v>
      </c>
      <c r="C932" s="55"/>
      <c r="D932" s="41"/>
      <c r="E932" s="55"/>
      <c r="F932" s="55"/>
      <c r="G932" s="55"/>
      <c r="H932" s="51"/>
      <c r="I932" s="52"/>
      <c r="J932" s="74"/>
      <c r="K932" s="57"/>
      <c r="L932" s="75">
        <v>80</v>
      </c>
      <c r="M932" s="60">
        <v>5</v>
      </c>
      <c r="N932" s="76">
        <v>1000</v>
      </c>
      <c r="O932" s="42"/>
      <c r="P932" s="58" t="s">
        <v>36</v>
      </c>
      <c r="Q932" s="61"/>
      <c r="R932" s="62"/>
      <c r="S932" s="78">
        <f t="shared" si="42"/>
        <v>5000</v>
      </c>
      <c r="T932" s="44" t="str">
        <f t="shared" si="43"/>
        <v>5000grams</v>
      </c>
      <c r="U932" s="77">
        <f t="shared" si="44"/>
        <v>400</v>
      </c>
      <c r="V932" s="46"/>
      <c r="W932" s="46"/>
      <c r="X932" s="46"/>
    </row>
    <row r="933" spans="1:24" ht="15.75" customHeight="1" thickBot="1" x14ac:dyDescent="0.35">
      <c r="A933" s="40" t="e">
        <v>#N/A</v>
      </c>
      <c r="B933" s="67" t="s">
        <v>1398</v>
      </c>
      <c r="C933" s="55"/>
      <c r="D933" s="41"/>
      <c r="E933" s="55"/>
      <c r="F933" s="55"/>
      <c r="G933" s="55"/>
      <c r="H933" s="51"/>
      <c r="I933" s="52"/>
      <c r="J933" s="74" t="s">
        <v>1399</v>
      </c>
      <c r="K933" s="57"/>
      <c r="L933" s="75">
        <v>2.99</v>
      </c>
      <c r="M933" s="60">
        <v>10</v>
      </c>
      <c r="N933" s="76">
        <v>1</v>
      </c>
      <c r="O933" s="42"/>
      <c r="P933" s="58" t="s">
        <v>38</v>
      </c>
      <c r="Q933" s="61"/>
      <c r="R933" s="62"/>
      <c r="S933" s="78">
        <f t="shared" si="42"/>
        <v>10</v>
      </c>
      <c r="T933" s="44" t="str">
        <f t="shared" si="43"/>
        <v>10pieces</v>
      </c>
      <c r="U933" s="77">
        <f t="shared" si="44"/>
        <v>29.900000000000002</v>
      </c>
      <c r="V933" s="46"/>
      <c r="W933" s="46"/>
      <c r="X933" s="46"/>
    </row>
    <row r="934" spans="1:24" ht="15.75" customHeight="1" thickBot="1" x14ac:dyDescent="0.35">
      <c r="A934" s="40" t="e">
        <v>#N/A</v>
      </c>
      <c r="B934" s="67" t="s">
        <v>1398</v>
      </c>
      <c r="C934" s="55"/>
      <c r="D934" s="41"/>
      <c r="E934" s="55"/>
      <c r="F934" s="55"/>
      <c r="G934" s="55"/>
      <c r="H934" s="51"/>
      <c r="I934" s="52"/>
      <c r="J934" s="74" t="s">
        <v>1399</v>
      </c>
      <c r="K934" s="57"/>
      <c r="L934" s="75">
        <v>12</v>
      </c>
      <c r="M934" s="60">
        <v>120</v>
      </c>
      <c r="N934" s="76">
        <v>1</v>
      </c>
      <c r="O934" s="42"/>
      <c r="P934" s="58" t="s">
        <v>38</v>
      </c>
      <c r="Q934" s="61"/>
      <c r="R934" s="62"/>
      <c r="S934" s="78">
        <f t="shared" si="42"/>
        <v>120</v>
      </c>
      <c r="T934" s="44" t="str">
        <f t="shared" si="43"/>
        <v>120pieces</v>
      </c>
      <c r="U934" s="77">
        <f t="shared" si="44"/>
        <v>1440</v>
      </c>
      <c r="V934" s="46"/>
      <c r="W934" s="46"/>
      <c r="X934" s="46"/>
    </row>
    <row r="935" spans="1:24" ht="15.75" customHeight="1" thickBot="1" x14ac:dyDescent="0.35">
      <c r="A935" s="40" t="e">
        <v>#N/A</v>
      </c>
      <c r="B935" s="67" t="s">
        <v>1398</v>
      </c>
      <c r="C935" s="55"/>
      <c r="D935" s="41"/>
      <c r="E935" s="55"/>
      <c r="F935" s="55"/>
      <c r="G935" s="55"/>
      <c r="H935" s="51"/>
      <c r="I935" s="52"/>
      <c r="J935" s="74" t="s">
        <v>1400</v>
      </c>
      <c r="K935" s="57"/>
      <c r="L935" s="75">
        <v>6.16</v>
      </c>
      <c r="M935" s="60">
        <v>20</v>
      </c>
      <c r="N935" s="76">
        <v>1</v>
      </c>
      <c r="O935" s="42"/>
      <c r="P935" s="58" t="s">
        <v>38</v>
      </c>
      <c r="Q935" s="61"/>
      <c r="R935" s="62"/>
      <c r="S935" s="78">
        <f t="shared" si="42"/>
        <v>20</v>
      </c>
      <c r="T935" s="44" t="str">
        <f t="shared" si="43"/>
        <v>20pieces</v>
      </c>
      <c r="U935" s="77">
        <f t="shared" si="44"/>
        <v>123.2</v>
      </c>
      <c r="V935" s="46"/>
      <c r="W935" s="46"/>
      <c r="X935" s="46"/>
    </row>
    <row r="936" spans="1:24" ht="15.75" customHeight="1" thickBot="1" x14ac:dyDescent="0.35">
      <c r="A936" s="40" t="e">
        <v>#N/A</v>
      </c>
      <c r="B936" s="67" t="s">
        <v>1398</v>
      </c>
      <c r="C936" s="55"/>
      <c r="D936" s="41"/>
      <c r="E936" s="55"/>
      <c r="F936" s="55"/>
      <c r="G936" s="55"/>
      <c r="H936" s="51"/>
      <c r="I936" s="52"/>
      <c r="J936" s="74" t="s">
        <v>1401</v>
      </c>
      <c r="K936" s="57"/>
      <c r="L936" s="75">
        <v>36.5</v>
      </c>
      <c r="M936" s="60">
        <v>4</v>
      </c>
      <c r="N936" s="76">
        <v>1</v>
      </c>
      <c r="O936" s="42"/>
      <c r="P936" s="58" t="s">
        <v>77</v>
      </c>
      <c r="Q936" s="61"/>
      <c r="R936" s="62"/>
      <c r="S936" s="78">
        <f t="shared" si="42"/>
        <v>4</v>
      </c>
      <c r="T936" s="44" t="str">
        <f t="shared" si="43"/>
        <v>4packs</v>
      </c>
      <c r="U936" s="77">
        <f t="shared" si="44"/>
        <v>146</v>
      </c>
      <c r="V936" s="46"/>
      <c r="W936" s="46"/>
      <c r="X936" s="46"/>
    </row>
    <row r="937" spans="1:24" ht="15.75" customHeight="1" thickBot="1" x14ac:dyDescent="0.35">
      <c r="A937" s="40" t="e">
        <v>#N/A</v>
      </c>
      <c r="B937" s="67" t="s">
        <v>1398</v>
      </c>
      <c r="C937" s="55"/>
      <c r="D937" s="41"/>
      <c r="E937" s="55"/>
      <c r="F937" s="55"/>
      <c r="G937" s="55"/>
      <c r="H937" s="51"/>
      <c r="I937" s="52"/>
      <c r="J937" s="74" t="s">
        <v>1402</v>
      </c>
      <c r="K937" s="57"/>
      <c r="L937" s="75">
        <v>3.65</v>
      </c>
      <c r="M937" s="60">
        <v>15</v>
      </c>
      <c r="N937" s="76">
        <v>10</v>
      </c>
      <c r="O937" s="42"/>
      <c r="P937" s="58" t="s">
        <v>38</v>
      </c>
      <c r="Q937" s="61"/>
      <c r="R937" s="62"/>
      <c r="S937" s="78">
        <f t="shared" si="42"/>
        <v>150</v>
      </c>
      <c r="T937" s="44" t="str">
        <f t="shared" si="43"/>
        <v>150pieces</v>
      </c>
      <c r="U937" s="77">
        <f t="shared" si="44"/>
        <v>54.75</v>
      </c>
      <c r="V937" s="46"/>
      <c r="W937" s="46"/>
      <c r="X937" s="46"/>
    </row>
    <row r="938" spans="1:24" ht="15.75" customHeight="1" thickBot="1" x14ac:dyDescent="0.35">
      <c r="A938" s="40" t="e">
        <v>#N/A</v>
      </c>
      <c r="B938" s="67" t="s">
        <v>1398</v>
      </c>
      <c r="C938" s="55"/>
      <c r="D938" s="41"/>
      <c r="E938" s="55"/>
      <c r="F938" s="55"/>
      <c r="G938" s="55"/>
      <c r="H938" s="51"/>
      <c r="I938" s="52"/>
      <c r="J938" s="74" t="s">
        <v>1403</v>
      </c>
      <c r="K938" s="57"/>
      <c r="L938" s="75">
        <v>3.46</v>
      </c>
      <c r="M938" s="60">
        <v>100</v>
      </c>
      <c r="N938" s="76">
        <v>1</v>
      </c>
      <c r="O938" s="42"/>
      <c r="P938" s="58" t="s">
        <v>38</v>
      </c>
      <c r="Q938" s="61"/>
      <c r="R938" s="62"/>
      <c r="S938" s="78">
        <f t="shared" si="42"/>
        <v>100</v>
      </c>
      <c r="T938" s="44" t="str">
        <f t="shared" si="43"/>
        <v>100pieces</v>
      </c>
      <c r="U938" s="77">
        <f t="shared" si="44"/>
        <v>346</v>
      </c>
      <c r="V938" s="46"/>
      <c r="W938" s="46"/>
      <c r="X938" s="46"/>
    </row>
    <row r="939" spans="1:24" ht="15.75" customHeight="1" thickBot="1" x14ac:dyDescent="0.35">
      <c r="A939" s="40" t="e">
        <v>#N/A</v>
      </c>
      <c r="B939" s="67" t="s">
        <v>1398</v>
      </c>
      <c r="C939" s="55"/>
      <c r="D939" s="41"/>
      <c r="E939" s="55"/>
      <c r="F939" s="55"/>
      <c r="G939" s="55"/>
      <c r="H939" s="51"/>
      <c r="I939" s="52"/>
      <c r="J939" s="74" t="s">
        <v>1404</v>
      </c>
      <c r="K939" s="57"/>
      <c r="L939" s="75">
        <v>2.6</v>
      </c>
      <c r="M939" s="60">
        <v>13</v>
      </c>
      <c r="N939" s="76">
        <v>10</v>
      </c>
      <c r="O939" s="42"/>
      <c r="P939" s="58" t="s">
        <v>38</v>
      </c>
      <c r="Q939" s="61"/>
      <c r="R939" s="62"/>
      <c r="S939" s="78">
        <f t="shared" si="42"/>
        <v>130</v>
      </c>
      <c r="T939" s="44" t="str">
        <f t="shared" si="43"/>
        <v>130pieces</v>
      </c>
      <c r="U939" s="77">
        <f t="shared" si="44"/>
        <v>33.800000000000004</v>
      </c>
      <c r="V939" s="46"/>
      <c r="W939" s="46"/>
      <c r="X939" s="46"/>
    </row>
    <row r="940" spans="1:24" ht="15.75" customHeight="1" thickBot="1" x14ac:dyDescent="0.35">
      <c r="A940" s="40" t="e">
        <v>#N/A</v>
      </c>
      <c r="B940" s="67" t="s">
        <v>1398</v>
      </c>
      <c r="C940" s="55"/>
      <c r="D940" s="41"/>
      <c r="E940" s="55"/>
      <c r="F940" s="55"/>
      <c r="G940" s="55"/>
      <c r="H940" s="51"/>
      <c r="I940" s="52"/>
      <c r="J940" s="74" t="s">
        <v>1405</v>
      </c>
      <c r="K940" s="57"/>
      <c r="L940" s="75">
        <v>9.1999999999999993</v>
      </c>
      <c r="M940" s="60">
        <v>77</v>
      </c>
      <c r="N940" s="76">
        <v>1</v>
      </c>
      <c r="O940" s="42"/>
      <c r="P940" s="58" t="s">
        <v>38</v>
      </c>
      <c r="Q940" s="61"/>
      <c r="R940" s="62"/>
      <c r="S940" s="78">
        <f t="shared" si="42"/>
        <v>77</v>
      </c>
      <c r="T940" s="44" t="str">
        <f t="shared" si="43"/>
        <v>77pieces</v>
      </c>
      <c r="U940" s="77">
        <f t="shared" si="44"/>
        <v>708.4</v>
      </c>
      <c r="V940" s="46"/>
      <c r="W940" s="46"/>
      <c r="X940" s="46"/>
    </row>
    <row r="941" spans="1:24" ht="15.75" customHeight="1" thickBot="1" x14ac:dyDescent="0.35">
      <c r="A941" s="40" t="e">
        <v>#N/A</v>
      </c>
      <c r="B941" s="67" t="s">
        <v>1398</v>
      </c>
      <c r="C941" s="55"/>
      <c r="D941" s="41"/>
      <c r="E941" s="55"/>
      <c r="F941" s="55"/>
      <c r="G941" s="55"/>
      <c r="H941" s="51"/>
      <c r="I941" s="52"/>
      <c r="J941" s="74" t="s">
        <v>1406</v>
      </c>
      <c r="K941" s="57"/>
      <c r="L941" s="75">
        <v>10</v>
      </c>
      <c r="M941" s="60">
        <v>48</v>
      </c>
      <c r="N941" s="76">
        <v>1</v>
      </c>
      <c r="O941" s="42"/>
      <c r="P941" s="58" t="s">
        <v>38</v>
      </c>
      <c r="Q941" s="61"/>
      <c r="R941" s="62"/>
      <c r="S941" s="78">
        <f t="shared" si="42"/>
        <v>48</v>
      </c>
      <c r="T941" s="44" t="str">
        <f t="shared" si="43"/>
        <v>48pieces</v>
      </c>
      <c r="U941" s="77">
        <f t="shared" si="44"/>
        <v>480</v>
      </c>
      <c r="V941" s="46"/>
      <c r="W941" s="46"/>
      <c r="X941" s="46"/>
    </row>
    <row r="942" spans="1:24" ht="15.75" customHeight="1" thickBot="1" x14ac:dyDescent="0.35">
      <c r="A942" s="40" t="e">
        <v>#N/A</v>
      </c>
      <c r="B942" s="67" t="s">
        <v>1398</v>
      </c>
      <c r="C942" s="55"/>
      <c r="D942" s="41"/>
      <c r="E942" s="55"/>
      <c r="F942" s="55"/>
      <c r="G942" s="55"/>
      <c r="H942" s="51"/>
      <c r="I942" s="52"/>
      <c r="J942" s="74" t="s">
        <v>1407</v>
      </c>
      <c r="K942" s="57"/>
      <c r="L942" s="75">
        <v>10.199999999999999</v>
      </c>
      <c r="M942" s="60">
        <v>130</v>
      </c>
      <c r="N942" s="76">
        <v>1</v>
      </c>
      <c r="O942" s="42"/>
      <c r="P942" s="58" t="s">
        <v>38</v>
      </c>
      <c r="Q942" s="61"/>
      <c r="R942" s="62"/>
      <c r="S942" s="78">
        <f t="shared" si="42"/>
        <v>130</v>
      </c>
      <c r="T942" s="44" t="str">
        <f t="shared" si="43"/>
        <v>130pieces</v>
      </c>
      <c r="U942" s="77">
        <f t="shared" si="44"/>
        <v>1326</v>
      </c>
      <c r="V942" s="46"/>
      <c r="W942" s="46"/>
      <c r="X942" s="46"/>
    </row>
    <row r="943" spans="1:24" ht="15.75" customHeight="1" thickBot="1" x14ac:dyDescent="0.35">
      <c r="A943" s="40" t="e">
        <v>#N/A</v>
      </c>
      <c r="B943" s="67" t="s">
        <v>1398</v>
      </c>
      <c r="C943" s="55"/>
      <c r="D943" s="41"/>
      <c r="E943" s="55"/>
      <c r="F943" s="55"/>
      <c r="G943" s="55"/>
      <c r="H943" s="51"/>
      <c r="I943" s="52"/>
      <c r="J943" s="74" t="s">
        <v>1408</v>
      </c>
      <c r="K943" s="57"/>
      <c r="L943" s="75">
        <v>7</v>
      </c>
      <c r="M943" s="60">
        <v>10</v>
      </c>
      <c r="N943" s="76">
        <v>1</v>
      </c>
      <c r="O943" s="42"/>
      <c r="P943" s="58" t="s">
        <v>38</v>
      </c>
      <c r="Q943" s="61"/>
      <c r="R943" s="62"/>
      <c r="S943" s="78">
        <f t="shared" si="42"/>
        <v>10</v>
      </c>
      <c r="T943" s="44" t="str">
        <f t="shared" si="43"/>
        <v>10pieces</v>
      </c>
      <c r="U943" s="77">
        <f t="shared" si="44"/>
        <v>70</v>
      </c>
      <c r="V943" s="46"/>
      <c r="W943" s="46"/>
      <c r="X943" s="46"/>
    </row>
    <row r="944" spans="1:24" ht="15.75" customHeight="1" thickBot="1" x14ac:dyDescent="0.35">
      <c r="A944" s="40" t="e">
        <v>#N/A</v>
      </c>
      <c r="B944" s="67" t="s">
        <v>1409</v>
      </c>
      <c r="C944" s="55"/>
      <c r="D944" s="41"/>
      <c r="E944" s="55"/>
      <c r="F944" s="55"/>
      <c r="G944" s="55"/>
      <c r="H944" s="51"/>
      <c r="I944" s="52"/>
      <c r="J944" s="74" t="s">
        <v>1410</v>
      </c>
      <c r="K944" s="57"/>
      <c r="L944" s="75">
        <v>10</v>
      </c>
      <c r="M944" s="60">
        <v>5</v>
      </c>
      <c r="N944" s="76">
        <v>1</v>
      </c>
      <c r="O944" s="42"/>
      <c r="P944" s="58" t="s">
        <v>38</v>
      </c>
      <c r="Q944" s="61"/>
      <c r="R944" s="62"/>
      <c r="S944" s="78">
        <f t="shared" si="42"/>
        <v>5</v>
      </c>
      <c r="T944" s="44" t="str">
        <f t="shared" si="43"/>
        <v>5pieces</v>
      </c>
      <c r="U944" s="77">
        <f t="shared" si="44"/>
        <v>50</v>
      </c>
      <c r="V944" s="46"/>
      <c r="W944" s="46"/>
      <c r="X944" s="46"/>
    </row>
    <row r="945" spans="1:24" ht="15.75" customHeight="1" thickBot="1" x14ac:dyDescent="0.35">
      <c r="A945" s="40" t="e">
        <v>#N/A</v>
      </c>
      <c r="B945" s="67" t="s">
        <v>1409</v>
      </c>
      <c r="C945" s="55"/>
      <c r="D945" s="41"/>
      <c r="E945" s="55"/>
      <c r="F945" s="55"/>
      <c r="G945" s="55"/>
      <c r="H945" s="51"/>
      <c r="I945" s="52"/>
      <c r="J945" s="74" t="s">
        <v>1411</v>
      </c>
      <c r="K945" s="57"/>
      <c r="L945" s="75">
        <v>3.65</v>
      </c>
      <c r="M945" s="60">
        <v>50</v>
      </c>
      <c r="N945" s="76">
        <v>1</v>
      </c>
      <c r="O945" s="42"/>
      <c r="P945" s="58" t="s">
        <v>38</v>
      </c>
      <c r="Q945" s="61"/>
      <c r="R945" s="62"/>
      <c r="S945" s="78">
        <f t="shared" si="42"/>
        <v>50</v>
      </c>
      <c r="T945" s="44" t="str">
        <f t="shared" si="43"/>
        <v>50pieces</v>
      </c>
      <c r="U945" s="77">
        <f t="shared" si="44"/>
        <v>182.5</v>
      </c>
      <c r="V945" s="46"/>
      <c r="W945" s="46"/>
      <c r="X945" s="46"/>
    </row>
    <row r="946" spans="1:24" ht="15.75" customHeight="1" thickBot="1" x14ac:dyDescent="0.35">
      <c r="A946" s="40" t="e">
        <v>#N/A</v>
      </c>
      <c r="B946" s="67" t="s">
        <v>1409</v>
      </c>
      <c r="C946" s="55"/>
      <c r="D946" s="41"/>
      <c r="E946" s="55"/>
      <c r="F946" s="55"/>
      <c r="G946" s="55"/>
      <c r="H946" s="51"/>
      <c r="I946" s="52"/>
      <c r="J946" s="74" t="s">
        <v>1412</v>
      </c>
      <c r="K946" s="57"/>
      <c r="L946" s="75">
        <v>4.45</v>
      </c>
      <c r="M946" s="60">
        <v>90</v>
      </c>
      <c r="N946" s="76">
        <v>1</v>
      </c>
      <c r="O946" s="42"/>
      <c r="P946" s="58" t="s">
        <v>38</v>
      </c>
      <c r="Q946" s="61"/>
      <c r="R946" s="62"/>
      <c r="S946" s="78">
        <f t="shared" si="42"/>
        <v>90</v>
      </c>
      <c r="T946" s="44" t="str">
        <f t="shared" si="43"/>
        <v>90pieces</v>
      </c>
      <c r="U946" s="77">
        <f t="shared" si="44"/>
        <v>400.5</v>
      </c>
      <c r="V946" s="46"/>
      <c r="W946" s="46"/>
      <c r="X946" s="46"/>
    </row>
    <row r="947" spans="1:24" ht="15.75" customHeight="1" thickBot="1" x14ac:dyDescent="0.35">
      <c r="A947" s="40" t="e">
        <v>#N/A</v>
      </c>
      <c r="B947" s="67" t="s">
        <v>1409</v>
      </c>
      <c r="C947" s="55"/>
      <c r="D947" s="41"/>
      <c r="E947" s="55"/>
      <c r="F947" s="55"/>
      <c r="G947" s="55"/>
      <c r="H947" s="51"/>
      <c r="I947" s="52"/>
      <c r="J947" s="74" t="s">
        <v>1412</v>
      </c>
      <c r="K947" s="57"/>
      <c r="L947" s="75">
        <v>4.95</v>
      </c>
      <c r="M947" s="60">
        <v>180</v>
      </c>
      <c r="N947" s="76">
        <v>1</v>
      </c>
      <c r="O947" s="42"/>
      <c r="P947" s="58" t="s">
        <v>38</v>
      </c>
      <c r="Q947" s="61"/>
      <c r="R947" s="62"/>
      <c r="S947" s="78">
        <f t="shared" si="42"/>
        <v>180</v>
      </c>
      <c r="T947" s="44" t="str">
        <f t="shared" si="43"/>
        <v>180pieces</v>
      </c>
      <c r="U947" s="77">
        <f t="shared" si="44"/>
        <v>891</v>
      </c>
      <c r="V947" s="46"/>
      <c r="W947" s="46"/>
      <c r="X947" s="46"/>
    </row>
    <row r="948" spans="1:24" ht="15.75" customHeight="1" thickBot="1" x14ac:dyDescent="0.35">
      <c r="A948" s="40" t="e">
        <v>#N/A</v>
      </c>
      <c r="B948" s="67" t="s">
        <v>1409</v>
      </c>
      <c r="C948" s="55"/>
      <c r="D948" s="41"/>
      <c r="E948" s="55"/>
      <c r="F948" s="55"/>
      <c r="G948" s="55"/>
      <c r="H948" s="51"/>
      <c r="I948" s="52"/>
      <c r="J948" s="74" t="s">
        <v>1413</v>
      </c>
      <c r="K948" s="57"/>
      <c r="L948" s="75">
        <v>2.5</v>
      </c>
      <c r="M948" s="60">
        <v>561</v>
      </c>
      <c r="N948" s="76">
        <v>1</v>
      </c>
      <c r="O948" s="42"/>
      <c r="P948" s="58" t="s">
        <v>38</v>
      </c>
      <c r="Q948" s="61"/>
      <c r="R948" s="62"/>
      <c r="S948" s="78">
        <f t="shared" si="42"/>
        <v>561</v>
      </c>
      <c r="T948" s="44" t="str">
        <f t="shared" si="43"/>
        <v>561pieces</v>
      </c>
      <c r="U948" s="77">
        <f t="shared" si="44"/>
        <v>1402.5</v>
      </c>
      <c r="V948" s="46"/>
      <c r="W948" s="46"/>
      <c r="X948" s="46"/>
    </row>
    <row r="949" spans="1:24" ht="15.75" customHeight="1" thickBot="1" x14ac:dyDescent="0.35">
      <c r="A949" s="40" t="e">
        <v>#N/A</v>
      </c>
      <c r="B949" s="67" t="s">
        <v>1409</v>
      </c>
      <c r="C949" s="55"/>
      <c r="D949" s="41"/>
      <c r="E949" s="55"/>
      <c r="F949" s="55"/>
      <c r="G949" s="55"/>
      <c r="H949" s="51"/>
      <c r="I949" s="52"/>
      <c r="J949" s="74" t="s">
        <v>1414</v>
      </c>
      <c r="K949" s="57"/>
      <c r="L949" s="75">
        <v>2.96</v>
      </c>
      <c r="M949" s="60">
        <v>567</v>
      </c>
      <c r="N949" s="76">
        <v>1</v>
      </c>
      <c r="O949" s="42"/>
      <c r="P949" s="58" t="s">
        <v>38</v>
      </c>
      <c r="Q949" s="61"/>
      <c r="R949" s="62"/>
      <c r="S949" s="78">
        <f t="shared" si="42"/>
        <v>567</v>
      </c>
      <c r="T949" s="44" t="str">
        <f t="shared" si="43"/>
        <v>567pieces</v>
      </c>
      <c r="U949" s="77">
        <f t="shared" si="44"/>
        <v>1678.32</v>
      </c>
      <c r="V949" s="46"/>
      <c r="W949" s="46"/>
      <c r="X949" s="46"/>
    </row>
    <row r="950" spans="1:24" ht="15.75" customHeight="1" thickBot="1" x14ac:dyDescent="0.35">
      <c r="A950" s="40" t="e">
        <v>#N/A</v>
      </c>
      <c r="B950" s="67" t="s">
        <v>1415</v>
      </c>
      <c r="C950" s="55"/>
      <c r="D950" s="41"/>
      <c r="E950" s="55"/>
      <c r="F950" s="55"/>
      <c r="G950" s="55"/>
      <c r="H950" s="51"/>
      <c r="I950" s="52"/>
      <c r="J950" s="74"/>
      <c r="K950" s="57"/>
      <c r="L950" s="75">
        <v>36</v>
      </c>
      <c r="M950" s="60">
        <v>6</v>
      </c>
      <c r="N950" s="76">
        <v>1</v>
      </c>
      <c r="O950" s="42"/>
      <c r="P950" s="58" t="s">
        <v>88</v>
      </c>
      <c r="Q950" s="61"/>
      <c r="R950" s="62"/>
      <c r="S950" s="78">
        <f t="shared" ref="S950:S1013" si="45">M950*N950</f>
        <v>6</v>
      </c>
      <c r="T950" s="44" t="str">
        <f t="shared" ref="T950:T1013" si="46">CONCATENATE(S950,Q950,P950)</f>
        <v>6kilos</v>
      </c>
      <c r="U950" s="77">
        <f t="shared" ref="U950:U1013" si="47">L950*M950</f>
        <v>216</v>
      </c>
      <c r="V950" s="46"/>
      <c r="W950" s="46"/>
      <c r="X950" s="46"/>
    </row>
    <row r="951" spans="1:24" ht="15.75" customHeight="1" thickBot="1" x14ac:dyDescent="0.35">
      <c r="A951" s="40" t="e">
        <v>#N/A</v>
      </c>
      <c r="B951" s="68" t="s">
        <v>1416</v>
      </c>
      <c r="C951" s="55"/>
      <c r="D951" s="41"/>
      <c r="E951" s="55"/>
      <c r="F951" s="55"/>
      <c r="G951" s="55"/>
      <c r="H951" s="51"/>
      <c r="I951" s="52"/>
      <c r="J951" s="74" t="s">
        <v>1417</v>
      </c>
      <c r="K951" s="57"/>
      <c r="L951" s="75">
        <v>38</v>
      </c>
      <c r="M951" s="60">
        <v>98</v>
      </c>
      <c r="N951" s="76">
        <v>250</v>
      </c>
      <c r="O951" s="42"/>
      <c r="P951" s="58" t="s">
        <v>47</v>
      </c>
      <c r="Q951" s="61"/>
      <c r="R951" s="62"/>
      <c r="S951" s="78">
        <f t="shared" si="45"/>
        <v>24500</v>
      </c>
      <c r="T951" s="44" t="str">
        <f t="shared" si="46"/>
        <v>24500ml</v>
      </c>
      <c r="U951" s="77">
        <f t="shared" si="47"/>
        <v>3724</v>
      </c>
      <c r="V951" s="46"/>
      <c r="W951" s="46"/>
      <c r="X951" s="46"/>
    </row>
    <row r="952" spans="1:24" ht="15.75" customHeight="1" thickBot="1" x14ac:dyDescent="0.35">
      <c r="A952" s="40" t="e">
        <v>#N/A</v>
      </c>
      <c r="B952" s="68" t="s">
        <v>1416</v>
      </c>
      <c r="C952" s="55"/>
      <c r="D952" s="41"/>
      <c r="E952" s="55"/>
      <c r="F952" s="55"/>
      <c r="G952" s="55"/>
      <c r="H952" s="51"/>
      <c r="I952" s="52"/>
      <c r="J952" s="74" t="s">
        <v>1418</v>
      </c>
      <c r="K952" s="57"/>
      <c r="L952" s="75">
        <v>99</v>
      </c>
      <c r="M952" s="60">
        <v>1</v>
      </c>
      <c r="N952" s="76">
        <v>1</v>
      </c>
      <c r="O952" s="42"/>
      <c r="P952" s="58" t="s">
        <v>685</v>
      </c>
      <c r="Q952" s="61"/>
      <c r="R952" s="62"/>
      <c r="S952" s="78">
        <f t="shared" si="45"/>
        <v>1</v>
      </c>
      <c r="T952" s="44" t="str">
        <f t="shared" si="46"/>
        <v>1liters</v>
      </c>
      <c r="U952" s="77">
        <f t="shared" si="47"/>
        <v>99</v>
      </c>
      <c r="V952" s="46"/>
      <c r="W952" s="46"/>
      <c r="X952" s="46"/>
    </row>
    <row r="953" spans="1:24" ht="15.75" customHeight="1" thickBot="1" x14ac:dyDescent="0.35">
      <c r="A953" s="40" t="e">
        <v>#N/A</v>
      </c>
      <c r="B953" s="67" t="s">
        <v>1419</v>
      </c>
      <c r="C953" s="55"/>
      <c r="D953" s="41"/>
      <c r="E953" s="55"/>
      <c r="F953" s="55"/>
      <c r="G953" s="55"/>
      <c r="H953" s="51"/>
      <c r="I953" s="52"/>
      <c r="J953" s="74" t="s">
        <v>103</v>
      </c>
      <c r="K953" s="57"/>
      <c r="L953" s="75">
        <v>12.9</v>
      </c>
      <c r="M953" s="60">
        <v>34</v>
      </c>
      <c r="N953" s="76">
        <v>33</v>
      </c>
      <c r="O953" s="42"/>
      <c r="P953" s="58" t="s">
        <v>36</v>
      </c>
      <c r="Q953" s="61"/>
      <c r="R953" s="62"/>
      <c r="S953" s="78">
        <f t="shared" si="45"/>
        <v>1122</v>
      </c>
      <c r="T953" s="44" t="str">
        <f t="shared" si="46"/>
        <v>1122grams</v>
      </c>
      <c r="U953" s="77">
        <f t="shared" si="47"/>
        <v>438.6</v>
      </c>
      <c r="V953" s="46"/>
      <c r="W953" s="46"/>
      <c r="X953" s="46"/>
    </row>
    <row r="954" spans="1:24" ht="15.75" customHeight="1" thickBot="1" x14ac:dyDescent="0.35">
      <c r="A954" s="40" t="e">
        <v>#N/A</v>
      </c>
      <c r="B954" s="68" t="s">
        <v>1419</v>
      </c>
      <c r="C954" s="55"/>
      <c r="D954" s="41"/>
      <c r="E954" s="55"/>
      <c r="F954" s="55"/>
      <c r="G954" s="55"/>
      <c r="H954" s="51"/>
      <c r="I954" s="52"/>
      <c r="J954" s="74" t="s">
        <v>1420</v>
      </c>
      <c r="K954" s="57"/>
      <c r="L954" s="75">
        <v>11.1</v>
      </c>
      <c r="M954" s="60">
        <v>1</v>
      </c>
      <c r="N954" s="76">
        <v>1</v>
      </c>
      <c r="O954" s="42"/>
      <c r="P954" s="58" t="s">
        <v>36</v>
      </c>
      <c r="Q954" s="61"/>
      <c r="R954" s="62"/>
      <c r="S954" s="78">
        <f t="shared" si="45"/>
        <v>1</v>
      </c>
      <c r="T954" s="44" t="str">
        <f t="shared" si="46"/>
        <v>1grams</v>
      </c>
      <c r="U954" s="77">
        <f t="shared" si="47"/>
        <v>11.1</v>
      </c>
      <c r="V954" s="46"/>
      <c r="W954" s="46"/>
      <c r="X954" s="46"/>
    </row>
    <row r="955" spans="1:24" ht="15.75" customHeight="1" thickBot="1" x14ac:dyDescent="0.35">
      <c r="A955" s="40" t="e">
        <v>#N/A</v>
      </c>
      <c r="B955" s="68" t="s">
        <v>1419</v>
      </c>
      <c r="C955" s="55"/>
      <c r="D955" s="41"/>
      <c r="E955" s="55"/>
      <c r="F955" s="55"/>
      <c r="G955" s="55"/>
      <c r="H955" s="51"/>
      <c r="I955" s="52"/>
      <c r="J955" s="74" t="s">
        <v>1420</v>
      </c>
      <c r="K955" s="57"/>
      <c r="L955" s="75">
        <v>11.1</v>
      </c>
      <c r="M955" s="60">
        <v>33</v>
      </c>
      <c r="N955" s="76">
        <v>33</v>
      </c>
      <c r="O955" s="42"/>
      <c r="P955" s="58" t="s">
        <v>36</v>
      </c>
      <c r="Q955" s="61"/>
      <c r="R955" s="62"/>
      <c r="S955" s="78">
        <f t="shared" si="45"/>
        <v>1089</v>
      </c>
      <c r="T955" s="44" t="str">
        <f t="shared" si="46"/>
        <v>1089grams</v>
      </c>
      <c r="U955" s="77">
        <f t="shared" si="47"/>
        <v>366.3</v>
      </c>
      <c r="V955" s="46"/>
      <c r="W955" s="46"/>
      <c r="X955" s="46"/>
    </row>
    <row r="956" spans="1:24" ht="15.75" customHeight="1" thickBot="1" x14ac:dyDescent="0.35">
      <c r="A956" s="40" t="e">
        <v>#N/A</v>
      </c>
      <c r="B956" s="67" t="s">
        <v>1419</v>
      </c>
      <c r="C956" s="55"/>
      <c r="D956" s="41"/>
      <c r="E956" s="55"/>
      <c r="F956" s="55"/>
      <c r="G956" s="55"/>
      <c r="H956" s="51"/>
      <c r="I956" s="52"/>
      <c r="J956" s="74" t="s">
        <v>1420</v>
      </c>
      <c r="K956" s="57"/>
      <c r="L956" s="75">
        <v>11.1</v>
      </c>
      <c r="M956" s="60">
        <v>296</v>
      </c>
      <c r="N956" s="76">
        <v>33</v>
      </c>
      <c r="O956" s="42"/>
      <c r="P956" s="58" t="s">
        <v>36</v>
      </c>
      <c r="Q956" s="61"/>
      <c r="R956" s="62"/>
      <c r="S956" s="78">
        <f t="shared" si="45"/>
        <v>9768</v>
      </c>
      <c r="T956" s="44" t="str">
        <f t="shared" si="46"/>
        <v>9768grams</v>
      </c>
      <c r="U956" s="77">
        <f t="shared" si="47"/>
        <v>3285.6</v>
      </c>
      <c r="V956" s="46"/>
      <c r="W956" s="46"/>
      <c r="X956" s="46"/>
    </row>
    <row r="957" spans="1:24" ht="15.75" customHeight="1" thickBot="1" x14ac:dyDescent="0.35">
      <c r="A957" s="40" t="e">
        <v>#N/A</v>
      </c>
      <c r="B957" s="67" t="s">
        <v>1421</v>
      </c>
      <c r="C957" s="55"/>
      <c r="D957" s="41"/>
      <c r="E957" s="55"/>
      <c r="F957" s="55"/>
      <c r="G957" s="55"/>
      <c r="H957" s="51"/>
      <c r="I957" s="52"/>
      <c r="J957" s="74" t="s">
        <v>1420</v>
      </c>
      <c r="K957" s="57"/>
      <c r="L957" s="75">
        <v>11.1</v>
      </c>
      <c r="M957" s="60">
        <v>2</v>
      </c>
      <c r="N957" s="76">
        <v>33</v>
      </c>
      <c r="O957" s="42"/>
      <c r="P957" s="58" t="s">
        <v>36</v>
      </c>
      <c r="Q957" s="61"/>
      <c r="R957" s="62"/>
      <c r="S957" s="78">
        <f t="shared" si="45"/>
        <v>66</v>
      </c>
      <c r="T957" s="44" t="str">
        <f t="shared" si="46"/>
        <v>66grams</v>
      </c>
      <c r="U957" s="77">
        <f t="shared" si="47"/>
        <v>22.2</v>
      </c>
      <c r="V957" s="46"/>
      <c r="W957" s="46"/>
      <c r="X957" s="46"/>
    </row>
    <row r="958" spans="1:24" ht="15.75" customHeight="1" thickBot="1" x14ac:dyDescent="0.35">
      <c r="A958" s="40" t="e">
        <v>#N/A</v>
      </c>
      <c r="B958" s="68" t="s">
        <v>1422</v>
      </c>
      <c r="C958" s="55"/>
      <c r="D958" s="41"/>
      <c r="E958" s="55"/>
      <c r="F958" s="55"/>
      <c r="G958" s="55"/>
      <c r="H958" s="51"/>
      <c r="I958" s="52"/>
      <c r="J958" s="74" t="s">
        <v>1420</v>
      </c>
      <c r="K958" s="57"/>
      <c r="L958" s="75">
        <v>27.5</v>
      </c>
      <c r="M958" s="60">
        <v>9</v>
      </c>
      <c r="N958" s="76">
        <v>200</v>
      </c>
      <c r="O958" s="42"/>
      <c r="P958" s="58" t="s">
        <v>47</v>
      </c>
      <c r="Q958" s="61"/>
      <c r="R958" s="62"/>
      <c r="S958" s="78">
        <f t="shared" si="45"/>
        <v>1800</v>
      </c>
      <c r="T958" s="44" t="str">
        <f t="shared" si="46"/>
        <v>1800ml</v>
      </c>
      <c r="U958" s="77">
        <f t="shared" si="47"/>
        <v>247.5</v>
      </c>
      <c r="V958" s="46"/>
      <c r="W958" s="46"/>
      <c r="X958" s="46"/>
    </row>
    <row r="959" spans="1:24" ht="15.75" customHeight="1" thickBot="1" x14ac:dyDescent="0.35">
      <c r="A959" s="40" t="e">
        <v>#N/A</v>
      </c>
      <c r="B959" s="67" t="s">
        <v>516</v>
      </c>
      <c r="C959" s="55"/>
      <c r="D959" s="41"/>
      <c r="E959" s="55"/>
      <c r="F959" s="55"/>
      <c r="G959" s="55"/>
      <c r="H959" s="51"/>
      <c r="I959" s="52"/>
      <c r="J959" s="74" t="s">
        <v>1423</v>
      </c>
      <c r="K959" s="57"/>
      <c r="L959" s="75">
        <v>10.16</v>
      </c>
      <c r="M959" s="60">
        <v>154</v>
      </c>
      <c r="N959" s="76">
        <v>500</v>
      </c>
      <c r="O959" s="42"/>
      <c r="P959" s="58" t="s">
        <v>47</v>
      </c>
      <c r="Q959" s="61"/>
      <c r="R959" s="62"/>
      <c r="S959" s="78">
        <f t="shared" si="45"/>
        <v>77000</v>
      </c>
      <c r="T959" s="44" t="str">
        <f t="shared" si="46"/>
        <v>77000ml</v>
      </c>
      <c r="U959" s="77">
        <f t="shared" si="47"/>
        <v>1564.64</v>
      </c>
      <c r="V959" s="46"/>
      <c r="W959" s="46"/>
      <c r="X959" s="46"/>
    </row>
    <row r="960" spans="1:24" ht="15.75" customHeight="1" thickBot="1" x14ac:dyDescent="0.35">
      <c r="A960" s="40" t="e">
        <v>#N/A</v>
      </c>
      <c r="B960" s="67" t="s">
        <v>516</v>
      </c>
      <c r="C960" s="55"/>
      <c r="D960" s="41"/>
      <c r="E960" s="55"/>
      <c r="F960" s="55"/>
      <c r="G960" s="55"/>
      <c r="H960" s="51"/>
      <c r="I960" s="52"/>
      <c r="J960" s="74" t="s">
        <v>1423</v>
      </c>
      <c r="K960" s="57"/>
      <c r="L960" s="75">
        <v>7.72</v>
      </c>
      <c r="M960" s="60">
        <v>65</v>
      </c>
      <c r="N960" s="76">
        <v>350</v>
      </c>
      <c r="O960" s="42"/>
      <c r="P960" s="58" t="s">
        <v>47</v>
      </c>
      <c r="Q960" s="61"/>
      <c r="R960" s="62"/>
      <c r="S960" s="78">
        <f t="shared" si="45"/>
        <v>22750</v>
      </c>
      <c r="T960" s="44" t="str">
        <f t="shared" si="46"/>
        <v>22750ml</v>
      </c>
      <c r="U960" s="77">
        <f t="shared" si="47"/>
        <v>501.8</v>
      </c>
      <c r="V960" s="46"/>
      <c r="W960" s="46"/>
      <c r="X960" s="46"/>
    </row>
    <row r="961" spans="1:24" ht="15.75" customHeight="1" thickBot="1" x14ac:dyDescent="0.35">
      <c r="A961" s="40" t="e">
        <v>#N/A</v>
      </c>
      <c r="B961" s="67" t="s">
        <v>516</v>
      </c>
      <c r="C961" s="55"/>
      <c r="D961" s="41"/>
      <c r="E961" s="55"/>
      <c r="F961" s="55"/>
      <c r="G961" s="55"/>
      <c r="H961" s="51"/>
      <c r="I961" s="52"/>
      <c r="J961" s="74" t="s">
        <v>1424</v>
      </c>
      <c r="K961" s="57"/>
      <c r="L961" s="75">
        <v>39</v>
      </c>
      <c r="M961" s="60">
        <v>49</v>
      </c>
      <c r="N961" s="76">
        <v>330</v>
      </c>
      <c r="O961" s="42"/>
      <c r="P961" s="58" t="s">
        <v>47</v>
      </c>
      <c r="Q961" s="61"/>
      <c r="R961" s="62"/>
      <c r="S961" s="78">
        <f t="shared" si="45"/>
        <v>16170</v>
      </c>
      <c r="T961" s="44" t="str">
        <f t="shared" si="46"/>
        <v>16170ml</v>
      </c>
      <c r="U961" s="77">
        <f t="shared" si="47"/>
        <v>1911</v>
      </c>
      <c r="V961" s="46"/>
      <c r="W961" s="46"/>
      <c r="X961" s="46"/>
    </row>
    <row r="962" spans="1:24" ht="15.75" customHeight="1" thickBot="1" x14ac:dyDescent="0.35">
      <c r="A962" s="40" t="e">
        <v>#N/A</v>
      </c>
      <c r="B962" s="67" t="s">
        <v>516</v>
      </c>
      <c r="C962" s="55"/>
      <c r="D962" s="41"/>
      <c r="E962" s="55"/>
      <c r="F962" s="55"/>
      <c r="G962" s="55"/>
      <c r="H962" s="51"/>
      <c r="I962" s="52"/>
      <c r="J962" s="74" t="s">
        <v>1423</v>
      </c>
      <c r="K962" s="57"/>
      <c r="L962" s="75">
        <v>10.16</v>
      </c>
      <c r="M962" s="60">
        <v>24</v>
      </c>
      <c r="N962" s="76">
        <v>500</v>
      </c>
      <c r="O962" s="42"/>
      <c r="P962" s="58" t="s">
        <v>47</v>
      </c>
      <c r="Q962" s="61"/>
      <c r="R962" s="62"/>
      <c r="S962" s="78">
        <f t="shared" si="45"/>
        <v>12000</v>
      </c>
      <c r="T962" s="44" t="str">
        <f t="shared" si="46"/>
        <v>12000ml</v>
      </c>
      <c r="U962" s="77">
        <f t="shared" si="47"/>
        <v>243.84</v>
      </c>
      <c r="V962" s="46"/>
      <c r="W962" s="46"/>
      <c r="X962" s="46"/>
    </row>
    <row r="963" spans="1:24" ht="15.75" customHeight="1" thickBot="1" x14ac:dyDescent="0.35">
      <c r="A963" s="40" t="e">
        <v>#N/A</v>
      </c>
      <c r="B963" s="67" t="s">
        <v>516</v>
      </c>
      <c r="C963" s="55"/>
      <c r="D963" s="41"/>
      <c r="E963" s="55"/>
      <c r="F963" s="55"/>
      <c r="G963" s="55"/>
      <c r="H963" s="51"/>
      <c r="I963" s="52"/>
      <c r="J963" s="74" t="s">
        <v>1425</v>
      </c>
      <c r="K963" s="57"/>
      <c r="L963" s="75">
        <v>90</v>
      </c>
      <c r="M963" s="60">
        <v>11</v>
      </c>
      <c r="N963" s="76">
        <v>250</v>
      </c>
      <c r="O963" s="42"/>
      <c r="P963" s="58" t="s">
        <v>47</v>
      </c>
      <c r="Q963" s="61"/>
      <c r="R963" s="62"/>
      <c r="S963" s="78">
        <f t="shared" si="45"/>
        <v>2750</v>
      </c>
      <c r="T963" s="44" t="str">
        <f t="shared" si="46"/>
        <v>2750ml</v>
      </c>
      <c r="U963" s="77">
        <f t="shared" si="47"/>
        <v>990</v>
      </c>
      <c r="V963" s="46"/>
      <c r="W963" s="46"/>
      <c r="X963" s="46"/>
    </row>
    <row r="964" spans="1:24" ht="15.75" customHeight="1" thickBot="1" x14ac:dyDescent="0.35">
      <c r="A964" s="40" t="e">
        <v>#N/A</v>
      </c>
      <c r="B964" s="67" t="s">
        <v>516</v>
      </c>
      <c r="C964" s="55"/>
      <c r="D964" s="41"/>
      <c r="E964" s="55"/>
      <c r="F964" s="55"/>
      <c r="G964" s="55"/>
      <c r="H964" s="51"/>
      <c r="I964" s="52"/>
      <c r="J964" s="74" t="s">
        <v>1425</v>
      </c>
      <c r="K964" s="57"/>
      <c r="L964" s="75">
        <v>114</v>
      </c>
      <c r="M964" s="60">
        <v>6</v>
      </c>
      <c r="N964" s="76">
        <v>500</v>
      </c>
      <c r="O964" s="42"/>
      <c r="P964" s="58" t="s">
        <v>47</v>
      </c>
      <c r="Q964" s="61"/>
      <c r="R964" s="62"/>
      <c r="S964" s="78">
        <f t="shared" si="45"/>
        <v>3000</v>
      </c>
      <c r="T964" s="44" t="str">
        <f t="shared" si="46"/>
        <v>3000ml</v>
      </c>
      <c r="U964" s="77">
        <f t="shared" si="47"/>
        <v>684</v>
      </c>
      <c r="V964" s="46"/>
      <c r="W964" s="46"/>
      <c r="X964" s="46"/>
    </row>
    <row r="965" spans="1:24" ht="15.75" customHeight="1" thickBot="1" x14ac:dyDescent="0.35">
      <c r="A965" s="40" t="e">
        <v>#N/A</v>
      </c>
      <c r="B965" s="67" t="s">
        <v>516</v>
      </c>
      <c r="C965" s="55"/>
      <c r="D965" s="41"/>
      <c r="E965" s="55"/>
      <c r="F965" s="55"/>
      <c r="G965" s="55"/>
      <c r="H965" s="51"/>
      <c r="I965" s="52"/>
      <c r="J965" s="74" t="s">
        <v>1425</v>
      </c>
      <c r="K965" s="57"/>
      <c r="L965" s="75">
        <v>85</v>
      </c>
      <c r="M965" s="60">
        <v>27</v>
      </c>
      <c r="N965" s="76">
        <v>250</v>
      </c>
      <c r="O965" s="42"/>
      <c r="P965" s="58" t="s">
        <v>47</v>
      </c>
      <c r="Q965" s="61"/>
      <c r="R965" s="62"/>
      <c r="S965" s="78">
        <f t="shared" si="45"/>
        <v>6750</v>
      </c>
      <c r="T965" s="44" t="str">
        <f t="shared" si="46"/>
        <v>6750ml</v>
      </c>
      <c r="U965" s="77">
        <f t="shared" si="47"/>
        <v>2295</v>
      </c>
      <c r="V965" s="46"/>
      <c r="W965" s="46"/>
      <c r="X965" s="46"/>
    </row>
    <row r="966" spans="1:24" ht="15.75" customHeight="1" thickBot="1" x14ac:dyDescent="0.35">
      <c r="A966" s="40" t="e">
        <v>#N/A</v>
      </c>
      <c r="B966" s="67" t="s">
        <v>516</v>
      </c>
      <c r="C966" s="55"/>
      <c r="D966" s="41"/>
      <c r="E966" s="55"/>
      <c r="F966" s="55"/>
      <c r="G966" s="55"/>
      <c r="H966" s="51"/>
      <c r="I966" s="52"/>
      <c r="J966" s="74" t="s">
        <v>1423</v>
      </c>
      <c r="K966" s="57"/>
      <c r="L966" s="75">
        <v>7.72</v>
      </c>
      <c r="M966" s="60">
        <v>75</v>
      </c>
      <c r="N966" s="76">
        <v>350</v>
      </c>
      <c r="O966" s="42"/>
      <c r="P966" s="58" t="s">
        <v>47</v>
      </c>
      <c r="Q966" s="61"/>
      <c r="R966" s="62"/>
      <c r="S966" s="78">
        <f t="shared" si="45"/>
        <v>26250</v>
      </c>
      <c r="T966" s="44" t="str">
        <f t="shared" si="46"/>
        <v>26250ml</v>
      </c>
      <c r="U966" s="77">
        <f t="shared" si="47"/>
        <v>579</v>
      </c>
      <c r="V966" s="46"/>
      <c r="W966" s="46"/>
      <c r="X966" s="46"/>
    </row>
    <row r="967" spans="1:24" ht="15.75" customHeight="1" thickBot="1" x14ac:dyDescent="0.35">
      <c r="A967" s="40" t="e">
        <v>#N/A</v>
      </c>
      <c r="B967" s="67" t="s">
        <v>516</v>
      </c>
      <c r="C967" s="55"/>
      <c r="D967" s="41"/>
      <c r="E967" s="55"/>
      <c r="F967" s="55"/>
      <c r="G967" s="55"/>
      <c r="H967" s="51"/>
      <c r="I967" s="52"/>
      <c r="J967" s="74" t="s">
        <v>1426</v>
      </c>
      <c r="K967" s="57"/>
      <c r="L967" s="75">
        <v>9.08</v>
      </c>
      <c r="M967" s="60">
        <v>243</v>
      </c>
      <c r="N967" s="76">
        <v>350</v>
      </c>
      <c r="O967" s="42"/>
      <c r="P967" s="58" t="s">
        <v>47</v>
      </c>
      <c r="Q967" s="61"/>
      <c r="R967" s="62"/>
      <c r="S967" s="78">
        <f t="shared" si="45"/>
        <v>85050</v>
      </c>
      <c r="T967" s="44" t="str">
        <f t="shared" si="46"/>
        <v>85050ml</v>
      </c>
      <c r="U967" s="77">
        <f t="shared" si="47"/>
        <v>2206.44</v>
      </c>
      <c r="V967" s="46"/>
      <c r="W967" s="46"/>
      <c r="X967" s="46"/>
    </row>
    <row r="968" spans="1:24" ht="15.75" customHeight="1" thickBot="1" x14ac:dyDescent="0.35">
      <c r="A968" s="40" t="e">
        <v>#N/A</v>
      </c>
      <c r="B968" s="67" t="s">
        <v>516</v>
      </c>
      <c r="C968" s="55"/>
      <c r="D968" s="41"/>
      <c r="E968" s="55"/>
      <c r="F968" s="55"/>
      <c r="G968" s="55"/>
      <c r="H968" s="51"/>
      <c r="I968" s="52"/>
      <c r="J968" s="74" t="s">
        <v>1426</v>
      </c>
      <c r="K968" s="57"/>
      <c r="L968" s="75">
        <v>7.85</v>
      </c>
      <c r="M968" s="60">
        <v>420</v>
      </c>
      <c r="N968" s="76">
        <v>500</v>
      </c>
      <c r="O968" s="42"/>
      <c r="P968" s="58" t="s">
        <v>47</v>
      </c>
      <c r="Q968" s="61"/>
      <c r="R968" s="62"/>
      <c r="S968" s="78">
        <f t="shared" si="45"/>
        <v>210000</v>
      </c>
      <c r="T968" s="44" t="str">
        <f t="shared" si="46"/>
        <v>210000ml</v>
      </c>
      <c r="U968" s="77">
        <f t="shared" si="47"/>
        <v>3297</v>
      </c>
      <c r="V968" s="46"/>
      <c r="W968" s="46"/>
      <c r="X968" s="46"/>
    </row>
    <row r="969" spans="1:24" ht="15.75" customHeight="1" thickBot="1" x14ac:dyDescent="0.35">
      <c r="A969" s="40" t="e">
        <v>#N/A</v>
      </c>
      <c r="B969" s="68" t="s">
        <v>516</v>
      </c>
      <c r="C969" s="55"/>
      <c r="D969" s="41"/>
      <c r="E969" s="55"/>
      <c r="F969" s="55"/>
      <c r="G969" s="55"/>
      <c r="H969" s="51"/>
      <c r="I969" s="52"/>
      <c r="J969" s="74" t="s">
        <v>1427</v>
      </c>
      <c r="K969" s="57"/>
      <c r="L969" s="75">
        <v>10.42</v>
      </c>
      <c r="M969" s="60">
        <v>99</v>
      </c>
      <c r="N969" s="76">
        <v>500</v>
      </c>
      <c r="O969" s="42"/>
      <c r="P969" s="58" t="s">
        <v>47</v>
      </c>
      <c r="Q969" s="61"/>
      <c r="R969" s="62"/>
      <c r="S969" s="78">
        <f t="shared" si="45"/>
        <v>49500</v>
      </c>
      <c r="T969" s="44" t="str">
        <f t="shared" si="46"/>
        <v>49500ml</v>
      </c>
      <c r="U969" s="77">
        <f t="shared" si="47"/>
        <v>1031.58</v>
      </c>
      <c r="V969" s="46"/>
      <c r="W969" s="46"/>
      <c r="X969" s="46"/>
    </row>
    <row r="970" spans="1:24" ht="15.75" customHeight="1" thickBot="1" x14ac:dyDescent="0.35">
      <c r="A970" s="40" t="e">
        <v>#N/A</v>
      </c>
      <c r="B970" s="67" t="s">
        <v>1428</v>
      </c>
      <c r="C970" s="55"/>
      <c r="D970" s="41"/>
      <c r="E970" s="55"/>
      <c r="F970" s="55"/>
      <c r="G970" s="55"/>
      <c r="H970" s="51"/>
      <c r="I970" s="52"/>
      <c r="J970" s="74" t="s">
        <v>1426</v>
      </c>
      <c r="K970" s="57"/>
      <c r="L970" s="75">
        <v>9.9</v>
      </c>
      <c r="M970" s="60">
        <v>411</v>
      </c>
      <c r="N970" s="76">
        <v>500</v>
      </c>
      <c r="O970" s="42"/>
      <c r="P970" s="58" t="s">
        <v>47</v>
      </c>
      <c r="Q970" s="61"/>
      <c r="R970" s="62"/>
      <c r="S970" s="78">
        <f t="shared" si="45"/>
        <v>205500</v>
      </c>
      <c r="T970" s="44" t="str">
        <f t="shared" si="46"/>
        <v>205500ml</v>
      </c>
      <c r="U970" s="77">
        <f t="shared" si="47"/>
        <v>4068.9</v>
      </c>
      <c r="V970" s="46"/>
      <c r="W970" s="46"/>
      <c r="X970" s="46"/>
    </row>
    <row r="971" spans="1:24" ht="15.75" customHeight="1" thickBot="1" x14ac:dyDescent="0.35">
      <c r="A971" s="40" t="e">
        <v>#N/A</v>
      </c>
      <c r="B971" s="67" t="s">
        <v>1428</v>
      </c>
      <c r="C971" s="55"/>
      <c r="D971" s="41"/>
      <c r="E971" s="55"/>
      <c r="F971" s="55"/>
      <c r="G971" s="55"/>
      <c r="H971" s="51"/>
      <c r="I971" s="52"/>
      <c r="J971" s="74" t="s">
        <v>1426</v>
      </c>
      <c r="K971" s="57"/>
      <c r="L971" s="75">
        <v>9.9</v>
      </c>
      <c r="M971" s="60">
        <v>455</v>
      </c>
      <c r="N971" s="76">
        <v>500</v>
      </c>
      <c r="O971" s="42"/>
      <c r="P971" s="58" t="s">
        <v>47</v>
      </c>
      <c r="Q971" s="61"/>
      <c r="R971" s="62"/>
      <c r="S971" s="78">
        <f t="shared" si="45"/>
        <v>227500</v>
      </c>
      <c r="T971" s="44" t="str">
        <f t="shared" si="46"/>
        <v>227500ml</v>
      </c>
      <c r="U971" s="77">
        <f t="shared" si="47"/>
        <v>4504.5</v>
      </c>
      <c r="V971" s="46"/>
      <c r="W971" s="46"/>
      <c r="X971" s="46"/>
    </row>
    <row r="972" spans="1:24" ht="15.75" customHeight="1" thickBot="1" x14ac:dyDescent="0.35">
      <c r="A972" s="40" t="e">
        <v>#N/A</v>
      </c>
      <c r="B972" s="67" t="s">
        <v>516</v>
      </c>
      <c r="C972" s="55"/>
      <c r="D972" s="41"/>
      <c r="E972" s="55"/>
      <c r="F972" s="55"/>
      <c r="G972" s="55"/>
      <c r="H972" s="51"/>
      <c r="I972" s="52"/>
      <c r="J972" s="74" t="s">
        <v>1423</v>
      </c>
      <c r="K972" s="57"/>
      <c r="L972" s="75">
        <v>7.72</v>
      </c>
      <c r="M972" s="60">
        <v>85</v>
      </c>
      <c r="N972" s="76">
        <v>350</v>
      </c>
      <c r="O972" s="42"/>
      <c r="P972" s="58" t="s">
        <v>47</v>
      </c>
      <c r="Q972" s="61"/>
      <c r="R972" s="62"/>
      <c r="S972" s="78">
        <f t="shared" si="45"/>
        <v>29750</v>
      </c>
      <c r="T972" s="44" t="str">
        <f t="shared" si="46"/>
        <v>29750ml</v>
      </c>
      <c r="U972" s="77">
        <f t="shared" si="47"/>
        <v>656.19999999999993</v>
      </c>
      <c r="V972" s="46"/>
      <c r="W972" s="46"/>
      <c r="X972" s="46"/>
    </row>
    <row r="973" spans="1:24" ht="15.75" customHeight="1" thickBot="1" x14ac:dyDescent="0.35">
      <c r="A973" s="40" t="e">
        <v>#N/A</v>
      </c>
      <c r="B973" s="67" t="s">
        <v>516</v>
      </c>
      <c r="C973" s="55"/>
      <c r="D973" s="41"/>
      <c r="E973" s="55"/>
      <c r="F973" s="55"/>
      <c r="G973" s="55"/>
      <c r="H973" s="51"/>
      <c r="I973" s="52"/>
      <c r="J973" s="74" t="s">
        <v>1424</v>
      </c>
      <c r="K973" s="57"/>
      <c r="L973" s="75">
        <v>75</v>
      </c>
      <c r="M973" s="60">
        <v>2</v>
      </c>
      <c r="N973" s="76">
        <v>1</v>
      </c>
      <c r="O973" s="42"/>
      <c r="P973" s="58" t="s">
        <v>685</v>
      </c>
      <c r="Q973" s="61"/>
      <c r="R973" s="62"/>
      <c r="S973" s="78">
        <f t="shared" si="45"/>
        <v>2</v>
      </c>
      <c r="T973" s="44" t="str">
        <f t="shared" si="46"/>
        <v>2liters</v>
      </c>
      <c r="U973" s="77">
        <f t="shared" si="47"/>
        <v>150</v>
      </c>
      <c r="V973" s="46"/>
      <c r="W973" s="46"/>
      <c r="X973" s="46"/>
    </row>
    <row r="974" spans="1:24" ht="15.75" customHeight="1" thickBot="1" x14ac:dyDescent="0.35">
      <c r="A974" s="40" t="e">
        <v>#N/A</v>
      </c>
      <c r="B974" s="67" t="s">
        <v>524</v>
      </c>
      <c r="C974" s="55"/>
      <c r="D974" s="41"/>
      <c r="E974" s="55"/>
      <c r="F974" s="55"/>
      <c r="G974" s="55"/>
      <c r="H974" s="51"/>
      <c r="I974" s="52"/>
      <c r="J974" s="74" t="s">
        <v>1018</v>
      </c>
      <c r="K974" s="57"/>
      <c r="L974" s="75">
        <v>23.6</v>
      </c>
      <c r="M974" s="60">
        <v>8</v>
      </c>
      <c r="N974" s="76">
        <v>100</v>
      </c>
      <c r="O974" s="42"/>
      <c r="P974" s="58" t="s">
        <v>36</v>
      </c>
      <c r="Q974" s="61"/>
      <c r="R974" s="62"/>
      <c r="S974" s="78">
        <f t="shared" si="45"/>
        <v>800</v>
      </c>
      <c r="T974" s="44" t="str">
        <f t="shared" si="46"/>
        <v>800grams</v>
      </c>
      <c r="U974" s="77">
        <f t="shared" si="47"/>
        <v>188.8</v>
      </c>
      <c r="V974" s="46"/>
      <c r="W974" s="46"/>
      <c r="X974" s="46"/>
    </row>
    <row r="975" spans="1:24" ht="15.75" customHeight="1" thickBot="1" x14ac:dyDescent="0.35">
      <c r="A975" s="40" t="e">
        <v>#N/A</v>
      </c>
      <c r="B975" s="67" t="s">
        <v>524</v>
      </c>
      <c r="C975" s="55"/>
      <c r="D975" s="41"/>
      <c r="E975" s="55"/>
      <c r="F975" s="55"/>
      <c r="G975" s="55"/>
      <c r="H975" s="51"/>
      <c r="I975" s="52"/>
      <c r="J975" s="74" t="s">
        <v>1018</v>
      </c>
      <c r="K975" s="57"/>
      <c r="L975" s="75">
        <v>236.7</v>
      </c>
      <c r="M975" s="60">
        <v>1</v>
      </c>
      <c r="N975" s="76">
        <v>1</v>
      </c>
      <c r="O975" s="42"/>
      <c r="P975" s="58" t="s">
        <v>1429</v>
      </c>
      <c r="Q975" s="61"/>
      <c r="R975" s="62"/>
      <c r="S975" s="78">
        <f t="shared" si="45"/>
        <v>1</v>
      </c>
      <c r="T975" s="44" t="str">
        <f t="shared" si="46"/>
        <v>1kl</v>
      </c>
      <c r="U975" s="77">
        <f t="shared" si="47"/>
        <v>236.7</v>
      </c>
      <c r="V975" s="46"/>
      <c r="W975" s="46"/>
      <c r="X975" s="46"/>
    </row>
    <row r="976" spans="1:24" ht="15.75" customHeight="1" thickBot="1" x14ac:dyDescent="0.35">
      <c r="A976" s="40" t="e">
        <v>#N/A</v>
      </c>
      <c r="B976" s="67" t="s">
        <v>524</v>
      </c>
      <c r="C976" s="55"/>
      <c r="D976" s="41"/>
      <c r="E976" s="55"/>
      <c r="F976" s="55"/>
      <c r="G976" s="55"/>
      <c r="H976" s="51"/>
      <c r="I976" s="52"/>
      <c r="J976" s="74" t="s">
        <v>1430</v>
      </c>
      <c r="K976" s="57"/>
      <c r="L976" s="75">
        <v>20</v>
      </c>
      <c r="M976" s="60">
        <v>4</v>
      </c>
      <c r="N976" s="76">
        <v>100</v>
      </c>
      <c r="O976" s="42"/>
      <c r="P976" s="58" t="s">
        <v>36</v>
      </c>
      <c r="Q976" s="61"/>
      <c r="R976" s="62"/>
      <c r="S976" s="78">
        <f t="shared" si="45"/>
        <v>400</v>
      </c>
      <c r="T976" s="44" t="str">
        <f t="shared" si="46"/>
        <v>400grams</v>
      </c>
      <c r="U976" s="77">
        <f t="shared" si="47"/>
        <v>80</v>
      </c>
      <c r="V976" s="46"/>
      <c r="W976" s="46"/>
      <c r="X976" s="46"/>
    </row>
    <row r="977" spans="1:24" ht="15.75" customHeight="1" thickBot="1" x14ac:dyDescent="0.35">
      <c r="A977" s="40" t="e">
        <v>#N/A</v>
      </c>
      <c r="B977" s="67" t="s">
        <v>524</v>
      </c>
      <c r="C977" s="55"/>
      <c r="D977" s="41"/>
      <c r="E977" s="55"/>
      <c r="F977" s="55"/>
      <c r="G977" s="55"/>
      <c r="H977" s="51"/>
      <c r="I977" s="52"/>
      <c r="J977" s="74" t="s">
        <v>1431</v>
      </c>
      <c r="K977" s="57"/>
      <c r="L977" s="75">
        <v>125</v>
      </c>
      <c r="M977" s="60">
        <v>2</v>
      </c>
      <c r="N977" s="76">
        <v>1</v>
      </c>
      <c r="O977" s="42"/>
      <c r="P977" s="58" t="s">
        <v>88</v>
      </c>
      <c r="Q977" s="61"/>
      <c r="R977" s="62"/>
      <c r="S977" s="78">
        <f t="shared" si="45"/>
        <v>2</v>
      </c>
      <c r="T977" s="44" t="str">
        <f t="shared" si="46"/>
        <v>2kilos</v>
      </c>
      <c r="U977" s="77">
        <f t="shared" si="47"/>
        <v>250</v>
      </c>
      <c r="V977" s="46"/>
      <c r="W977" s="46"/>
      <c r="X977" s="46"/>
    </row>
    <row r="978" spans="1:24" ht="15.75" customHeight="1" thickBot="1" x14ac:dyDescent="0.35">
      <c r="A978" s="40" t="e">
        <v>#N/A</v>
      </c>
      <c r="B978" s="67" t="s">
        <v>524</v>
      </c>
      <c r="C978" s="55"/>
      <c r="D978" s="41"/>
      <c r="E978" s="55"/>
      <c r="F978" s="55"/>
      <c r="G978" s="55"/>
      <c r="H978" s="51"/>
      <c r="I978" s="52"/>
      <c r="J978" s="74" t="s">
        <v>829</v>
      </c>
      <c r="K978" s="57"/>
      <c r="L978" s="75">
        <v>120</v>
      </c>
      <c r="M978" s="60">
        <v>1</v>
      </c>
      <c r="N978" s="76">
        <v>1</v>
      </c>
      <c r="O978" s="42"/>
      <c r="P978" s="58" t="s">
        <v>88</v>
      </c>
      <c r="Q978" s="61"/>
      <c r="R978" s="62"/>
      <c r="S978" s="78">
        <f t="shared" si="45"/>
        <v>1</v>
      </c>
      <c r="T978" s="44" t="str">
        <f t="shared" si="46"/>
        <v>1kilos</v>
      </c>
      <c r="U978" s="77">
        <f t="shared" si="47"/>
        <v>120</v>
      </c>
      <c r="V978" s="46"/>
      <c r="W978" s="46"/>
      <c r="X978" s="46"/>
    </row>
    <row r="979" spans="1:24" ht="15.75" customHeight="1" thickBot="1" x14ac:dyDescent="0.35">
      <c r="A979" s="40" t="e">
        <v>#N/A</v>
      </c>
      <c r="B979" s="67" t="s">
        <v>1432</v>
      </c>
      <c r="C979" s="55"/>
      <c r="D979" s="41"/>
      <c r="E979" s="55"/>
      <c r="F979" s="55"/>
      <c r="G979" s="55"/>
      <c r="H979" s="51"/>
      <c r="I979" s="52"/>
      <c r="J979" s="74" t="s">
        <v>1433</v>
      </c>
      <c r="K979" s="57"/>
      <c r="L979" s="75">
        <v>50</v>
      </c>
      <c r="M979" s="60">
        <v>3</v>
      </c>
      <c r="N979" s="76">
        <v>400</v>
      </c>
      <c r="O979" s="42"/>
      <c r="P979" s="58" t="s">
        <v>36</v>
      </c>
      <c r="Q979" s="61"/>
      <c r="R979" s="62"/>
      <c r="S979" s="78">
        <f t="shared" si="45"/>
        <v>1200</v>
      </c>
      <c r="T979" s="44" t="str">
        <f t="shared" si="46"/>
        <v>1200grams</v>
      </c>
      <c r="U979" s="77">
        <f t="shared" si="47"/>
        <v>150</v>
      </c>
      <c r="V979" s="46"/>
      <c r="W979" s="46"/>
      <c r="X979" s="46"/>
    </row>
    <row r="980" spans="1:24" ht="15.75" customHeight="1" thickBot="1" x14ac:dyDescent="0.35">
      <c r="A980" s="40" t="e">
        <v>#N/A</v>
      </c>
      <c r="B980" s="67" t="s">
        <v>531</v>
      </c>
      <c r="C980" s="55"/>
      <c r="D980" s="41"/>
      <c r="E980" s="55"/>
      <c r="F980" s="55"/>
      <c r="G980" s="55"/>
      <c r="H980" s="51"/>
      <c r="I980" s="52"/>
      <c r="J980" s="74"/>
      <c r="K980" s="57"/>
      <c r="L980" s="75">
        <v>85</v>
      </c>
      <c r="M980" s="60">
        <v>2</v>
      </c>
      <c r="N980" s="76">
        <v>1</v>
      </c>
      <c r="O980" s="42"/>
      <c r="P980" s="58" t="s">
        <v>88</v>
      </c>
      <c r="Q980" s="61"/>
      <c r="R980" s="62"/>
      <c r="S980" s="78">
        <f t="shared" si="45"/>
        <v>2</v>
      </c>
      <c r="T980" s="44" t="str">
        <f t="shared" si="46"/>
        <v>2kilos</v>
      </c>
      <c r="U980" s="77">
        <f t="shared" si="47"/>
        <v>170</v>
      </c>
      <c r="V980" s="46"/>
      <c r="W980" s="46"/>
      <c r="X980" s="46"/>
    </row>
    <row r="981" spans="1:24" ht="15.75" customHeight="1" thickBot="1" x14ac:dyDescent="0.35">
      <c r="A981" s="40" t="e">
        <v>#N/A</v>
      </c>
      <c r="B981" s="67" t="s">
        <v>531</v>
      </c>
      <c r="C981" s="55"/>
      <c r="D981" s="41"/>
      <c r="E981" s="55"/>
      <c r="F981" s="55"/>
      <c r="G981" s="55"/>
      <c r="H981" s="51"/>
      <c r="I981" s="52"/>
      <c r="J981" s="74" t="s">
        <v>1153</v>
      </c>
      <c r="K981" s="57"/>
      <c r="L981" s="75">
        <v>88</v>
      </c>
      <c r="M981" s="60">
        <v>6</v>
      </c>
      <c r="N981" s="76">
        <v>1</v>
      </c>
      <c r="O981" s="42"/>
      <c r="P981" s="58" t="s">
        <v>88</v>
      </c>
      <c r="Q981" s="61"/>
      <c r="R981" s="62"/>
      <c r="S981" s="78">
        <f t="shared" si="45"/>
        <v>6</v>
      </c>
      <c r="T981" s="44" t="str">
        <f t="shared" si="46"/>
        <v>6kilos</v>
      </c>
      <c r="U981" s="77">
        <f t="shared" si="47"/>
        <v>528</v>
      </c>
      <c r="V981" s="46"/>
      <c r="W981" s="46"/>
      <c r="X981" s="46"/>
    </row>
    <row r="982" spans="1:24" ht="15.75" customHeight="1" thickBot="1" x14ac:dyDescent="0.35">
      <c r="A982" s="40" t="e">
        <v>#N/A</v>
      </c>
      <c r="B982" s="67" t="s">
        <v>531</v>
      </c>
      <c r="C982" s="55"/>
      <c r="D982" s="41"/>
      <c r="E982" s="55"/>
      <c r="F982" s="55"/>
      <c r="G982" s="55"/>
      <c r="H982" s="51"/>
      <c r="I982" s="52"/>
      <c r="J982" s="74"/>
      <c r="K982" s="57"/>
      <c r="L982" s="75">
        <v>90</v>
      </c>
      <c r="M982" s="60">
        <v>1</v>
      </c>
      <c r="N982" s="76">
        <v>1</v>
      </c>
      <c r="O982" s="42"/>
      <c r="P982" s="58" t="s">
        <v>88</v>
      </c>
      <c r="Q982" s="61"/>
      <c r="R982" s="62"/>
      <c r="S982" s="78">
        <f t="shared" si="45"/>
        <v>1</v>
      </c>
      <c r="T982" s="44" t="str">
        <f t="shared" si="46"/>
        <v>1kilos</v>
      </c>
      <c r="U982" s="77">
        <f t="shared" si="47"/>
        <v>90</v>
      </c>
      <c r="V982" s="46"/>
      <c r="W982" s="46"/>
      <c r="X982" s="46"/>
    </row>
    <row r="983" spans="1:24" ht="15.75" customHeight="1" thickBot="1" x14ac:dyDescent="0.35">
      <c r="A983" s="40" t="e">
        <v>#N/A</v>
      </c>
      <c r="B983" s="67" t="s">
        <v>531</v>
      </c>
      <c r="C983" s="55"/>
      <c r="D983" s="41"/>
      <c r="E983" s="55"/>
      <c r="F983" s="55"/>
      <c r="G983" s="55"/>
      <c r="H983" s="51"/>
      <c r="I983" s="52"/>
      <c r="J983" s="74"/>
      <c r="K983" s="57"/>
      <c r="L983" s="75">
        <v>100</v>
      </c>
      <c r="M983" s="60">
        <v>7</v>
      </c>
      <c r="N983" s="76">
        <v>1</v>
      </c>
      <c r="O983" s="42"/>
      <c r="P983" s="58" t="s">
        <v>88</v>
      </c>
      <c r="Q983" s="61"/>
      <c r="R983" s="62"/>
      <c r="S983" s="78">
        <f t="shared" si="45"/>
        <v>7</v>
      </c>
      <c r="T983" s="44" t="str">
        <f t="shared" si="46"/>
        <v>7kilos</v>
      </c>
      <c r="U983" s="77">
        <f t="shared" si="47"/>
        <v>700</v>
      </c>
      <c r="V983" s="46"/>
      <c r="W983" s="46"/>
      <c r="X983" s="46"/>
    </row>
    <row r="984" spans="1:24" ht="15.75" customHeight="1" thickBot="1" x14ac:dyDescent="0.35">
      <c r="A984" s="40" t="e">
        <v>#N/A</v>
      </c>
      <c r="B984" s="67" t="s">
        <v>531</v>
      </c>
      <c r="C984" s="55"/>
      <c r="D984" s="41"/>
      <c r="E984" s="55"/>
      <c r="F984" s="55"/>
      <c r="G984" s="55"/>
      <c r="H984" s="51"/>
      <c r="I984" s="52"/>
      <c r="J984" s="74"/>
      <c r="K984" s="57"/>
      <c r="L984" s="75">
        <v>95</v>
      </c>
      <c r="M984" s="60">
        <v>1</v>
      </c>
      <c r="N984" s="76">
        <v>1</v>
      </c>
      <c r="O984" s="42"/>
      <c r="P984" s="58" t="s">
        <v>88</v>
      </c>
      <c r="Q984" s="61"/>
      <c r="R984" s="62"/>
      <c r="S984" s="78">
        <f t="shared" si="45"/>
        <v>1</v>
      </c>
      <c r="T984" s="44" t="str">
        <f t="shared" si="46"/>
        <v>1kilos</v>
      </c>
      <c r="U984" s="77">
        <f t="shared" si="47"/>
        <v>95</v>
      </c>
      <c r="V984" s="46"/>
      <c r="W984" s="46"/>
      <c r="X984" s="46"/>
    </row>
    <row r="985" spans="1:24" ht="15.75" customHeight="1" thickBot="1" x14ac:dyDescent="0.35">
      <c r="A985" s="40" t="e">
        <v>#N/A</v>
      </c>
      <c r="B985" s="67" t="s">
        <v>531</v>
      </c>
      <c r="C985" s="55"/>
      <c r="D985" s="41"/>
      <c r="E985" s="55"/>
      <c r="F985" s="55"/>
      <c r="G985" s="55"/>
      <c r="H985" s="51"/>
      <c r="I985" s="52"/>
      <c r="J985" s="74"/>
      <c r="K985" s="57"/>
      <c r="L985" s="75">
        <v>130</v>
      </c>
      <c r="M985" s="60">
        <v>1</v>
      </c>
      <c r="N985" s="76">
        <v>1</v>
      </c>
      <c r="O985" s="42"/>
      <c r="P985" s="58" t="s">
        <v>88</v>
      </c>
      <c r="Q985" s="61"/>
      <c r="R985" s="62"/>
      <c r="S985" s="78">
        <f t="shared" si="45"/>
        <v>1</v>
      </c>
      <c r="T985" s="44" t="str">
        <f t="shared" si="46"/>
        <v>1kilos</v>
      </c>
      <c r="U985" s="77">
        <f t="shared" si="47"/>
        <v>130</v>
      </c>
      <c r="V985" s="46"/>
      <c r="W985" s="46"/>
      <c r="X985" s="46"/>
    </row>
    <row r="986" spans="1:24" ht="15.75" customHeight="1" thickBot="1" x14ac:dyDescent="0.35">
      <c r="A986" s="40" t="e">
        <v>#N/A</v>
      </c>
      <c r="B986" s="67" t="s">
        <v>531</v>
      </c>
      <c r="C986" s="55"/>
      <c r="D986" s="41"/>
      <c r="E986" s="55"/>
      <c r="F986" s="55"/>
      <c r="G986" s="55"/>
      <c r="H986" s="51"/>
      <c r="I986" s="52"/>
      <c r="J986" s="74" t="s">
        <v>1434</v>
      </c>
      <c r="K986" s="57"/>
      <c r="L986" s="75">
        <v>100</v>
      </c>
      <c r="M986" s="60">
        <v>7</v>
      </c>
      <c r="N986" s="76">
        <v>1</v>
      </c>
      <c r="O986" s="42"/>
      <c r="P986" s="58" t="s">
        <v>88</v>
      </c>
      <c r="Q986" s="61"/>
      <c r="R986" s="62"/>
      <c r="S986" s="78">
        <f t="shared" si="45"/>
        <v>7</v>
      </c>
      <c r="T986" s="44" t="str">
        <f t="shared" si="46"/>
        <v>7kilos</v>
      </c>
      <c r="U986" s="77">
        <f t="shared" si="47"/>
        <v>700</v>
      </c>
      <c r="V986" s="46"/>
      <c r="W986" s="46"/>
      <c r="X986" s="46"/>
    </row>
    <row r="987" spans="1:24" ht="15.75" customHeight="1" thickBot="1" x14ac:dyDescent="0.35">
      <c r="A987" s="40" t="e">
        <v>#N/A</v>
      </c>
      <c r="B987" s="67" t="s">
        <v>532</v>
      </c>
      <c r="C987" s="55"/>
      <c r="D987" s="41"/>
      <c r="E987" s="55"/>
      <c r="F987" s="55"/>
      <c r="G987" s="55"/>
      <c r="H987" s="51"/>
      <c r="I987" s="52"/>
      <c r="J987" s="74" t="s">
        <v>1435</v>
      </c>
      <c r="K987" s="57"/>
      <c r="L987" s="75">
        <v>77.45</v>
      </c>
      <c r="M987" s="60">
        <v>6</v>
      </c>
      <c r="N987" s="76">
        <v>1</v>
      </c>
      <c r="O987" s="42"/>
      <c r="P987" s="58" t="s">
        <v>38</v>
      </c>
      <c r="Q987" s="61"/>
      <c r="R987" s="62"/>
      <c r="S987" s="78">
        <f t="shared" si="45"/>
        <v>6</v>
      </c>
      <c r="T987" s="44" t="str">
        <f t="shared" si="46"/>
        <v>6pieces</v>
      </c>
      <c r="U987" s="77">
        <f t="shared" si="47"/>
        <v>464.70000000000005</v>
      </c>
      <c r="V987" s="46"/>
      <c r="W987" s="46"/>
      <c r="X987" s="46"/>
    </row>
    <row r="988" spans="1:24" ht="15.75" customHeight="1" thickBot="1" x14ac:dyDescent="0.35">
      <c r="A988" s="40" t="e">
        <v>#N/A</v>
      </c>
      <c r="B988" s="67" t="s">
        <v>532</v>
      </c>
      <c r="C988" s="55"/>
      <c r="D988" s="41"/>
      <c r="E988" s="55"/>
      <c r="F988" s="55"/>
      <c r="G988" s="55"/>
      <c r="H988" s="51"/>
      <c r="I988" s="52"/>
      <c r="J988" s="74" t="s">
        <v>1435</v>
      </c>
      <c r="K988" s="57"/>
      <c r="L988" s="75">
        <v>110</v>
      </c>
      <c r="M988" s="60">
        <v>6</v>
      </c>
      <c r="N988" s="76">
        <v>1</v>
      </c>
      <c r="O988" s="42"/>
      <c r="P988" s="58" t="s">
        <v>38</v>
      </c>
      <c r="Q988" s="61"/>
      <c r="R988" s="62"/>
      <c r="S988" s="78">
        <f t="shared" si="45"/>
        <v>6</v>
      </c>
      <c r="T988" s="44" t="str">
        <f t="shared" si="46"/>
        <v>6pieces</v>
      </c>
      <c r="U988" s="77">
        <f t="shared" si="47"/>
        <v>660</v>
      </c>
      <c r="V988" s="46"/>
      <c r="W988" s="46"/>
      <c r="X988" s="46"/>
    </row>
    <row r="989" spans="1:24" ht="15.75" customHeight="1" thickBot="1" x14ac:dyDescent="0.35">
      <c r="A989" s="40" t="e">
        <v>#N/A</v>
      </c>
      <c r="B989" s="67" t="s">
        <v>532</v>
      </c>
      <c r="C989" s="55"/>
      <c r="D989" s="41"/>
      <c r="E989" s="55"/>
      <c r="F989" s="55"/>
      <c r="G989" s="55"/>
      <c r="H989" s="51"/>
      <c r="I989" s="52"/>
      <c r="J989" s="74"/>
      <c r="K989" s="57"/>
      <c r="L989" s="75">
        <v>120</v>
      </c>
      <c r="M989" s="60">
        <v>1</v>
      </c>
      <c r="N989" s="76">
        <v>1</v>
      </c>
      <c r="O989" s="42"/>
      <c r="P989" s="58" t="s">
        <v>38</v>
      </c>
      <c r="Q989" s="61"/>
      <c r="R989" s="62"/>
      <c r="S989" s="78">
        <f t="shared" si="45"/>
        <v>1</v>
      </c>
      <c r="T989" s="44" t="str">
        <f t="shared" si="46"/>
        <v>1pieces</v>
      </c>
      <c r="U989" s="77">
        <f t="shared" si="47"/>
        <v>120</v>
      </c>
      <c r="V989" s="46"/>
      <c r="W989" s="46"/>
      <c r="X989" s="46"/>
    </row>
    <row r="990" spans="1:24" ht="15.75" customHeight="1" thickBot="1" x14ac:dyDescent="0.35">
      <c r="A990" s="40" t="e">
        <v>#N/A</v>
      </c>
      <c r="B990" s="67" t="s">
        <v>544</v>
      </c>
      <c r="C990" s="55"/>
      <c r="D990" s="41"/>
      <c r="E990" s="55"/>
      <c r="F990" s="55"/>
      <c r="G990" s="55"/>
      <c r="H990" s="51"/>
      <c r="I990" s="52"/>
      <c r="J990" s="74" t="s">
        <v>827</v>
      </c>
      <c r="K990" s="57"/>
      <c r="L990" s="75">
        <v>38.5</v>
      </c>
      <c r="M990" s="60">
        <v>3</v>
      </c>
      <c r="N990" s="76">
        <v>156</v>
      </c>
      <c r="O990" s="42"/>
      <c r="P990" s="58" t="s">
        <v>36</v>
      </c>
      <c r="Q990" s="61"/>
      <c r="R990" s="62"/>
      <c r="S990" s="78">
        <f t="shared" si="45"/>
        <v>468</v>
      </c>
      <c r="T990" s="44" t="str">
        <f t="shared" si="46"/>
        <v>468grams</v>
      </c>
      <c r="U990" s="77">
        <f t="shared" si="47"/>
        <v>115.5</v>
      </c>
      <c r="V990" s="46"/>
      <c r="W990" s="46"/>
      <c r="X990" s="46"/>
    </row>
    <row r="991" spans="1:24" ht="15.75" customHeight="1" thickBot="1" x14ac:dyDescent="0.35">
      <c r="A991" s="40" t="e">
        <v>#N/A</v>
      </c>
      <c r="B991" s="67" t="s">
        <v>544</v>
      </c>
      <c r="C991" s="55"/>
      <c r="D991" s="41"/>
      <c r="E991" s="55"/>
      <c r="F991" s="55"/>
      <c r="G991" s="55"/>
      <c r="H991" s="51"/>
      <c r="I991" s="52"/>
      <c r="J991" s="74" t="s">
        <v>827</v>
      </c>
      <c r="K991" s="57"/>
      <c r="L991" s="75">
        <v>47.9</v>
      </c>
      <c r="M991" s="60">
        <v>12</v>
      </c>
      <c r="N991" s="76">
        <v>156</v>
      </c>
      <c r="O991" s="42"/>
      <c r="P991" s="58" t="s">
        <v>36</v>
      </c>
      <c r="Q991" s="61"/>
      <c r="R991" s="62"/>
      <c r="S991" s="78">
        <f t="shared" si="45"/>
        <v>1872</v>
      </c>
      <c r="T991" s="44" t="str">
        <f t="shared" si="46"/>
        <v>1872grams</v>
      </c>
      <c r="U991" s="77">
        <f t="shared" si="47"/>
        <v>574.79999999999995</v>
      </c>
      <c r="V991" s="46"/>
      <c r="W991" s="46"/>
      <c r="X991" s="46"/>
    </row>
    <row r="992" spans="1:24" ht="15.75" customHeight="1" thickBot="1" x14ac:dyDescent="0.35">
      <c r="A992" s="40" t="e">
        <v>#N/A</v>
      </c>
      <c r="B992" s="67" t="s">
        <v>544</v>
      </c>
      <c r="C992" s="55"/>
      <c r="D992" s="41"/>
      <c r="E992" s="55"/>
      <c r="F992" s="55"/>
      <c r="G992" s="55"/>
      <c r="H992" s="51"/>
      <c r="I992" s="52"/>
      <c r="J992" s="74" t="s">
        <v>827</v>
      </c>
      <c r="K992" s="57"/>
      <c r="L992" s="75">
        <v>61</v>
      </c>
      <c r="M992" s="60">
        <v>1</v>
      </c>
      <c r="N992" s="76">
        <v>230</v>
      </c>
      <c r="O992" s="42"/>
      <c r="P992" s="58" t="s">
        <v>138</v>
      </c>
      <c r="Q992" s="61"/>
      <c r="R992" s="62"/>
      <c r="S992" s="78">
        <f t="shared" si="45"/>
        <v>230</v>
      </c>
      <c r="T992" s="44" t="str">
        <f t="shared" si="46"/>
        <v>230drained weight grams</v>
      </c>
      <c r="U992" s="77">
        <f t="shared" si="47"/>
        <v>61</v>
      </c>
      <c r="V992" s="46"/>
      <c r="W992" s="46"/>
      <c r="X992" s="46"/>
    </row>
    <row r="993" spans="1:24" ht="15.75" customHeight="1" thickBot="1" x14ac:dyDescent="0.35">
      <c r="A993" s="40" t="e">
        <v>#N/A</v>
      </c>
      <c r="B993" s="67" t="s">
        <v>545</v>
      </c>
      <c r="C993" s="55"/>
      <c r="D993" s="41"/>
      <c r="E993" s="55"/>
      <c r="F993" s="55"/>
      <c r="G993" s="55"/>
      <c r="H993" s="51"/>
      <c r="I993" s="52"/>
      <c r="J993" s="74" t="s">
        <v>827</v>
      </c>
      <c r="K993" s="57"/>
      <c r="L993" s="75">
        <v>63.8</v>
      </c>
      <c r="M993" s="60">
        <v>10</v>
      </c>
      <c r="N993" s="76">
        <v>200</v>
      </c>
      <c r="O993" s="42"/>
      <c r="P993" s="58" t="s">
        <v>138</v>
      </c>
      <c r="Q993" s="61"/>
      <c r="R993" s="62"/>
      <c r="S993" s="78">
        <f t="shared" si="45"/>
        <v>2000</v>
      </c>
      <c r="T993" s="44" t="str">
        <f t="shared" si="46"/>
        <v>2000drained weight grams</v>
      </c>
      <c r="U993" s="77">
        <f t="shared" si="47"/>
        <v>638</v>
      </c>
      <c r="V993" s="46"/>
      <c r="W993" s="46"/>
      <c r="X993" s="46"/>
    </row>
    <row r="994" spans="1:24" ht="15.75" customHeight="1" thickBot="1" x14ac:dyDescent="0.35">
      <c r="A994" s="40" t="e">
        <v>#N/A</v>
      </c>
      <c r="B994" s="67" t="s">
        <v>1436</v>
      </c>
      <c r="C994" s="55"/>
      <c r="D994" s="41"/>
      <c r="E994" s="55"/>
      <c r="F994" s="55"/>
      <c r="G994" s="55"/>
      <c r="H994" s="51"/>
      <c r="I994" s="52"/>
      <c r="J994" s="74" t="s">
        <v>816</v>
      </c>
      <c r="K994" s="57"/>
      <c r="L994" s="75">
        <v>95.5</v>
      </c>
      <c r="M994" s="60">
        <v>1</v>
      </c>
      <c r="N994" s="76">
        <v>200</v>
      </c>
      <c r="O994" s="42"/>
      <c r="P994" s="58" t="s">
        <v>36</v>
      </c>
      <c r="Q994" s="61"/>
      <c r="R994" s="62"/>
      <c r="S994" s="78">
        <f t="shared" si="45"/>
        <v>200</v>
      </c>
      <c r="T994" s="44" t="str">
        <f t="shared" si="46"/>
        <v>200grams</v>
      </c>
      <c r="U994" s="77">
        <f t="shared" si="47"/>
        <v>95.5</v>
      </c>
      <c r="V994" s="46"/>
      <c r="W994" s="46"/>
      <c r="X994" s="46"/>
    </row>
    <row r="995" spans="1:24" ht="15.75" customHeight="1" thickBot="1" x14ac:dyDescent="0.35">
      <c r="A995" s="40" t="e">
        <v>#N/A</v>
      </c>
      <c r="B995" s="67" t="s">
        <v>1436</v>
      </c>
      <c r="C995" s="55"/>
      <c r="D995" s="41"/>
      <c r="E995" s="55"/>
      <c r="F995" s="55"/>
      <c r="G995" s="55"/>
      <c r="H995" s="51"/>
      <c r="I995" s="52"/>
      <c r="J995" s="74" t="s">
        <v>816</v>
      </c>
      <c r="K995" s="57"/>
      <c r="L995" s="75">
        <v>79</v>
      </c>
      <c r="M995" s="60">
        <v>1</v>
      </c>
      <c r="N995" s="76">
        <v>200</v>
      </c>
      <c r="O995" s="42"/>
      <c r="P995" s="58" t="s">
        <v>36</v>
      </c>
      <c r="Q995" s="61"/>
      <c r="R995" s="62"/>
      <c r="S995" s="78">
        <f t="shared" si="45"/>
        <v>200</v>
      </c>
      <c r="T995" s="44" t="str">
        <f t="shared" si="46"/>
        <v>200grams</v>
      </c>
      <c r="U995" s="77">
        <f t="shared" si="47"/>
        <v>79</v>
      </c>
      <c r="V995" s="46"/>
      <c r="W995" s="46"/>
      <c r="X995" s="46"/>
    </row>
    <row r="996" spans="1:24" ht="15.75" customHeight="1" thickBot="1" x14ac:dyDescent="0.35">
      <c r="A996" s="40" t="e">
        <v>#N/A</v>
      </c>
      <c r="B996" s="67" t="s">
        <v>1437</v>
      </c>
      <c r="C996" s="55"/>
      <c r="D996" s="41"/>
      <c r="E996" s="55"/>
      <c r="F996" s="55"/>
      <c r="G996" s="55"/>
      <c r="H996" s="51"/>
      <c r="I996" s="52"/>
      <c r="J996" s="74" t="s">
        <v>1438</v>
      </c>
      <c r="K996" s="57"/>
      <c r="L996" s="75">
        <v>180</v>
      </c>
      <c r="M996" s="60">
        <v>1</v>
      </c>
      <c r="N996" s="76">
        <v>896</v>
      </c>
      <c r="O996" s="42"/>
      <c r="P996" s="58" t="s">
        <v>36</v>
      </c>
      <c r="Q996" s="61"/>
      <c r="R996" s="62"/>
      <c r="S996" s="78">
        <f t="shared" si="45"/>
        <v>896</v>
      </c>
      <c r="T996" s="44" t="str">
        <f t="shared" si="46"/>
        <v>896grams</v>
      </c>
      <c r="U996" s="77">
        <f t="shared" si="47"/>
        <v>180</v>
      </c>
      <c r="V996" s="46"/>
      <c r="W996" s="46"/>
      <c r="X996" s="46"/>
    </row>
    <row r="997" spans="1:24" ht="15.75" customHeight="1" thickBot="1" x14ac:dyDescent="0.35">
      <c r="A997" s="40" t="e">
        <v>#N/A</v>
      </c>
      <c r="B997" s="67" t="s">
        <v>1439</v>
      </c>
      <c r="C997" s="55"/>
      <c r="D997" s="41"/>
      <c r="E997" s="55"/>
      <c r="F997" s="55"/>
      <c r="G997" s="55"/>
      <c r="H997" s="51"/>
      <c r="I997" s="52"/>
      <c r="J997" s="74" t="s">
        <v>1234</v>
      </c>
      <c r="K997" s="57"/>
      <c r="L997" s="75">
        <v>49.75</v>
      </c>
      <c r="M997" s="60">
        <v>6</v>
      </c>
      <c r="N997" s="76">
        <v>1</v>
      </c>
      <c r="O997" s="42"/>
      <c r="P997" s="58" t="s">
        <v>38</v>
      </c>
      <c r="Q997" s="61"/>
      <c r="R997" s="62"/>
      <c r="S997" s="78">
        <f t="shared" si="45"/>
        <v>6</v>
      </c>
      <c r="T997" s="44" t="str">
        <f t="shared" si="46"/>
        <v>6pieces</v>
      </c>
      <c r="U997" s="77">
        <f t="shared" si="47"/>
        <v>298.5</v>
      </c>
      <c r="V997" s="46"/>
      <c r="W997" s="46"/>
      <c r="X997" s="46"/>
    </row>
    <row r="998" spans="1:24" ht="15.75" customHeight="1" thickBot="1" x14ac:dyDescent="0.35">
      <c r="A998" s="40" t="e">
        <v>#N/A</v>
      </c>
      <c r="B998" s="67" t="s">
        <v>1440</v>
      </c>
      <c r="C998" s="55"/>
      <c r="D998" s="41"/>
      <c r="E998" s="55"/>
      <c r="F998" s="55"/>
      <c r="G998" s="55"/>
      <c r="H998" s="51"/>
      <c r="I998" s="52"/>
      <c r="J998" s="74"/>
      <c r="K998" s="57"/>
      <c r="L998" s="75">
        <v>60</v>
      </c>
      <c r="M998" s="60">
        <v>1</v>
      </c>
      <c r="N998" s="76">
        <v>1</v>
      </c>
      <c r="O998" s="42"/>
      <c r="P998" s="58" t="s">
        <v>88</v>
      </c>
      <c r="Q998" s="61"/>
      <c r="R998" s="62"/>
      <c r="S998" s="78">
        <f t="shared" si="45"/>
        <v>1</v>
      </c>
      <c r="T998" s="44" t="str">
        <f t="shared" si="46"/>
        <v>1kilos</v>
      </c>
      <c r="U998" s="77">
        <f t="shared" si="47"/>
        <v>60</v>
      </c>
      <c r="V998" s="46"/>
      <c r="W998" s="46"/>
      <c r="X998" s="46"/>
    </row>
    <row r="999" spans="1:24" ht="15.75" customHeight="1" thickBot="1" x14ac:dyDescent="0.35">
      <c r="A999" s="40" t="e">
        <v>#N/A</v>
      </c>
      <c r="B999" s="68" t="s">
        <v>1441</v>
      </c>
      <c r="C999" s="55"/>
      <c r="D999" s="41"/>
      <c r="E999" s="55"/>
      <c r="F999" s="55"/>
      <c r="G999" s="55"/>
      <c r="H999" s="51"/>
      <c r="I999" s="52"/>
      <c r="J999" s="74" t="s">
        <v>816</v>
      </c>
      <c r="K999" s="57"/>
      <c r="L999" s="75">
        <v>105</v>
      </c>
      <c r="M999" s="60">
        <v>1</v>
      </c>
      <c r="N999" s="76">
        <v>37</v>
      </c>
      <c r="O999" s="42"/>
      <c r="P999" s="58" t="s">
        <v>36</v>
      </c>
      <c r="Q999" s="61"/>
      <c r="R999" s="62"/>
      <c r="S999" s="78">
        <f t="shared" si="45"/>
        <v>37</v>
      </c>
      <c r="T999" s="44" t="str">
        <f t="shared" si="46"/>
        <v>37grams</v>
      </c>
      <c r="U999" s="77">
        <f t="shared" si="47"/>
        <v>105</v>
      </c>
      <c r="V999" s="46"/>
      <c r="W999" s="46"/>
      <c r="X999" s="46"/>
    </row>
    <row r="1000" spans="1:24" ht="15.75" customHeight="1" thickBot="1" x14ac:dyDescent="0.35">
      <c r="A1000" s="40" t="e">
        <v>#N/A</v>
      </c>
      <c r="B1000" s="68" t="s">
        <v>1441</v>
      </c>
      <c r="C1000" s="55"/>
      <c r="D1000" s="41"/>
      <c r="E1000" s="55"/>
      <c r="F1000" s="55"/>
      <c r="G1000" s="55"/>
      <c r="H1000" s="51"/>
      <c r="I1000" s="52"/>
      <c r="J1000" s="74" t="s">
        <v>816</v>
      </c>
      <c r="K1000" s="57"/>
      <c r="L1000" s="75">
        <v>125.25</v>
      </c>
      <c r="M1000" s="60">
        <v>2</v>
      </c>
      <c r="N1000" s="76">
        <v>37</v>
      </c>
      <c r="O1000" s="42"/>
      <c r="P1000" s="58" t="s">
        <v>36</v>
      </c>
      <c r="Q1000" s="61"/>
      <c r="R1000" s="62"/>
      <c r="S1000" s="78">
        <f t="shared" si="45"/>
        <v>74</v>
      </c>
      <c r="T1000" s="44" t="str">
        <f t="shared" si="46"/>
        <v>74grams</v>
      </c>
      <c r="U1000" s="77">
        <f t="shared" si="47"/>
        <v>250.5</v>
      </c>
      <c r="V1000" s="46"/>
      <c r="W1000" s="46"/>
      <c r="X1000" s="46"/>
    </row>
    <row r="1001" spans="1:24" ht="15.75" customHeight="1" thickBot="1" x14ac:dyDescent="0.35">
      <c r="A1001" s="40"/>
      <c r="B1001" s="67" t="s">
        <v>1442</v>
      </c>
      <c r="C1001" s="55"/>
      <c r="D1001" s="41"/>
      <c r="E1001" s="55"/>
      <c r="F1001" s="55"/>
      <c r="G1001" s="55"/>
      <c r="H1001" s="51"/>
      <c r="I1001" s="52"/>
      <c r="J1001" s="74"/>
      <c r="K1001" s="57"/>
      <c r="L1001" s="75">
        <v>55</v>
      </c>
      <c r="M1001" s="60">
        <v>1</v>
      </c>
      <c r="N1001" s="76">
        <v>1</v>
      </c>
      <c r="O1001" s="42"/>
      <c r="P1001" s="58" t="s">
        <v>88</v>
      </c>
      <c r="Q1001" s="61"/>
      <c r="R1001" s="62"/>
      <c r="S1001" s="78">
        <f t="shared" si="45"/>
        <v>1</v>
      </c>
      <c r="T1001" s="44" t="str">
        <f t="shared" si="46"/>
        <v>1kilos</v>
      </c>
      <c r="U1001" s="77">
        <f t="shared" si="47"/>
        <v>55</v>
      </c>
      <c r="V1001" s="46"/>
      <c r="W1001" s="46"/>
      <c r="X1001" s="46"/>
    </row>
    <row r="1002" spans="1:24" ht="15.75" customHeight="1" thickBot="1" x14ac:dyDescent="0.35">
      <c r="A1002" s="40"/>
      <c r="B1002" s="67" t="s">
        <v>1442</v>
      </c>
      <c r="C1002" s="55"/>
      <c r="D1002" s="41"/>
      <c r="E1002" s="55"/>
      <c r="F1002" s="55"/>
      <c r="G1002" s="55"/>
      <c r="H1002" s="51"/>
      <c r="I1002" s="52"/>
      <c r="J1002" s="74"/>
      <c r="K1002" s="57"/>
      <c r="L1002" s="75">
        <v>120</v>
      </c>
      <c r="M1002" s="60">
        <v>0</v>
      </c>
      <c r="N1002" s="76">
        <v>1</v>
      </c>
      <c r="O1002" s="42"/>
      <c r="P1002" s="58" t="s">
        <v>88</v>
      </c>
      <c r="Q1002" s="61"/>
      <c r="R1002" s="62"/>
      <c r="S1002" s="78">
        <f t="shared" si="45"/>
        <v>0</v>
      </c>
      <c r="T1002" s="44" t="str">
        <f t="shared" si="46"/>
        <v>0kilos</v>
      </c>
      <c r="U1002" s="77">
        <f t="shared" si="47"/>
        <v>0</v>
      </c>
      <c r="V1002" s="46"/>
      <c r="W1002" s="46"/>
      <c r="X1002" s="46"/>
    </row>
    <row r="1003" spans="1:24" ht="15.75" customHeight="1" thickBot="1" x14ac:dyDescent="0.35">
      <c r="A1003" s="40"/>
      <c r="B1003" s="67" t="s">
        <v>1442</v>
      </c>
      <c r="C1003" s="55"/>
      <c r="D1003" s="41"/>
      <c r="E1003" s="55"/>
      <c r="F1003" s="55"/>
      <c r="G1003" s="55"/>
      <c r="H1003" s="51"/>
      <c r="I1003" s="52"/>
      <c r="J1003" s="74"/>
      <c r="K1003" s="57"/>
      <c r="L1003" s="75">
        <v>50</v>
      </c>
      <c r="M1003" s="60">
        <v>2</v>
      </c>
      <c r="N1003" s="76">
        <v>1</v>
      </c>
      <c r="O1003" s="42"/>
      <c r="P1003" s="58" t="s">
        <v>88</v>
      </c>
      <c r="Q1003" s="61"/>
      <c r="R1003" s="62"/>
      <c r="S1003" s="78">
        <f t="shared" si="45"/>
        <v>2</v>
      </c>
      <c r="T1003" s="44" t="str">
        <f t="shared" si="46"/>
        <v>2kilos</v>
      </c>
      <c r="U1003" s="77">
        <f t="shared" si="47"/>
        <v>100</v>
      </c>
      <c r="V1003" s="46"/>
      <c r="W1003" s="46"/>
      <c r="X1003" s="46"/>
    </row>
    <row r="1004" spans="1:24" ht="15.75" customHeight="1" thickBot="1" x14ac:dyDescent="0.35">
      <c r="A1004" s="40"/>
      <c r="B1004" s="67" t="s">
        <v>1442</v>
      </c>
      <c r="C1004" s="55"/>
      <c r="D1004" s="41"/>
      <c r="E1004" s="55"/>
      <c r="F1004" s="55"/>
      <c r="G1004" s="55"/>
      <c r="H1004" s="51"/>
      <c r="I1004" s="52"/>
      <c r="J1004" s="74"/>
      <c r="K1004" s="57"/>
      <c r="L1004" s="75">
        <v>105</v>
      </c>
      <c r="M1004" s="60">
        <v>1</v>
      </c>
      <c r="N1004" s="76">
        <v>1</v>
      </c>
      <c r="O1004" s="42"/>
      <c r="P1004" s="58" t="s">
        <v>88</v>
      </c>
      <c r="Q1004" s="61"/>
      <c r="R1004" s="62"/>
      <c r="S1004" s="78">
        <f t="shared" si="45"/>
        <v>1</v>
      </c>
      <c r="T1004" s="44" t="str">
        <f t="shared" si="46"/>
        <v>1kilos</v>
      </c>
      <c r="U1004" s="77">
        <f t="shared" si="47"/>
        <v>105</v>
      </c>
      <c r="V1004" s="46"/>
      <c r="W1004" s="46"/>
      <c r="X1004" s="46"/>
    </row>
    <row r="1005" spans="1:24" ht="15.75" customHeight="1" thickBot="1" x14ac:dyDescent="0.35">
      <c r="A1005" s="40"/>
      <c r="B1005" s="67" t="s">
        <v>1442</v>
      </c>
      <c r="C1005" s="55"/>
      <c r="D1005" s="41"/>
      <c r="E1005" s="55"/>
      <c r="F1005" s="55"/>
      <c r="G1005" s="55"/>
      <c r="H1005" s="51"/>
      <c r="I1005" s="52"/>
      <c r="J1005" s="74" t="s">
        <v>1443</v>
      </c>
      <c r="K1005" s="57"/>
      <c r="L1005" s="75">
        <v>60</v>
      </c>
      <c r="M1005" s="60">
        <v>1</v>
      </c>
      <c r="N1005" s="76">
        <v>1</v>
      </c>
      <c r="O1005" s="42"/>
      <c r="P1005" s="58" t="s">
        <v>88</v>
      </c>
      <c r="Q1005" s="61"/>
      <c r="R1005" s="62"/>
      <c r="S1005" s="78">
        <f t="shared" si="45"/>
        <v>1</v>
      </c>
      <c r="T1005" s="44" t="str">
        <f t="shared" si="46"/>
        <v>1kilos</v>
      </c>
      <c r="U1005" s="77">
        <f t="shared" si="47"/>
        <v>60</v>
      </c>
      <c r="V1005" s="46"/>
      <c r="W1005" s="46"/>
      <c r="X1005" s="46"/>
    </row>
    <row r="1006" spans="1:24" ht="15.75" customHeight="1" thickBot="1" x14ac:dyDescent="0.35">
      <c r="A1006" s="40"/>
      <c r="B1006" s="67" t="s">
        <v>1444</v>
      </c>
      <c r="C1006" s="55"/>
      <c r="D1006" s="41"/>
      <c r="E1006" s="55"/>
      <c r="F1006" s="55"/>
      <c r="G1006" s="55"/>
      <c r="H1006" s="51"/>
      <c r="I1006" s="52"/>
      <c r="J1006" s="74" t="s">
        <v>925</v>
      </c>
      <c r="K1006" s="57"/>
      <c r="L1006" s="75">
        <v>294</v>
      </c>
      <c r="M1006" s="60">
        <v>1</v>
      </c>
      <c r="N1006" s="76">
        <v>500</v>
      </c>
      <c r="O1006" s="42"/>
      <c r="P1006" s="58" t="s">
        <v>36</v>
      </c>
      <c r="Q1006" s="61"/>
      <c r="R1006" s="62"/>
      <c r="S1006" s="78">
        <f t="shared" si="45"/>
        <v>500</v>
      </c>
      <c r="T1006" s="44" t="str">
        <f t="shared" si="46"/>
        <v>500grams</v>
      </c>
      <c r="U1006" s="77">
        <f t="shared" si="47"/>
        <v>294</v>
      </c>
      <c r="V1006" s="46"/>
      <c r="W1006" s="46"/>
      <c r="X1006" s="46"/>
    </row>
    <row r="1007" spans="1:24" ht="15.75" customHeight="1" thickBot="1" x14ac:dyDescent="0.35">
      <c r="A1007" s="40"/>
      <c r="B1007" s="67" t="s">
        <v>1444</v>
      </c>
      <c r="C1007" s="55"/>
      <c r="D1007" s="41"/>
      <c r="E1007" s="55"/>
      <c r="F1007" s="55"/>
      <c r="G1007" s="55"/>
      <c r="H1007" s="51"/>
      <c r="I1007" s="52"/>
      <c r="J1007" s="74" t="s">
        <v>925</v>
      </c>
      <c r="K1007" s="57"/>
      <c r="L1007" s="75">
        <v>534.75</v>
      </c>
      <c r="M1007" s="60">
        <v>1</v>
      </c>
      <c r="N1007" s="76">
        <v>500</v>
      </c>
      <c r="O1007" s="42"/>
      <c r="P1007" s="58" t="s">
        <v>47</v>
      </c>
      <c r="Q1007" s="61"/>
      <c r="R1007" s="62"/>
      <c r="S1007" s="78">
        <f t="shared" si="45"/>
        <v>500</v>
      </c>
      <c r="T1007" s="44" t="str">
        <f t="shared" si="46"/>
        <v>500ml</v>
      </c>
      <c r="U1007" s="77">
        <f t="shared" si="47"/>
        <v>534.75</v>
      </c>
      <c r="V1007" s="46"/>
      <c r="W1007" s="46"/>
      <c r="X1007" s="46"/>
    </row>
    <row r="1008" spans="1:24" ht="15.75" customHeight="1" thickBot="1" x14ac:dyDescent="0.35">
      <c r="A1008" s="40"/>
      <c r="B1008" s="68" t="s">
        <v>1444</v>
      </c>
      <c r="C1008" s="55"/>
      <c r="D1008" s="41"/>
      <c r="E1008" s="55"/>
      <c r="F1008" s="55"/>
      <c r="G1008" s="55"/>
      <c r="H1008" s="51"/>
      <c r="I1008" s="52"/>
      <c r="J1008" s="74" t="s">
        <v>842</v>
      </c>
      <c r="K1008" s="57"/>
      <c r="L1008" s="75">
        <v>244.5</v>
      </c>
      <c r="M1008" s="60">
        <v>1</v>
      </c>
      <c r="N1008" s="76">
        <v>250</v>
      </c>
      <c r="O1008" s="42"/>
      <c r="P1008" s="58" t="s">
        <v>47</v>
      </c>
      <c r="Q1008" s="61"/>
      <c r="R1008" s="62"/>
      <c r="S1008" s="78">
        <f t="shared" si="45"/>
        <v>250</v>
      </c>
      <c r="T1008" s="44" t="str">
        <f t="shared" si="46"/>
        <v>250ml</v>
      </c>
      <c r="U1008" s="77">
        <f t="shared" si="47"/>
        <v>244.5</v>
      </c>
      <c r="V1008" s="46"/>
      <c r="W1008" s="46"/>
      <c r="X1008" s="46"/>
    </row>
    <row r="1009" spans="1:24" ht="15.75" customHeight="1" thickBot="1" x14ac:dyDescent="0.35">
      <c r="A1009" s="40"/>
      <c r="B1009" s="67" t="s">
        <v>561</v>
      </c>
      <c r="C1009" s="55"/>
      <c r="D1009" s="41"/>
      <c r="E1009" s="55"/>
      <c r="F1009" s="55"/>
      <c r="G1009" s="55"/>
      <c r="H1009" s="51"/>
      <c r="I1009" s="52"/>
      <c r="J1009" s="74" t="s">
        <v>925</v>
      </c>
      <c r="K1009" s="57"/>
      <c r="L1009" s="75">
        <v>279.7</v>
      </c>
      <c r="M1009" s="60">
        <v>1</v>
      </c>
      <c r="N1009" s="76">
        <v>250</v>
      </c>
      <c r="O1009" s="42"/>
      <c r="P1009" s="58" t="s">
        <v>47</v>
      </c>
      <c r="Q1009" s="61"/>
      <c r="R1009" s="62"/>
      <c r="S1009" s="78">
        <f t="shared" si="45"/>
        <v>250</v>
      </c>
      <c r="T1009" s="44" t="str">
        <f t="shared" si="46"/>
        <v>250ml</v>
      </c>
      <c r="U1009" s="77">
        <f t="shared" si="47"/>
        <v>279.7</v>
      </c>
      <c r="V1009" s="46"/>
      <c r="W1009" s="46"/>
      <c r="X1009" s="46"/>
    </row>
    <row r="1010" spans="1:24" ht="15.75" customHeight="1" thickBot="1" x14ac:dyDescent="0.35">
      <c r="A1010" s="40"/>
      <c r="B1010" s="67" t="s">
        <v>561</v>
      </c>
      <c r="C1010" s="55"/>
      <c r="D1010" s="41"/>
      <c r="E1010" s="55"/>
      <c r="F1010" s="55"/>
      <c r="G1010" s="55"/>
      <c r="H1010" s="51"/>
      <c r="I1010" s="52"/>
      <c r="J1010" s="74" t="s">
        <v>925</v>
      </c>
      <c r="K1010" s="57"/>
      <c r="L1010" s="75">
        <v>263.5</v>
      </c>
      <c r="M1010" s="60">
        <v>1</v>
      </c>
      <c r="N1010" s="76">
        <v>250</v>
      </c>
      <c r="O1010" s="42"/>
      <c r="P1010" s="58" t="s">
        <v>47</v>
      </c>
      <c r="Q1010" s="61"/>
      <c r="R1010" s="62"/>
      <c r="S1010" s="78">
        <f t="shared" si="45"/>
        <v>250</v>
      </c>
      <c r="T1010" s="44" t="str">
        <f t="shared" si="46"/>
        <v>250ml</v>
      </c>
      <c r="U1010" s="77">
        <f t="shared" si="47"/>
        <v>263.5</v>
      </c>
      <c r="V1010" s="46"/>
      <c r="W1010" s="46"/>
      <c r="X1010" s="46"/>
    </row>
    <row r="1011" spans="1:24" ht="15.75" customHeight="1" thickBot="1" x14ac:dyDescent="0.35">
      <c r="A1011" s="40"/>
      <c r="B1011" s="67" t="s">
        <v>561</v>
      </c>
      <c r="C1011" s="55"/>
      <c r="D1011" s="41"/>
      <c r="E1011" s="55"/>
      <c r="F1011" s="55"/>
      <c r="G1011" s="55"/>
      <c r="H1011" s="51"/>
      <c r="I1011" s="52"/>
      <c r="J1011" s="74" t="s">
        <v>925</v>
      </c>
      <c r="K1011" s="57"/>
      <c r="L1011" s="75">
        <v>290</v>
      </c>
      <c r="M1011" s="60">
        <v>4</v>
      </c>
      <c r="N1011" s="76">
        <v>250</v>
      </c>
      <c r="O1011" s="42"/>
      <c r="P1011" s="58" t="s">
        <v>36</v>
      </c>
      <c r="Q1011" s="61"/>
      <c r="R1011" s="62"/>
      <c r="S1011" s="78">
        <f t="shared" si="45"/>
        <v>1000</v>
      </c>
      <c r="T1011" s="44" t="str">
        <f t="shared" si="46"/>
        <v>1000grams</v>
      </c>
      <c r="U1011" s="77">
        <f t="shared" si="47"/>
        <v>1160</v>
      </c>
      <c r="V1011" s="46"/>
      <c r="W1011" s="46"/>
      <c r="X1011" s="46"/>
    </row>
    <row r="1012" spans="1:24" ht="15.75" customHeight="1" thickBot="1" x14ac:dyDescent="0.35">
      <c r="A1012" s="40"/>
      <c r="B1012" s="68" t="s">
        <v>561</v>
      </c>
      <c r="C1012" s="55"/>
      <c r="D1012" s="41"/>
      <c r="E1012" s="55"/>
      <c r="F1012" s="55"/>
      <c r="G1012" s="55"/>
      <c r="H1012" s="51"/>
      <c r="I1012" s="52"/>
      <c r="J1012" s="74" t="s">
        <v>925</v>
      </c>
      <c r="K1012" s="57"/>
      <c r="L1012" s="75">
        <v>279.10000000000002</v>
      </c>
      <c r="M1012" s="60">
        <v>1</v>
      </c>
      <c r="N1012" s="76">
        <v>250</v>
      </c>
      <c r="O1012" s="42"/>
      <c r="P1012" s="58" t="s">
        <v>47</v>
      </c>
      <c r="Q1012" s="61"/>
      <c r="R1012" s="62"/>
      <c r="S1012" s="78">
        <f t="shared" si="45"/>
        <v>250</v>
      </c>
      <c r="T1012" s="44" t="str">
        <f t="shared" si="46"/>
        <v>250ml</v>
      </c>
      <c r="U1012" s="77">
        <f t="shared" si="47"/>
        <v>279.10000000000002</v>
      </c>
      <c r="V1012" s="46"/>
      <c r="W1012" s="46"/>
      <c r="X1012" s="46"/>
    </row>
    <row r="1013" spans="1:24" ht="15.75" customHeight="1" thickBot="1" x14ac:dyDescent="0.35">
      <c r="A1013" s="40"/>
      <c r="B1013" s="67" t="s">
        <v>1445</v>
      </c>
      <c r="C1013" s="55"/>
      <c r="D1013" s="41"/>
      <c r="E1013" s="55"/>
      <c r="F1013" s="55"/>
      <c r="G1013" s="55"/>
      <c r="H1013" s="51"/>
      <c r="I1013" s="52"/>
      <c r="J1013" s="74"/>
      <c r="K1013" s="57"/>
      <c r="L1013" s="75">
        <v>100</v>
      </c>
      <c r="M1013" s="60">
        <v>0</v>
      </c>
      <c r="N1013" s="76">
        <v>1</v>
      </c>
      <c r="O1013" s="42"/>
      <c r="P1013" s="58" t="s">
        <v>88</v>
      </c>
      <c r="Q1013" s="61"/>
      <c r="R1013" s="62"/>
      <c r="S1013" s="78">
        <f t="shared" si="45"/>
        <v>0</v>
      </c>
      <c r="T1013" s="44" t="str">
        <f t="shared" si="46"/>
        <v>0kilos</v>
      </c>
      <c r="U1013" s="77">
        <f t="shared" si="47"/>
        <v>0</v>
      </c>
      <c r="V1013" s="46"/>
      <c r="W1013" s="46"/>
      <c r="X1013" s="46"/>
    </row>
    <row r="1014" spans="1:24" ht="15.75" customHeight="1" thickBot="1" x14ac:dyDescent="0.35">
      <c r="A1014" s="40"/>
      <c r="B1014" s="67" t="s">
        <v>1445</v>
      </c>
      <c r="C1014" s="55"/>
      <c r="D1014" s="41"/>
      <c r="E1014" s="55"/>
      <c r="F1014" s="55"/>
      <c r="G1014" s="55"/>
      <c r="H1014" s="51"/>
      <c r="I1014" s="52"/>
      <c r="J1014" s="74"/>
      <c r="K1014" s="57"/>
      <c r="L1014" s="75">
        <v>110</v>
      </c>
      <c r="M1014" s="60">
        <v>0</v>
      </c>
      <c r="N1014" s="76">
        <v>1</v>
      </c>
      <c r="O1014" s="42"/>
      <c r="P1014" s="58" t="s">
        <v>88</v>
      </c>
      <c r="Q1014" s="61"/>
      <c r="R1014" s="62"/>
      <c r="S1014" s="78">
        <f t="shared" ref="S1014:S1077" si="48">M1014*N1014</f>
        <v>0</v>
      </c>
      <c r="T1014" s="44" t="str">
        <f t="shared" ref="T1014:T1077" si="49">CONCATENATE(S1014,Q1014,P1014)</f>
        <v>0kilos</v>
      </c>
      <c r="U1014" s="77">
        <f t="shared" ref="U1014:U1077" si="50">L1014*M1014</f>
        <v>0</v>
      </c>
      <c r="V1014" s="46"/>
      <c r="W1014" s="46"/>
      <c r="X1014" s="46"/>
    </row>
    <row r="1015" spans="1:24" ht="15.75" customHeight="1" thickBot="1" x14ac:dyDescent="0.35">
      <c r="A1015" s="40"/>
      <c r="B1015" s="68" t="s">
        <v>1446</v>
      </c>
      <c r="C1015" s="55"/>
      <c r="D1015" s="41"/>
      <c r="E1015" s="55"/>
      <c r="F1015" s="55"/>
      <c r="G1015" s="55"/>
      <c r="H1015" s="51"/>
      <c r="I1015" s="52"/>
      <c r="J1015" s="74" t="s">
        <v>1036</v>
      </c>
      <c r="K1015" s="57"/>
      <c r="L1015" s="75">
        <v>14.35</v>
      </c>
      <c r="M1015" s="60">
        <v>1</v>
      </c>
      <c r="N1015" s="76">
        <v>30</v>
      </c>
      <c r="O1015" s="42"/>
      <c r="P1015" s="58" t="s">
        <v>36</v>
      </c>
      <c r="Q1015" s="61"/>
      <c r="R1015" s="62"/>
      <c r="S1015" s="78">
        <f t="shared" si="48"/>
        <v>30</v>
      </c>
      <c r="T1015" s="44" t="str">
        <f t="shared" si="49"/>
        <v>30grams</v>
      </c>
      <c r="U1015" s="77">
        <f t="shared" si="50"/>
        <v>14.35</v>
      </c>
      <c r="V1015" s="46"/>
      <c r="W1015" s="46"/>
      <c r="X1015" s="46"/>
    </row>
    <row r="1016" spans="1:24" ht="15.75" customHeight="1" thickBot="1" x14ac:dyDescent="0.35">
      <c r="A1016" s="40"/>
      <c r="B1016" s="67" t="s">
        <v>1447</v>
      </c>
      <c r="C1016" s="55"/>
      <c r="D1016" s="41"/>
      <c r="E1016" s="55"/>
      <c r="F1016" s="55"/>
      <c r="G1016" s="55"/>
      <c r="H1016" s="51"/>
      <c r="I1016" s="52"/>
      <c r="J1016" s="74"/>
      <c r="K1016" s="57"/>
      <c r="L1016" s="75">
        <v>95</v>
      </c>
      <c r="M1016" s="60">
        <v>1</v>
      </c>
      <c r="N1016" s="76">
        <v>1</v>
      </c>
      <c r="O1016" s="42"/>
      <c r="P1016" s="58" t="s">
        <v>88</v>
      </c>
      <c r="Q1016" s="61"/>
      <c r="R1016" s="62"/>
      <c r="S1016" s="78">
        <f t="shared" si="48"/>
        <v>1</v>
      </c>
      <c r="T1016" s="44" t="str">
        <f t="shared" si="49"/>
        <v>1kilos</v>
      </c>
      <c r="U1016" s="77">
        <f t="shared" si="50"/>
        <v>95</v>
      </c>
      <c r="V1016" s="46"/>
      <c r="W1016" s="46"/>
      <c r="X1016" s="46"/>
    </row>
    <row r="1017" spans="1:24" ht="15.75" customHeight="1" thickBot="1" x14ac:dyDescent="0.35">
      <c r="A1017" s="40"/>
      <c r="B1017" s="67" t="s">
        <v>1447</v>
      </c>
      <c r="C1017" s="55"/>
      <c r="D1017" s="41"/>
      <c r="E1017" s="55"/>
      <c r="F1017" s="55"/>
      <c r="G1017" s="55"/>
      <c r="H1017" s="51"/>
      <c r="I1017" s="52"/>
      <c r="J1017" s="74"/>
      <c r="K1017" s="57"/>
      <c r="L1017" s="75">
        <v>280</v>
      </c>
      <c r="M1017" s="60">
        <v>1</v>
      </c>
      <c r="N1017" s="76">
        <v>1</v>
      </c>
      <c r="O1017" s="42"/>
      <c r="P1017" s="58" t="s">
        <v>88</v>
      </c>
      <c r="Q1017" s="61"/>
      <c r="R1017" s="62"/>
      <c r="S1017" s="78">
        <f t="shared" si="48"/>
        <v>1</v>
      </c>
      <c r="T1017" s="44" t="str">
        <f t="shared" si="49"/>
        <v>1kilos</v>
      </c>
      <c r="U1017" s="77">
        <f t="shared" si="50"/>
        <v>280</v>
      </c>
      <c r="V1017" s="46"/>
      <c r="W1017" s="46"/>
      <c r="X1017" s="46"/>
    </row>
    <row r="1018" spans="1:24" ht="15.75" customHeight="1" thickBot="1" x14ac:dyDescent="0.35">
      <c r="A1018" s="40"/>
      <c r="B1018" s="71" t="s">
        <v>563</v>
      </c>
      <c r="C1018" s="55"/>
      <c r="D1018" s="41"/>
      <c r="E1018" s="55"/>
      <c r="F1018" s="55"/>
      <c r="G1018" s="55"/>
      <c r="H1018" s="51"/>
      <c r="I1018" s="52"/>
      <c r="J1018" s="74" t="s">
        <v>874</v>
      </c>
      <c r="K1018" s="57"/>
      <c r="L1018" s="75">
        <v>110</v>
      </c>
      <c r="M1018" s="60">
        <v>1</v>
      </c>
      <c r="N1018" s="76">
        <v>1</v>
      </c>
      <c r="O1018" s="42"/>
      <c r="P1018" s="58" t="s">
        <v>88</v>
      </c>
      <c r="Q1018" s="61"/>
      <c r="R1018" s="62"/>
      <c r="S1018" s="78">
        <f t="shared" si="48"/>
        <v>1</v>
      </c>
      <c r="T1018" s="44" t="str">
        <f t="shared" si="49"/>
        <v>1kilos</v>
      </c>
      <c r="U1018" s="77">
        <f t="shared" si="50"/>
        <v>110</v>
      </c>
      <c r="V1018" s="46"/>
      <c r="W1018" s="46"/>
      <c r="X1018" s="46"/>
    </row>
    <row r="1019" spans="1:24" ht="15.75" customHeight="1" thickBot="1" x14ac:dyDescent="0.35">
      <c r="A1019" s="40"/>
      <c r="B1019" s="67" t="s">
        <v>563</v>
      </c>
      <c r="C1019" s="55"/>
      <c r="D1019" s="41"/>
      <c r="E1019" s="55"/>
      <c r="F1019" s="55"/>
      <c r="G1019" s="55"/>
      <c r="H1019" s="51"/>
      <c r="I1019" s="52"/>
      <c r="J1019" s="74"/>
      <c r="K1019" s="57"/>
      <c r="L1019" s="75">
        <v>85</v>
      </c>
      <c r="M1019" s="60">
        <v>2</v>
      </c>
      <c r="N1019" s="76">
        <v>1</v>
      </c>
      <c r="O1019" s="42"/>
      <c r="P1019" s="58" t="s">
        <v>88</v>
      </c>
      <c r="Q1019" s="61"/>
      <c r="R1019" s="62"/>
      <c r="S1019" s="78">
        <f t="shared" si="48"/>
        <v>2</v>
      </c>
      <c r="T1019" s="44" t="str">
        <f t="shared" si="49"/>
        <v>2kilos</v>
      </c>
      <c r="U1019" s="77">
        <f t="shared" si="50"/>
        <v>170</v>
      </c>
      <c r="V1019" s="46"/>
      <c r="W1019" s="46"/>
      <c r="X1019" s="46"/>
    </row>
    <row r="1020" spans="1:24" ht="15.75" customHeight="1" thickBot="1" x14ac:dyDescent="0.35">
      <c r="A1020" s="40"/>
      <c r="B1020" s="67" t="s">
        <v>563</v>
      </c>
      <c r="C1020" s="55"/>
      <c r="D1020" s="41"/>
      <c r="E1020" s="55"/>
      <c r="F1020" s="55"/>
      <c r="G1020" s="55"/>
      <c r="H1020" s="51"/>
      <c r="I1020" s="52"/>
      <c r="J1020" s="74"/>
      <c r="K1020" s="57"/>
      <c r="L1020" s="75">
        <v>140</v>
      </c>
      <c r="M1020" s="60">
        <v>2</v>
      </c>
      <c r="N1020" s="76">
        <v>1</v>
      </c>
      <c r="O1020" s="42"/>
      <c r="P1020" s="58" t="s">
        <v>88</v>
      </c>
      <c r="Q1020" s="61"/>
      <c r="R1020" s="62"/>
      <c r="S1020" s="78">
        <f t="shared" si="48"/>
        <v>2</v>
      </c>
      <c r="T1020" s="44" t="str">
        <f t="shared" si="49"/>
        <v>2kilos</v>
      </c>
      <c r="U1020" s="77">
        <f t="shared" si="50"/>
        <v>280</v>
      </c>
      <c r="V1020" s="46"/>
      <c r="W1020" s="46"/>
      <c r="X1020" s="46"/>
    </row>
    <row r="1021" spans="1:24" ht="15.75" customHeight="1" thickBot="1" x14ac:dyDescent="0.35">
      <c r="A1021" s="40"/>
      <c r="B1021" s="68" t="s">
        <v>1448</v>
      </c>
      <c r="C1021" s="55"/>
      <c r="D1021" s="41"/>
      <c r="E1021" s="55"/>
      <c r="F1021" s="55"/>
      <c r="G1021" s="55"/>
      <c r="H1021" s="51"/>
      <c r="I1021" s="52"/>
      <c r="J1021" s="74" t="s">
        <v>1449</v>
      </c>
      <c r="K1021" s="57"/>
      <c r="L1021" s="75">
        <v>135</v>
      </c>
      <c r="M1021" s="60">
        <v>1</v>
      </c>
      <c r="N1021" s="76">
        <v>320</v>
      </c>
      <c r="O1021" s="42"/>
      <c r="P1021" s="58" t="s">
        <v>36</v>
      </c>
      <c r="Q1021" s="61"/>
      <c r="R1021" s="62"/>
      <c r="S1021" s="78">
        <f t="shared" si="48"/>
        <v>320</v>
      </c>
      <c r="T1021" s="44" t="str">
        <f t="shared" si="49"/>
        <v>320grams</v>
      </c>
      <c r="U1021" s="77">
        <f t="shared" si="50"/>
        <v>135</v>
      </c>
      <c r="V1021" s="46"/>
      <c r="W1021" s="46"/>
      <c r="X1021" s="46"/>
    </row>
    <row r="1022" spans="1:24" ht="15.75" customHeight="1" thickBot="1" x14ac:dyDescent="0.35">
      <c r="A1022" s="40"/>
      <c r="B1022" s="67" t="s">
        <v>1450</v>
      </c>
      <c r="C1022" s="55"/>
      <c r="D1022" s="41"/>
      <c r="E1022" s="55"/>
      <c r="F1022" s="55"/>
      <c r="G1022" s="55"/>
      <c r="H1022" s="51"/>
      <c r="I1022" s="52"/>
      <c r="J1022" s="74"/>
      <c r="K1022" s="57"/>
      <c r="L1022" s="75">
        <v>45</v>
      </c>
      <c r="M1022" s="60">
        <v>8</v>
      </c>
      <c r="N1022" s="76">
        <v>1</v>
      </c>
      <c r="O1022" s="42"/>
      <c r="P1022" s="58" t="s">
        <v>38</v>
      </c>
      <c r="Q1022" s="61"/>
      <c r="R1022" s="62"/>
      <c r="S1022" s="78">
        <f t="shared" si="48"/>
        <v>8</v>
      </c>
      <c r="T1022" s="44" t="str">
        <f t="shared" si="49"/>
        <v>8pieces</v>
      </c>
      <c r="U1022" s="77">
        <f t="shared" si="50"/>
        <v>360</v>
      </c>
      <c r="V1022" s="46"/>
      <c r="W1022" s="46"/>
      <c r="X1022" s="46"/>
    </row>
    <row r="1023" spans="1:24" ht="15.75" customHeight="1" thickBot="1" x14ac:dyDescent="0.35">
      <c r="A1023" s="40"/>
      <c r="B1023" s="68" t="s">
        <v>1451</v>
      </c>
      <c r="C1023" s="55"/>
      <c r="D1023" s="41"/>
      <c r="E1023" s="55"/>
      <c r="F1023" s="55"/>
      <c r="G1023" s="55"/>
      <c r="H1023" s="51"/>
      <c r="I1023" s="52"/>
      <c r="J1023" s="74" t="s">
        <v>1036</v>
      </c>
      <c r="K1023" s="57"/>
      <c r="L1023" s="75">
        <v>21.1</v>
      </c>
      <c r="M1023" s="60">
        <v>3</v>
      </c>
      <c r="N1023" s="76">
        <v>10</v>
      </c>
      <c r="O1023" s="42"/>
      <c r="P1023" s="58" t="s">
        <v>36</v>
      </c>
      <c r="Q1023" s="61"/>
      <c r="R1023" s="62"/>
      <c r="S1023" s="78">
        <f t="shared" si="48"/>
        <v>30</v>
      </c>
      <c r="T1023" s="44" t="str">
        <f t="shared" si="49"/>
        <v>30grams</v>
      </c>
      <c r="U1023" s="77">
        <f t="shared" si="50"/>
        <v>63.300000000000004</v>
      </c>
      <c r="V1023" s="46"/>
      <c r="W1023" s="46"/>
      <c r="X1023" s="46"/>
    </row>
    <row r="1024" spans="1:24" ht="15.75" customHeight="1" thickBot="1" x14ac:dyDescent="0.35">
      <c r="A1024" s="40"/>
      <c r="B1024" s="67" t="s">
        <v>1452</v>
      </c>
      <c r="C1024" s="55"/>
      <c r="D1024" s="41"/>
      <c r="E1024" s="55"/>
      <c r="F1024" s="55"/>
      <c r="G1024" s="55"/>
      <c r="H1024" s="51"/>
      <c r="I1024" s="52"/>
      <c r="J1024" s="74" t="s">
        <v>617</v>
      </c>
      <c r="K1024" s="57"/>
      <c r="L1024" s="75">
        <v>160</v>
      </c>
      <c r="M1024" s="60">
        <v>2</v>
      </c>
      <c r="N1024" s="76">
        <v>2.2999999999999998</v>
      </c>
      <c r="O1024" s="42"/>
      <c r="P1024" s="58" t="s">
        <v>88</v>
      </c>
      <c r="Q1024" s="61"/>
      <c r="R1024" s="62"/>
      <c r="S1024" s="78">
        <f t="shared" si="48"/>
        <v>4.5999999999999996</v>
      </c>
      <c r="T1024" s="44" t="str">
        <f t="shared" si="49"/>
        <v>4.6kilos</v>
      </c>
      <c r="U1024" s="77">
        <f t="shared" si="50"/>
        <v>320</v>
      </c>
      <c r="V1024" s="46"/>
      <c r="W1024" s="46"/>
      <c r="X1024" s="46"/>
    </row>
    <row r="1025" spans="1:24" ht="15.75" customHeight="1" thickBot="1" x14ac:dyDescent="0.35">
      <c r="A1025" s="40"/>
      <c r="B1025" s="67" t="s">
        <v>1452</v>
      </c>
      <c r="C1025" s="55"/>
      <c r="D1025" s="41"/>
      <c r="E1025" s="55"/>
      <c r="F1025" s="55"/>
      <c r="G1025" s="55"/>
      <c r="H1025" s="51"/>
      <c r="I1025" s="52"/>
      <c r="J1025" s="74" t="s">
        <v>869</v>
      </c>
      <c r="K1025" s="57"/>
      <c r="L1025" s="75">
        <v>240</v>
      </c>
      <c r="M1025" s="60">
        <v>17</v>
      </c>
      <c r="N1025" s="76">
        <v>1</v>
      </c>
      <c r="O1025" s="42"/>
      <c r="P1025" s="58" t="s">
        <v>88</v>
      </c>
      <c r="Q1025" s="61"/>
      <c r="R1025" s="62"/>
      <c r="S1025" s="78">
        <f t="shared" si="48"/>
        <v>17</v>
      </c>
      <c r="T1025" s="44" t="str">
        <f t="shared" si="49"/>
        <v>17kilos</v>
      </c>
      <c r="U1025" s="77">
        <f t="shared" si="50"/>
        <v>4080</v>
      </c>
      <c r="V1025" s="46"/>
      <c r="W1025" s="46"/>
      <c r="X1025" s="46"/>
    </row>
    <row r="1026" spans="1:24" ht="15.75" customHeight="1" thickBot="1" x14ac:dyDescent="0.35">
      <c r="A1026" s="40"/>
      <c r="B1026" s="67" t="s">
        <v>569</v>
      </c>
      <c r="C1026" s="55"/>
      <c r="D1026" s="41"/>
      <c r="E1026" s="55"/>
      <c r="F1026" s="55"/>
      <c r="G1026" s="55"/>
      <c r="H1026" s="51"/>
      <c r="I1026" s="52"/>
      <c r="J1026" s="74" t="s">
        <v>1031</v>
      </c>
      <c r="K1026" s="57"/>
      <c r="L1026" s="75">
        <v>199</v>
      </c>
      <c r="M1026" s="60">
        <v>7</v>
      </c>
      <c r="N1026" s="76">
        <v>3500</v>
      </c>
      <c r="O1026" s="42"/>
      <c r="P1026" s="58" t="s">
        <v>47</v>
      </c>
      <c r="Q1026" s="61"/>
      <c r="R1026" s="62"/>
      <c r="S1026" s="78">
        <f t="shared" si="48"/>
        <v>24500</v>
      </c>
      <c r="T1026" s="44" t="str">
        <f t="shared" si="49"/>
        <v>24500ml</v>
      </c>
      <c r="U1026" s="77">
        <f t="shared" si="50"/>
        <v>1393</v>
      </c>
      <c r="V1026" s="46"/>
      <c r="W1026" s="46"/>
      <c r="X1026" s="46"/>
    </row>
    <row r="1027" spans="1:24" ht="15.75" customHeight="1" thickBot="1" x14ac:dyDescent="0.35">
      <c r="A1027" s="40"/>
      <c r="B1027" s="67" t="s">
        <v>569</v>
      </c>
      <c r="C1027" s="55"/>
      <c r="D1027" s="41"/>
      <c r="E1027" s="55"/>
      <c r="F1027" s="55"/>
      <c r="G1027" s="55"/>
      <c r="H1027" s="51"/>
      <c r="I1027" s="52"/>
      <c r="J1027" s="74" t="s">
        <v>859</v>
      </c>
      <c r="K1027" s="57"/>
      <c r="L1027" s="75">
        <v>103.6</v>
      </c>
      <c r="M1027" s="60">
        <v>1</v>
      </c>
      <c r="N1027" s="76">
        <v>405</v>
      </c>
      <c r="O1027" s="42"/>
      <c r="P1027" s="58" t="s">
        <v>36</v>
      </c>
      <c r="Q1027" s="61"/>
      <c r="R1027" s="62"/>
      <c r="S1027" s="78">
        <f t="shared" si="48"/>
        <v>405</v>
      </c>
      <c r="T1027" s="44" t="str">
        <f t="shared" si="49"/>
        <v>405grams</v>
      </c>
      <c r="U1027" s="77">
        <f t="shared" si="50"/>
        <v>103.6</v>
      </c>
      <c r="V1027" s="46"/>
      <c r="W1027" s="46"/>
      <c r="X1027" s="46"/>
    </row>
    <row r="1028" spans="1:24" ht="15.75" customHeight="1" thickBot="1" x14ac:dyDescent="0.35">
      <c r="A1028" s="40"/>
      <c r="B1028" s="67" t="s">
        <v>569</v>
      </c>
      <c r="C1028" s="55"/>
      <c r="D1028" s="41"/>
      <c r="E1028" s="55"/>
      <c r="F1028" s="55"/>
      <c r="G1028" s="55"/>
      <c r="H1028" s="51"/>
      <c r="I1028" s="52"/>
      <c r="J1028" s="74" t="s">
        <v>859</v>
      </c>
      <c r="K1028" s="57"/>
      <c r="L1028" s="75">
        <v>186</v>
      </c>
      <c r="M1028" s="60">
        <v>1</v>
      </c>
      <c r="N1028" s="76">
        <v>765</v>
      </c>
      <c r="O1028" s="42"/>
      <c r="P1028" s="58" t="s">
        <v>36</v>
      </c>
      <c r="Q1028" s="61"/>
      <c r="R1028" s="62"/>
      <c r="S1028" s="78">
        <f t="shared" si="48"/>
        <v>765</v>
      </c>
      <c r="T1028" s="44" t="str">
        <f t="shared" si="49"/>
        <v>765grams</v>
      </c>
      <c r="U1028" s="77">
        <f t="shared" si="50"/>
        <v>186</v>
      </c>
      <c r="V1028" s="46"/>
      <c r="W1028" s="46"/>
      <c r="X1028" s="46"/>
    </row>
    <row r="1029" spans="1:24" ht="15.75" customHeight="1" thickBot="1" x14ac:dyDescent="0.35">
      <c r="A1029" s="40"/>
      <c r="B1029" s="67" t="s">
        <v>569</v>
      </c>
      <c r="C1029" s="55"/>
      <c r="D1029" s="41"/>
      <c r="E1029" s="55"/>
      <c r="F1029" s="55"/>
      <c r="G1029" s="55"/>
      <c r="H1029" s="51"/>
      <c r="I1029" s="52"/>
      <c r="J1029" s="74" t="s">
        <v>1031</v>
      </c>
      <c r="K1029" s="57"/>
      <c r="L1029" s="75">
        <v>200</v>
      </c>
      <c r="M1029" s="60">
        <v>2</v>
      </c>
      <c r="N1029" s="76">
        <v>3500</v>
      </c>
      <c r="O1029" s="42"/>
      <c r="P1029" s="58" t="s">
        <v>53</v>
      </c>
      <c r="Q1029" s="61"/>
      <c r="R1029" s="62"/>
      <c r="S1029" s="78">
        <f t="shared" si="48"/>
        <v>7000</v>
      </c>
      <c r="T1029" s="44" t="str">
        <f t="shared" si="49"/>
        <v>7000gal</v>
      </c>
      <c r="U1029" s="77">
        <f t="shared" si="50"/>
        <v>400</v>
      </c>
      <c r="V1029" s="46"/>
      <c r="W1029" s="46"/>
      <c r="X1029" s="46"/>
    </row>
    <row r="1030" spans="1:24" ht="15.75" customHeight="1" thickBot="1" x14ac:dyDescent="0.35">
      <c r="A1030" s="40"/>
      <c r="B1030" s="67" t="s">
        <v>569</v>
      </c>
      <c r="C1030" s="55"/>
      <c r="D1030" s="41"/>
      <c r="E1030" s="55"/>
      <c r="F1030" s="55"/>
      <c r="G1030" s="55"/>
      <c r="H1030" s="51"/>
      <c r="I1030" s="52"/>
      <c r="J1030" s="74" t="s">
        <v>1453</v>
      </c>
      <c r="K1030" s="57"/>
      <c r="L1030" s="75">
        <v>165</v>
      </c>
      <c r="M1030" s="60">
        <v>5</v>
      </c>
      <c r="N1030" s="76">
        <v>2270</v>
      </c>
      <c r="O1030" s="42"/>
      <c r="P1030" s="58" t="s">
        <v>36</v>
      </c>
      <c r="Q1030" s="61"/>
      <c r="R1030" s="62"/>
      <c r="S1030" s="78">
        <f t="shared" si="48"/>
        <v>11350</v>
      </c>
      <c r="T1030" s="44" t="str">
        <f t="shared" si="49"/>
        <v>11350grams</v>
      </c>
      <c r="U1030" s="77">
        <f t="shared" si="50"/>
        <v>825</v>
      </c>
      <c r="V1030" s="46"/>
      <c r="W1030" s="46"/>
      <c r="X1030" s="46"/>
    </row>
    <row r="1031" spans="1:24" ht="15.75" customHeight="1" thickBot="1" x14ac:dyDescent="0.35">
      <c r="A1031" s="40"/>
      <c r="B1031" s="68" t="s">
        <v>569</v>
      </c>
      <c r="C1031" s="55"/>
      <c r="D1031" s="41"/>
      <c r="E1031" s="55"/>
      <c r="F1031" s="55"/>
      <c r="G1031" s="55"/>
      <c r="H1031" s="51"/>
      <c r="I1031" s="52"/>
      <c r="J1031" s="74" t="s">
        <v>859</v>
      </c>
      <c r="K1031" s="57"/>
      <c r="L1031" s="75">
        <v>721.7</v>
      </c>
      <c r="M1031" s="60">
        <v>1</v>
      </c>
      <c r="N1031" s="76">
        <v>4.2</v>
      </c>
      <c r="O1031" s="42"/>
      <c r="P1031" s="58" t="s">
        <v>88</v>
      </c>
      <c r="Q1031" s="61"/>
      <c r="R1031" s="62"/>
      <c r="S1031" s="78">
        <f t="shared" si="48"/>
        <v>4.2</v>
      </c>
      <c r="T1031" s="44" t="str">
        <f t="shared" si="49"/>
        <v>4.2kilos</v>
      </c>
      <c r="U1031" s="77">
        <f t="shared" si="50"/>
        <v>721.7</v>
      </c>
      <c r="V1031" s="46"/>
      <c r="W1031" s="46"/>
      <c r="X1031" s="46"/>
    </row>
    <row r="1032" spans="1:24" ht="15.75" customHeight="1" thickBot="1" x14ac:dyDescent="0.35">
      <c r="A1032" s="40"/>
      <c r="B1032" s="67" t="s">
        <v>1454</v>
      </c>
      <c r="C1032" s="55"/>
      <c r="D1032" s="41"/>
      <c r="E1032" s="55"/>
      <c r="F1032" s="55"/>
      <c r="G1032" s="55"/>
      <c r="H1032" s="51"/>
      <c r="I1032" s="52"/>
      <c r="J1032" s="74"/>
      <c r="K1032" s="57"/>
      <c r="L1032" s="75">
        <v>250</v>
      </c>
      <c r="M1032" s="60">
        <v>2</v>
      </c>
      <c r="N1032" s="76">
        <v>1</v>
      </c>
      <c r="O1032" s="42"/>
      <c r="P1032" s="58" t="s">
        <v>88</v>
      </c>
      <c r="Q1032" s="61"/>
      <c r="R1032" s="62"/>
      <c r="S1032" s="78">
        <f t="shared" si="48"/>
        <v>2</v>
      </c>
      <c r="T1032" s="44" t="str">
        <f t="shared" si="49"/>
        <v>2kilos</v>
      </c>
      <c r="U1032" s="77">
        <f t="shared" si="50"/>
        <v>500</v>
      </c>
      <c r="V1032" s="46"/>
      <c r="W1032" s="46"/>
      <c r="X1032" s="46"/>
    </row>
    <row r="1033" spans="1:24" ht="15.75" customHeight="1" thickBot="1" x14ac:dyDescent="0.35">
      <c r="A1033" s="40"/>
      <c r="B1033" s="67" t="s">
        <v>1454</v>
      </c>
      <c r="C1033" s="55"/>
      <c r="D1033" s="41"/>
      <c r="E1033" s="55"/>
      <c r="F1033" s="55"/>
      <c r="G1033" s="55"/>
      <c r="H1033" s="51"/>
      <c r="I1033" s="52"/>
      <c r="J1033" s="74"/>
      <c r="K1033" s="57"/>
      <c r="L1033" s="75">
        <v>48</v>
      </c>
      <c r="M1033" s="60">
        <v>9</v>
      </c>
      <c r="N1033" s="76">
        <v>1000</v>
      </c>
      <c r="O1033" s="42"/>
      <c r="P1033" s="58" t="s">
        <v>36</v>
      </c>
      <c r="Q1033" s="61"/>
      <c r="R1033" s="62"/>
      <c r="S1033" s="78">
        <f t="shared" si="48"/>
        <v>9000</v>
      </c>
      <c r="T1033" s="44" t="str">
        <f t="shared" si="49"/>
        <v>9000grams</v>
      </c>
      <c r="U1033" s="77">
        <f t="shared" si="50"/>
        <v>432</v>
      </c>
      <c r="V1033" s="46"/>
      <c r="W1033" s="46"/>
      <c r="X1033" s="46"/>
    </row>
    <row r="1034" spans="1:24" ht="15.75" customHeight="1" thickBot="1" x14ac:dyDescent="0.35">
      <c r="A1034" s="40"/>
      <c r="B1034" s="67" t="s">
        <v>1455</v>
      </c>
      <c r="C1034" s="55"/>
      <c r="D1034" s="41"/>
      <c r="E1034" s="55"/>
      <c r="F1034" s="55"/>
      <c r="G1034" s="55"/>
      <c r="H1034" s="51"/>
      <c r="I1034" s="52"/>
      <c r="J1034" s="74"/>
      <c r="K1034" s="57"/>
      <c r="L1034" s="75">
        <v>80</v>
      </c>
      <c r="M1034" s="60">
        <v>1</v>
      </c>
      <c r="N1034" s="76">
        <v>1000</v>
      </c>
      <c r="O1034" s="42"/>
      <c r="P1034" s="58" t="s">
        <v>36</v>
      </c>
      <c r="Q1034" s="61"/>
      <c r="R1034" s="62"/>
      <c r="S1034" s="78">
        <f t="shared" si="48"/>
        <v>1000</v>
      </c>
      <c r="T1034" s="44" t="str">
        <f t="shared" si="49"/>
        <v>1000grams</v>
      </c>
      <c r="U1034" s="77">
        <f t="shared" si="50"/>
        <v>80</v>
      </c>
      <c r="V1034" s="46"/>
      <c r="W1034" s="46"/>
      <c r="X1034" s="46"/>
    </row>
    <row r="1035" spans="1:24" ht="15.75" customHeight="1" thickBot="1" x14ac:dyDescent="0.35">
      <c r="A1035" s="40"/>
      <c r="B1035" s="67" t="s">
        <v>571</v>
      </c>
      <c r="C1035" s="55"/>
      <c r="D1035" s="41"/>
      <c r="E1035" s="55"/>
      <c r="F1035" s="55"/>
      <c r="G1035" s="55"/>
      <c r="H1035" s="51"/>
      <c r="I1035" s="52"/>
      <c r="J1035" s="74" t="s">
        <v>881</v>
      </c>
      <c r="K1035" s="57"/>
      <c r="L1035" s="75">
        <v>42.5</v>
      </c>
      <c r="M1035" s="60">
        <v>4</v>
      </c>
      <c r="N1035" s="76">
        <v>500</v>
      </c>
      <c r="O1035" s="42"/>
      <c r="P1035" s="58" t="s">
        <v>36</v>
      </c>
      <c r="Q1035" s="61"/>
      <c r="R1035" s="62"/>
      <c r="S1035" s="78">
        <f t="shared" si="48"/>
        <v>2000</v>
      </c>
      <c r="T1035" s="44" t="str">
        <f t="shared" si="49"/>
        <v>2000grams</v>
      </c>
      <c r="U1035" s="77">
        <f t="shared" si="50"/>
        <v>170</v>
      </c>
      <c r="V1035" s="46"/>
      <c r="W1035" s="46"/>
      <c r="X1035" s="46"/>
    </row>
    <row r="1036" spans="1:24" ht="15.75" customHeight="1" thickBot="1" x14ac:dyDescent="0.35">
      <c r="A1036" s="40"/>
      <c r="B1036" s="67" t="s">
        <v>571</v>
      </c>
      <c r="C1036" s="55"/>
      <c r="D1036" s="41"/>
      <c r="E1036" s="55"/>
      <c r="F1036" s="55"/>
      <c r="G1036" s="55"/>
      <c r="H1036" s="51"/>
      <c r="I1036" s="52"/>
      <c r="J1036" s="74" t="s">
        <v>881</v>
      </c>
      <c r="K1036" s="57"/>
      <c r="L1036" s="75">
        <v>42.2</v>
      </c>
      <c r="M1036" s="60">
        <v>14</v>
      </c>
      <c r="N1036" s="76">
        <v>500</v>
      </c>
      <c r="O1036" s="42"/>
      <c r="P1036" s="58" t="s">
        <v>36</v>
      </c>
      <c r="Q1036" s="61"/>
      <c r="R1036" s="62"/>
      <c r="S1036" s="78">
        <f t="shared" si="48"/>
        <v>7000</v>
      </c>
      <c r="T1036" s="44" t="str">
        <f t="shared" si="49"/>
        <v>7000grams</v>
      </c>
      <c r="U1036" s="77">
        <f t="shared" si="50"/>
        <v>590.80000000000007</v>
      </c>
      <c r="V1036" s="46"/>
      <c r="W1036" s="46"/>
      <c r="X1036" s="46"/>
    </row>
    <row r="1037" spans="1:24" ht="15.75" customHeight="1" thickBot="1" x14ac:dyDescent="0.35">
      <c r="A1037" s="40"/>
      <c r="B1037" s="67" t="s">
        <v>571</v>
      </c>
      <c r="C1037" s="55"/>
      <c r="D1037" s="41"/>
      <c r="E1037" s="55"/>
      <c r="F1037" s="55"/>
      <c r="G1037" s="55"/>
      <c r="H1037" s="51"/>
      <c r="I1037" s="52"/>
      <c r="J1037" s="74" t="s">
        <v>881</v>
      </c>
      <c r="K1037" s="57"/>
      <c r="L1037" s="75">
        <v>42.2</v>
      </c>
      <c r="M1037" s="60">
        <v>12</v>
      </c>
      <c r="N1037" s="76">
        <v>454</v>
      </c>
      <c r="O1037" s="42"/>
      <c r="P1037" s="58" t="s">
        <v>36</v>
      </c>
      <c r="Q1037" s="61"/>
      <c r="R1037" s="62"/>
      <c r="S1037" s="78">
        <f t="shared" si="48"/>
        <v>5448</v>
      </c>
      <c r="T1037" s="44" t="str">
        <f t="shared" si="49"/>
        <v>5448grams</v>
      </c>
      <c r="U1037" s="77">
        <f t="shared" si="50"/>
        <v>506.40000000000003</v>
      </c>
      <c r="V1037" s="46"/>
      <c r="W1037" s="46"/>
      <c r="X1037" s="46"/>
    </row>
    <row r="1038" spans="1:24" ht="15.75" customHeight="1" thickBot="1" x14ac:dyDescent="0.35">
      <c r="A1038" s="40"/>
      <c r="B1038" s="67" t="s">
        <v>571</v>
      </c>
      <c r="C1038" s="55"/>
      <c r="D1038" s="41"/>
      <c r="E1038" s="55"/>
      <c r="F1038" s="55"/>
      <c r="G1038" s="55"/>
      <c r="H1038" s="51"/>
      <c r="I1038" s="52"/>
      <c r="J1038" s="74" t="s">
        <v>881</v>
      </c>
      <c r="K1038" s="57"/>
      <c r="L1038" s="75">
        <v>42.2</v>
      </c>
      <c r="M1038" s="60">
        <v>4</v>
      </c>
      <c r="N1038" s="76">
        <v>500</v>
      </c>
      <c r="O1038" s="42"/>
      <c r="P1038" s="58" t="s">
        <v>36</v>
      </c>
      <c r="Q1038" s="61"/>
      <c r="R1038" s="62"/>
      <c r="S1038" s="78">
        <f t="shared" si="48"/>
        <v>2000</v>
      </c>
      <c r="T1038" s="44" t="str">
        <f t="shared" si="49"/>
        <v>2000grams</v>
      </c>
      <c r="U1038" s="77">
        <f t="shared" si="50"/>
        <v>168.8</v>
      </c>
      <c r="V1038" s="46"/>
      <c r="W1038" s="46"/>
      <c r="X1038" s="46"/>
    </row>
    <row r="1039" spans="1:24" ht="15.75" customHeight="1" thickBot="1" x14ac:dyDescent="0.35">
      <c r="A1039" s="40"/>
      <c r="B1039" s="67" t="s">
        <v>571</v>
      </c>
      <c r="C1039" s="55"/>
      <c r="D1039" s="41"/>
      <c r="E1039" s="55"/>
      <c r="F1039" s="55"/>
      <c r="G1039" s="55"/>
      <c r="H1039" s="51"/>
      <c r="I1039" s="52"/>
      <c r="J1039" s="74" t="s">
        <v>881</v>
      </c>
      <c r="K1039" s="57"/>
      <c r="L1039" s="75">
        <v>42.2</v>
      </c>
      <c r="M1039" s="60">
        <v>7</v>
      </c>
      <c r="N1039" s="76">
        <v>500</v>
      </c>
      <c r="O1039" s="42"/>
      <c r="P1039" s="58" t="s">
        <v>36</v>
      </c>
      <c r="Q1039" s="61"/>
      <c r="R1039" s="62"/>
      <c r="S1039" s="78">
        <f t="shared" si="48"/>
        <v>3500</v>
      </c>
      <c r="T1039" s="44" t="str">
        <f t="shared" si="49"/>
        <v>3500grams</v>
      </c>
      <c r="U1039" s="77">
        <f t="shared" si="50"/>
        <v>295.40000000000003</v>
      </c>
      <c r="V1039" s="46"/>
      <c r="W1039" s="46"/>
      <c r="X1039" s="46"/>
    </row>
    <row r="1040" spans="1:24" ht="15.75" customHeight="1" thickBot="1" x14ac:dyDescent="0.35">
      <c r="A1040" s="40"/>
      <c r="B1040" s="67" t="s">
        <v>571</v>
      </c>
      <c r="C1040" s="55"/>
      <c r="D1040" s="41"/>
      <c r="E1040" s="55"/>
      <c r="F1040" s="55"/>
      <c r="G1040" s="55"/>
      <c r="H1040" s="51"/>
      <c r="I1040" s="52"/>
      <c r="J1040" s="74" t="s">
        <v>881</v>
      </c>
      <c r="K1040" s="57"/>
      <c r="L1040" s="75">
        <v>45</v>
      </c>
      <c r="M1040" s="60">
        <v>1</v>
      </c>
      <c r="N1040" s="76">
        <v>500</v>
      </c>
      <c r="O1040" s="42"/>
      <c r="P1040" s="58" t="s">
        <v>36</v>
      </c>
      <c r="Q1040" s="61"/>
      <c r="R1040" s="62"/>
      <c r="S1040" s="78">
        <f t="shared" si="48"/>
        <v>500</v>
      </c>
      <c r="T1040" s="44" t="str">
        <f t="shared" si="49"/>
        <v>500grams</v>
      </c>
      <c r="U1040" s="77">
        <f t="shared" si="50"/>
        <v>45</v>
      </c>
      <c r="V1040" s="46"/>
      <c r="W1040" s="46"/>
      <c r="X1040" s="46"/>
    </row>
    <row r="1041" spans="1:24" ht="15.75" customHeight="1" thickBot="1" x14ac:dyDescent="0.35">
      <c r="A1041" s="40"/>
      <c r="B1041" s="68" t="s">
        <v>571</v>
      </c>
      <c r="C1041" s="55"/>
      <c r="D1041" s="41"/>
      <c r="E1041" s="55"/>
      <c r="F1041" s="55"/>
      <c r="G1041" s="55"/>
      <c r="H1041" s="51"/>
      <c r="I1041" s="52"/>
      <c r="J1041" s="74" t="s">
        <v>881</v>
      </c>
      <c r="K1041" s="57"/>
      <c r="L1041" s="75">
        <v>43.5</v>
      </c>
      <c r="M1041" s="60">
        <v>19</v>
      </c>
      <c r="N1041" s="76">
        <v>500</v>
      </c>
      <c r="O1041" s="42"/>
      <c r="P1041" s="58" t="s">
        <v>36</v>
      </c>
      <c r="Q1041" s="61"/>
      <c r="R1041" s="62"/>
      <c r="S1041" s="78">
        <f t="shared" si="48"/>
        <v>9500</v>
      </c>
      <c r="T1041" s="44" t="str">
        <f t="shared" si="49"/>
        <v>9500grams</v>
      </c>
      <c r="U1041" s="77">
        <f t="shared" si="50"/>
        <v>826.5</v>
      </c>
      <c r="V1041" s="46"/>
      <c r="W1041" s="46"/>
      <c r="X1041" s="46"/>
    </row>
    <row r="1042" spans="1:24" ht="15.75" customHeight="1" thickBot="1" x14ac:dyDescent="0.35">
      <c r="A1042" s="40"/>
      <c r="B1042" s="67" t="s">
        <v>571</v>
      </c>
      <c r="C1042" s="55"/>
      <c r="D1042" s="41"/>
      <c r="E1042" s="55"/>
      <c r="F1042" s="55"/>
      <c r="G1042" s="55"/>
      <c r="H1042" s="51"/>
      <c r="I1042" s="52"/>
      <c r="J1042" s="74" t="s">
        <v>881</v>
      </c>
      <c r="K1042" s="57"/>
      <c r="L1042" s="75">
        <v>42.2</v>
      </c>
      <c r="M1042" s="60">
        <v>5</v>
      </c>
      <c r="N1042" s="76">
        <v>500</v>
      </c>
      <c r="O1042" s="42"/>
      <c r="P1042" s="58" t="s">
        <v>36</v>
      </c>
      <c r="Q1042" s="61"/>
      <c r="R1042" s="62"/>
      <c r="S1042" s="78">
        <f t="shared" si="48"/>
        <v>2500</v>
      </c>
      <c r="T1042" s="44" t="str">
        <f t="shared" si="49"/>
        <v>2500grams</v>
      </c>
      <c r="U1042" s="77">
        <f t="shared" si="50"/>
        <v>211</v>
      </c>
      <c r="V1042" s="46"/>
      <c r="W1042" s="46"/>
      <c r="X1042" s="46"/>
    </row>
    <row r="1043" spans="1:24" ht="15.75" customHeight="1" thickBot="1" x14ac:dyDescent="0.35">
      <c r="A1043" s="40"/>
      <c r="B1043" s="67" t="s">
        <v>1456</v>
      </c>
      <c r="C1043" s="55"/>
      <c r="D1043" s="41"/>
      <c r="E1043" s="55"/>
      <c r="F1043" s="55"/>
      <c r="G1043" s="55"/>
      <c r="H1043" s="51"/>
      <c r="I1043" s="52"/>
      <c r="J1043" s="74" t="s">
        <v>816</v>
      </c>
      <c r="K1043" s="57"/>
      <c r="L1043" s="75">
        <v>42</v>
      </c>
      <c r="M1043" s="60">
        <v>3</v>
      </c>
      <c r="N1043" s="76">
        <v>30</v>
      </c>
      <c r="O1043" s="42"/>
      <c r="P1043" s="58" t="s">
        <v>47</v>
      </c>
      <c r="Q1043" s="61"/>
      <c r="R1043" s="62"/>
      <c r="S1043" s="78">
        <f t="shared" si="48"/>
        <v>90</v>
      </c>
      <c r="T1043" s="44" t="str">
        <f t="shared" si="49"/>
        <v>90ml</v>
      </c>
      <c r="U1043" s="77">
        <f t="shared" si="50"/>
        <v>126</v>
      </c>
      <c r="V1043" s="46"/>
      <c r="W1043" s="46"/>
      <c r="X1043" s="46"/>
    </row>
    <row r="1044" spans="1:24" ht="15.75" customHeight="1" thickBot="1" x14ac:dyDescent="0.35">
      <c r="A1044" s="40"/>
      <c r="B1044" s="67" t="s">
        <v>1457</v>
      </c>
      <c r="C1044" s="55"/>
      <c r="D1044" s="41"/>
      <c r="E1044" s="55"/>
      <c r="F1044" s="55"/>
      <c r="G1044" s="55"/>
      <c r="H1044" s="51"/>
      <c r="I1044" s="52"/>
      <c r="J1044" s="74" t="s">
        <v>1458</v>
      </c>
      <c r="K1044" s="57"/>
      <c r="L1044" s="75">
        <v>26.5</v>
      </c>
      <c r="M1044" s="60">
        <v>1</v>
      </c>
      <c r="N1044" s="76">
        <v>1</v>
      </c>
      <c r="O1044" s="42"/>
      <c r="P1044" s="58" t="s">
        <v>77</v>
      </c>
      <c r="Q1044" s="61"/>
      <c r="R1044" s="62"/>
      <c r="S1044" s="78">
        <f t="shared" si="48"/>
        <v>1</v>
      </c>
      <c r="T1044" s="44" t="str">
        <f t="shared" si="49"/>
        <v>1packs</v>
      </c>
      <c r="U1044" s="77">
        <f t="shared" si="50"/>
        <v>26.5</v>
      </c>
      <c r="V1044" s="46"/>
      <c r="W1044" s="46"/>
      <c r="X1044" s="46"/>
    </row>
    <row r="1045" spans="1:24" ht="15.75" customHeight="1" thickBot="1" x14ac:dyDescent="0.35">
      <c r="A1045" s="40"/>
      <c r="B1045" s="67" t="s">
        <v>1457</v>
      </c>
      <c r="C1045" s="55"/>
      <c r="D1045" s="41"/>
      <c r="E1045" s="55"/>
      <c r="F1045" s="55"/>
      <c r="G1045" s="55"/>
      <c r="H1045" s="51"/>
      <c r="I1045" s="52"/>
      <c r="J1045" s="74" t="s">
        <v>1459</v>
      </c>
      <c r="K1045" s="57"/>
      <c r="L1045" s="75">
        <v>17.079999999999998</v>
      </c>
      <c r="M1045" s="60">
        <v>3</v>
      </c>
      <c r="N1045" s="76">
        <v>22</v>
      </c>
      <c r="O1045" s="42"/>
      <c r="P1045" s="58" t="s">
        <v>77</v>
      </c>
      <c r="Q1045" s="61"/>
      <c r="R1045" s="62"/>
      <c r="S1045" s="78">
        <f t="shared" si="48"/>
        <v>66</v>
      </c>
      <c r="T1045" s="44" t="str">
        <f t="shared" si="49"/>
        <v>66packs</v>
      </c>
      <c r="U1045" s="77">
        <f t="shared" si="50"/>
        <v>51.239999999999995</v>
      </c>
      <c r="V1045" s="46"/>
      <c r="W1045" s="46"/>
      <c r="X1045" s="46"/>
    </row>
    <row r="1046" spans="1:24" ht="15.75" customHeight="1" thickBot="1" x14ac:dyDescent="0.35">
      <c r="A1046" s="40"/>
      <c r="B1046" s="68" t="s">
        <v>1457</v>
      </c>
      <c r="C1046" s="55"/>
      <c r="D1046" s="41"/>
      <c r="E1046" s="55"/>
      <c r="F1046" s="55"/>
      <c r="G1046" s="55"/>
      <c r="H1046" s="51"/>
      <c r="I1046" s="52"/>
      <c r="J1046" s="74" t="s">
        <v>1458</v>
      </c>
      <c r="K1046" s="57"/>
      <c r="L1046" s="75">
        <v>2.69</v>
      </c>
      <c r="M1046" s="60">
        <v>50</v>
      </c>
      <c r="N1046" s="76">
        <v>1</v>
      </c>
      <c r="O1046" s="42"/>
      <c r="P1046" s="58" t="s">
        <v>38</v>
      </c>
      <c r="Q1046" s="61"/>
      <c r="R1046" s="62"/>
      <c r="S1046" s="78">
        <f t="shared" si="48"/>
        <v>50</v>
      </c>
      <c r="T1046" s="44" t="str">
        <f t="shared" si="49"/>
        <v>50pieces</v>
      </c>
      <c r="U1046" s="77">
        <f t="shared" si="50"/>
        <v>134.5</v>
      </c>
      <c r="V1046" s="46"/>
      <c r="W1046" s="46"/>
      <c r="X1046" s="46"/>
    </row>
    <row r="1047" spans="1:24" ht="15.75" customHeight="1" thickBot="1" x14ac:dyDescent="0.35">
      <c r="A1047" s="40"/>
      <c r="B1047" s="67" t="s">
        <v>1460</v>
      </c>
      <c r="C1047" s="55"/>
      <c r="D1047" s="41"/>
      <c r="E1047" s="55"/>
      <c r="F1047" s="55"/>
      <c r="G1047" s="55"/>
      <c r="H1047" s="51"/>
      <c r="I1047" s="52"/>
      <c r="J1047" s="74" t="s">
        <v>966</v>
      </c>
      <c r="K1047" s="57"/>
      <c r="L1047" s="75">
        <v>2</v>
      </c>
      <c r="M1047" s="60">
        <v>164</v>
      </c>
      <c r="N1047" s="76">
        <v>1</v>
      </c>
      <c r="O1047" s="42"/>
      <c r="P1047" s="58" t="s">
        <v>38</v>
      </c>
      <c r="Q1047" s="61"/>
      <c r="R1047" s="62"/>
      <c r="S1047" s="78">
        <f t="shared" si="48"/>
        <v>164</v>
      </c>
      <c r="T1047" s="44" t="str">
        <f t="shared" si="49"/>
        <v>164pieces</v>
      </c>
      <c r="U1047" s="77">
        <f t="shared" si="50"/>
        <v>328</v>
      </c>
      <c r="V1047" s="46"/>
      <c r="W1047" s="46"/>
      <c r="X1047" s="46"/>
    </row>
    <row r="1048" spans="1:24" ht="15.75" customHeight="1" thickBot="1" x14ac:dyDescent="0.35">
      <c r="A1048" s="40"/>
      <c r="B1048" s="67" t="s">
        <v>1461</v>
      </c>
      <c r="C1048" s="55"/>
      <c r="D1048" s="41"/>
      <c r="E1048" s="55"/>
      <c r="F1048" s="55"/>
      <c r="G1048" s="55"/>
      <c r="H1048" s="51"/>
      <c r="I1048" s="52"/>
      <c r="J1048" s="74"/>
      <c r="K1048" s="57"/>
      <c r="L1048" s="75">
        <v>70</v>
      </c>
      <c r="M1048" s="60">
        <v>2</v>
      </c>
      <c r="N1048" s="76">
        <v>1000</v>
      </c>
      <c r="O1048" s="42"/>
      <c r="P1048" s="58" t="s">
        <v>36</v>
      </c>
      <c r="Q1048" s="61"/>
      <c r="R1048" s="62"/>
      <c r="S1048" s="78">
        <f t="shared" si="48"/>
        <v>2000</v>
      </c>
      <c r="T1048" s="44" t="str">
        <f t="shared" si="49"/>
        <v>2000grams</v>
      </c>
      <c r="U1048" s="77">
        <f t="shared" si="50"/>
        <v>140</v>
      </c>
      <c r="V1048" s="46"/>
      <c r="W1048" s="46"/>
      <c r="X1048" s="46"/>
    </row>
    <row r="1049" spans="1:24" ht="15.75" customHeight="1" thickBot="1" x14ac:dyDescent="0.35">
      <c r="A1049" s="40"/>
      <c r="B1049" s="67" t="s">
        <v>1462</v>
      </c>
      <c r="C1049" s="55"/>
      <c r="D1049" s="41"/>
      <c r="E1049" s="55"/>
      <c r="F1049" s="55"/>
      <c r="G1049" s="55"/>
      <c r="H1049" s="51"/>
      <c r="I1049" s="52"/>
      <c r="J1049" s="74" t="s">
        <v>1463</v>
      </c>
      <c r="K1049" s="57"/>
      <c r="L1049" s="75">
        <v>250</v>
      </c>
      <c r="M1049" s="60">
        <v>3</v>
      </c>
      <c r="N1049" s="76">
        <v>50</v>
      </c>
      <c r="O1049" s="42"/>
      <c r="P1049" s="58" t="s">
        <v>38</v>
      </c>
      <c r="Q1049" s="61"/>
      <c r="R1049" s="62"/>
      <c r="S1049" s="78">
        <f t="shared" si="48"/>
        <v>150</v>
      </c>
      <c r="T1049" s="44" t="str">
        <f t="shared" si="49"/>
        <v>150pieces</v>
      </c>
      <c r="U1049" s="77">
        <f t="shared" si="50"/>
        <v>750</v>
      </c>
      <c r="V1049" s="46"/>
      <c r="W1049" s="46"/>
      <c r="X1049" s="46"/>
    </row>
    <row r="1050" spans="1:24" ht="15.75" customHeight="1" thickBot="1" x14ac:dyDescent="0.35">
      <c r="A1050" s="40"/>
      <c r="B1050" s="67" t="s">
        <v>1462</v>
      </c>
      <c r="C1050" s="55"/>
      <c r="D1050" s="41"/>
      <c r="E1050" s="55"/>
      <c r="F1050" s="55"/>
      <c r="G1050" s="55"/>
      <c r="H1050" s="51"/>
      <c r="I1050" s="52"/>
      <c r="J1050" s="74"/>
      <c r="K1050" s="57"/>
      <c r="L1050" s="75">
        <v>5</v>
      </c>
      <c r="M1050" s="60">
        <v>140</v>
      </c>
      <c r="N1050" s="76">
        <v>1</v>
      </c>
      <c r="O1050" s="42"/>
      <c r="P1050" s="58" t="s">
        <v>38</v>
      </c>
      <c r="Q1050" s="61"/>
      <c r="R1050" s="62"/>
      <c r="S1050" s="78">
        <f t="shared" si="48"/>
        <v>140</v>
      </c>
      <c r="T1050" s="44" t="str">
        <f t="shared" si="49"/>
        <v>140pieces</v>
      </c>
      <c r="U1050" s="77">
        <f t="shared" si="50"/>
        <v>700</v>
      </c>
      <c r="V1050" s="46"/>
      <c r="W1050" s="46"/>
      <c r="X1050" s="46"/>
    </row>
    <row r="1051" spans="1:24" ht="15.75" customHeight="1" thickBot="1" x14ac:dyDescent="0.35">
      <c r="A1051" s="40"/>
      <c r="B1051" s="67" t="s">
        <v>1462</v>
      </c>
      <c r="C1051" s="55"/>
      <c r="D1051" s="41"/>
      <c r="E1051" s="55"/>
      <c r="F1051" s="55"/>
      <c r="G1051" s="55"/>
      <c r="H1051" s="51"/>
      <c r="I1051" s="52"/>
      <c r="J1051" s="74" t="s">
        <v>1464</v>
      </c>
      <c r="K1051" s="57"/>
      <c r="L1051" s="75">
        <v>4.3</v>
      </c>
      <c r="M1051" s="60">
        <v>109</v>
      </c>
      <c r="N1051" s="76">
        <v>1</v>
      </c>
      <c r="O1051" s="42"/>
      <c r="P1051" s="58" t="s">
        <v>38</v>
      </c>
      <c r="Q1051" s="61"/>
      <c r="R1051" s="62"/>
      <c r="S1051" s="78">
        <f t="shared" si="48"/>
        <v>109</v>
      </c>
      <c r="T1051" s="44" t="str">
        <f t="shared" si="49"/>
        <v>109pieces</v>
      </c>
      <c r="U1051" s="77">
        <f t="shared" si="50"/>
        <v>468.7</v>
      </c>
      <c r="V1051" s="46"/>
      <c r="W1051" s="46"/>
      <c r="X1051" s="46"/>
    </row>
    <row r="1052" spans="1:24" ht="15.75" customHeight="1" thickBot="1" x14ac:dyDescent="0.35">
      <c r="A1052" s="40"/>
      <c r="B1052" s="68" t="s">
        <v>1465</v>
      </c>
      <c r="C1052" s="55"/>
      <c r="D1052" s="41"/>
      <c r="E1052" s="55"/>
      <c r="F1052" s="55"/>
      <c r="G1052" s="55"/>
      <c r="H1052" s="51"/>
      <c r="I1052" s="52"/>
      <c r="J1052" s="74" t="s">
        <v>1464</v>
      </c>
      <c r="K1052" s="57"/>
      <c r="L1052" s="75">
        <v>5.8</v>
      </c>
      <c r="M1052" s="60">
        <v>44</v>
      </c>
      <c r="N1052" s="76">
        <v>1</v>
      </c>
      <c r="O1052" s="42"/>
      <c r="P1052" s="58" t="s">
        <v>38</v>
      </c>
      <c r="Q1052" s="61"/>
      <c r="R1052" s="62"/>
      <c r="S1052" s="78">
        <f t="shared" si="48"/>
        <v>44</v>
      </c>
      <c r="T1052" s="44" t="str">
        <f t="shared" si="49"/>
        <v>44pieces</v>
      </c>
      <c r="U1052" s="77">
        <f t="shared" si="50"/>
        <v>255.2</v>
      </c>
      <c r="V1052" s="46"/>
      <c r="W1052" s="46"/>
      <c r="X1052" s="46"/>
    </row>
    <row r="1053" spans="1:24" ht="15.75" customHeight="1" thickBot="1" x14ac:dyDescent="0.35">
      <c r="A1053" s="40"/>
      <c r="B1053" s="67" t="s">
        <v>1466</v>
      </c>
      <c r="C1053" s="55"/>
      <c r="D1053" s="41"/>
      <c r="E1053" s="55"/>
      <c r="F1053" s="55"/>
      <c r="G1053" s="55"/>
      <c r="H1053" s="51"/>
      <c r="I1053" s="52"/>
      <c r="J1053" s="74"/>
      <c r="K1053" s="57"/>
      <c r="L1053" s="75">
        <v>8.8000000000000007</v>
      </c>
      <c r="M1053" s="60">
        <v>39</v>
      </c>
      <c r="N1053" s="76">
        <v>1</v>
      </c>
      <c r="O1053" s="42"/>
      <c r="P1053" s="58" t="s">
        <v>38</v>
      </c>
      <c r="Q1053" s="61"/>
      <c r="R1053" s="62"/>
      <c r="S1053" s="78">
        <f t="shared" si="48"/>
        <v>39</v>
      </c>
      <c r="T1053" s="44" t="str">
        <f t="shared" si="49"/>
        <v>39pieces</v>
      </c>
      <c r="U1053" s="77">
        <f t="shared" si="50"/>
        <v>343.20000000000005</v>
      </c>
      <c r="V1053" s="46"/>
      <c r="W1053" s="46"/>
      <c r="X1053" s="46"/>
    </row>
    <row r="1054" spans="1:24" ht="15.75" customHeight="1" thickBot="1" x14ac:dyDescent="0.35">
      <c r="A1054" s="40"/>
      <c r="B1054" s="67" t="s">
        <v>1467</v>
      </c>
      <c r="C1054" s="55"/>
      <c r="D1054" s="41"/>
      <c r="E1054" s="55"/>
      <c r="F1054" s="55"/>
      <c r="G1054" s="55"/>
      <c r="H1054" s="51"/>
      <c r="I1054" s="52"/>
      <c r="J1054" s="74" t="s">
        <v>1468</v>
      </c>
      <c r="K1054" s="57"/>
      <c r="L1054" s="75">
        <v>125</v>
      </c>
      <c r="M1054" s="60">
        <v>2</v>
      </c>
      <c r="N1054" s="76">
        <v>1</v>
      </c>
      <c r="O1054" s="42"/>
      <c r="P1054" s="58" t="s">
        <v>77</v>
      </c>
      <c r="Q1054" s="61"/>
      <c r="R1054" s="62"/>
      <c r="S1054" s="78">
        <f t="shared" si="48"/>
        <v>2</v>
      </c>
      <c r="T1054" s="44" t="str">
        <f t="shared" si="49"/>
        <v>2packs</v>
      </c>
      <c r="U1054" s="77">
        <f t="shared" si="50"/>
        <v>250</v>
      </c>
      <c r="V1054" s="46"/>
      <c r="W1054" s="46"/>
      <c r="X1054" s="46"/>
    </row>
    <row r="1055" spans="1:24" ht="15.75" customHeight="1" thickBot="1" x14ac:dyDescent="0.35">
      <c r="A1055" s="40"/>
      <c r="B1055" s="67" t="s">
        <v>1469</v>
      </c>
      <c r="C1055" s="55"/>
      <c r="D1055" s="41"/>
      <c r="E1055" s="55"/>
      <c r="F1055" s="55"/>
      <c r="G1055" s="55"/>
      <c r="H1055" s="51"/>
      <c r="I1055" s="52"/>
      <c r="J1055" s="74" t="s">
        <v>820</v>
      </c>
      <c r="K1055" s="57"/>
      <c r="L1055" s="75">
        <v>1.72</v>
      </c>
      <c r="M1055" s="60">
        <v>75</v>
      </c>
      <c r="N1055" s="76">
        <v>1</v>
      </c>
      <c r="O1055" s="42"/>
      <c r="P1055" s="58" t="s">
        <v>38</v>
      </c>
      <c r="Q1055" s="61"/>
      <c r="R1055" s="62"/>
      <c r="S1055" s="78">
        <f t="shared" si="48"/>
        <v>75</v>
      </c>
      <c r="T1055" s="44" t="str">
        <f t="shared" si="49"/>
        <v>75pieces</v>
      </c>
      <c r="U1055" s="77">
        <f t="shared" si="50"/>
        <v>129</v>
      </c>
      <c r="V1055" s="46"/>
      <c r="W1055" s="46"/>
      <c r="X1055" s="46"/>
    </row>
    <row r="1056" spans="1:24" ht="15.75" customHeight="1" thickBot="1" x14ac:dyDescent="0.35">
      <c r="A1056" s="40"/>
      <c r="B1056" s="67" t="s">
        <v>1469</v>
      </c>
      <c r="C1056" s="55"/>
      <c r="D1056" s="41"/>
      <c r="E1056" s="55"/>
      <c r="F1056" s="55"/>
      <c r="G1056" s="55"/>
      <c r="H1056" s="51"/>
      <c r="I1056" s="52"/>
      <c r="J1056" s="74" t="s">
        <v>1470</v>
      </c>
      <c r="K1056" s="57"/>
      <c r="L1056" s="75">
        <v>100</v>
      </c>
      <c r="M1056" s="60">
        <v>9</v>
      </c>
      <c r="N1056" s="76">
        <v>50</v>
      </c>
      <c r="O1056" s="42"/>
      <c r="P1056" s="58" t="s">
        <v>38</v>
      </c>
      <c r="Q1056" s="61"/>
      <c r="R1056" s="62"/>
      <c r="S1056" s="78">
        <f t="shared" si="48"/>
        <v>450</v>
      </c>
      <c r="T1056" s="44" t="str">
        <f t="shared" si="49"/>
        <v>450pieces</v>
      </c>
      <c r="U1056" s="77">
        <f t="shared" si="50"/>
        <v>900</v>
      </c>
      <c r="V1056" s="46"/>
      <c r="W1056" s="46"/>
      <c r="X1056" s="46"/>
    </row>
    <row r="1057" spans="1:24" ht="15.75" customHeight="1" thickBot="1" x14ac:dyDescent="0.35">
      <c r="A1057" s="40"/>
      <c r="B1057" s="67" t="s">
        <v>1471</v>
      </c>
      <c r="C1057" s="55"/>
      <c r="D1057" s="41"/>
      <c r="E1057" s="55"/>
      <c r="F1057" s="55"/>
      <c r="G1057" s="55"/>
      <c r="H1057" s="51"/>
      <c r="I1057" s="52"/>
      <c r="J1057" s="74" t="s">
        <v>820</v>
      </c>
      <c r="K1057" s="57"/>
      <c r="L1057" s="75">
        <v>0.95</v>
      </c>
      <c r="M1057" s="60">
        <v>25</v>
      </c>
      <c r="N1057" s="76">
        <v>1</v>
      </c>
      <c r="O1057" s="42"/>
      <c r="P1057" s="58" t="s">
        <v>38</v>
      </c>
      <c r="Q1057" s="61"/>
      <c r="R1057" s="62"/>
      <c r="S1057" s="78">
        <f t="shared" si="48"/>
        <v>25</v>
      </c>
      <c r="T1057" s="44" t="str">
        <f t="shared" si="49"/>
        <v>25pieces</v>
      </c>
      <c r="U1057" s="77">
        <f t="shared" si="50"/>
        <v>23.75</v>
      </c>
      <c r="V1057" s="46"/>
      <c r="W1057" s="46"/>
      <c r="X1057" s="46"/>
    </row>
    <row r="1058" spans="1:24" ht="15.75" customHeight="1" thickBot="1" x14ac:dyDescent="0.35">
      <c r="A1058" s="40"/>
      <c r="B1058" s="68" t="s">
        <v>1472</v>
      </c>
      <c r="C1058" s="55"/>
      <c r="D1058" s="41"/>
      <c r="E1058" s="55"/>
      <c r="F1058" s="55"/>
      <c r="G1058" s="55"/>
      <c r="H1058" s="51"/>
      <c r="I1058" s="52"/>
      <c r="J1058" s="74" t="s">
        <v>820</v>
      </c>
      <c r="K1058" s="57"/>
      <c r="L1058" s="75">
        <v>1.1399999999999999</v>
      </c>
      <c r="M1058" s="60">
        <v>275</v>
      </c>
      <c r="N1058" s="76">
        <v>1</v>
      </c>
      <c r="O1058" s="42"/>
      <c r="P1058" s="58" t="s">
        <v>38</v>
      </c>
      <c r="Q1058" s="61"/>
      <c r="R1058" s="62"/>
      <c r="S1058" s="78">
        <f t="shared" si="48"/>
        <v>275</v>
      </c>
      <c r="T1058" s="44" t="str">
        <f t="shared" si="49"/>
        <v>275pieces</v>
      </c>
      <c r="U1058" s="77">
        <f t="shared" si="50"/>
        <v>313.5</v>
      </c>
      <c r="V1058" s="46"/>
      <c r="W1058" s="46"/>
      <c r="X1058" s="46"/>
    </row>
    <row r="1059" spans="1:24" ht="15.75" customHeight="1" thickBot="1" x14ac:dyDescent="0.35">
      <c r="A1059" s="40"/>
      <c r="B1059" s="67" t="s">
        <v>1472</v>
      </c>
      <c r="C1059" s="55"/>
      <c r="D1059" s="41"/>
      <c r="E1059" s="55"/>
      <c r="F1059" s="55"/>
      <c r="G1059" s="55"/>
      <c r="H1059" s="51"/>
      <c r="I1059" s="52"/>
      <c r="J1059" s="74" t="s">
        <v>1470</v>
      </c>
      <c r="K1059" s="57"/>
      <c r="L1059" s="75">
        <v>1</v>
      </c>
      <c r="M1059" s="60">
        <v>709</v>
      </c>
      <c r="N1059" s="76">
        <v>50</v>
      </c>
      <c r="O1059" s="42"/>
      <c r="P1059" s="58" t="s">
        <v>38</v>
      </c>
      <c r="Q1059" s="61"/>
      <c r="R1059" s="62"/>
      <c r="S1059" s="78">
        <f t="shared" si="48"/>
        <v>35450</v>
      </c>
      <c r="T1059" s="44" t="str">
        <f t="shared" si="49"/>
        <v>35450pieces</v>
      </c>
      <c r="U1059" s="77">
        <f t="shared" si="50"/>
        <v>709</v>
      </c>
      <c r="V1059" s="46"/>
      <c r="W1059" s="46"/>
      <c r="X1059" s="46"/>
    </row>
    <row r="1060" spans="1:24" ht="15.75" customHeight="1" thickBot="1" x14ac:dyDescent="0.35">
      <c r="A1060" s="40"/>
      <c r="B1060" s="67" t="s">
        <v>1472</v>
      </c>
      <c r="C1060" s="55"/>
      <c r="D1060" s="41"/>
      <c r="E1060" s="55"/>
      <c r="F1060" s="55"/>
      <c r="G1060" s="55"/>
      <c r="H1060" s="51"/>
      <c r="I1060" s="52"/>
      <c r="J1060" s="74"/>
      <c r="K1060" s="57"/>
      <c r="L1060" s="75">
        <v>0.76</v>
      </c>
      <c r="M1060" s="60">
        <v>239</v>
      </c>
      <c r="N1060" s="76">
        <v>1</v>
      </c>
      <c r="O1060" s="42"/>
      <c r="P1060" s="58" t="s">
        <v>38</v>
      </c>
      <c r="Q1060" s="61"/>
      <c r="R1060" s="62"/>
      <c r="S1060" s="78">
        <f t="shared" si="48"/>
        <v>239</v>
      </c>
      <c r="T1060" s="44" t="str">
        <f t="shared" si="49"/>
        <v>239pieces</v>
      </c>
      <c r="U1060" s="77">
        <f t="shared" si="50"/>
        <v>181.64000000000001</v>
      </c>
      <c r="V1060" s="46"/>
      <c r="W1060" s="46"/>
      <c r="X1060" s="46"/>
    </row>
    <row r="1061" spans="1:24" ht="15.75" customHeight="1" thickBot="1" x14ac:dyDescent="0.35">
      <c r="A1061" s="40"/>
      <c r="B1061" s="67" t="s">
        <v>1472</v>
      </c>
      <c r="C1061" s="55"/>
      <c r="D1061" s="41"/>
      <c r="E1061" s="55"/>
      <c r="F1061" s="55"/>
      <c r="G1061" s="55"/>
      <c r="H1061" s="51"/>
      <c r="I1061" s="52"/>
      <c r="J1061" s="74"/>
      <c r="K1061" s="57"/>
      <c r="L1061" s="75">
        <v>1.25</v>
      </c>
      <c r="M1061" s="60">
        <v>1870</v>
      </c>
      <c r="N1061" s="76">
        <v>1</v>
      </c>
      <c r="O1061" s="42"/>
      <c r="P1061" s="58" t="s">
        <v>38</v>
      </c>
      <c r="Q1061" s="61"/>
      <c r="R1061" s="62"/>
      <c r="S1061" s="78">
        <f t="shared" si="48"/>
        <v>1870</v>
      </c>
      <c r="T1061" s="44" t="str">
        <f t="shared" si="49"/>
        <v>1870pieces</v>
      </c>
      <c r="U1061" s="77">
        <f t="shared" si="50"/>
        <v>2337.5</v>
      </c>
      <c r="V1061" s="46"/>
      <c r="W1061" s="46"/>
      <c r="X1061" s="46"/>
    </row>
    <row r="1062" spans="1:24" ht="15.75" customHeight="1" thickBot="1" x14ac:dyDescent="0.35">
      <c r="A1062" s="40"/>
      <c r="B1062" s="67" t="s">
        <v>1472</v>
      </c>
      <c r="C1062" s="55"/>
      <c r="D1062" s="41"/>
      <c r="E1062" s="55"/>
      <c r="F1062" s="55"/>
      <c r="G1062" s="55"/>
      <c r="H1062" s="51"/>
      <c r="I1062" s="52"/>
      <c r="J1062" s="74" t="s">
        <v>953</v>
      </c>
      <c r="K1062" s="57"/>
      <c r="L1062" s="75">
        <v>70</v>
      </c>
      <c r="M1062" s="60">
        <v>11</v>
      </c>
      <c r="N1062" s="76">
        <v>100</v>
      </c>
      <c r="O1062" s="42"/>
      <c r="P1062" s="58" t="s">
        <v>38</v>
      </c>
      <c r="Q1062" s="61"/>
      <c r="R1062" s="62"/>
      <c r="S1062" s="78">
        <f t="shared" si="48"/>
        <v>1100</v>
      </c>
      <c r="T1062" s="44" t="str">
        <f t="shared" si="49"/>
        <v>1100pieces</v>
      </c>
      <c r="U1062" s="77">
        <f t="shared" si="50"/>
        <v>770</v>
      </c>
      <c r="V1062" s="46"/>
      <c r="W1062" s="46"/>
      <c r="X1062" s="46"/>
    </row>
    <row r="1063" spans="1:24" ht="15.75" customHeight="1" thickBot="1" x14ac:dyDescent="0.35">
      <c r="A1063" s="40"/>
      <c r="B1063" s="67" t="s">
        <v>1473</v>
      </c>
      <c r="C1063" s="55"/>
      <c r="D1063" s="41"/>
      <c r="E1063" s="55"/>
      <c r="F1063" s="55"/>
      <c r="G1063" s="55"/>
      <c r="H1063" s="51"/>
      <c r="I1063" s="52"/>
      <c r="J1063" s="74" t="s">
        <v>1470</v>
      </c>
      <c r="K1063" s="57"/>
      <c r="L1063" s="75">
        <v>3</v>
      </c>
      <c r="M1063" s="60">
        <v>200</v>
      </c>
      <c r="N1063" s="76">
        <v>1</v>
      </c>
      <c r="O1063" s="42"/>
      <c r="P1063" s="58" t="s">
        <v>38</v>
      </c>
      <c r="Q1063" s="61"/>
      <c r="R1063" s="62"/>
      <c r="S1063" s="78">
        <f t="shared" si="48"/>
        <v>200</v>
      </c>
      <c r="T1063" s="44" t="str">
        <f t="shared" si="49"/>
        <v>200pieces</v>
      </c>
      <c r="U1063" s="77">
        <f t="shared" si="50"/>
        <v>600</v>
      </c>
      <c r="V1063" s="46"/>
      <c r="W1063" s="46"/>
      <c r="X1063" s="46"/>
    </row>
    <row r="1064" spans="1:24" ht="15.75" customHeight="1" thickBot="1" x14ac:dyDescent="0.35">
      <c r="A1064" s="40"/>
      <c r="B1064" s="67" t="s">
        <v>1473</v>
      </c>
      <c r="C1064" s="55"/>
      <c r="D1064" s="41"/>
      <c r="E1064" s="55"/>
      <c r="F1064" s="55"/>
      <c r="G1064" s="55"/>
      <c r="H1064" s="51"/>
      <c r="I1064" s="52"/>
      <c r="J1064" s="74" t="s">
        <v>1470</v>
      </c>
      <c r="K1064" s="57"/>
      <c r="L1064" s="75">
        <v>200</v>
      </c>
      <c r="M1064" s="60">
        <v>2</v>
      </c>
      <c r="N1064" s="76">
        <v>50</v>
      </c>
      <c r="O1064" s="42"/>
      <c r="P1064" s="58" t="s">
        <v>38</v>
      </c>
      <c r="Q1064" s="61"/>
      <c r="R1064" s="62"/>
      <c r="S1064" s="78">
        <f t="shared" si="48"/>
        <v>100</v>
      </c>
      <c r="T1064" s="44" t="str">
        <f t="shared" si="49"/>
        <v>100pieces</v>
      </c>
      <c r="U1064" s="77">
        <f t="shared" si="50"/>
        <v>400</v>
      </c>
      <c r="V1064" s="46"/>
      <c r="W1064" s="46"/>
      <c r="X1064" s="46"/>
    </row>
    <row r="1065" spans="1:24" ht="15.75" customHeight="1" thickBot="1" x14ac:dyDescent="0.35">
      <c r="A1065" s="40"/>
      <c r="B1065" s="68" t="s">
        <v>1474</v>
      </c>
      <c r="C1065" s="55"/>
      <c r="D1065" s="41"/>
      <c r="E1065" s="55"/>
      <c r="F1065" s="55"/>
      <c r="G1065" s="55"/>
      <c r="H1065" s="51"/>
      <c r="I1065" s="52"/>
      <c r="J1065" s="74"/>
      <c r="K1065" s="57"/>
      <c r="L1065" s="75">
        <v>3.74</v>
      </c>
      <c r="M1065" s="60">
        <v>126</v>
      </c>
      <c r="N1065" s="76">
        <v>1</v>
      </c>
      <c r="O1065" s="42"/>
      <c r="P1065" s="58" t="s">
        <v>77</v>
      </c>
      <c r="Q1065" s="61"/>
      <c r="R1065" s="62"/>
      <c r="S1065" s="78">
        <f t="shared" si="48"/>
        <v>126</v>
      </c>
      <c r="T1065" s="44" t="str">
        <f t="shared" si="49"/>
        <v>126packs</v>
      </c>
      <c r="U1065" s="77">
        <f t="shared" si="50"/>
        <v>471.24</v>
      </c>
      <c r="V1065" s="46"/>
      <c r="W1065" s="46"/>
      <c r="X1065" s="46"/>
    </row>
    <row r="1066" spans="1:24" ht="15.75" customHeight="1" thickBot="1" x14ac:dyDescent="0.35">
      <c r="A1066" s="40"/>
      <c r="B1066" s="67" t="s">
        <v>1475</v>
      </c>
      <c r="C1066" s="55"/>
      <c r="D1066" s="41"/>
      <c r="E1066" s="55"/>
      <c r="F1066" s="55"/>
      <c r="G1066" s="55"/>
      <c r="H1066" s="51"/>
      <c r="I1066" s="52"/>
      <c r="J1066" s="74"/>
      <c r="K1066" s="57"/>
      <c r="L1066" s="75">
        <v>1.89</v>
      </c>
      <c r="M1066" s="60">
        <v>53</v>
      </c>
      <c r="N1066" s="76">
        <v>1</v>
      </c>
      <c r="O1066" s="42"/>
      <c r="P1066" s="58" t="s">
        <v>38</v>
      </c>
      <c r="Q1066" s="61"/>
      <c r="R1066" s="62"/>
      <c r="S1066" s="78">
        <f t="shared" si="48"/>
        <v>53</v>
      </c>
      <c r="T1066" s="44" t="str">
        <f t="shared" si="49"/>
        <v>53pieces</v>
      </c>
      <c r="U1066" s="77">
        <f t="shared" si="50"/>
        <v>100.17</v>
      </c>
      <c r="V1066" s="46"/>
      <c r="W1066" s="46"/>
      <c r="X1066" s="46"/>
    </row>
    <row r="1067" spans="1:24" ht="15.75" customHeight="1" thickBot="1" x14ac:dyDescent="0.35">
      <c r="A1067" s="40"/>
      <c r="B1067" s="67" t="s">
        <v>1476</v>
      </c>
      <c r="C1067" s="55"/>
      <c r="D1067" s="41"/>
      <c r="E1067" s="55"/>
      <c r="F1067" s="55"/>
      <c r="G1067" s="55"/>
      <c r="H1067" s="51"/>
      <c r="I1067" s="52"/>
      <c r="J1067" s="74" t="s">
        <v>953</v>
      </c>
      <c r="K1067" s="57"/>
      <c r="L1067" s="75">
        <v>37.5</v>
      </c>
      <c r="M1067" s="60">
        <v>4</v>
      </c>
      <c r="N1067" s="76">
        <v>1</v>
      </c>
      <c r="O1067" s="42"/>
      <c r="P1067" s="58" t="s">
        <v>77</v>
      </c>
      <c r="Q1067" s="61"/>
      <c r="R1067" s="62"/>
      <c r="S1067" s="78">
        <f t="shared" si="48"/>
        <v>4</v>
      </c>
      <c r="T1067" s="44" t="str">
        <f t="shared" si="49"/>
        <v>4packs</v>
      </c>
      <c r="U1067" s="77">
        <f t="shared" si="50"/>
        <v>150</v>
      </c>
      <c r="V1067" s="46"/>
      <c r="W1067" s="46"/>
      <c r="X1067" s="46"/>
    </row>
    <row r="1068" spans="1:24" ht="15.75" customHeight="1" thickBot="1" x14ac:dyDescent="0.35">
      <c r="A1068" s="40"/>
      <c r="B1068" s="67" t="s">
        <v>1477</v>
      </c>
      <c r="C1068" s="55"/>
      <c r="D1068" s="41"/>
      <c r="E1068" s="55"/>
      <c r="F1068" s="55"/>
      <c r="G1068" s="55"/>
      <c r="H1068" s="51"/>
      <c r="I1068" s="52"/>
      <c r="J1068" s="74" t="s">
        <v>1478</v>
      </c>
      <c r="K1068" s="57"/>
      <c r="L1068" s="75">
        <v>0.5</v>
      </c>
      <c r="M1068" s="60">
        <v>200</v>
      </c>
      <c r="N1068" s="76">
        <v>40</v>
      </c>
      <c r="O1068" s="42"/>
      <c r="P1068" s="58" t="s">
        <v>38</v>
      </c>
      <c r="Q1068" s="61"/>
      <c r="R1068" s="62"/>
      <c r="S1068" s="78">
        <f t="shared" si="48"/>
        <v>8000</v>
      </c>
      <c r="T1068" s="44" t="str">
        <f t="shared" si="49"/>
        <v>8000pieces</v>
      </c>
      <c r="U1068" s="77">
        <f t="shared" si="50"/>
        <v>100</v>
      </c>
      <c r="V1068" s="46"/>
      <c r="W1068" s="46"/>
      <c r="X1068" s="46"/>
    </row>
    <row r="1069" spans="1:24" ht="15.75" customHeight="1" thickBot="1" x14ac:dyDescent="0.35">
      <c r="A1069" s="40"/>
      <c r="B1069" s="67" t="s">
        <v>1479</v>
      </c>
      <c r="C1069" s="55"/>
      <c r="D1069" s="41"/>
      <c r="E1069" s="55"/>
      <c r="F1069" s="55"/>
      <c r="G1069" s="55"/>
      <c r="H1069" s="51"/>
      <c r="I1069" s="52"/>
      <c r="J1069" s="74"/>
      <c r="K1069" s="57"/>
      <c r="L1069" s="75">
        <v>1.1599999999999999</v>
      </c>
      <c r="M1069" s="60">
        <v>250</v>
      </c>
      <c r="N1069" s="76">
        <v>1</v>
      </c>
      <c r="O1069" s="42"/>
      <c r="P1069" s="58" t="s">
        <v>38</v>
      </c>
      <c r="Q1069" s="61"/>
      <c r="R1069" s="62"/>
      <c r="S1069" s="78">
        <f t="shared" si="48"/>
        <v>250</v>
      </c>
      <c r="T1069" s="44" t="str">
        <f t="shared" si="49"/>
        <v>250pieces</v>
      </c>
      <c r="U1069" s="77">
        <f t="shared" si="50"/>
        <v>290</v>
      </c>
      <c r="V1069" s="46"/>
      <c r="W1069" s="46"/>
      <c r="X1069" s="46"/>
    </row>
    <row r="1070" spans="1:24" ht="15.75" customHeight="1" thickBot="1" x14ac:dyDescent="0.35">
      <c r="A1070" s="40"/>
      <c r="B1070" s="67" t="s">
        <v>1480</v>
      </c>
      <c r="C1070" s="55"/>
      <c r="D1070" s="41"/>
      <c r="E1070" s="55"/>
      <c r="F1070" s="55"/>
      <c r="G1070" s="55"/>
      <c r="H1070" s="51"/>
      <c r="I1070" s="52"/>
      <c r="J1070" s="74" t="s">
        <v>820</v>
      </c>
      <c r="K1070" s="57"/>
      <c r="L1070" s="75">
        <v>40.799999999999997</v>
      </c>
      <c r="M1070" s="60">
        <v>4</v>
      </c>
      <c r="N1070" s="76">
        <v>1</v>
      </c>
      <c r="O1070" s="42"/>
      <c r="P1070" s="58" t="s">
        <v>77</v>
      </c>
      <c r="Q1070" s="61"/>
      <c r="R1070" s="62"/>
      <c r="S1070" s="78">
        <f t="shared" si="48"/>
        <v>4</v>
      </c>
      <c r="T1070" s="44" t="str">
        <f t="shared" si="49"/>
        <v>4packs</v>
      </c>
      <c r="U1070" s="77">
        <f t="shared" si="50"/>
        <v>163.19999999999999</v>
      </c>
      <c r="V1070" s="46"/>
      <c r="W1070" s="46"/>
      <c r="X1070" s="46"/>
    </row>
    <row r="1071" spans="1:24" ht="15.75" customHeight="1" thickBot="1" x14ac:dyDescent="0.35">
      <c r="A1071" s="40"/>
      <c r="B1071" s="68" t="s">
        <v>1481</v>
      </c>
      <c r="C1071" s="55"/>
      <c r="D1071" s="41"/>
      <c r="E1071" s="55"/>
      <c r="F1071" s="55"/>
      <c r="G1071" s="55"/>
      <c r="H1071" s="51"/>
      <c r="I1071" s="52"/>
      <c r="J1071" s="74"/>
      <c r="K1071" s="57"/>
      <c r="L1071" s="75">
        <v>45</v>
      </c>
      <c r="M1071" s="60">
        <v>1</v>
      </c>
      <c r="N1071" s="76">
        <v>50</v>
      </c>
      <c r="O1071" s="42"/>
      <c r="P1071" s="58" t="s">
        <v>36</v>
      </c>
      <c r="Q1071" s="61"/>
      <c r="R1071" s="62"/>
      <c r="S1071" s="78">
        <f t="shared" si="48"/>
        <v>50</v>
      </c>
      <c r="T1071" s="44" t="str">
        <f t="shared" si="49"/>
        <v>50grams</v>
      </c>
      <c r="U1071" s="77">
        <f t="shared" si="50"/>
        <v>45</v>
      </c>
      <c r="V1071" s="46"/>
      <c r="W1071" s="46"/>
      <c r="X1071" s="46"/>
    </row>
    <row r="1072" spans="1:24" ht="15.75" customHeight="1" thickBot="1" x14ac:dyDescent="0.35">
      <c r="A1072" s="40"/>
      <c r="B1072" s="67" t="s">
        <v>1482</v>
      </c>
      <c r="C1072" s="55"/>
      <c r="D1072" s="41"/>
      <c r="E1072" s="55"/>
      <c r="F1072" s="55"/>
      <c r="G1072" s="55"/>
      <c r="H1072" s="51"/>
      <c r="I1072" s="52"/>
      <c r="J1072" s="74" t="s">
        <v>1483</v>
      </c>
      <c r="K1072" s="57"/>
      <c r="L1072" s="75">
        <v>265</v>
      </c>
      <c r="M1072" s="60">
        <v>0</v>
      </c>
      <c r="N1072" s="76">
        <v>227</v>
      </c>
      <c r="O1072" s="42"/>
      <c r="P1072" s="58" t="s">
        <v>36</v>
      </c>
      <c r="Q1072" s="61"/>
      <c r="R1072" s="62"/>
      <c r="S1072" s="78">
        <f t="shared" si="48"/>
        <v>0</v>
      </c>
      <c r="T1072" s="44" t="str">
        <f t="shared" si="49"/>
        <v>0grams</v>
      </c>
      <c r="U1072" s="77">
        <f t="shared" si="50"/>
        <v>0</v>
      </c>
      <c r="V1072" s="46"/>
      <c r="W1072" s="46"/>
      <c r="X1072" s="46"/>
    </row>
    <row r="1073" spans="1:24" ht="15.75" customHeight="1" thickBot="1" x14ac:dyDescent="0.35">
      <c r="A1073" s="40"/>
      <c r="B1073" s="67" t="s">
        <v>1484</v>
      </c>
      <c r="C1073" s="55"/>
      <c r="D1073" s="41"/>
      <c r="E1073" s="55"/>
      <c r="F1073" s="55"/>
      <c r="G1073" s="55"/>
      <c r="H1073" s="51"/>
      <c r="I1073" s="52"/>
      <c r="J1073" s="74" t="s">
        <v>966</v>
      </c>
      <c r="K1073" s="57"/>
      <c r="L1073" s="75">
        <v>5</v>
      </c>
      <c r="M1073" s="60">
        <v>25</v>
      </c>
      <c r="N1073" s="76">
        <v>1</v>
      </c>
      <c r="O1073" s="42"/>
      <c r="P1073" s="58" t="s">
        <v>38</v>
      </c>
      <c r="Q1073" s="61"/>
      <c r="R1073" s="62"/>
      <c r="S1073" s="78">
        <f t="shared" si="48"/>
        <v>25</v>
      </c>
      <c r="T1073" s="44" t="str">
        <f t="shared" si="49"/>
        <v>25pieces</v>
      </c>
      <c r="U1073" s="77">
        <f t="shared" si="50"/>
        <v>125</v>
      </c>
      <c r="V1073" s="46"/>
      <c r="W1073" s="46"/>
      <c r="X1073" s="46"/>
    </row>
    <row r="1074" spans="1:24" ht="15.75" customHeight="1" thickBot="1" x14ac:dyDescent="0.35">
      <c r="A1074" s="40"/>
      <c r="B1074" s="67" t="s">
        <v>1485</v>
      </c>
      <c r="C1074" s="55"/>
      <c r="D1074" s="41"/>
      <c r="E1074" s="55"/>
      <c r="F1074" s="55"/>
      <c r="G1074" s="55"/>
      <c r="H1074" s="51"/>
      <c r="I1074" s="52"/>
      <c r="J1074" s="74"/>
      <c r="K1074" s="57"/>
      <c r="L1074" s="75">
        <v>50</v>
      </c>
      <c r="M1074" s="60">
        <v>2</v>
      </c>
      <c r="N1074" s="76">
        <v>1</v>
      </c>
      <c r="O1074" s="42"/>
      <c r="P1074" s="58" t="s">
        <v>88</v>
      </c>
      <c r="Q1074" s="61"/>
      <c r="R1074" s="62"/>
      <c r="S1074" s="78">
        <f t="shared" si="48"/>
        <v>2</v>
      </c>
      <c r="T1074" s="44" t="str">
        <f t="shared" si="49"/>
        <v>2kilos</v>
      </c>
      <c r="U1074" s="77">
        <f t="shared" si="50"/>
        <v>100</v>
      </c>
      <c r="V1074" s="46"/>
      <c r="W1074" s="46"/>
      <c r="X1074" s="46"/>
    </row>
    <row r="1075" spans="1:24" ht="15.75" customHeight="1" thickBot="1" x14ac:dyDescent="0.35">
      <c r="A1075" s="40"/>
      <c r="B1075" s="67" t="s">
        <v>1486</v>
      </c>
      <c r="C1075" s="55"/>
      <c r="D1075" s="41"/>
      <c r="E1075" s="55"/>
      <c r="F1075" s="55"/>
      <c r="G1075" s="55"/>
      <c r="H1075" s="51"/>
      <c r="I1075" s="52"/>
      <c r="J1075" s="74" t="s">
        <v>827</v>
      </c>
      <c r="K1075" s="57"/>
      <c r="L1075" s="75">
        <v>113</v>
      </c>
      <c r="M1075" s="60">
        <v>1</v>
      </c>
      <c r="N1075" s="76">
        <v>825</v>
      </c>
      <c r="O1075" s="42"/>
      <c r="P1075" s="58" t="s">
        <v>36</v>
      </c>
      <c r="Q1075" s="61"/>
      <c r="R1075" s="62"/>
      <c r="S1075" s="78">
        <f t="shared" si="48"/>
        <v>825</v>
      </c>
      <c r="T1075" s="44" t="str">
        <f t="shared" si="49"/>
        <v>825grams</v>
      </c>
      <c r="U1075" s="77">
        <f t="shared" si="50"/>
        <v>113</v>
      </c>
      <c r="V1075" s="46"/>
      <c r="W1075" s="46"/>
      <c r="X1075" s="46"/>
    </row>
    <row r="1076" spans="1:24" ht="15.75" customHeight="1" thickBot="1" x14ac:dyDescent="0.35">
      <c r="A1076" s="40"/>
      <c r="B1076" s="67" t="s">
        <v>1486</v>
      </c>
      <c r="C1076" s="55"/>
      <c r="D1076" s="41"/>
      <c r="E1076" s="55"/>
      <c r="F1076" s="55"/>
      <c r="G1076" s="55"/>
      <c r="H1076" s="51"/>
      <c r="I1076" s="52"/>
      <c r="J1076" s="74" t="s">
        <v>1203</v>
      </c>
      <c r="K1076" s="57"/>
      <c r="L1076" s="75">
        <v>139</v>
      </c>
      <c r="M1076" s="60">
        <v>1</v>
      </c>
      <c r="N1076" s="76">
        <v>825</v>
      </c>
      <c r="O1076" s="42"/>
      <c r="P1076" s="58" t="s">
        <v>36</v>
      </c>
      <c r="Q1076" s="61"/>
      <c r="R1076" s="62"/>
      <c r="S1076" s="78">
        <f t="shared" si="48"/>
        <v>825</v>
      </c>
      <c r="T1076" s="44" t="str">
        <f t="shared" si="49"/>
        <v>825grams</v>
      </c>
      <c r="U1076" s="77">
        <f t="shared" si="50"/>
        <v>139</v>
      </c>
      <c r="V1076" s="46"/>
      <c r="W1076" s="46"/>
      <c r="X1076" s="46"/>
    </row>
    <row r="1077" spans="1:24" ht="15.75" customHeight="1" thickBot="1" x14ac:dyDescent="0.35">
      <c r="A1077" s="40"/>
      <c r="B1077" s="67" t="s">
        <v>576</v>
      </c>
      <c r="C1077" s="55"/>
      <c r="D1077" s="41"/>
      <c r="E1077" s="55"/>
      <c r="F1077" s="55"/>
      <c r="G1077" s="55"/>
      <c r="H1077" s="51"/>
      <c r="I1077" s="52"/>
      <c r="J1077" s="74" t="s">
        <v>1487</v>
      </c>
      <c r="K1077" s="57"/>
      <c r="L1077" s="75">
        <v>180</v>
      </c>
      <c r="M1077" s="60">
        <v>2</v>
      </c>
      <c r="N1077" s="76">
        <v>2</v>
      </c>
      <c r="O1077" s="42"/>
      <c r="P1077" s="58" t="s">
        <v>88</v>
      </c>
      <c r="Q1077" s="61"/>
      <c r="R1077" s="62"/>
      <c r="S1077" s="78">
        <f t="shared" si="48"/>
        <v>4</v>
      </c>
      <c r="T1077" s="44" t="str">
        <f t="shared" si="49"/>
        <v>4kilos</v>
      </c>
      <c r="U1077" s="77">
        <f t="shared" si="50"/>
        <v>360</v>
      </c>
      <c r="V1077" s="46"/>
      <c r="W1077" s="46"/>
      <c r="X1077" s="46"/>
    </row>
    <row r="1078" spans="1:24" ht="15.75" customHeight="1" thickBot="1" x14ac:dyDescent="0.35">
      <c r="A1078" s="40"/>
      <c r="B1078" s="68" t="s">
        <v>576</v>
      </c>
      <c r="C1078" s="55"/>
      <c r="D1078" s="41"/>
      <c r="E1078" s="55"/>
      <c r="F1078" s="55"/>
      <c r="G1078" s="55"/>
      <c r="H1078" s="51"/>
      <c r="I1078" s="52"/>
      <c r="J1078" s="74" t="s">
        <v>1488</v>
      </c>
      <c r="K1078" s="57"/>
      <c r="L1078" s="75">
        <v>221.3</v>
      </c>
      <c r="M1078" s="60">
        <v>1</v>
      </c>
      <c r="N1078" s="76">
        <v>504</v>
      </c>
      <c r="O1078" s="42"/>
      <c r="P1078" s="58" t="s">
        <v>36</v>
      </c>
      <c r="Q1078" s="61"/>
      <c r="R1078" s="62"/>
      <c r="S1078" s="78">
        <f t="shared" ref="S1078:S1141" si="51">M1078*N1078</f>
        <v>504</v>
      </c>
      <c r="T1078" s="44" t="str">
        <f t="shared" ref="T1078:T1141" si="52">CONCATENATE(S1078,Q1078,P1078)</f>
        <v>504grams</v>
      </c>
      <c r="U1078" s="77">
        <f t="shared" ref="U1078:U1141" si="53">L1078*M1078</f>
        <v>221.3</v>
      </c>
      <c r="V1078" s="46"/>
      <c r="W1078" s="46"/>
      <c r="X1078" s="46"/>
    </row>
    <row r="1079" spans="1:24" ht="15.75" customHeight="1" thickBot="1" x14ac:dyDescent="0.35">
      <c r="A1079" s="40"/>
      <c r="B1079" s="67" t="s">
        <v>576</v>
      </c>
      <c r="C1079" s="55"/>
      <c r="D1079" s="41"/>
      <c r="E1079" s="55"/>
      <c r="F1079" s="55"/>
      <c r="G1079" s="55"/>
      <c r="H1079" s="51"/>
      <c r="I1079" s="52"/>
      <c r="J1079" s="74" t="s">
        <v>1487</v>
      </c>
      <c r="K1079" s="57"/>
      <c r="L1079" s="75">
        <v>230</v>
      </c>
      <c r="M1079" s="60">
        <v>2</v>
      </c>
      <c r="N1079" s="76">
        <v>1800</v>
      </c>
      <c r="O1079" s="42"/>
      <c r="P1079" s="58" t="s">
        <v>36</v>
      </c>
      <c r="Q1079" s="61"/>
      <c r="R1079" s="62"/>
      <c r="S1079" s="78">
        <f t="shared" si="51"/>
        <v>3600</v>
      </c>
      <c r="T1079" s="44" t="str">
        <f t="shared" si="52"/>
        <v>3600grams</v>
      </c>
      <c r="U1079" s="77">
        <f t="shared" si="53"/>
        <v>460</v>
      </c>
      <c r="V1079" s="46"/>
      <c r="W1079" s="46"/>
      <c r="X1079" s="46"/>
    </row>
    <row r="1080" spans="1:24" ht="15.75" customHeight="1" thickBot="1" x14ac:dyDescent="0.35">
      <c r="A1080" s="40"/>
      <c r="B1080" s="68" t="s">
        <v>1489</v>
      </c>
      <c r="C1080" s="55"/>
      <c r="D1080" s="41"/>
      <c r="E1080" s="55"/>
      <c r="F1080" s="55"/>
      <c r="G1080" s="55"/>
      <c r="H1080" s="51"/>
      <c r="I1080" s="52"/>
      <c r="J1080" s="74"/>
      <c r="K1080" s="57"/>
      <c r="L1080" s="75">
        <v>6</v>
      </c>
      <c r="M1080" s="60">
        <v>130</v>
      </c>
      <c r="N1080" s="76">
        <v>10</v>
      </c>
      <c r="O1080" s="42"/>
      <c r="P1080" s="58" t="s">
        <v>77</v>
      </c>
      <c r="Q1080" s="61"/>
      <c r="R1080" s="62"/>
      <c r="S1080" s="78">
        <f t="shared" si="51"/>
        <v>1300</v>
      </c>
      <c r="T1080" s="44" t="str">
        <f t="shared" si="52"/>
        <v>1300packs</v>
      </c>
      <c r="U1080" s="77">
        <f t="shared" si="53"/>
        <v>780</v>
      </c>
      <c r="V1080" s="46"/>
      <c r="W1080" s="46"/>
      <c r="X1080" s="46"/>
    </row>
    <row r="1081" spans="1:24" ht="15.75" customHeight="1" thickBot="1" x14ac:dyDescent="0.35">
      <c r="A1081" s="40"/>
      <c r="B1081" s="67" t="s">
        <v>1489</v>
      </c>
      <c r="C1081" s="55"/>
      <c r="D1081" s="41"/>
      <c r="E1081" s="55"/>
      <c r="F1081" s="55"/>
      <c r="G1081" s="55"/>
      <c r="H1081" s="51"/>
      <c r="I1081" s="52"/>
      <c r="J1081" s="74" t="s">
        <v>1490</v>
      </c>
      <c r="K1081" s="57"/>
      <c r="L1081" s="75">
        <v>38</v>
      </c>
      <c r="M1081" s="60">
        <v>4</v>
      </c>
      <c r="N1081" s="76">
        <v>100</v>
      </c>
      <c r="O1081" s="42"/>
      <c r="P1081" s="58" t="s">
        <v>36</v>
      </c>
      <c r="Q1081" s="61"/>
      <c r="R1081" s="62"/>
      <c r="S1081" s="78">
        <f t="shared" si="51"/>
        <v>400</v>
      </c>
      <c r="T1081" s="44" t="str">
        <f t="shared" si="52"/>
        <v>400grams</v>
      </c>
      <c r="U1081" s="77">
        <f t="shared" si="53"/>
        <v>152</v>
      </c>
      <c r="V1081" s="46"/>
      <c r="W1081" s="46"/>
      <c r="X1081" s="46"/>
    </row>
    <row r="1082" spans="1:24" ht="15.75" customHeight="1" thickBot="1" x14ac:dyDescent="0.35">
      <c r="A1082" s="40"/>
      <c r="B1082" s="67" t="s">
        <v>1491</v>
      </c>
      <c r="C1082" s="55"/>
      <c r="D1082" s="41"/>
      <c r="E1082" s="55"/>
      <c r="F1082" s="55"/>
      <c r="G1082" s="55"/>
      <c r="H1082" s="51"/>
      <c r="I1082" s="52"/>
      <c r="J1082" s="74" t="s">
        <v>1028</v>
      </c>
      <c r="K1082" s="57"/>
      <c r="L1082" s="75">
        <v>35.18</v>
      </c>
      <c r="M1082" s="60">
        <v>24</v>
      </c>
      <c r="N1082" s="76">
        <v>80</v>
      </c>
      <c r="O1082" s="42"/>
      <c r="P1082" s="58" t="s">
        <v>36</v>
      </c>
      <c r="Q1082" s="61"/>
      <c r="R1082" s="62"/>
      <c r="S1082" s="78">
        <f t="shared" si="51"/>
        <v>1920</v>
      </c>
      <c r="T1082" s="44" t="str">
        <f t="shared" si="52"/>
        <v>1920grams</v>
      </c>
      <c r="U1082" s="77">
        <f t="shared" si="53"/>
        <v>844.31999999999994</v>
      </c>
      <c r="V1082" s="46"/>
      <c r="W1082" s="46"/>
      <c r="X1082" s="46"/>
    </row>
    <row r="1083" spans="1:24" ht="15.75" customHeight="1" thickBot="1" x14ac:dyDescent="0.35">
      <c r="A1083" s="40"/>
      <c r="B1083" s="67" t="s">
        <v>1491</v>
      </c>
      <c r="C1083" s="55"/>
      <c r="D1083" s="41"/>
      <c r="E1083" s="55"/>
      <c r="F1083" s="55"/>
      <c r="G1083" s="55"/>
      <c r="H1083" s="51"/>
      <c r="I1083" s="52"/>
      <c r="J1083" s="74" t="s">
        <v>1492</v>
      </c>
      <c r="K1083" s="57"/>
      <c r="L1083" s="75">
        <v>234.75</v>
      </c>
      <c r="M1083" s="60">
        <v>1</v>
      </c>
      <c r="N1083" s="76">
        <v>120</v>
      </c>
      <c r="O1083" s="42"/>
      <c r="P1083" s="58" t="s">
        <v>36</v>
      </c>
      <c r="Q1083" s="61"/>
      <c r="R1083" s="62"/>
      <c r="S1083" s="78">
        <f t="shared" si="51"/>
        <v>120</v>
      </c>
      <c r="T1083" s="44" t="str">
        <f t="shared" si="52"/>
        <v>120grams</v>
      </c>
      <c r="U1083" s="77">
        <f t="shared" si="53"/>
        <v>234.75</v>
      </c>
      <c r="V1083" s="46"/>
      <c r="W1083" s="46"/>
      <c r="X1083" s="46"/>
    </row>
    <row r="1084" spans="1:24" ht="15.75" customHeight="1" thickBot="1" x14ac:dyDescent="0.35">
      <c r="A1084" s="40"/>
      <c r="B1084" s="68" t="s">
        <v>1493</v>
      </c>
      <c r="C1084" s="55"/>
      <c r="D1084" s="41"/>
      <c r="E1084" s="55"/>
      <c r="F1084" s="55"/>
      <c r="G1084" s="55"/>
      <c r="H1084" s="51"/>
      <c r="I1084" s="52"/>
      <c r="J1084" s="74" t="s">
        <v>1024</v>
      </c>
      <c r="K1084" s="57"/>
      <c r="L1084" s="75">
        <v>125</v>
      </c>
      <c r="M1084" s="60">
        <v>17</v>
      </c>
      <c r="N1084" s="76">
        <v>1</v>
      </c>
      <c r="O1084" s="42"/>
      <c r="P1084" s="58" t="s">
        <v>1026</v>
      </c>
      <c r="Q1084" s="61"/>
      <c r="R1084" s="62"/>
      <c r="S1084" s="78">
        <f t="shared" si="51"/>
        <v>17</v>
      </c>
      <c r="T1084" s="44" t="str">
        <f t="shared" si="52"/>
        <v>17jar</v>
      </c>
      <c r="U1084" s="77">
        <f t="shared" si="53"/>
        <v>2125</v>
      </c>
      <c r="V1084" s="46"/>
      <c r="W1084" s="46"/>
      <c r="X1084" s="46"/>
    </row>
    <row r="1085" spans="1:24" ht="15.75" customHeight="1" thickBot="1" x14ac:dyDescent="0.35">
      <c r="A1085" s="40"/>
      <c r="B1085" s="68" t="s">
        <v>1494</v>
      </c>
      <c r="C1085" s="55"/>
      <c r="D1085" s="41"/>
      <c r="E1085" s="55"/>
      <c r="F1085" s="55"/>
      <c r="G1085" s="55"/>
      <c r="H1085" s="51"/>
      <c r="I1085" s="52"/>
      <c r="J1085" s="74" t="s">
        <v>1024</v>
      </c>
      <c r="K1085" s="57"/>
      <c r="L1085" s="75">
        <v>35</v>
      </c>
      <c r="M1085" s="60">
        <v>1</v>
      </c>
      <c r="N1085" s="76">
        <v>1</v>
      </c>
      <c r="O1085" s="42"/>
      <c r="P1085" s="58" t="s">
        <v>1026</v>
      </c>
      <c r="Q1085" s="61"/>
      <c r="R1085" s="62"/>
      <c r="S1085" s="78">
        <f t="shared" si="51"/>
        <v>1</v>
      </c>
      <c r="T1085" s="44" t="str">
        <f t="shared" si="52"/>
        <v>1jar</v>
      </c>
      <c r="U1085" s="77">
        <f t="shared" si="53"/>
        <v>35</v>
      </c>
      <c r="V1085" s="46"/>
      <c r="W1085" s="46"/>
      <c r="X1085" s="46"/>
    </row>
    <row r="1086" spans="1:24" ht="15.75" customHeight="1" thickBot="1" x14ac:dyDescent="0.35">
      <c r="A1086" s="40"/>
      <c r="B1086" s="67" t="s">
        <v>1495</v>
      </c>
      <c r="C1086" s="55"/>
      <c r="D1086" s="41"/>
      <c r="E1086" s="55"/>
      <c r="F1086" s="55"/>
      <c r="G1086" s="55"/>
      <c r="H1086" s="51"/>
      <c r="I1086" s="52"/>
      <c r="J1086" s="74"/>
      <c r="K1086" s="57"/>
      <c r="L1086" s="75">
        <v>75</v>
      </c>
      <c r="M1086" s="60">
        <v>1</v>
      </c>
      <c r="N1086" s="76">
        <v>1</v>
      </c>
      <c r="O1086" s="42"/>
      <c r="P1086" s="58" t="s">
        <v>88</v>
      </c>
      <c r="Q1086" s="61"/>
      <c r="R1086" s="62"/>
      <c r="S1086" s="78">
        <f t="shared" si="51"/>
        <v>1</v>
      </c>
      <c r="T1086" s="44" t="str">
        <f t="shared" si="52"/>
        <v>1kilos</v>
      </c>
      <c r="U1086" s="77">
        <f t="shared" si="53"/>
        <v>75</v>
      </c>
      <c r="V1086" s="46"/>
      <c r="W1086" s="46"/>
      <c r="X1086" s="46"/>
    </row>
    <row r="1087" spans="1:24" ht="15.75" customHeight="1" thickBot="1" x14ac:dyDescent="0.35">
      <c r="A1087" s="40"/>
      <c r="B1087" s="67" t="s">
        <v>1495</v>
      </c>
      <c r="C1087" s="55"/>
      <c r="D1087" s="41"/>
      <c r="E1087" s="55"/>
      <c r="F1087" s="55"/>
      <c r="G1087" s="55"/>
      <c r="H1087" s="51"/>
      <c r="I1087" s="52"/>
      <c r="J1087" s="74"/>
      <c r="K1087" s="57"/>
      <c r="L1087" s="75">
        <v>100</v>
      </c>
      <c r="M1087" s="60">
        <v>1</v>
      </c>
      <c r="N1087" s="76">
        <v>1</v>
      </c>
      <c r="O1087" s="42"/>
      <c r="P1087" s="58" t="s">
        <v>88</v>
      </c>
      <c r="Q1087" s="61"/>
      <c r="R1087" s="62"/>
      <c r="S1087" s="78">
        <f t="shared" si="51"/>
        <v>1</v>
      </c>
      <c r="T1087" s="44" t="str">
        <f t="shared" si="52"/>
        <v>1kilos</v>
      </c>
      <c r="U1087" s="77">
        <f t="shared" si="53"/>
        <v>100</v>
      </c>
      <c r="V1087" s="46"/>
      <c r="W1087" s="46"/>
      <c r="X1087" s="46"/>
    </row>
    <row r="1088" spans="1:24" ht="15.75" customHeight="1" thickBot="1" x14ac:dyDescent="0.35">
      <c r="A1088" s="40"/>
      <c r="B1088" s="67" t="s">
        <v>1495</v>
      </c>
      <c r="C1088" s="55"/>
      <c r="D1088" s="41"/>
      <c r="E1088" s="55"/>
      <c r="F1088" s="55"/>
      <c r="G1088" s="55"/>
      <c r="H1088" s="51"/>
      <c r="I1088" s="52"/>
      <c r="J1088" s="74"/>
      <c r="K1088" s="57"/>
      <c r="L1088" s="75">
        <v>50</v>
      </c>
      <c r="M1088" s="60">
        <v>1</v>
      </c>
      <c r="N1088" s="76">
        <v>1</v>
      </c>
      <c r="O1088" s="42"/>
      <c r="P1088" s="58" t="s">
        <v>88</v>
      </c>
      <c r="Q1088" s="61"/>
      <c r="R1088" s="62"/>
      <c r="S1088" s="78">
        <f t="shared" si="51"/>
        <v>1</v>
      </c>
      <c r="T1088" s="44" t="str">
        <f t="shared" si="52"/>
        <v>1kilos</v>
      </c>
      <c r="U1088" s="77">
        <f t="shared" si="53"/>
        <v>50</v>
      </c>
      <c r="V1088" s="46"/>
      <c r="W1088" s="46"/>
      <c r="X1088" s="46"/>
    </row>
    <row r="1089" spans="1:24" ht="15.75" customHeight="1" thickBot="1" x14ac:dyDescent="0.35">
      <c r="A1089" s="40"/>
      <c r="B1089" s="67" t="s">
        <v>1496</v>
      </c>
      <c r="C1089" s="55"/>
      <c r="D1089" s="41"/>
      <c r="E1089" s="55"/>
      <c r="F1089" s="55"/>
      <c r="G1089" s="55"/>
      <c r="H1089" s="51"/>
      <c r="I1089" s="52"/>
      <c r="J1089" s="74"/>
      <c r="K1089" s="57"/>
      <c r="L1089" s="75">
        <v>50</v>
      </c>
      <c r="M1089" s="60">
        <v>2</v>
      </c>
      <c r="N1089" s="76">
        <v>1</v>
      </c>
      <c r="O1089" s="42"/>
      <c r="P1089" s="58" t="s">
        <v>88</v>
      </c>
      <c r="Q1089" s="61"/>
      <c r="R1089" s="62"/>
      <c r="S1089" s="78">
        <f t="shared" si="51"/>
        <v>2</v>
      </c>
      <c r="T1089" s="44" t="str">
        <f t="shared" si="52"/>
        <v>2kilos</v>
      </c>
      <c r="U1089" s="77">
        <f t="shared" si="53"/>
        <v>100</v>
      </c>
      <c r="V1089" s="46"/>
      <c r="W1089" s="46"/>
      <c r="X1089" s="46"/>
    </row>
    <row r="1090" spans="1:24" ht="15.75" customHeight="1" thickBot="1" x14ac:dyDescent="0.35">
      <c r="A1090" s="40"/>
      <c r="B1090" s="67" t="s">
        <v>1496</v>
      </c>
      <c r="C1090" s="55"/>
      <c r="D1090" s="41"/>
      <c r="E1090" s="55"/>
      <c r="F1090" s="55"/>
      <c r="G1090" s="55"/>
      <c r="H1090" s="51"/>
      <c r="I1090" s="52"/>
      <c r="J1090" s="74"/>
      <c r="K1090" s="57"/>
      <c r="L1090" s="75">
        <v>80</v>
      </c>
      <c r="M1090" s="60">
        <v>1</v>
      </c>
      <c r="N1090" s="76">
        <v>1</v>
      </c>
      <c r="O1090" s="42"/>
      <c r="P1090" s="58" t="s">
        <v>88</v>
      </c>
      <c r="Q1090" s="61"/>
      <c r="R1090" s="62"/>
      <c r="S1090" s="78">
        <f t="shared" si="51"/>
        <v>1</v>
      </c>
      <c r="T1090" s="44" t="str">
        <f t="shared" si="52"/>
        <v>1kilos</v>
      </c>
      <c r="U1090" s="77">
        <f t="shared" si="53"/>
        <v>80</v>
      </c>
      <c r="V1090" s="46"/>
      <c r="W1090" s="46"/>
      <c r="X1090" s="46"/>
    </row>
    <row r="1091" spans="1:24" ht="15.75" customHeight="1" thickBot="1" x14ac:dyDescent="0.35">
      <c r="A1091" s="40"/>
      <c r="B1091" s="67" t="s">
        <v>1497</v>
      </c>
      <c r="C1091" s="55"/>
      <c r="D1091" s="41"/>
      <c r="E1091" s="55"/>
      <c r="F1091" s="55"/>
      <c r="G1091" s="55"/>
      <c r="H1091" s="51"/>
      <c r="I1091" s="52"/>
      <c r="J1091" s="74" t="s">
        <v>1311</v>
      </c>
      <c r="K1091" s="57"/>
      <c r="L1091" s="75">
        <v>75</v>
      </c>
      <c r="M1091" s="60">
        <v>2</v>
      </c>
      <c r="N1091" s="76">
        <v>1</v>
      </c>
      <c r="O1091" s="42"/>
      <c r="P1091" s="58" t="s">
        <v>88</v>
      </c>
      <c r="Q1091" s="61"/>
      <c r="R1091" s="62"/>
      <c r="S1091" s="78">
        <f t="shared" si="51"/>
        <v>2</v>
      </c>
      <c r="T1091" s="44" t="str">
        <f t="shared" si="52"/>
        <v>2kilos</v>
      </c>
      <c r="U1091" s="77">
        <f t="shared" si="53"/>
        <v>150</v>
      </c>
      <c r="V1091" s="46"/>
      <c r="W1091" s="46"/>
      <c r="X1091" s="46"/>
    </row>
    <row r="1092" spans="1:24" ht="15.75" customHeight="1" thickBot="1" x14ac:dyDescent="0.35">
      <c r="A1092" s="40"/>
      <c r="B1092" s="67" t="s">
        <v>1497</v>
      </c>
      <c r="C1092" s="55"/>
      <c r="D1092" s="41"/>
      <c r="E1092" s="55"/>
      <c r="F1092" s="55"/>
      <c r="G1092" s="55"/>
      <c r="H1092" s="51"/>
      <c r="I1092" s="52"/>
      <c r="J1092" s="74" t="s">
        <v>1311</v>
      </c>
      <c r="K1092" s="57"/>
      <c r="L1092" s="75">
        <v>80</v>
      </c>
      <c r="M1092" s="60">
        <v>1</v>
      </c>
      <c r="N1092" s="76">
        <v>1</v>
      </c>
      <c r="O1092" s="42"/>
      <c r="P1092" s="58" t="s">
        <v>88</v>
      </c>
      <c r="Q1092" s="61"/>
      <c r="R1092" s="62"/>
      <c r="S1092" s="78">
        <f t="shared" si="51"/>
        <v>1</v>
      </c>
      <c r="T1092" s="44" t="str">
        <f t="shared" si="52"/>
        <v>1kilos</v>
      </c>
      <c r="U1092" s="77">
        <f t="shared" si="53"/>
        <v>80</v>
      </c>
      <c r="V1092" s="46"/>
      <c r="W1092" s="46"/>
      <c r="X1092" s="46"/>
    </row>
    <row r="1093" spans="1:24" ht="15.75" customHeight="1" thickBot="1" x14ac:dyDescent="0.35">
      <c r="A1093" s="40"/>
      <c r="B1093" s="68" t="s">
        <v>1497</v>
      </c>
      <c r="C1093" s="55"/>
      <c r="D1093" s="41"/>
      <c r="E1093" s="55"/>
      <c r="F1093" s="55"/>
      <c r="G1093" s="55"/>
      <c r="H1093" s="51"/>
      <c r="I1093" s="52"/>
      <c r="J1093" s="74" t="s">
        <v>1181</v>
      </c>
      <c r="K1093" s="57"/>
      <c r="L1093" s="75">
        <v>46</v>
      </c>
      <c r="M1093" s="60">
        <v>2</v>
      </c>
      <c r="N1093" s="76">
        <v>1</v>
      </c>
      <c r="O1093" s="42"/>
      <c r="P1093" s="58" t="s">
        <v>88</v>
      </c>
      <c r="Q1093" s="61"/>
      <c r="R1093" s="62"/>
      <c r="S1093" s="78">
        <f t="shared" si="51"/>
        <v>2</v>
      </c>
      <c r="T1093" s="44" t="str">
        <f t="shared" si="52"/>
        <v>2kilos</v>
      </c>
      <c r="U1093" s="77">
        <f t="shared" si="53"/>
        <v>92</v>
      </c>
      <c r="V1093" s="46"/>
      <c r="W1093" s="46"/>
      <c r="X1093" s="46"/>
    </row>
    <row r="1094" spans="1:24" ht="15.75" customHeight="1" thickBot="1" x14ac:dyDescent="0.35">
      <c r="A1094" s="40"/>
      <c r="B1094" s="67" t="s">
        <v>1498</v>
      </c>
      <c r="C1094" s="55"/>
      <c r="D1094" s="41"/>
      <c r="E1094" s="55"/>
      <c r="F1094" s="55"/>
      <c r="G1094" s="55"/>
      <c r="H1094" s="51"/>
      <c r="I1094" s="52"/>
      <c r="J1094" s="74"/>
      <c r="K1094" s="57"/>
      <c r="L1094" s="75">
        <v>60</v>
      </c>
      <c r="M1094" s="60">
        <v>4</v>
      </c>
      <c r="N1094" s="76">
        <v>1</v>
      </c>
      <c r="O1094" s="42"/>
      <c r="P1094" s="58" t="s">
        <v>88</v>
      </c>
      <c r="Q1094" s="61"/>
      <c r="R1094" s="62"/>
      <c r="S1094" s="78">
        <f t="shared" si="51"/>
        <v>4</v>
      </c>
      <c r="T1094" s="44" t="str">
        <f t="shared" si="52"/>
        <v>4kilos</v>
      </c>
      <c r="U1094" s="77">
        <f t="shared" si="53"/>
        <v>240</v>
      </c>
      <c r="V1094" s="46"/>
      <c r="W1094" s="46"/>
      <c r="X1094" s="46"/>
    </row>
    <row r="1095" spans="1:24" ht="15.75" customHeight="1" thickBot="1" x14ac:dyDescent="0.35">
      <c r="A1095" s="40"/>
      <c r="B1095" s="67" t="s">
        <v>1499</v>
      </c>
      <c r="C1095" s="55"/>
      <c r="D1095" s="41"/>
      <c r="E1095" s="55"/>
      <c r="F1095" s="55"/>
      <c r="G1095" s="55"/>
      <c r="H1095" s="51"/>
      <c r="I1095" s="52"/>
      <c r="J1095" s="74" t="s">
        <v>921</v>
      </c>
      <c r="K1095" s="57"/>
      <c r="L1095" s="75">
        <v>45</v>
      </c>
      <c r="M1095" s="60">
        <v>1</v>
      </c>
      <c r="N1095" s="76">
        <v>100</v>
      </c>
      <c r="O1095" s="42"/>
      <c r="P1095" s="58" t="s">
        <v>36</v>
      </c>
      <c r="Q1095" s="61"/>
      <c r="R1095" s="62"/>
      <c r="S1095" s="78">
        <f t="shared" si="51"/>
        <v>100</v>
      </c>
      <c r="T1095" s="44" t="str">
        <f t="shared" si="52"/>
        <v>100grams</v>
      </c>
      <c r="U1095" s="77">
        <f t="shared" si="53"/>
        <v>45</v>
      </c>
      <c r="V1095" s="46"/>
      <c r="W1095" s="46"/>
      <c r="X1095" s="46"/>
    </row>
    <row r="1096" spans="1:24" ht="15.75" customHeight="1" thickBot="1" x14ac:dyDescent="0.35">
      <c r="A1096" s="40"/>
      <c r="B1096" s="67" t="s">
        <v>1500</v>
      </c>
      <c r="C1096" s="55"/>
      <c r="D1096" s="41"/>
      <c r="E1096" s="55"/>
      <c r="F1096" s="55"/>
      <c r="G1096" s="55"/>
      <c r="H1096" s="51"/>
      <c r="I1096" s="52"/>
      <c r="J1096" s="74" t="s">
        <v>921</v>
      </c>
      <c r="K1096" s="57"/>
      <c r="L1096" s="75">
        <v>57.7</v>
      </c>
      <c r="M1096" s="60">
        <v>1</v>
      </c>
      <c r="N1096" s="76">
        <v>135</v>
      </c>
      <c r="O1096" s="42"/>
      <c r="P1096" s="58" t="s">
        <v>36</v>
      </c>
      <c r="Q1096" s="61"/>
      <c r="R1096" s="62"/>
      <c r="S1096" s="78">
        <f t="shared" si="51"/>
        <v>135</v>
      </c>
      <c r="T1096" s="44" t="str">
        <f t="shared" si="52"/>
        <v>135grams</v>
      </c>
      <c r="U1096" s="77">
        <f t="shared" si="53"/>
        <v>57.7</v>
      </c>
      <c r="V1096" s="46"/>
      <c r="W1096" s="46"/>
      <c r="X1096" s="46"/>
    </row>
    <row r="1097" spans="1:24" ht="15.75" customHeight="1" thickBot="1" x14ac:dyDescent="0.35">
      <c r="A1097" s="40"/>
      <c r="B1097" s="68" t="s">
        <v>1501</v>
      </c>
      <c r="C1097" s="55"/>
      <c r="D1097" s="41"/>
      <c r="E1097" s="55"/>
      <c r="F1097" s="55"/>
      <c r="G1097" s="55"/>
      <c r="H1097" s="51"/>
      <c r="I1097" s="52"/>
      <c r="J1097" s="74" t="s">
        <v>1024</v>
      </c>
      <c r="K1097" s="57"/>
      <c r="L1097" s="75">
        <v>125</v>
      </c>
      <c r="M1097" s="60">
        <v>6</v>
      </c>
      <c r="N1097" s="76">
        <v>1</v>
      </c>
      <c r="O1097" s="42"/>
      <c r="P1097" s="58" t="s">
        <v>1026</v>
      </c>
      <c r="Q1097" s="61"/>
      <c r="R1097" s="62"/>
      <c r="S1097" s="78">
        <f t="shared" si="51"/>
        <v>6</v>
      </c>
      <c r="T1097" s="44" t="str">
        <f t="shared" si="52"/>
        <v>6jar</v>
      </c>
      <c r="U1097" s="77">
        <f t="shared" si="53"/>
        <v>750</v>
      </c>
      <c r="V1097" s="46"/>
      <c r="W1097" s="46"/>
      <c r="X1097" s="46"/>
    </row>
    <row r="1098" spans="1:24" ht="15.75" customHeight="1" thickBot="1" x14ac:dyDescent="0.35">
      <c r="A1098" s="40"/>
      <c r="B1098" s="68" t="s">
        <v>1502</v>
      </c>
      <c r="C1098" s="55"/>
      <c r="D1098" s="41"/>
      <c r="E1098" s="55"/>
      <c r="F1098" s="55"/>
      <c r="G1098" s="55"/>
      <c r="H1098" s="51"/>
      <c r="I1098" s="52"/>
      <c r="J1098" s="74" t="s">
        <v>1449</v>
      </c>
      <c r="K1098" s="57"/>
      <c r="L1098" s="75">
        <v>135</v>
      </c>
      <c r="M1098" s="60">
        <v>1</v>
      </c>
      <c r="N1098" s="76">
        <v>320</v>
      </c>
      <c r="O1098" s="42"/>
      <c r="P1098" s="58" t="s">
        <v>36</v>
      </c>
      <c r="Q1098" s="61"/>
      <c r="R1098" s="62"/>
      <c r="S1098" s="78">
        <f t="shared" si="51"/>
        <v>320</v>
      </c>
      <c r="T1098" s="44" t="str">
        <f t="shared" si="52"/>
        <v>320grams</v>
      </c>
      <c r="U1098" s="77">
        <f t="shared" si="53"/>
        <v>135</v>
      </c>
      <c r="V1098" s="46"/>
      <c r="W1098" s="46"/>
      <c r="X1098" s="46"/>
    </row>
    <row r="1099" spans="1:24" ht="15.75" customHeight="1" thickBot="1" x14ac:dyDescent="0.35">
      <c r="A1099" s="40"/>
      <c r="B1099" s="68" t="s">
        <v>1503</v>
      </c>
      <c r="C1099" s="55"/>
      <c r="D1099" s="41"/>
      <c r="E1099" s="55"/>
      <c r="F1099" s="55"/>
      <c r="G1099" s="55"/>
      <c r="H1099" s="51"/>
      <c r="I1099" s="52"/>
      <c r="J1099" s="74" t="s">
        <v>1203</v>
      </c>
      <c r="K1099" s="57"/>
      <c r="L1099" s="75">
        <v>38.5</v>
      </c>
      <c r="M1099" s="60">
        <v>2</v>
      </c>
      <c r="N1099" s="76">
        <v>137</v>
      </c>
      <c r="O1099" s="42"/>
      <c r="P1099" s="58" t="s">
        <v>138</v>
      </c>
      <c r="Q1099" s="61"/>
      <c r="R1099" s="62"/>
      <c r="S1099" s="78">
        <f t="shared" si="51"/>
        <v>274</v>
      </c>
      <c r="T1099" s="44" t="str">
        <f t="shared" si="52"/>
        <v>274drained weight grams</v>
      </c>
      <c r="U1099" s="77">
        <f t="shared" si="53"/>
        <v>77</v>
      </c>
      <c r="V1099" s="46"/>
      <c r="W1099" s="46"/>
      <c r="X1099" s="46"/>
    </row>
    <row r="1100" spans="1:24" ht="15.75" customHeight="1" thickBot="1" x14ac:dyDescent="0.35">
      <c r="A1100" s="40"/>
      <c r="B1100" s="67" t="s">
        <v>597</v>
      </c>
      <c r="C1100" s="55"/>
      <c r="D1100" s="41"/>
      <c r="E1100" s="55"/>
      <c r="F1100" s="55"/>
      <c r="G1100" s="55"/>
      <c r="H1100" s="51"/>
      <c r="I1100" s="52"/>
      <c r="J1100" s="74" t="s">
        <v>1203</v>
      </c>
      <c r="K1100" s="57"/>
      <c r="L1100" s="75">
        <v>16.2</v>
      </c>
      <c r="M1100" s="60">
        <v>5</v>
      </c>
      <c r="N1100" s="76">
        <v>112</v>
      </c>
      <c r="O1100" s="42"/>
      <c r="P1100" s="58" t="s">
        <v>36</v>
      </c>
      <c r="Q1100" s="61"/>
      <c r="R1100" s="62"/>
      <c r="S1100" s="78">
        <f t="shared" si="51"/>
        <v>560</v>
      </c>
      <c r="T1100" s="44" t="str">
        <f t="shared" si="52"/>
        <v>560grams</v>
      </c>
      <c r="U1100" s="77">
        <f t="shared" si="53"/>
        <v>81</v>
      </c>
      <c r="V1100" s="46"/>
      <c r="W1100" s="46"/>
      <c r="X1100" s="46"/>
    </row>
    <row r="1101" spans="1:24" ht="15.75" customHeight="1" thickBot="1" x14ac:dyDescent="0.35">
      <c r="A1101" s="40"/>
      <c r="B1101" s="67" t="s">
        <v>597</v>
      </c>
      <c r="C1101" s="55"/>
      <c r="D1101" s="41"/>
      <c r="E1101" s="55"/>
      <c r="F1101" s="55"/>
      <c r="G1101" s="55"/>
      <c r="H1101" s="51"/>
      <c r="I1101" s="52"/>
      <c r="J1101" s="74" t="s">
        <v>1203</v>
      </c>
      <c r="K1101" s="57"/>
      <c r="L1101" s="75">
        <v>29.2</v>
      </c>
      <c r="M1101" s="60">
        <v>12</v>
      </c>
      <c r="N1101" s="76">
        <v>112</v>
      </c>
      <c r="O1101" s="42"/>
      <c r="P1101" s="58" t="s">
        <v>138</v>
      </c>
      <c r="Q1101" s="61"/>
      <c r="R1101" s="62"/>
      <c r="S1101" s="78">
        <f t="shared" si="51"/>
        <v>1344</v>
      </c>
      <c r="T1101" s="44" t="str">
        <f t="shared" si="52"/>
        <v>1344drained weight grams</v>
      </c>
      <c r="U1101" s="77">
        <f t="shared" si="53"/>
        <v>350.4</v>
      </c>
      <c r="V1101" s="46"/>
      <c r="W1101" s="46"/>
      <c r="X1101" s="46"/>
    </row>
    <row r="1102" spans="1:24" ht="15.75" customHeight="1" thickBot="1" x14ac:dyDescent="0.35">
      <c r="A1102" s="40"/>
      <c r="B1102" s="67" t="s">
        <v>597</v>
      </c>
      <c r="C1102" s="55"/>
      <c r="D1102" s="41"/>
      <c r="E1102" s="55"/>
      <c r="F1102" s="55"/>
      <c r="G1102" s="55"/>
      <c r="H1102" s="51"/>
      <c r="I1102" s="52"/>
      <c r="J1102" s="74" t="s">
        <v>1203</v>
      </c>
      <c r="K1102" s="57"/>
      <c r="L1102" s="75">
        <v>78</v>
      </c>
      <c r="M1102" s="60">
        <v>4</v>
      </c>
      <c r="N1102" s="76">
        <v>257</v>
      </c>
      <c r="O1102" s="42"/>
      <c r="P1102" s="58" t="s">
        <v>36</v>
      </c>
      <c r="Q1102" s="61"/>
      <c r="R1102" s="62"/>
      <c r="S1102" s="78">
        <f t="shared" si="51"/>
        <v>1028</v>
      </c>
      <c r="T1102" s="44" t="str">
        <f t="shared" si="52"/>
        <v>1028grams</v>
      </c>
      <c r="U1102" s="77">
        <f t="shared" si="53"/>
        <v>312</v>
      </c>
      <c r="V1102" s="46"/>
      <c r="W1102" s="46"/>
      <c r="X1102" s="46"/>
    </row>
    <row r="1103" spans="1:24" ht="15.75" customHeight="1" thickBot="1" x14ac:dyDescent="0.35">
      <c r="A1103" s="40"/>
      <c r="B1103" s="68" t="s">
        <v>597</v>
      </c>
      <c r="C1103" s="55"/>
      <c r="D1103" s="41"/>
      <c r="E1103" s="55"/>
      <c r="F1103" s="55"/>
      <c r="G1103" s="55"/>
      <c r="H1103" s="51"/>
      <c r="I1103" s="52"/>
      <c r="J1103" s="74" t="s">
        <v>1203</v>
      </c>
      <c r="K1103" s="57"/>
      <c r="L1103" s="75">
        <v>40.5</v>
      </c>
      <c r="M1103" s="60">
        <v>1</v>
      </c>
      <c r="N1103" s="76">
        <v>137</v>
      </c>
      <c r="O1103" s="42"/>
      <c r="P1103" s="58" t="s">
        <v>138</v>
      </c>
      <c r="Q1103" s="61"/>
      <c r="R1103" s="62"/>
      <c r="S1103" s="78">
        <f t="shared" si="51"/>
        <v>137</v>
      </c>
      <c r="T1103" s="44" t="str">
        <f t="shared" si="52"/>
        <v>137drained weight grams</v>
      </c>
      <c r="U1103" s="77">
        <f t="shared" si="53"/>
        <v>40.5</v>
      </c>
      <c r="V1103" s="46"/>
      <c r="W1103" s="46"/>
      <c r="X1103" s="46"/>
    </row>
    <row r="1104" spans="1:24" ht="15.75" customHeight="1" thickBot="1" x14ac:dyDescent="0.35">
      <c r="A1104" s="40"/>
      <c r="B1104" s="67" t="s">
        <v>1504</v>
      </c>
      <c r="C1104" s="55"/>
      <c r="D1104" s="41"/>
      <c r="E1104" s="55"/>
      <c r="F1104" s="55"/>
      <c r="G1104" s="55"/>
      <c r="H1104" s="51"/>
      <c r="I1104" s="52"/>
      <c r="J1104" s="74" t="s">
        <v>1334</v>
      </c>
      <c r="K1104" s="57"/>
      <c r="L1104" s="75">
        <v>160</v>
      </c>
      <c r="M1104" s="60">
        <v>1</v>
      </c>
      <c r="N1104" s="76">
        <v>1</v>
      </c>
      <c r="O1104" s="42"/>
      <c r="P1104" s="58" t="s">
        <v>685</v>
      </c>
      <c r="Q1104" s="61"/>
      <c r="R1104" s="62"/>
      <c r="S1104" s="78">
        <f t="shared" si="51"/>
        <v>1</v>
      </c>
      <c r="T1104" s="44" t="str">
        <f t="shared" si="52"/>
        <v>1liters</v>
      </c>
      <c r="U1104" s="77">
        <f t="shared" si="53"/>
        <v>160</v>
      </c>
      <c r="V1104" s="46"/>
      <c r="W1104" s="46"/>
      <c r="X1104" s="46"/>
    </row>
    <row r="1105" spans="1:24" ht="15.75" customHeight="1" thickBot="1" x14ac:dyDescent="0.35">
      <c r="A1105" s="40"/>
      <c r="B1105" s="67" t="s">
        <v>598</v>
      </c>
      <c r="C1105" s="55"/>
      <c r="D1105" s="41"/>
      <c r="E1105" s="55"/>
      <c r="F1105" s="55"/>
      <c r="G1105" s="55"/>
      <c r="H1105" s="51"/>
      <c r="I1105" s="52"/>
      <c r="J1105" s="74"/>
      <c r="K1105" s="57"/>
      <c r="L1105" s="75">
        <v>700</v>
      </c>
      <c r="M1105" s="60">
        <v>3</v>
      </c>
      <c r="N1105" s="76">
        <v>1</v>
      </c>
      <c r="O1105" s="42"/>
      <c r="P1105" s="58" t="s">
        <v>88</v>
      </c>
      <c r="Q1105" s="61"/>
      <c r="R1105" s="62"/>
      <c r="S1105" s="78">
        <f t="shared" si="51"/>
        <v>3</v>
      </c>
      <c r="T1105" s="44" t="str">
        <f t="shared" si="52"/>
        <v>3kilos</v>
      </c>
      <c r="U1105" s="77">
        <f t="shared" si="53"/>
        <v>2100</v>
      </c>
      <c r="V1105" s="46"/>
      <c r="W1105" s="46"/>
      <c r="X1105" s="46"/>
    </row>
    <row r="1106" spans="1:24" ht="15.75" customHeight="1" thickBot="1" x14ac:dyDescent="0.35">
      <c r="A1106" s="40"/>
      <c r="B1106" s="67" t="s">
        <v>598</v>
      </c>
      <c r="C1106" s="55"/>
      <c r="D1106" s="41"/>
      <c r="E1106" s="55"/>
      <c r="F1106" s="55"/>
      <c r="G1106" s="55"/>
      <c r="H1106" s="51"/>
      <c r="I1106" s="52"/>
      <c r="J1106" s="74"/>
      <c r="K1106" s="57"/>
      <c r="L1106" s="75">
        <v>600</v>
      </c>
      <c r="M1106" s="60">
        <v>2</v>
      </c>
      <c r="N1106" s="76">
        <v>1</v>
      </c>
      <c r="O1106" s="42"/>
      <c r="P1106" s="58" t="s">
        <v>88</v>
      </c>
      <c r="Q1106" s="61"/>
      <c r="R1106" s="62"/>
      <c r="S1106" s="78">
        <f t="shared" si="51"/>
        <v>2</v>
      </c>
      <c r="T1106" s="44" t="str">
        <f t="shared" si="52"/>
        <v>2kilos</v>
      </c>
      <c r="U1106" s="77">
        <f t="shared" si="53"/>
        <v>1200</v>
      </c>
      <c r="V1106" s="46"/>
      <c r="W1106" s="46"/>
      <c r="X1106" s="46"/>
    </row>
    <row r="1107" spans="1:24" ht="15.75" customHeight="1" thickBot="1" x14ac:dyDescent="0.35">
      <c r="A1107" s="40"/>
      <c r="B1107" s="67" t="s">
        <v>598</v>
      </c>
      <c r="C1107" s="55"/>
      <c r="D1107" s="41"/>
      <c r="E1107" s="55"/>
      <c r="F1107" s="55"/>
      <c r="G1107" s="55"/>
      <c r="H1107" s="51"/>
      <c r="I1107" s="52"/>
      <c r="J1107" s="74"/>
      <c r="K1107" s="57"/>
      <c r="L1107" s="75">
        <v>700</v>
      </c>
      <c r="M1107" s="60">
        <v>1</v>
      </c>
      <c r="N1107" s="76">
        <v>1</v>
      </c>
      <c r="O1107" s="42"/>
      <c r="P1107" s="58" t="s">
        <v>88</v>
      </c>
      <c r="Q1107" s="61"/>
      <c r="R1107" s="62"/>
      <c r="S1107" s="78">
        <f t="shared" si="51"/>
        <v>1</v>
      </c>
      <c r="T1107" s="44" t="str">
        <f t="shared" si="52"/>
        <v>1kilos</v>
      </c>
      <c r="U1107" s="77">
        <f t="shared" si="53"/>
        <v>700</v>
      </c>
      <c r="V1107" s="46"/>
      <c r="W1107" s="46"/>
      <c r="X1107" s="46"/>
    </row>
    <row r="1108" spans="1:24" ht="15.75" customHeight="1" thickBot="1" x14ac:dyDescent="0.35">
      <c r="A1108" s="40"/>
      <c r="B1108" s="67" t="s">
        <v>1505</v>
      </c>
      <c r="C1108" s="55"/>
      <c r="D1108" s="41"/>
      <c r="E1108" s="55"/>
      <c r="F1108" s="55"/>
      <c r="G1108" s="55"/>
      <c r="H1108" s="51"/>
      <c r="I1108" s="52"/>
      <c r="J1108" s="74" t="s">
        <v>1506</v>
      </c>
      <c r="K1108" s="57"/>
      <c r="L1108" s="75">
        <v>148</v>
      </c>
      <c r="M1108" s="60">
        <v>2</v>
      </c>
      <c r="N1108" s="76">
        <v>400</v>
      </c>
      <c r="O1108" s="42"/>
      <c r="P1108" s="58" t="s">
        <v>36</v>
      </c>
      <c r="Q1108" s="61"/>
      <c r="R1108" s="62"/>
      <c r="S1108" s="78">
        <f t="shared" si="51"/>
        <v>800</v>
      </c>
      <c r="T1108" s="44" t="str">
        <f t="shared" si="52"/>
        <v>800grams</v>
      </c>
      <c r="U1108" s="77">
        <f t="shared" si="53"/>
        <v>296</v>
      </c>
      <c r="V1108" s="46"/>
      <c r="W1108" s="46"/>
      <c r="X1108" s="46"/>
    </row>
    <row r="1109" spans="1:24" ht="15.75" customHeight="1" thickBot="1" x14ac:dyDescent="0.35">
      <c r="A1109" s="40"/>
      <c r="B1109" s="67" t="s">
        <v>1507</v>
      </c>
      <c r="C1109" s="55"/>
      <c r="D1109" s="41"/>
      <c r="E1109" s="55"/>
      <c r="F1109" s="55"/>
      <c r="G1109" s="55"/>
      <c r="H1109" s="51"/>
      <c r="I1109" s="52"/>
      <c r="J1109" s="74"/>
      <c r="K1109" s="57"/>
      <c r="L1109" s="75">
        <v>180</v>
      </c>
      <c r="M1109" s="60">
        <v>1</v>
      </c>
      <c r="N1109" s="76">
        <v>1</v>
      </c>
      <c r="O1109" s="42"/>
      <c r="P1109" s="58" t="s">
        <v>88</v>
      </c>
      <c r="Q1109" s="61"/>
      <c r="R1109" s="62"/>
      <c r="S1109" s="78">
        <f t="shared" si="51"/>
        <v>1</v>
      </c>
      <c r="T1109" s="44" t="str">
        <f t="shared" si="52"/>
        <v>1kilos</v>
      </c>
      <c r="U1109" s="77">
        <f t="shared" si="53"/>
        <v>180</v>
      </c>
      <c r="V1109" s="46"/>
      <c r="W1109" s="46"/>
      <c r="X1109" s="46"/>
    </row>
    <row r="1110" spans="1:24" ht="15.75" customHeight="1" thickBot="1" x14ac:dyDescent="0.35">
      <c r="A1110" s="40"/>
      <c r="B1110" s="68" t="s">
        <v>1508</v>
      </c>
      <c r="C1110" s="55"/>
      <c r="D1110" s="41"/>
      <c r="E1110" s="55"/>
      <c r="F1110" s="55"/>
      <c r="G1110" s="55"/>
      <c r="H1110" s="51"/>
      <c r="I1110" s="52"/>
      <c r="J1110" s="74"/>
      <c r="K1110" s="57"/>
      <c r="L1110" s="75">
        <v>100</v>
      </c>
      <c r="M1110" s="60">
        <v>1</v>
      </c>
      <c r="N1110" s="76">
        <v>1</v>
      </c>
      <c r="O1110" s="42"/>
      <c r="P1110" s="58" t="s">
        <v>88</v>
      </c>
      <c r="Q1110" s="61"/>
      <c r="R1110" s="62"/>
      <c r="S1110" s="78">
        <f t="shared" si="51"/>
        <v>1</v>
      </c>
      <c r="T1110" s="44" t="str">
        <f t="shared" si="52"/>
        <v>1kilos</v>
      </c>
      <c r="U1110" s="77">
        <f t="shared" si="53"/>
        <v>100</v>
      </c>
      <c r="V1110" s="46"/>
      <c r="W1110" s="46"/>
      <c r="X1110" s="46"/>
    </row>
    <row r="1111" spans="1:24" ht="15.75" customHeight="1" thickBot="1" x14ac:dyDescent="0.35">
      <c r="A1111" s="40"/>
      <c r="B1111" s="67" t="s">
        <v>1508</v>
      </c>
      <c r="C1111" s="55"/>
      <c r="D1111" s="41"/>
      <c r="E1111" s="55"/>
      <c r="F1111" s="55"/>
      <c r="G1111" s="55"/>
      <c r="H1111" s="51"/>
      <c r="I1111" s="52"/>
      <c r="J1111" s="74" t="s">
        <v>142</v>
      </c>
      <c r="K1111" s="57"/>
      <c r="L1111" s="75">
        <v>80</v>
      </c>
      <c r="M1111" s="60">
        <v>1</v>
      </c>
      <c r="N1111" s="76">
        <v>1</v>
      </c>
      <c r="O1111" s="42"/>
      <c r="P1111" s="58" t="s">
        <v>88</v>
      </c>
      <c r="Q1111" s="61"/>
      <c r="R1111" s="62"/>
      <c r="S1111" s="78">
        <f t="shared" si="51"/>
        <v>1</v>
      </c>
      <c r="T1111" s="44" t="str">
        <f t="shared" si="52"/>
        <v>1kilos</v>
      </c>
      <c r="U1111" s="77">
        <f t="shared" si="53"/>
        <v>80</v>
      </c>
      <c r="V1111" s="46"/>
      <c r="W1111" s="46"/>
      <c r="X1111" s="46"/>
    </row>
    <row r="1112" spans="1:24" ht="15.75" customHeight="1" thickBot="1" x14ac:dyDescent="0.35">
      <c r="A1112" s="40"/>
      <c r="B1112" s="67" t="s">
        <v>1509</v>
      </c>
      <c r="C1112" s="55"/>
      <c r="D1112" s="41"/>
      <c r="E1112" s="55"/>
      <c r="F1112" s="55"/>
      <c r="G1112" s="55"/>
      <c r="H1112" s="51"/>
      <c r="I1112" s="52"/>
      <c r="J1112" s="74" t="s">
        <v>816</v>
      </c>
      <c r="K1112" s="57"/>
      <c r="L1112" s="75">
        <v>72</v>
      </c>
      <c r="M1112" s="60">
        <v>1</v>
      </c>
      <c r="N1112" s="76">
        <v>14</v>
      </c>
      <c r="O1112" s="42"/>
      <c r="P1112" s="58" t="s">
        <v>36</v>
      </c>
      <c r="Q1112" s="61"/>
      <c r="R1112" s="62"/>
      <c r="S1112" s="78">
        <f t="shared" si="51"/>
        <v>14</v>
      </c>
      <c r="T1112" s="44" t="str">
        <f t="shared" si="52"/>
        <v>14grams</v>
      </c>
      <c r="U1112" s="77">
        <f t="shared" si="53"/>
        <v>72</v>
      </c>
      <c r="V1112" s="46"/>
      <c r="W1112" s="46"/>
      <c r="X1112" s="46"/>
    </row>
    <row r="1113" spans="1:24" ht="15.75" customHeight="1" thickBot="1" x14ac:dyDescent="0.35">
      <c r="A1113" s="40"/>
      <c r="B1113" s="67" t="s">
        <v>1510</v>
      </c>
      <c r="C1113" s="55"/>
      <c r="D1113" s="41"/>
      <c r="E1113" s="55"/>
      <c r="F1113" s="55"/>
      <c r="G1113" s="55"/>
      <c r="H1113" s="51"/>
      <c r="I1113" s="52"/>
      <c r="J1113" s="74" t="s">
        <v>1511</v>
      </c>
      <c r="K1113" s="57"/>
      <c r="L1113" s="75">
        <v>264</v>
      </c>
      <c r="M1113" s="60">
        <v>1</v>
      </c>
      <c r="N1113" s="76">
        <v>100</v>
      </c>
      <c r="O1113" s="42"/>
      <c r="P1113" s="58" t="s">
        <v>38</v>
      </c>
      <c r="Q1113" s="61"/>
      <c r="R1113" s="62"/>
      <c r="S1113" s="78">
        <f t="shared" si="51"/>
        <v>100</v>
      </c>
      <c r="T1113" s="44" t="str">
        <f t="shared" si="52"/>
        <v>100pieces</v>
      </c>
      <c r="U1113" s="77">
        <f t="shared" si="53"/>
        <v>264</v>
      </c>
      <c r="V1113" s="46"/>
      <c r="W1113" s="46"/>
      <c r="X1113" s="46"/>
    </row>
    <row r="1114" spans="1:24" ht="15.75" customHeight="1" thickBot="1" x14ac:dyDescent="0.35">
      <c r="A1114" s="40"/>
      <c r="B1114" s="67" t="s">
        <v>1510</v>
      </c>
      <c r="C1114" s="55"/>
      <c r="D1114" s="41"/>
      <c r="E1114" s="55"/>
      <c r="F1114" s="55"/>
      <c r="G1114" s="55"/>
      <c r="H1114" s="51"/>
      <c r="I1114" s="52"/>
      <c r="J1114" s="74" t="s">
        <v>1512</v>
      </c>
      <c r="K1114" s="57"/>
      <c r="L1114" s="75">
        <v>100</v>
      </c>
      <c r="M1114" s="60">
        <v>8</v>
      </c>
      <c r="N1114" s="76">
        <v>50</v>
      </c>
      <c r="O1114" s="42"/>
      <c r="P1114" s="58" t="s">
        <v>38</v>
      </c>
      <c r="Q1114" s="61"/>
      <c r="R1114" s="62"/>
      <c r="S1114" s="78">
        <f t="shared" si="51"/>
        <v>400</v>
      </c>
      <c r="T1114" s="44" t="str">
        <f t="shared" si="52"/>
        <v>400pieces</v>
      </c>
      <c r="U1114" s="77">
        <f t="shared" si="53"/>
        <v>800</v>
      </c>
      <c r="V1114" s="46"/>
      <c r="W1114" s="46"/>
      <c r="X1114" s="46"/>
    </row>
    <row r="1115" spans="1:24" ht="15.75" customHeight="1" thickBot="1" x14ac:dyDescent="0.35">
      <c r="A1115" s="40"/>
      <c r="B1115" s="68" t="s">
        <v>1513</v>
      </c>
      <c r="C1115" s="55"/>
      <c r="D1115" s="41"/>
      <c r="E1115" s="55"/>
      <c r="F1115" s="55"/>
      <c r="G1115" s="55"/>
      <c r="H1115" s="51"/>
      <c r="I1115" s="52"/>
      <c r="J1115" s="74" t="s">
        <v>1514</v>
      </c>
      <c r="K1115" s="57"/>
      <c r="L1115" s="75">
        <v>12</v>
      </c>
      <c r="M1115" s="60">
        <v>2</v>
      </c>
      <c r="N1115" s="76">
        <v>100</v>
      </c>
      <c r="O1115" s="42"/>
      <c r="P1115" s="58" t="s">
        <v>38</v>
      </c>
      <c r="Q1115" s="61"/>
      <c r="R1115" s="62"/>
      <c r="S1115" s="78">
        <f t="shared" si="51"/>
        <v>200</v>
      </c>
      <c r="T1115" s="44" t="str">
        <f t="shared" si="52"/>
        <v>200pieces</v>
      </c>
      <c r="U1115" s="77">
        <f t="shared" si="53"/>
        <v>24</v>
      </c>
      <c r="V1115" s="46"/>
      <c r="W1115" s="46"/>
      <c r="X1115" s="46"/>
    </row>
    <row r="1116" spans="1:24" ht="15.75" customHeight="1" thickBot="1" x14ac:dyDescent="0.35">
      <c r="A1116" s="40"/>
      <c r="B1116" s="67" t="s">
        <v>1513</v>
      </c>
      <c r="C1116" s="55"/>
      <c r="D1116" s="41"/>
      <c r="E1116" s="55"/>
      <c r="F1116" s="55"/>
      <c r="G1116" s="55"/>
      <c r="H1116" s="51"/>
      <c r="I1116" s="52"/>
      <c r="J1116" s="74" t="s">
        <v>1514</v>
      </c>
      <c r="K1116" s="57"/>
      <c r="L1116" s="75">
        <v>92.7</v>
      </c>
      <c r="M1116" s="60">
        <v>2</v>
      </c>
      <c r="N1116" s="76">
        <v>1</v>
      </c>
      <c r="O1116" s="42"/>
      <c r="P1116" s="58" t="s">
        <v>77</v>
      </c>
      <c r="Q1116" s="61"/>
      <c r="R1116" s="62"/>
      <c r="S1116" s="78">
        <f t="shared" si="51"/>
        <v>2</v>
      </c>
      <c r="T1116" s="44" t="str">
        <f t="shared" si="52"/>
        <v>2packs</v>
      </c>
      <c r="U1116" s="77">
        <f t="shared" si="53"/>
        <v>185.4</v>
      </c>
      <c r="V1116" s="46"/>
      <c r="W1116" s="46"/>
      <c r="X1116" s="46"/>
    </row>
    <row r="1117" spans="1:24" ht="15.75" customHeight="1" thickBot="1" x14ac:dyDescent="0.35">
      <c r="A1117" s="40"/>
      <c r="B1117" s="67" t="s">
        <v>1513</v>
      </c>
      <c r="C1117" s="55"/>
      <c r="D1117" s="41"/>
      <c r="E1117" s="55"/>
      <c r="F1117" s="55"/>
      <c r="G1117" s="55"/>
      <c r="H1117" s="51"/>
      <c r="I1117" s="52"/>
      <c r="J1117" s="74" t="s">
        <v>1515</v>
      </c>
      <c r="K1117" s="57"/>
      <c r="L1117" s="75">
        <v>9.02</v>
      </c>
      <c r="M1117" s="60">
        <v>32</v>
      </c>
      <c r="N1117" s="76">
        <v>1</v>
      </c>
      <c r="O1117" s="42"/>
      <c r="P1117" s="58" t="s">
        <v>77</v>
      </c>
      <c r="Q1117" s="61"/>
      <c r="R1117" s="62"/>
      <c r="S1117" s="78">
        <f t="shared" si="51"/>
        <v>32</v>
      </c>
      <c r="T1117" s="44" t="str">
        <f t="shared" si="52"/>
        <v>32packs</v>
      </c>
      <c r="U1117" s="77">
        <f t="shared" si="53"/>
        <v>288.64</v>
      </c>
      <c r="V1117" s="46"/>
      <c r="W1117" s="46"/>
      <c r="X1117" s="46"/>
    </row>
    <row r="1118" spans="1:24" ht="15.75" customHeight="1" thickBot="1" x14ac:dyDescent="0.35">
      <c r="A1118" s="40"/>
      <c r="B1118" s="68" t="s">
        <v>1516</v>
      </c>
      <c r="C1118" s="55"/>
      <c r="D1118" s="41"/>
      <c r="E1118" s="55"/>
      <c r="F1118" s="55"/>
      <c r="G1118" s="55"/>
      <c r="H1118" s="51"/>
      <c r="I1118" s="52"/>
      <c r="J1118" s="74" t="s">
        <v>1517</v>
      </c>
      <c r="K1118" s="57"/>
      <c r="L1118" s="75">
        <v>30</v>
      </c>
      <c r="M1118" s="60">
        <v>50</v>
      </c>
      <c r="N1118" s="76">
        <v>1</v>
      </c>
      <c r="O1118" s="42"/>
      <c r="P1118" s="58" t="s">
        <v>38</v>
      </c>
      <c r="Q1118" s="61"/>
      <c r="R1118" s="62"/>
      <c r="S1118" s="78">
        <f t="shared" si="51"/>
        <v>50</v>
      </c>
      <c r="T1118" s="44" t="str">
        <f t="shared" si="52"/>
        <v>50pieces</v>
      </c>
      <c r="U1118" s="77">
        <f t="shared" si="53"/>
        <v>1500</v>
      </c>
      <c r="V1118" s="46"/>
      <c r="W1118" s="46"/>
      <c r="X1118" s="46"/>
    </row>
    <row r="1119" spans="1:24" ht="15.75" customHeight="1" thickBot="1" x14ac:dyDescent="0.35">
      <c r="A1119" s="40"/>
      <c r="B1119" s="67" t="s">
        <v>1518</v>
      </c>
      <c r="C1119" s="55"/>
      <c r="D1119" s="41"/>
      <c r="E1119" s="55"/>
      <c r="F1119" s="55"/>
      <c r="G1119" s="55"/>
      <c r="H1119" s="51"/>
      <c r="I1119" s="52"/>
      <c r="J1119" s="74"/>
      <c r="K1119" s="57"/>
      <c r="L1119" s="75">
        <v>220</v>
      </c>
      <c r="M1119" s="60">
        <v>14</v>
      </c>
      <c r="N1119" s="76">
        <v>1</v>
      </c>
      <c r="O1119" s="42"/>
      <c r="P1119" s="58" t="s">
        <v>88</v>
      </c>
      <c r="Q1119" s="61"/>
      <c r="R1119" s="62"/>
      <c r="S1119" s="78">
        <f t="shared" si="51"/>
        <v>14</v>
      </c>
      <c r="T1119" s="44" t="str">
        <f t="shared" si="52"/>
        <v>14kilos</v>
      </c>
      <c r="U1119" s="77">
        <f t="shared" si="53"/>
        <v>3080</v>
      </c>
      <c r="V1119" s="46"/>
      <c r="W1119" s="46"/>
      <c r="X1119" s="46"/>
    </row>
    <row r="1120" spans="1:24" ht="15.75" customHeight="1" thickBot="1" x14ac:dyDescent="0.35">
      <c r="A1120" s="40"/>
      <c r="B1120" s="67" t="s">
        <v>1519</v>
      </c>
      <c r="C1120" s="55"/>
      <c r="D1120" s="41"/>
      <c r="E1120" s="55"/>
      <c r="F1120" s="55"/>
      <c r="G1120" s="55"/>
      <c r="H1120" s="51"/>
      <c r="I1120" s="52"/>
      <c r="J1120" s="74"/>
      <c r="K1120" s="57"/>
      <c r="L1120" s="75">
        <v>275</v>
      </c>
      <c r="M1120" s="60">
        <v>87</v>
      </c>
      <c r="N1120" s="76">
        <v>1</v>
      </c>
      <c r="O1120" s="42"/>
      <c r="P1120" s="58" t="s">
        <v>88</v>
      </c>
      <c r="Q1120" s="61"/>
      <c r="R1120" s="62"/>
      <c r="S1120" s="78">
        <f t="shared" si="51"/>
        <v>87</v>
      </c>
      <c r="T1120" s="44" t="str">
        <f t="shared" si="52"/>
        <v>87kilos</v>
      </c>
      <c r="U1120" s="77">
        <f t="shared" si="53"/>
        <v>23925</v>
      </c>
      <c r="V1120" s="46"/>
      <c r="W1120" s="46"/>
      <c r="X1120" s="46"/>
    </row>
    <row r="1121" spans="1:24" ht="15.75" customHeight="1" thickBot="1" x14ac:dyDescent="0.35">
      <c r="A1121" s="40"/>
      <c r="B1121" s="67" t="s">
        <v>1520</v>
      </c>
      <c r="C1121" s="55"/>
      <c r="D1121" s="41"/>
      <c r="E1121" s="55"/>
      <c r="F1121" s="55"/>
      <c r="G1121" s="55"/>
      <c r="H1121" s="51"/>
      <c r="I1121" s="52"/>
      <c r="J1121" s="74"/>
      <c r="K1121" s="57"/>
      <c r="L1121" s="75">
        <v>289</v>
      </c>
      <c r="M1121" s="60">
        <v>11</v>
      </c>
      <c r="N1121" s="76">
        <v>1</v>
      </c>
      <c r="O1121" s="42"/>
      <c r="P1121" s="58" t="s">
        <v>88</v>
      </c>
      <c r="Q1121" s="61"/>
      <c r="R1121" s="62"/>
      <c r="S1121" s="78">
        <f t="shared" si="51"/>
        <v>11</v>
      </c>
      <c r="T1121" s="44" t="str">
        <f t="shared" si="52"/>
        <v>11kilos</v>
      </c>
      <c r="U1121" s="77">
        <f t="shared" si="53"/>
        <v>3179</v>
      </c>
      <c r="V1121" s="46"/>
      <c r="W1121" s="46"/>
      <c r="X1121" s="46"/>
    </row>
    <row r="1122" spans="1:24" ht="15.75" customHeight="1" thickBot="1" x14ac:dyDescent="0.35">
      <c r="A1122" s="40"/>
      <c r="B1122" s="67" t="s">
        <v>1521</v>
      </c>
      <c r="C1122" s="55"/>
      <c r="D1122" s="41"/>
      <c r="E1122" s="55"/>
      <c r="F1122" s="55"/>
      <c r="G1122" s="55"/>
      <c r="H1122" s="51"/>
      <c r="I1122" s="52"/>
      <c r="J1122" s="74"/>
      <c r="K1122" s="57"/>
      <c r="L1122" s="75">
        <v>190</v>
      </c>
      <c r="M1122" s="60">
        <v>5</v>
      </c>
      <c r="N1122" s="76">
        <v>1</v>
      </c>
      <c r="O1122" s="42"/>
      <c r="P1122" s="58" t="s">
        <v>88</v>
      </c>
      <c r="Q1122" s="61"/>
      <c r="R1122" s="62"/>
      <c r="S1122" s="78">
        <f t="shared" si="51"/>
        <v>5</v>
      </c>
      <c r="T1122" s="44" t="str">
        <f t="shared" si="52"/>
        <v>5kilos</v>
      </c>
      <c r="U1122" s="77">
        <f t="shared" si="53"/>
        <v>950</v>
      </c>
      <c r="V1122" s="46"/>
      <c r="W1122" s="46"/>
      <c r="X1122" s="46"/>
    </row>
    <row r="1123" spans="1:24" ht="15.75" customHeight="1" thickBot="1" x14ac:dyDescent="0.35">
      <c r="A1123" s="40"/>
      <c r="B1123" s="68" t="s">
        <v>1522</v>
      </c>
      <c r="C1123" s="55"/>
      <c r="D1123" s="41"/>
      <c r="E1123" s="55"/>
      <c r="F1123" s="55"/>
      <c r="G1123" s="55"/>
      <c r="H1123" s="51"/>
      <c r="I1123" s="52"/>
      <c r="J1123" s="74"/>
      <c r="K1123" s="57"/>
      <c r="L1123" s="75">
        <v>320</v>
      </c>
      <c r="M1123" s="60">
        <v>5</v>
      </c>
      <c r="N1123" s="76">
        <v>1000</v>
      </c>
      <c r="O1123" s="42"/>
      <c r="P1123" s="58" t="s">
        <v>36</v>
      </c>
      <c r="Q1123" s="61"/>
      <c r="R1123" s="62"/>
      <c r="S1123" s="78">
        <f t="shared" si="51"/>
        <v>5000</v>
      </c>
      <c r="T1123" s="44" t="str">
        <f t="shared" si="52"/>
        <v>5000grams</v>
      </c>
      <c r="U1123" s="77">
        <f t="shared" si="53"/>
        <v>1600</v>
      </c>
      <c r="V1123" s="46"/>
      <c r="W1123" s="46"/>
      <c r="X1123" s="46"/>
    </row>
    <row r="1124" spans="1:24" ht="15.75" customHeight="1" thickBot="1" x14ac:dyDescent="0.35">
      <c r="A1124" s="40"/>
      <c r="B1124" s="68" t="s">
        <v>1522</v>
      </c>
      <c r="C1124" s="55"/>
      <c r="D1124" s="41"/>
      <c r="E1124" s="55"/>
      <c r="F1124" s="55"/>
      <c r="G1124" s="55"/>
      <c r="H1124" s="51"/>
      <c r="I1124" s="52"/>
      <c r="J1124" s="74"/>
      <c r="K1124" s="57"/>
      <c r="L1124" s="75">
        <v>340</v>
      </c>
      <c r="M1124" s="60">
        <v>5</v>
      </c>
      <c r="N1124" s="76">
        <v>1000</v>
      </c>
      <c r="O1124" s="42"/>
      <c r="P1124" s="58" t="s">
        <v>36</v>
      </c>
      <c r="Q1124" s="61"/>
      <c r="R1124" s="62"/>
      <c r="S1124" s="78">
        <f t="shared" si="51"/>
        <v>5000</v>
      </c>
      <c r="T1124" s="44" t="str">
        <f t="shared" si="52"/>
        <v>5000grams</v>
      </c>
      <c r="U1124" s="77">
        <f t="shared" si="53"/>
        <v>1700</v>
      </c>
      <c r="V1124" s="46"/>
      <c r="W1124" s="46"/>
      <c r="X1124" s="46"/>
    </row>
    <row r="1125" spans="1:24" ht="15.75" customHeight="1" thickBot="1" x14ac:dyDescent="0.35">
      <c r="A1125" s="40"/>
      <c r="B1125" s="68" t="s">
        <v>1522</v>
      </c>
      <c r="C1125" s="55"/>
      <c r="D1125" s="41"/>
      <c r="E1125" s="55"/>
      <c r="F1125" s="55"/>
      <c r="G1125" s="55"/>
      <c r="H1125" s="51"/>
      <c r="I1125" s="52"/>
      <c r="J1125" s="74"/>
      <c r="K1125" s="57"/>
      <c r="L1125" s="75">
        <v>300</v>
      </c>
      <c r="M1125" s="60">
        <v>4</v>
      </c>
      <c r="N1125" s="76">
        <v>1</v>
      </c>
      <c r="O1125" s="42"/>
      <c r="P1125" s="58" t="s">
        <v>88</v>
      </c>
      <c r="Q1125" s="61"/>
      <c r="R1125" s="62"/>
      <c r="S1125" s="78">
        <f t="shared" si="51"/>
        <v>4</v>
      </c>
      <c r="T1125" s="44" t="str">
        <f t="shared" si="52"/>
        <v>4kilos</v>
      </c>
      <c r="U1125" s="77">
        <f t="shared" si="53"/>
        <v>1200</v>
      </c>
      <c r="V1125" s="46"/>
      <c r="W1125" s="46"/>
      <c r="X1125" s="46"/>
    </row>
    <row r="1126" spans="1:24" ht="15.75" customHeight="1" thickBot="1" x14ac:dyDescent="0.35">
      <c r="A1126" s="40"/>
      <c r="B1126" s="67" t="s">
        <v>1523</v>
      </c>
      <c r="C1126" s="55"/>
      <c r="D1126" s="41"/>
      <c r="E1126" s="55"/>
      <c r="F1126" s="55"/>
      <c r="G1126" s="55"/>
      <c r="H1126" s="51"/>
      <c r="I1126" s="52"/>
      <c r="J1126" s="74"/>
      <c r="K1126" s="57"/>
      <c r="L1126" s="75">
        <v>175</v>
      </c>
      <c r="M1126" s="60">
        <v>20</v>
      </c>
      <c r="N1126" s="76">
        <v>1</v>
      </c>
      <c r="O1126" s="42"/>
      <c r="P1126" s="58" t="s">
        <v>88</v>
      </c>
      <c r="Q1126" s="61"/>
      <c r="R1126" s="62"/>
      <c r="S1126" s="78">
        <f t="shared" si="51"/>
        <v>20</v>
      </c>
      <c r="T1126" s="44" t="str">
        <f t="shared" si="52"/>
        <v>20kilos</v>
      </c>
      <c r="U1126" s="77">
        <f t="shared" si="53"/>
        <v>3500</v>
      </c>
      <c r="V1126" s="46"/>
      <c r="W1126" s="46"/>
      <c r="X1126" s="46"/>
    </row>
    <row r="1127" spans="1:24" ht="15.75" customHeight="1" thickBot="1" x14ac:dyDescent="0.35">
      <c r="A1127" s="40"/>
      <c r="B1127" s="67" t="s">
        <v>1524</v>
      </c>
      <c r="C1127" s="55"/>
      <c r="D1127" s="41"/>
      <c r="E1127" s="55"/>
      <c r="F1127" s="55"/>
      <c r="G1127" s="55"/>
      <c r="H1127" s="51"/>
      <c r="I1127" s="52"/>
      <c r="J1127" s="74"/>
      <c r="K1127" s="57"/>
      <c r="L1127" s="75">
        <v>225</v>
      </c>
      <c r="M1127" s="60">
        <v>31</v>
      </c>
      <c r="N1127" s="76">
        <v>1</v>
      </c>
      <c r="O1127" s="42"/>
      <c r="P1127" s="58" t="s">
        <v>88</v>
      </c>
      <c r="Q1127" s="61"/>
      <c r="R1127" s="62"/>
      <c r="S1127" s="78">
        <f t="shared" si="51"/>
        <v>31</v>
      </c>
      <c r="T1127" s="44" t="str">
        <f t="shared" si="52"/>
        <v>31kilos</v>
      </c>
      <c r="U1127" s="77">
        <f t="shared" si="53"/>
        <v>6975</v>
      </c>
      <c r="V1127" s="46"/>
      <c r="W1127" s="46"/>
      <c r="X1127" s="46"/>
    </row>
    <row r="1128" spans="1:24" ht="15.75" customHeight="1" thickBot="1" x14ac:dyDescent="0.35">
      <c r="A1128" s="40"/>
      <c r="B1128" s="67" t="s">
        <v>1524</v>
      </c>
      <c r="C1128" s="55"/>
      <c r="D1128" s="41"/>
      <c r="E1128" s="55"/>
      <c r="F1128" s="55"/>
      <c r="G1128" s="55"/>
      <c r="H1128" s="51"/>
      <c r="I1128" s="52"/>
      <c r="J1128" s="74"/>
      <c r="K1128" s="57"/>
      <c r="L1128" s="75">
        <v>215</v>
      </c>
      <c r="M1128" s="60">
        <v>76</v>
      </c>
      <c r="N1128" s="76">
        <v>1</v>
      </c>
      <c r="O1128" s="42"/>
      <c r="P1128" s="58" t="s">
        <v>88</v>
      </c>
      <c r="Q1128" s="61"/>
      <c r="R1128" s="62"/>
      <c r="S1128" s="78">
        <f t="shared" si="51"/>
        <v>76</v>
      </c>
      <c r="T1128" s="44" t="str">
        <f t="shared" si="52"/>
        <v>76kilos</v>
      </c>
      <c r="U1128" s="77">
        <f t="shared" si="53"/>
        <v>16340</v>
      </c>
      <c r="V1128" s="46"/>
      <c r="W1128" s="46"/>
      <c r="X1128" s="46"/>
    </row>
    <row r="1129" spans="1:24" ht="15.75" customHeight="1" thickBot="1" x14ac:dyDescent="0.35">
      <c r="A1129" s="40"/>
      <c r="B1129" s="67" t="s">
        <v>1524</v>
      </c>
      <c r="C1129" s="55"/>
      <c r="D1129" s="41"/>
      <c r="E1129" s="55"/>
      <c r="F1129" s="55"/>
      <c r="G1129" s="55"/>
      <c r="H1129" s="51"/>
      <c r="I1129" s="52"/>
      <c r="J1129" s="74"/>
      <c r="K1129" s="57"/>
      <c r="L1129" s="75">
        <v>221</v>
      </c>
      <c r="M1129" s="60">
        <v>60</v>
      </c>
      <c r="N1129" s="76">
        <v>1</v>
      </c>
      <c r="O1129" s="42"/>
      <c r="P1129" s="58" t="s">
        <v>88</v>
      </c>
      <c r="Q1129" s="61"/>
      <c r="R1129" s="62"/>
      <c r="S1129" s="78">
        <f t="shared" si="51"/>
        <v>60</v>
      </c>
      <c r="T1129" s="44" t="str">
        <f t="shared" si="52"/>
        <v>60kilos</v>
      </c>
      <c r="U1129" s="77">
        <f t="shared" si="53"/>
        <v>13260</v>
      </c>
      <c r="V1129" s="46"/>
      <c r="W1129" s="46"/>
      <c r="X1129" s="46"/>
    </row>
    <row r="1130" spans="1:24" ht="15.75" customHeight="1" thickBot="1" x14ac:dyDescent="0.35">
      <c r="A1130" s="40"/>
      <c r="B1130" s="67" t="s">
        <v>1524</v>
      </c>
      <c r="C1130" s="55"/>
      <c r="D1130" s="41"/>
      <c r="E1130" s="55"/>
      <c r="F1130" s="55"/>
      <c r="G1130" s="55"/>
      <c r="H1130" s="51"/>
      <c r="I1130" s="52"/>
      <c r="J1130" s="74"/>
      <c r="K1130" s="57"/>
      <c r="L1130" s="75">
        <v>218</v>
      </c>
      <c r="M1130" s="60">
        <v>49</v>
      </c>
      <c r="N1130" s="76">
        <v>1</v>
      </c>
      <c r="O1130" s="42"/>
      <c r="P1130" s="58" t="s">
        <v>88</v>
      </c>
      <c r="Q1130" s="61"/>
      <c r="R1130" s="62"/>
      <c r="S1130" s="78">
        <f t="shared" si="51"/>
        <v>49</v>
      </c>
      <c r="T1130" s="44" t="str">
        <f t="shared" si="52"/>
        <v>49kilos</v>
      </c>
      <c r="U1130" s="77">
        <f t="shared" si="53"/>
        <v>10682</v>
      </c>
      <c r="V1130" s="46"/>
      <c r="W1130" s="46"/>
      <c r="X1130" s="46"/>
    </row>
    <row r="1131" spans="1:24" ht="15.75" customHeight="1" thickBot="1" x14ac:dyDescent="0.35">
      <c r="A1131" s="40"/>
      <c r="B1131" s="67" t="s">
        <v>1524</v>
      </c>
      <c r="C1131" s="55"/>
      <c r="D1131" s="41"/>
      <c r="E1131" s="55"/>
      <c r="F1131" s="55"/>
      <c r="G1131" s="55"/>
      <c r="H1131" s="51"/>
      <c r="I1131" s="52"/>
      <c r="J1131" s="74"/>
      <c r="K1131" s="57"/>
      <c r="L1131" s="75">
        <v>320</v>
      </c>
      <c r="M1131" s="60">
        <v>47</v>
      </c>
      <c r="N1131" s="76">
        <v>1000</v>
      </c>
      <c r="O1131" s="42"/>
      <c r="P1131" s="58" t="s">
        <v>36</v>
      </c>
      <c r="Q1131" s="61"/>
      <c r="R1131" s="62"/>
      <c r="S1131" s="78">
        <f t="shared" si="51"/>
        <v>47000</v>
      </c>
      <c r="T1131" s="44" t="str">
        <f t="shared" si="52"/>
        <v>47000grams</v>
      </c>
      <c r="U1131" s="77">
        <f t="shared" si="53"/>
        <v>15040</v>
      </c>
      <c r="V1131" s="46"/>
      <c r="W1131" s="46"/>
      <c r="X1131" s="46"/>
    </row>
    <row r="1132" spans="1:24" ht="15.75" customHeight="1" thickBot="1" x14ac:dyDescent="0.35">
      <c r="A1132" s="40"/>
      <c r="B1132" s="67" t="s">
        <v>1525</v>
      </c>
      <c r="C1132" s="55"/>
      <c r="D1132" s="41"/>
      <c r="E1132" s="55"/>
      <c r="F1132" s="55"/>
      <c r="G1132" s="55"/>
      <c r="H1132" s="51"/>
      <c r="I1132" s="52"/>
      <c r="J1132" s="74"/>
      <c r="K1132" s="57"/>
      <c r="L1132" s="75">
        <v>340</v>
      </c>
      <c r="M1132" s="60">
        <v>17</v>
      </c>
      <c r="N1132" s="76">
        <v>1000</v>
      </c>
      <c r="O1132" s="42"/>
      <c r="P1132" s="58" t="s">
        <v>36</v>
      </c>
      <c r="Q1132" s="61"/>
      <c r="R1132" s="62"/>
      <c r="S1132" s="78">
        <f t="shared" si="51"/>
        <v>17000</v>
      </c>
      <c r="T1132" s="44" t="str">
        <f t="shared" si="52"/>
        <v>17000grams</v>
      </c>
      <c r="U1132" s="77">
        <f t="shared" si="53"/>
        <v>5780</v>
      </c>
      <c r="V1132" s="46"/>
      <c r="W1132" s="46"/>
      <c r="X1132" s="46"/>
    </row>
    <row r="1133" spans="1:24" ht="15.75" customHeight="1" thickBot="1" x14ac:dyDescent="0.35">
      <c r="A1133" s="40"/>
      <c r="B1133" s="67" t="s">
        <v>1525</v>
      </c>
      <c r="C1133" s="55"/>
      <c r="D1133" s="41"/>
      <c r="E1133" s="55"/>
      <c r="F1133" s="55"/>
      <c r="G1133" s="55"/>
      <c r="H1133" s="51"/>
      <c r="I1133" s="52"/>
      <c r="J1133" s="74" t="s">
        <v>1060</v>
      </c>
      <c r="K1133" s="57"/>
      <c r="L1133" s="75">
        <v>235</v>
      </c>
      <c r="M1133" s="60">
        <v>15</v>
      </c>
      <c r="N1133" s="76">
        <v>1000</v>
      </c>
      <c r="O1133" s="42"/>
      <c r="P1133" s="58" t="s">
        <v>88</v>
      </c>
      <c r="Q1133" s="61"/>
      <c r="R1133" s="62"/>
      <c r="S1133" s="78">
        <f t="shared" si="51"/>
        <v>15000</v>
      </c>
      <c r="T1133" s="44" t="str">
        <f t="shared" si="52"/>
        <v>15000kilos</v>
      </c>
      <c r="U1133" s="77">
        <f t="shared" si="53"/>
        <v>3525</v>
      </c>
      <c r="V1133" s="46"/>
      <c r="W1133" s="46"/>
      <c r="X1133" s="46"/>
    </row>
    <row r="1134" spans="1:24" ht="15.75" customHeight="1" thickBot="1" x14ac:dyDescent="0.35">
      <c r="A1134" s="40"/>
      <c r="B1134" s="67" t="s">
        <v>1526</v>
      </c>
      <c r="C1134" s="55"/>
      <c r="D1134" s="41"/>
      <c r="E1134" s="55"/>
      <c r="F1134" s="55"/>
      <c r="G1134" s="55"/>
      <c r="H1134" s="51"/>
      <c r="I1134" s="52"/>
      <c r="J1134" s="74"/>
      <c r="K1134" s="57"/>
      <c r="L1134" s="75">
        <v>270</v>
      </c>
      <c r="M1134" s="60">
        <v>17</v>
      </c>
      <c r="N1134" s="76">
        <v>1</v>
      </c>
      <c r="O1134" s="42"/>
      <c r="P1134" s="58" t="s">
        <v>88</v>
      </c>
      <c r="Q1134" s="61"/>
      <c r="R1134" s="62"/>
      <c r="S1134" s="78">
        <f t="shared" si="51"/>
        <v>17</v>
      </c>
      <c r="T1134" s="44" t="str">
        <f t="shared" si="52"/>
        <v>17kilos</v>
      </c>
      <c r="U1134" s="77">
        <f t="shared" si="53"/>
        <v>4590</v>
      </c>
      <c r="V1134" s="46"/>
      <c r="W1134" s="46"/>
      <c r="X1134" s="46"/>
    </row>
    <row r="1135" spans="1:24" ht="15.75" customHeight="1" thickBot="1" x14ac:dyDescent="0.35">
      <c r="A1135" s="40"/>
      <c r="B1135" s="67" t="s">
        <v>1526</v>
      </c>
      <c r="C1135" s="55"/>
      <c r="D1135" s="41"/>
      <c r="E1135" s="55"/>
      <c r="F1135" s="55"/>
      <c r="G1135" s="55"/>
      <c r="H1135" s="51"/>
      <c r="I1135" s="52"/>
      <c r="J1135" s="74"/>
      <c r="K1135" s="57"/>
      <c r="L1135" s="75">
        <v>270</v>
      </c>
      <c r="M1135" s="60">
        <v>25</v>
      </c>
      <c r="N1135" s="76">
        <v>1</v>
      </c>
      <c r="O1135" s="42"/>
      <c r="P1135" s="58" t="s">
        <v>88</v>
      </c>
      <c r="Q1135" s="61"/>
      <c r="R1135" s="62"/>
      <c r="S1135" s="78">
        <f t="shared" si="51"/>
        <v>25</v>
      </c>
      <c r="T1135" s="44" t="str">
        <f t="shared" si="52"/>
        <v>25kilos</v>
      </c>
      <c r="U1135" s="77">
        <f t="shared" si="53"/>
        <v>6750</v>
      </c>
      <c r="V1135" s="46"/>
      <c r="W1135" s="46"/>
      <c r="X1135" s="46"/>
    </row>
    <row r="1136" spans="1:24" ht="15.75" customHeight="1" thickBot="1" x14ac:dyDescent="0.35">
      <c r="A1136" s="40"/>
      <c r="B1136" s="67" t="s">
        <v>1526</v>
      </c>
      <c r="C1136" s="55"/>
      <c r="D1136" s="41"/>
      <c r="E1136" s="55"/>
      <c r="F1136" s="55"/>
      <c r="G1136" s="55"/>
      <c r="H1136" s="51"/>
      <c r="I1136" s="52"/>
      <c r="J1136" s="74"/>
      <c r="K1136" s="57"/>
      <c r="L1136" s="75">
        <v>277</v>
      </c>
      <c r="M1136" s="60">
        <v>46</v>
      </c>
      <c r="N1136" s="76">
        <v>1</v>
      </c>
      <c r="O1136" s="42"/>
      <c r="P1136" s="58" t="s">
        <v>88</v>
      </c>
      <c r="Q1136" s="61"/>
      <c r="R1136" s="62"/>
      <c r="S1136" s="78">
        <f t="shared" si="51"/>
        <v>46</v>
      </c>
      <c r="T1136" s="44" t="str">
        <f t="shared" si="52"/>
        <v>46kilos</v>
      </c>
      <c r="U1136" s="77">
        <f t="shared" si="53"/>
        <v>12742</v>
      </c>
      <c r="V1136" s="46"/>
      <c r="W1136" s="46"/>
      <c r="X1136" s="46"/>
    </row>
    <row r="1137" spans="1:24" ht="15.75" customHeight="1" thickBot="1" x14ac:dyDescent="0.35">
      <c r="A1137" s="40"/>
      <c r="B1137" s="67" t="s">
        <v>1526</v>
      </c>
      <c r="C1137" s="55"/>
      <c r="D1137" s="41"/>
      <c r="E1137" s="55"/>
      <c r="F1137" s="55"/>
      <c r="G1137" s="55"/>
      <c r="H1137" s="51"/>
      <c r="I1137" s="52"/>
      <c r="J1137" s="74"/>
      <c r="K1137" s="57"/>
      <c r="L1137" s="75">
        <v>300</v>
      </c>
      <c r="M1137" s="60">
        <v>5</v>
      </c>
      <c r="N1137" s="76">
        <v>1000</v>
      </c>
      <c r="O1137" s="42"/>
      <c r="P1137" s="58" t="s">
        <v>36</v>
      </c>
      <c r="Q1137" s="61"/>
      <c r="R1137" s="62"/>
      <c r="S1137" s="78">
        <f t="shared" si="51"/>
        <v>5000</v>
      </c>
      <c r="T1137" s="44" t="str">
        <f t="shared" si="52"/>
        <v>5000grams</v>
      </c>
      <c r="U1137" s="77">
        <f t="shared" si="53"/>
        <v>1500</v>
      </c>
      <c r="V1137" s="46"/>
      <c r="W1137" s="46"/>
      <c r="X1137" s="46"/>
    </row>
    <row r="1138" spans="1:24" ht="15.75" customHeight="1" thickBot="1" x14ac:dyDescent="0.35">
      <c r="A1138" s="40"/>
      <c r="B1138" s="67" t="s">
        <v>1526</v>
      </c>
      <c r="C1138" s="55"/>
      <c r="D1138" s="41"/>
      <c r="E1138" s="55"/>
      <c r="F1138" s="55"/>
      <c r="G1138" s="55"/>
      <c r="H1138" s="51"/>
      <c r="I1138" s="52"/>
      <c r="J1138" s="74"/>
      <c r="K1138" s="57"/>
      <c r="L1138" s="75">
        <v>440</v>
      </c>
      <c r="M1138" s="60">
        <v>11</v>
      </c>
      <c r="N1138" s="76">
        <v>1000</v>
      </c>
      <c r="O1138" s="42"/>
      <c r="P1138" s="58" t="s">
        <v>36</v>
      </c>
      <c r="Q1138" s="61"/>
      <c r="R1138" s="62"/>
      <c r="S1138" s="78">
        <f t="shared" si="51"/>
        <v>11000</v>
      </c>
      <c r="T1138" s="44" t="str">
        <f t="shared" si="52"/>
        <v>11000grams</v>
      </c>
      <c r="U1138" s="77">
        <f t="shared" si="53"/>
        <v>4840</v>
      </c>
      <c r="V1138" s="46"/>
      <c r="W1138" s="46"/>
      <c r="X1138" s="46"/>
    </row>
    <row r="1139" spans="1:24" ht="15.75" customHeight="1" thickBot="1" x14ac:dyDescent="0.35">
      <c r="A1139" s="40"/>
      <c r="B1139" s="67" t="s">
        <v>1526</v>
      </c>
      <c r="C1139" s="55"/>
      <c r="D1139" s="41"/>
      <c r="E1139" s="55"/>
      <c r="F1139" s="55"/>
      <c r="G1139" s="55"/>
      <c r="H1139" s="51"/>
      <c r="I1139" s="52"/>
      <c r="J1139" s="74" t="s">
        <v>1060</v>
      </c>
      <c r="K1139" s="57"/>
      <c r="L1139" s="75">
        <v>289</v>
      </c>
      <c r="M1139" s="60">
        <v>25</v>
      </c>
      <c r="N1139" s="76">
        <v>1000</v>
      </c>
      <c r="O1139" s="42"/>
      <c r="P1139" s="58" t="s">
        <v>88</v>
      </c>
      <c r="Q1139" s="61"/>
      <c r="R1139" s="62"/>
      <c r="S1139" s="78">
        <f t="shared" si="51"/>
        <v>25000</v>
      </c>
      <c r="T1139" s="44" t="str">
        <f t="shared" si="52"/>
        <v>25000kilos</v>
      </c>
      <c r="U1139" s="77">
        <f t="shared" si="53"/>
        <v>7225</v>
      </c>
      <c r="V1139" s="46"/>
      <c r="W1139" s="46"/>
      <c r="X1139" s="46"/>
    </row>
    <row r="1140" spans="1:24" ht="15.75" customHeight="1" thickBot="1" x14ac:dyDescent="0.35">
      <c r="A1140" s="40"/>
      <c r="B1140" s="67" t="s">
        <v>1527</v>
      </c>
      <c r="C1140" s="55"/>
      <c r="D1140" s="41"/>
      <c r="E1140" s="55"/>
      <c r="F1140" s="55"/>
      <c r="G1140" s="55"/>
      <c r="H1140" s="51"/>
      <c r="I1140" s="52"/>
      <c r="J1140" s="74"/>
      <c r="K1140" s="57"/>
      <c r="L1140" s="75">
        <v>190</v>
      </c>
      <c r="M1140" s="60">
        <v>9</v>
      </c>
      <c r="N1140" s="76">
        <v>1000</v>
      </c>
      <c r="O1140" s="42"/>
      <c r="P1140" s="58" t="s">
        <v>36</v>
      </c>
      <c r="Q1140" s="61"/>
      <c r="R1140" s="62"/>
      <c r="S1140" s="78">
        <f t="shared" si="51"/>
        <v>9000</v>
      </c>
      <c r="T1140" s="44" t="str">
        <f t="shared" si="52"/>
        <v>9000grams</v>
      </c>
      <c r="U1140" s="77">
        <f t="shared" si="53"/>
        <v>1710</v>
      </c>
      <c r="V1140" s="46"/>
      <c r="W1140" s="46"/>
      <c r="X1140" s="46"/>
    </row>
    <row r="1141" spans="1:24" ht="15.75" customHeight="1" thickBot="1" x14ac:dyDescent="0.35">
      <c r="A1141" s="40"/>
      <c r="B1141" s="67" t="s">
        <v>1527</v>
      </c>
      <c r="C1141" s="55"/>
      <c r="D1141" s="41"/>
      <c r="E1141" s="55"/>
      <c r="F1141" s="55"/>
      <c r="G1141" s="55"/>
      <c r="H1141" s="51"/>
      <c r="I1141" s="52"/>
      <c r="J1141" s="74"/>
      <c r="K1141" s="57"/>
      <c r="L1141" s="75">
        <v>240</v>
      </c>
      <c r="M1141" s="60">
        <v>1</v>
      </c>
      <c r="N1141" s="76">
        <v>1000</v>
      </c>
      <c r="O1141" s="42"/>
      <c r="P1141" s="58" t="s">
        <v>36</v>
      </c>
      <c r="Q1141" s="61"/>
      <c r="R1141" s="62"/>
      <c r="S1141" s="78">
        <f t="shared" si="51"/>
        <v>1000</v>
      </c>
      <c r="T1141" s="44" t="str">
        <f t="shared" si="52"/>
        <v>1000grams</v>
      </c>
      <c r="U1141" s="77">
        <f t="shared" si="53"/>
        <v>240</v>
      </c>
      <c r="V1141" s="46"/>
      <c r="W1141" s="46"/>
      <c r="X1141" s="46"/>
    </row>
    <row r="1142" spans="1:24" ht="15.75" customHeight="1" thickBot="1" x14ac:dyDescent="0.35">
      <c r="A1142" s="40"/>
      <c r="B1142" s="67" t="s">
        <v>1528</v>
      </c>
      <c r="C1142" s="55"/>
      <c r="D1142" s="41"/>
      <c r="E1142" s="55"/>
      <c r="F1142" s="55"/>
      <c r="G1142" s="55"/>
      <c r="H1142" s="51"/>
      <c r="I1142" s="52"/>
      <c r="J1142" s="74"/>
      <c r="K1142" s="57"/>
      <c r="L1142" s="75">
        <v>280</v>
      </c>
      <c r="M1142" s="60">
        <v>10</v>
      </c>
      <c r="N1142" s="76">
        <v>1000</v>
      </c>
      <c r="O1142" s="42"/>
      <c r="P1142" s="58" t="s">
        <v>36</v>
      </c>
      <c r="Q1142" s="61"/>
      <c r="R1142" s="62"/>
      <c r="S1142" s="78">
        <f t="shared" ref="S1142:S1205" si="54">M1142*N1142</f>
        <v>10000</v>
      </c>
      <c r="T1142" s="44" t="str">
        <f t="shared" ref="T1142:T1205" si="55">CONCATENATE(S1142,Q1142,P1142)</f>
        <v>10000grams</v>
      </c>
      <c r="U1142" s="77">
        <f t="shared" ref="U1142:U1205" si="56">L1142*M1142</f>
        <v>2800</v>
      </c>
      <c r="V1142" s="46"/>
      <c r="W1142" s="46"/>
      <c r="X1142" s="46"/>
    </row>
    <row r="1143" spans="1:24" ht="15.75" customHeight="1" thickBot="1" x14ac:dyDescent="0.35">
      <c r="A1143" s="40"/>
      <c r="B1143" s="67" t="s">
        <v>1529</v>
      </c>
      <c r="C1143" s="55"/>
      <c r="D1143" s="41"/>
      <c r="E1143" s="55"/>
      <c r="F1143" s="55"/>
      <c r="G1143" s="55"/>
      <c r="H1143" s="51"/>
      <c r="I1143" s="52"/>
      <c r="J1143" s="74"/>
      <c r="K1143" s="57"/>
      <c r="L1143" s="75">
        <v>320</v>
      </c>
      <c r="M1143" s="60">
        <v>10</v>
      </c>
      <c r="N1143" s="76">
        <v>1000</v>
      </c>
      <c r="O1143" s="42"/>
      <c r="P1143" s="58" t="s">
        <v>88</v>
      </c>
      <c r="Q1143" s="61"/>
      <c r="R1143" s="62"/>
      <c r="S1143" s="78">
        <f t="shared" si="54"/>
        <v>10000</v>
      </c>
      <c r="T1143" s="44" t="str">
        <f t="shared" si="55"/>
        <v>10000kilos</v>
      </c>
      <c r="U1143" s="77">
        <f t="shared" si="56"/>
        <v>3200</v>
      </c>
      <c r="V1143" s="46"/>
      <c r="W1143" s="46"/>
      <c r="X1143" s="46"/>
    </row>
    <row r="1144" spans="1:24" ht="15.75" customHeight="1" thickBot="1" x14ac:dyDescent="0.35">
      <c r="A1144" s="40"/>
      <c r="B1144" s="68" t="s">
        <v>1529</v>
      </c>
      <c r="C1144" s="55"/>
      <c r="D1144" s="41"/>
      <c r="E1144" s="55"/>
      <c r="F1144" s="55"/>
      <c r="G1144" s="55"/>
      <c r="H1144" s="51"/>
      <c r="I1144" s="52"/>
      <c r="J1144" s="74"/>
      <c r="K1144" s="57"/>
      <c r="L1144" s="75">
        <v>290</v>
      </c>
      <c r="M1144" s="60">
        <v>5</v>
      </c>
      <c r="N1144" s="76">
        <v>1</v>
      </c>
      <c r="O1144" s="42"/>
      <c r="P1144" s="58" t="s">
        <v>88</v>
      </c>
      <c r="Q1144" s="61"/>
      <c r="R1144" s="62"/>
      <c r="S1144" s="78">
        <f t="shared" si="54"/>
        <v>5</v>
      </c>
      <c r="T1144" s="44" t="str">
        <f t="shared" si="55"/>
        <v>5kilos</v>
      </c>
      <c r="U1144" s="77">
        <f t="shared" si="56"/>
        <v>1450</v>
      </c>
      <c r="V1144" s="46"/>
      <c r="W1144" s="46"/>
      <c r="X1144" s="46"/>
    </row>
    <row r="1145" spans="1:24" ht="15.75" customHeight="1" thickBot="1" x14ac:dyDescent="0.35">
      <c r="A1145" s="40"/>
      <c r="B1145" s="67" t="s">
        <v>1530</v>
      </c>
      <c r="C1145" s="55"/>
      <c r="D1145" s="41"/>
      <c r="E1145" s="55"/>
      <c r="F1145" s="55"/>
      <c r="G1145" s="55"/>
      <c r="H1145" s="51"/>
      <c r="I1145" s="52"/>
      <c r="J1145" s="74"/>
      <c r="K1145" s="57"/>
      <c r="L1145" s="75">
        <v>340</v>
      </c>
      <c r="M1145" s="60">
        <v>10</v>
      </c>
      <c r="N1145" s="76">
        <v>1000</v>
      </c>
      <c r="O1145" s="42"/>
      <c r="P1145" s="58" t="s">
        <v>36</v>
      </c>
      <c r="Q1145" s="61"/>
      <c r="R1145" s="62"/>
      <c r="S1145" s="78">
        <f t="shared" si="54"/>
        <v>10000</v>
      </c>
      <c r="T1145" s="44" t="str">
        <f t="shared" si="55"/>
        <v>10000grams</v>
      </c>
      <c r="U1145" s="77">
        <f t="shared" si="56"/>
        <v>3400</v>
      </c>
      <c r="V1145" s="46"/>
      <c r="W1145" s="46"/>
      <c r="X1145" s="46"/>
    </row>
    <row r="1146" spans="1:24" ht="15.75" customHeight="1" thickBot="1" x14ac:dyDescent="0.35">
      <c r="A1146" s="40"/>
      <c r="B1146" s="67" t="s">
        <v>1531</v>
      </c>
      <c r="C1146" s="55"/>
      <c r="D1146" s="41"/>
      <c r="E1146" s="55"/>
      <c r="F1146" s="55"/>
      <c r="G1146" s="55"/>
      <c r="H1146" s="51"/>
      <c r="I1146" s="52"/>
      <c r="J1146" s="74"/>
      <c r="K1146" s="57"/>
      <c r="L1146" s="75">
        <v>140</v>
      </c>
      <c r="M1146" s="60">
        <v>1</v>
      </c>
      <c r="N1146" s="76">
        <v>1000</v>
      </c>
      <c r="O1146" s="42"/>
      <c r="P1146" s="58" t="s">
        <v>36</v>
      </c>
      <c r="Q1146" s="61"/>
      <c r="R1146" s="62"/>
      <c r="S1146" s="78">
        <f t="shared" si="54"/>
        <v>1000</v>
      </c>
      <c r="T1146" s="44" t="str">
        <f t="shared" si="55"/>
        <v>1000grams</v>
      </c>
      <c r="U1146" s="77">
        <f t="shared" si="56"/>
        <v>140</v>
      </c>
      <c r="V1146" s="46"/>
      <c r="W1146" s="46"/>
      <c r="X1146" s="46"/>
    </row>
    <row r="1147" spans="1:24" ht="15.75" customHeight="1" thickBot="1" x14ac:dyDescent="0.35">
      <c r="A1147" s="40"/>
      <c r="B1147" s="68" t="s">
        <v>1531</v>
      </c>
      <c r="C1147" s="55"/>
      <c r="D1147" s="41"/>
      <c r="E1147" s="55"/>
      <c r="F1147" s="55"/>
      <c r="G1147" s="55"/>
      <c r="H1147" s="51"/>
      <c r="I1147" s="52"/>
      <c r="J1147" s="74" t="s">
        <v>1532</v>
      </c>
      <c r="K1147" s="57"/>
      <c r="L1147" s="75">
        <v>240</v>
      </c>
      <c r="M1147" s="60">
        <v>7</v>
      </c>
      <c r="N1147" s="76">
        <v>1000</v>
      </c>
      <c r="O1147" s="42"/>
      <c r="P1147" s="58" t="s">
        <v>36</v>
      </c>
      <c r="Q1147" s="61"/>
      <c r="R1147" s="62"/>
      <c r="S1147" s="78">
        <f t="shared" si="54"/>
        <v>7000</v>
      </c>
      <c r="T1147" s="44" t="str">
        <f t="shared" si="55"/>
        <v>7000grams</v>
      </c>
      <c r="U1147" s="77">
        <f t="shared" si="56"/>
        <v>1680</v>
      </c>
      <c r="V1147" s="46"/>
      <c r="W1147" s="46"/>
      <c r="X1147" s="46"/>
    </row>
    <row r="1148" spans="1:24" ht="15.75" customHeight="1" thickBot="1" x14ac:dyDescent="0.35">
      <c r="A1148" s="40"/>
      <c r="B1148" s="68" t="s">
        <v>614</v>
      </c>
      <c r="C1148" s="55"/>
      <c r="D1148" s="41"/>
      <c r="E1148" s="55"/>
      <c r="F1148" s="55"/>
      <c r="G1148" s="55"/>
      <c r="H1148" s="51"/>
      <c r="I1148" s="52"/>
      <c r="J1148" s="74" t="s">
        <v>238</v>
      </c>
      <c r="K1148" s="57"/>
      <c r="L1148" s="75">
        <v>78</v>
      </c>
      <c r="M1148" s="60">
        <v>3</v>
      </c>
      <c r="N1148" s="76">
        <v>250</v>
      </c>
      <c r="O1148" s="42"/>
      <c r="P1148" s="58" t="s">
        <v>36</v>
      </c>
      <c r="Q1148" s="61"/>
      <c r="R1148" s="62"/>
      <c r="S1148" s="78">
        <f t="shared" si="54"/>
        <v>750</v>
      </c>
      <c r="T1148" s="44" t="str">
        <f t="shared" si="55"/>
        <v>750grams</v>
      </c>
      <c r="U1148" s="77">
        <f t="shared" si="56"/>
        <v>234</v>
      </c>
      <c r="V1148" s="46"/>
      <c r="W1148" s="46"/>
      <c r="X1148" s="46"/>
    </row>
    <row r="1149" spans="1:24" ht="15.75" customHeight="1" thickBot="1" x14ac:dyDescent="0.35">
      <c r="A1149" s="40"/>
      <c r="B1149" s="67" t="s">
        <v>614</v>
      </c>
      <c r="C1149" s="55"/>
      <c r="D1149" s="41"/>
      <c r="E1149" s="55"/>
      <c r="F1149" s="55"/>
      <c r="G1149" s="55"/>
      <c r="H1149" s="51"/>
      <c r="I1149" s="52"/>
      <c r="J1149" s="74" t="s">
        <v>1060</v>
      </c>
      <c r="K1149" s="57"/>
      <c r="L1149" s="75">
        <v>165</v>
      </c>
      <c r="M1149" s="60">
        <v>3</v>
      </c>
      <c r="N1149" s="76">
        <v>1000</v>
      </c>
      <c r="O1149" s="42"/>
      <c r="P1149" s="58" t="s">
        <v>88</v>
      </c>
      <c r="Q1149" s="61"/>
      <c r="R1149" s="62"/>
      <c r="S1149" s="78">
        <f t="shared" si="54"/>
        <v>3000</v>
      </c>
      <c r="T1149" s="44" t="str">
        <f t="shared" si="55"/>
        <v>3000kilos</v>
      </c>
      <c r="U1149" s="77">
        <f t="shared" si="56"/>
        <v>495</v>
      </c>
      <c r="V1149" s="46"/>
      <c r="W1149" s="46"/>
      <c r="X1149" s="46"/>
    </row>
    <row r="1150" spans="1:24" ht="15.75" customHeight="1" thickBot="1" x14ac:dyDescent="0.35">
      <c r="A1150" s="40"/>
      <c r="B1150" s="67" t="s">
        <v>619</v>
      </c>
      <c r="C1150" s="55"/>
      <c r="D1150" s="41"/>
      <c r="E1150" s="55"/>
      <c r="F1150" s="55"/>
      <c r="G1150" s="55"/>
      <c r="H1150" s="51"/>
      <c r="I1150" s="52"/>
      <c r="J1150" s="74"/>
      <c r="K1150" s="57"/>
      <c r="L1150" s="75">
        <v>120</v>
      </c>
      <c r="M1150" s="60">
        <v>2</v>
      </c>
      <c r="N1150" s="76">
        <v>1</v>
      </c>
      <c r="O1150" s="42"/>
      <c r="P1150" s="58" t="s">
        <v>88</v>
      </c>
      <c r="Q1150" s="61"/>
      <c r="R1150" s="62"/>
      <c r="S1150" s="78">
        <f t="shared" si="54"/>
        <v>2</v>
      </c>
      <c r="T1150" s="44" t="str">
        <f t="shared" si="55"/>
        <v>2kilos</v>
      </c>
      <c r="U1150" s="77">
        <f t="shared" si="56"/>
        <v>240</v>
      </c>
      <c r="V1150" s="46"/>
      <c r="W1150" s="46"/>
      <c r="X1150" s="46"/>
    </row>
    <row r="1151" spans="1:24" ht="15.75" customHeight="1" thickBot="1" x14ac:dyDescent="0.35">
      <c r="A1151" s="40"/>
      <c r="B1151" s="67" t="s">
        <v>619</v>
      </c>
      <c r="C1151" s="55"/>
      <c r="D1151" s="41"/>
      <c r="E1151" s="55"/>
      <c r="F1151" s="55"/>
      <c r="G1151" s="55"/>
      <c r="H1151" s="51"/>
      <c r="I1151" s="52"/>
      <c r="J1151" s="74" t="s">
        <v>142</v>
      </c>
      <c r="K1151" s="57"/>
      <c r="L1151" s="75">
        <v>160</v>
      </c>
      <c r="M1151" s="60">
        <v>4</v>
      </c>
      <c r="N1151" s="76">
        <v>1</v>
      </c>
      <c r="O1151" s="42"/>
      <c r="P1151" s="58" t="s">
        <v>88</v>
      </c>
      <c r="Q1151" s="61"/>
      <c r="R1151" s="62"/>
      <c r="S1151" s="78">
        <f t="shared" si="54"/>
        <v>4</v>
      </c>
      <c r="T1151" s="44" t="str">
        <f t="shared" si="55"/>
        <v>4kilos</v>
      </c>
      <c r="U1151" s="77">
        <f t="shared" si="56"/>
        <v>640</v>
      </c>
      <c r="V1151" s="46"/>
      <c r="W1151" s="46"/>
      <c r="X1151" s="46"/>
    </row>
    <row r="1152" spans="1:24" ht="15.75" customHeight="1" thickBot="1" x14ac:dyDescent="0.35">
      <c r="A1152" s="40"/>
      <c r="B1152" s="67" t="s">
        <v>619</v>
      </c>
      <c r="C1152" s="55"/>
      <c r="D1152" s="41"/>
      <c r="E1152" s="55"/>
      <c r="F1152" s="55"/>
      <c r="G1152" s="55"/>
      <c r="H1152" s="51"/>
      <c r="I1152" s="52"/>
      <c r="J1152" s="74" t="s">
        <v>142</v>
      </c>
      <c r="K1152" s="57"/>
      <c r="L1152" s="75">
        <v>140</v>
      </c>
      <c r="M1152" s="60">
        <v>3</v>
      </c>
      <c r="N1152" s="76">
        <v>1</v>
      </c>
      <c r="O1152" s="42"/>
      <c r="P1152" s="58" t="s">
        <v>88</v>
      </c>
      <c r="Q1152" s="61"/>
      <c r="R1152" s="62"/>
      <c r="S1152" s="78">
        <f t="shared" si="54"/>
        <v>3</v>
      </c>
      <c r="T1152" s="44" t="str">
        <f t="shared" si="55"/>
        <v>3kilos</v>
      </c>
      <c r="U1152" s="77">
        <f t="shared" si="56"/>
        <v>420</v>
      </c>
      <c r="V1152" s="46"/>
      <c r="W1152" s="46"/>
      <c r="X1152" s="46"/>
    </row>
    <row r="1153" spans="1:24" ht="15.75" customHeight="1" thickBot="1" x14ac:dyDescent="0.35">
      <c r="A1153" s="40"/>
      <c r="B1153" s="68" t="s">
        <v>619</v>
      </c>
      <c r="C1153" s="55"/>
      <c r="D1153" s="41"/>
      <c r="E1153" s="55"/>
      <c r="F1153" s="55"/>
      <c r="G1153" s="55"/>
      <c r="H1153" s="51"/>
      <c r="I1153" s="52"/>
      <c r="J1153" s="74" t="s">
        <v>142</v>
      </c>
      <c r="K1153" s="57"/>
      <c r="L1153" s="75">
        <v>180</v>
      </c>
      <c r="M1153" s="60">
        <v>2</v>
      </c>
      <c r="N1153" s="76">
        <v>1</v>
      </c>
      <c r="O1153" s="42"/>
      <c r="P1153" s="58" t="s">
        <v>88</v>
      </c>
      <c r="Q1153" s="61"/>
      <c r="R1153" s="62"/>
      <c r="S1153" s="78">
        <f t="shared" si="54"/>
        <v>2</v>
      </c>
      <c r="T1153" s="44" t="str">
        <f t="shared" si="55"/>
        <v>2kilos</v>
      </c>
      <c r="U1153" s="77">
        <f t="shared" si="56"/>
        <v>360</v>
      </c>
      <c r="V1153" s="46"/>
      <c r="W1153" s="46"/>
      <c r="X1153" s="46"/>
    </row>
    <row r="1154" spans="1:24" ht="15.75" customHeight="1" thickBot="1" x14ac:dyDescent="0.35">
      <c r="A1154" s="40"/>
      <c r="B1154" s="67" t="s">
        <v>619</v>
      </c>
      <c r="C1154" s="55"/>
      <c r="D1154" s="41"/>
      <c r="E1154" s="55"/>
      <c r="F1154" s="55"/>
      <c r="G1154" s="55"/>
      <c r="H1154" s="51"/>
      <c r="I1154" s="52"/>
      <c r="J1154" s="74" t="s">
        <v>874</v>
      </c>
      <c r="K1154" s="57"/>
      <c r="L1154" s="75">
        <v>160</v>
      </c>
      <c r="M1154" s="60">
        <v>1</v>
      </c>
      <c r="N1154" s="76">
        <v>1</v>
      </c>
      <c r="O1154" s="42"/>
      <c r="P1154" s="58" t="s">
        <v>88</v>
      </c>
      <c r="Q1154" s="61"/>
      <c r="R1154" s="62"/>
      <c r="S1154" s="78">
        <f t="shared" si="54"/>
        <v>1</v>
      </c>
      <c r="T1154" s="44" t="str">
        <f t="shared" si="55"/>
        <v>1kilos</v>
      </c>
      <c r="U1154" s="77">
        <f t="shared" si="56"/>
        <v>160</v>
      </c>
      <c r="V1154" s="46"/>
      <c r="W1154" s="46"/>
      <c r="X1154" s="46"/>
    </row>
    <row r="1155" spans="1:24" ht="15.75" customHeight="1" thickBot="1" x14ac:dyDescent="0.35">
      <c r="A1155" s="40"/>
      <c r="B1155" s="67" t="s">
        <v>1533</v>
      </c>
      <c r="C1155" s="55"/>
      <c r="D1155" s="41"/>
      <c r="E1155" s="55"/>
      <c r="F1155" s="55"/>
      <c r="G1155" s="55"/>
      <c r="H1155" s="51"/>
      <c r="I1155" s="52"/>
      <c r="J1155" s="74" t="s">
        <v>1534</v>
      </c>
      <c r="K1155" s="57"/>
      <c r="L1155" s="75">
        <v>168.75</v>
      </c>
      <c r="M1155" s="60">
        <v>15</v>
      </c>
      <c r="N1155" s="76">
        <v>200</v>
      </c>
      <c r="O1155" s="42"/>
      <c r="P1155" s="58" t="s">
        <v>36</v>
      </c>
      <c r="Q1155" s="61"/>
      <c r="R1155" s="62"/>
      <c r="S1155" s="78">
        <f t="shared" si="54"/>
        <v>3000</v>
      </c>
      <c r="T1155" s="44" t="str">
        <f t="shared" si="55"/>
        <v>3000grams</v>
      </c>
      <c r="U1155" s="77">
        <f t="shared" si="56"/>
        <v>2531.25</v>
      </c>
      <c r="V1155" s="46"/>
      <c r="W1155" s="46"/>
      <c r="X1155" s="46"/>
    </row>
    <row r="1156" spans="1:24" ht="15.75" customHeight="1" thickBot="1" x14ac:dyDescent="0.35">
      <c r="A1156" s="40"/>
      <c r="B1156" s="67" t="s">
        <v>1533</v>
      </c>
      <c r="C1156" s="55"/>
      <c r="D1156" s="41"/>
      <c r="E1156" s="55"/>
      <c r="F1156" s="55"/>
      <c r="G1156" s="55"/>
      <c r="H1156" s="51"/>
      <c r="I1156" s="52"/>
      <c r="J1156" s="74" t="s">
        <v>1535</v>
      </c>
      <c r="K1156" s="57"/>
      <c r="L1156" s="75">
        <v>162.32</v>
      </c>
      <c r="M1156" s="60">
        <v>8</v>
      </c>
      <c r="N1156" s="76">
        <v>200</v>
      </c>
      <c r="O1156" s="42"/>
      <c r="P1156" s="58" t="s">
        <v>36</v>
      </c>
      <c r="Q1156" s="61"/>
      <c r="R1156" s="62"/>
      <c r="S1156" s="78">
        <f t="shared" si="54"/>
        <v>1600</v>
      </c>
      <c r="T1156" s="44" t="str">
        <f t="shared" si="55"/>
        <v>1600grams</v>
      </c>
      <c r="U1156" s="77">
        <f t="shared" si="56"/>
        <v>1298.56</v>
      </c>
      <c r="V1156" s="46"/>
      <c r="W1156" s="46"/>
      <c r="X1156" s="46"/>
    </row>
    <row r="1157" spans="1:24" ht="15.75" customHeight="1" thickBot="1" x14ac:dyDescent="0.35">
      <c r="A1157" s="40"/>
      <c r="B1157" s="67" t="s">
        <v>1533</v>
      </c>
      <c r="C1157" s="55"/>
      <c r="D1157" s="41"/>
      <c r="E1157" s="55"/>
      <c r="F1157" s="55"/>
      <c r="G1157" s="55"/>
      <c r="H1157" s="51"/>
      <c r="I1157" s="52"/>
      <c r="J1157" s="74" t="s">
        <v>1536</v>
      </c>
      <c r="K1157" s="57"/>
      <c r="L1157" s="75">
        <v>162.32</v>
      </c>
      <c r="M1157" s="60">
        <v>7</v>
      </c>
      <c r="N1157" s="76">
        <v>200</v>
      </c>
      <c r="O1157" s="42"/>
      <c r="P1157" s="58" t="s">
        <v>36</v>
      </c>
      <c r="Q1157" s="61"/>
      <c r="R1157" s="62"/>
      <c r="S1157" s="78">
        <f t="shared" si="54"/>
        <v>1400</v>
      </c>
      <c r="T1157" s="44" t="str">
        <f t="shared" si="55"/>
        <v>1400grams</v>
      </c>
      <c r="U1157" s="77">
        <f t="shared" si="56"/>
        <v>1136.24</v>
      </c>
      <c r="V1157" s="46"/>
      <c r="W1157" s="46"/>
      <c r="X1157" s="46"/>
    </row>
    <row r="1158" spans="1:24" ht="15.75" customHeight="1" thickBot="1" x14ac:dyDescent="0.35">
      <c r="A1158" s="40"/>
      <c r="B1158" s="67" t="s">
        <v>1533</v>
      </c>
      <c r="C1158" s="55"/>
      <c r="D1158" s="41"/>
      <c r="E1158" s="55"/>
      <c r="F1158" s="55"/>
      <c r="G1158" s="55"/>
      <c r="H1158" s="51"/>
      <c r="I1158" s="52"/>
      <c r="J1158" s="74" t="s">
        <v>1537</v>
      </c>
      <c r="K1158" s="57"/>
      <c r="L1158" s="75">
        <v>162.32</v>
      </c>
      <c r="M1158" s="60">
        <v>11</v>
      </c>
      <c r="N1158" s="76">
        <v>200</v>
      </c>
      <c r="O1158" s="42"/>
      <c r="P1158" s="58" t="s">
        <v>36</v>
      </c>
      <c r="Q1158" s="61"/>
      <c r="R1158" s="62"/>
      <c r="S1158" s="78">
        <f t="shared" si="54"/>
        <v>2200</v>
      </c>
      <c r="T1158" s="44" t="str">
        <f t="shared" si="55"/>
        <v>2200grams</v>
      </c>
      <c r="U1158" s="77">
        <f t="shared" si="56"/>
        <v>1785.52</v>
      </c>
      <c r="V1158" s="46"/>
      <c r="W1158" s="46"/>
      <c r="X1158" s="46"/>
    </row>
    <row r="1159" spans="1:24" ht="15.75" customHeight="1" thickBot="1" x14ac:dyDescent="0.35">
      <c r="A1159" s="40"/>
      <c r="B1159" s="67" t="s">
        <v>1533</v>
      </c>
      <c r="C1159" s="55"/>
      <c r="D1159" s="41"/>
      <c r="E1159" s="55"/>
      <c r="F1159" s="55"/>
      <c r="G1159" s="55"/>
      <c r="H1159" s="51"/>
      <c r="I1159" s="52"/>
      <c r="J1159" s="74" t="s">
        <v>1538</v>
      </c>
      <c r="K1159" s="57"/>
      <c r="L1159" s="75">
        <v>167.95</v>
      </c>
      <c r="M1159" s="60">
        <v>12</v>
      </c>
      <c r="N1159" s="76">
        <v>200</v>
      </c>
      <c r="O1159" s="42"/>
      <c r="P1159" s="58" t="s">
        <v>36</v>
      </c>
      <c r="Q1159" s="61"/>
      <c r="R1159" s="62"/>
      <c r="S1159" s="78">
        <f t="shared" si="54"/>
        <v>2400</v>
      </c>
      <c r="T1159" s="44" t="str">
        <f t="shared" si="55"/>
        <v>2400grams</v>
      </c>
      <c r="U1159" s="77">
        <f t="shared" si="56"/>
        <v>2015.3999999999999</v>
      </c>
      <c r="V1159" s="46"/>
      <c r="W1159" s="46"/>
      <c r="X1159" s="46"/>
    </row>
    <row r="1160" spans="1:24" ht="15.75" customHeight="1" thickBot="1" x14ac:dyDescent="0.35">
      <c r="A1160" s="40"/>
      <c r="B1160" s="68" t="s">
        <v>1539</v>
      </c>
      <c r="C1160" s="55"/>
      <c r="D1160" s="41"/>
      <c r="E1160" s="55"/>
      <c r="F1160" s="55"/>
      <c r="G1160" s="55"/>
      <c r="H1160" s="51"/>
      <c r="I1160" s="52"/>
      <c r="J1160" s="74" t="s">
        <v>1540</v>
      </c>
      <c r="K1160" s="57"/>
      <c r="L1160" s="75">
        <v>20</v>
      </c>
      <c r="M1160" s="60">
        <v>2</v>
      </c>
      <c r="N1160" s="76">
        <v>19</v>
      </c>
      <c r="O1160" s="42"/>
      <c r="P1160" s="58" t="s">
        <v>36</v>
      </c>
      <c r="Q1160" s="61"/>
      <c r="R1160" s="62"/>
      <c r="S1160" s="78">
        <f t="shared" si="54"/>
        <v>38</v>
      </c>
      <c r="T1160" s="44" t="str">
        <f t="shared" si="55"/>
        <v>38grams</v>
      </c>
      <c r="U1160" s="77">
        <f t="shared" si="56"/>
        <v>40</v>
      </c>
      <c r="V1160" s="46"/>
      <c r="W1160" s="46"/>
      <c r="X1160" s="46"/>
    </row>
    <row r="1161" spans="1:24" ht="15.75" customHeight="1" thickBot="1" x14ac:dyDescent="0.35">
      <c r="A1161" s="40"/>
      <c r="B1161" s="68" t="s">
        <v>1539</v>
      </c>
      <c r="C1161" s="55"/>
      <c r="D1161" s="41"/>
      <c r="E1161" s="55"/>
      <c r="F1161" s="55"/>
      <c r="G1161" s="55"/>
      <c r="H1161" s="51"/>
      <c r="I1161" s="52"/>
      <c r="J1161" s="74" t="s">
        <v>1540</v>
      </c>
      <c r="K1161" s="57"/>
      <c r="L1161" s="75">
        <v>19</v>
      </c>
      <c r="M1161" s="60">
        <v>2</v>
      </c>
      <c r="N1161" s="76">
        <v>19</v>
      </c>
      <c r="O1161" s="42"/>
      <c r="P1161" s="58" t="s">
        <v>36</v>
      </c>
      <c r="Q1161" s="61"/>
      <c r="R1161" s="62"/>
      <c r="S1161" s="78">
        <f t="shared" si="54"/>
        <v>38</v>
      </c>
      <c r="T1161" s="44" t="str">
        <f t="shared" si="55"/>
        <v>38grams</v>
      </c>
      <c r="U1161" s="77">
        <f t="shared" si="56"/>
        <v>38</v>
      </c>
      <c r="V1161" s="46"/>
      <c r="W1161" s="46"/>
      <c r="X1161" s="46"/>
    </row>
    <row r="1162" spans="1:24" ht="15.75" customHeight="1" thickBot="1" x14ac:dyDescent="0.35">
      <c r="A1162" s="40"/>
      <c r="B1162" s="68" t="s">
        <v>1541</v>
      </c>
      <c r="C1162" s="55"/>
      <c r="D1162" s="41"/>
      <c r="E1162" s="55"/>
      <c r="F1162" s="55"/>
      <c r="G1162" s="55"/>
      <c r="H1162" s="51"/>
      <c r="I1162" s="52"/>
      <c r="J1162" s="74" t="s">
        <v>1540</v>
      </c>
      <c r="K1162" s="57"/>
      <c r="L1162" s="75">
        <v>20.5</v>
      </c>
      <c r="M1162" s="60">
        <v>1</v>
      </c>
      <c r="N1162" s="76">
        <v>19</v>
      </c>
      <c r="O1162" s="42"/>
      <c r="P1162" s="58" t="s">
        <v>36</v>
      </c>
      <c r="Q1162" s="61"/>
      <c r="R1162" s="62"/>
      <c r="S1162" s="78">
        <f t="shared" si="54"/>
        <v>19</v>
      </c>
      <c r="T1162" s="44" t="str">
        <f t="shared" si="55"/>
        <v>19grams</v>
      </c>
      <c r="U1162" s="77">
        <f t="shared" si="56"/>
        <v>20.5</v>
      </c>
      <c r="V1162" s="46"/>
      <c r="W1162" s="46"/>
      <c r="X1162" s="46"/>
    </row>
    <row r="1163" spans="1:24" ht="15.75" customHeight="1" thickBot="1" x14ac:dyDescent="0.35">
      <c r="A1163" s="40"/>
      <c r="B1163" s="67" t="s">
        <v>1542</v>
      </c>
      <c r="C1163" s="55"/>
      <c r="D1163" s="41"/>
      <c r="E1163" s="55"/>
      <c r="F1163" s="55"/>
      <c r="G1163" s="55"/>
      <c r="H1163" s="51"/>
      <c r="I1163" s="52"/>
      <c r="J1163" s="74" t="s">
        <v>1540</v>
      </c>
      <c r="K1163" s="57"/>
      <c r="L1163" s="75">
        <v>20.3</v>
      </c>
      <c r="M1163" s="60">
        <v>56</v>
      </c>
      <c r="N1163" s="76">
        <v>19</v>
      </c>
      <c r="O1163" s="42"/>
      <c r="P1163" s="58" t="s">
        <v>36</v>
      </c>
      <c r="Q1163" s="61"/>
      <c r="R1163" s="62"/>
      <c r="S1163" s="78">
        <f t="shared" si="54"/>
        <v>1064</v>
      </c>
      <c r="T1163" s="44" t="str">
        <f t="shared" si="55"/>
        <v>1064grams</v>
      </c>
      <c r="U1163" s="77">
        <f t="shared" si="56"/>
        <v>1136.8</v>
      </c>
      <c r="V1163" s="46"/>
      <c r="W1163" s="46"/>
      <c r="X1163" s="46"/>
    </row>
    <row r="1164" spans="1:24" ht="15.75" customHeight="1" thickBot="1" x14ac:dyDescent="0.35">
      <c r="A1164" s="40"/>
      <c r="B1164" s="67" t="s">
        <v>1543</v>
      </c>
      <c r="C1164" s="55"/>
      <c r="D1164" s="41"/>
      <c r="E1164" s="55"/>
      <c r="F1164" s="55"/>
      <c r="G1164" s="55"/>
      <c r="H1164" s="51"/>
      <c r="I1164" s="52"/>
      <c r="J1164" s="74" t="s">
        <v>1540</v>
      </c>
      <c r="K1164" s="57"/>
      <c r="L1164" s="75">
        <v>19</v>
      </c>
      <c r="M1164" s="60">
        <v>32</v>
      </c>
      <c r="N1164" s="76">
        <v>19</v>
      </c>
      <c r="O1164" s="42"/>
      <c r="P1164" s="58" t="s">
        <v>36</v>
      </c>
      <c r="Q1164" s="61"/>
      <c r="R1164" s="62"/>
      <c r="S1164" s="78">
        <f t="shared" si="54"/>
        <v>608</v>
      </c>
      <c r="T1164" s="44" t="str">
        <f t="shared" si="55"/>
        <v>608grams</v>
      </c>
      <c r="U1164" s="77">
        <f t="shared" si="56"/>
        <v>608</v>
      </c>
      <c r="V1164" s="46"/>
      <c r="W1164" s="46"/>
      <c r="X1164" s="46"/>
    </row>
    <row r="1165" spans="1:24" ht="15.75" customHeight="1" thickBot="1" x14ac:dyDescent="0.35">
      <c r="A1165" s="40"/>
      <c r="B1165" s="68" t="s">
        <v>1544</v>
      </c>
      <c r="C1165" s="55"/>
      <c r="D1165" s="41"/>
      <c r="E1165" s="55"/>
      <c r="F1165" s="55"/>
      <c r="G1165" s="55"/>
      <c r="H1165" s="51"/>
      <c r="I1165" s="52"/>
      <c r="J1165" s="74" t="s">
        <v>1540</v>
      </c>
      <c r="K1165" s="57"/>
      <c r="L1165" s="75">
        <v>20.5</v>
      </c>
      <c r="M1165" s="60">
        <v>4</v>
      </c>
      <c r="N1165" s="76">
        <v>19</v>
      </c>
      <c r="O1165" s="42"/>
      <c r="P1165" s="58" t="s">
        <v>36</v>
      </c>
      <c r="Q1165" s="61"/>
      <c r="R1165" s="62"/>
      <c r="S1165" s="78">
        <f t="shared" si="54"/>
        <v>76</v>
      </c>
      <c r="T1165" s="44" t="str">
        <f t="shared" si="55"/>
        <v>76grams</v>
      </c>
      <c r="U1165" s="77">
        <f t="shared" si="56"/>
        <v>82</v>
      </c>
      <c r="V1165" s="46"/>
      <c r="W1165" s="46"/>
      <c r="X1165" s="46"/>
    </row>
    <row r="1166" spans="1:24" ht="15.75" customHeight="1" thickBot="1" x14ac:dyDescent="0.35">
      <c r="A1166" s="40"/>
      <c r="B1166" s="67" t="s">
        <v>627</v>
      </c>
      <c r="C1166" s="55"/>
      <c r="D1166" s="41"/>
      <c r="E1166" s="55"/>
      <c r="F1166" s="55"/>
      <c r="G1166" s="55"/>
      <c r="H1166" s="51"/>
      <c r="I1166" s="52"/>
      <c r="J1166" s="74"/>
      <c r="K1166" s="57"/>
      <c r="L1166" s="75">
        <v>280</v>
      </c>
      <c r="M1166" s="60">
        <v>3</v>
      </c>
      <c r="N1166" s="76">
        <v>1</v>
      </c>
      <c r="O1166" s="42"/>
      <c r="P1166" s="58" t="s">
        <v>88</v>
      </c>
      <c r="Q1166" s="61"/>
      <c r="R1166" s="62"/>
      <c r="S1166" s="78">
        <f t="shared" si="54"/>
        <v>3</v>
      </c>
      <c r="T1166" s="44" t="str">
        <f t="shared" si="55"/>
        <v>3kilos</v>
      </c>
      <c r="U1166" s="77">
        <f t="shared" si="56"/>
        <v>840</v>
      </c>
      <c r="V1166" s="46"/>
      <c r="W1166" s="46"/>
      <c r="X1166" s="46"/>
    </row>
    <row r="1167" spans="1:24" ht="15.75" customHeight="1" thickBot="1" x14ac:dyDescent="0.35">
      <c r="A1167" s="40"/>
      <c r="B1167" s="67" t="s">
        <v>634</v>
      </c>
      <c r="C1167" s="55"/>
      <c r="D1167" s="41"/>
      <c r="E1167" s="55"/>
      <c r="F1167" s="55"/>
      <c r="G1167" s="55"/>
      <c r="H1167" s="51"/>
      <c r="I1167" s="52"/>
      <c r="J1167" s="74" t="s">
        <v>1545</v>
      </c>
      <c r="K1167" s="57"/>
      <c r="L1167" s="75">
        <v>51.1</v>
      </c>
      <c r="M1167" s="60">
        <v>1</v>
      </c>
      <c r="N1167" s="76">
        <v>100</v>
      </c>
      <c r="O1167" s="42"/>
      <c r="P1167" s="58" t="s">
        <v>36</v>
      </c>
      <c r="Q1167" s="61"/>
      <c r="R1167" s="62"/>
      <c r="S1167" s="78">
        <f t="shared" si="54"/>
        <v>100</v>
      </c>
      <c r="T1167" s="44" t="str">
        <f t="shared" si="55"/>
        <v>100grams</v>
      </c>
      <c r="U1167" s="77">
        <f t="shared" si="56"/>
        <v>51.1</v>
      </c>
      <c r="V1167" s="46"/>
      <c r="W1167" s="46"/>
      <c r="X1167" s="46"/>
    </row>
    <row r="1168" spans="1:24" ht="15.75" customHeight="1" thickBot="1" x14ac:dyDescent="0.35">
      <c r="A1168" s="40"/>
      <c r="B1168" s="67" t="s">
        <v>634</v>
      </c>
      <c r="C1168" s="55"/>
      <c r="D1168" s="41"/>
      <c r="E1168" s="55"/>
      <c r="F1168" s="55"/>
      <c r="G1168" s="55"/>
      <c r="H1168" s="51"/>
      <c r="I1168" s="52"/>
      <c r="J1168" s="74" t="s">
        <v>1545</v>
      </c>
      <c r="K1168" s="57"/>
      <c r="L1168" s="75">
        <v>51.1</v>
      </c>
      <c r="M1168" s="60">
        <v>2</v>
      </c>
      <c r="N1168" s="76">
        <v>100</v>
      </c>
      <c r="O1168" s="42"/>
      <c r="P1168" s="58" t="s">
        <v>36</v>
      </c>
      <c r="Q1168" s="61"/>
      <c r="R1168" s="62"/>
      <c r="S1168" s="78">
        <f t="shared" si="54"/>
        <v>200</v>
      </c>
      <c r="T1168" s="44" t="str">
        <f t="shared" si="55"/>
        <v>200grams</v>
      </c>
      <c r="U1168" s="77">
        <f t="shared" si="56"/>
        <v>102.2</v>
      </c>
      <c r="V1168" s="46"/>
      <c r="W1168" s="46"/>
      <c r="X1168" s="46"/>
    </row>
    <row r="1169" spans="1:24" ht="15.75" customHeight="1" thickBot="1" x14ac:dyDescent="0.35">
      <c r="A1169" s="40"/>
      <c r="B1169" s="67" t="s">
        <v>634</v>
      </c>
      <c r="C1169" s="55"/>
      <c r="D1169" s="41"/>
      <c r="E1169" s="55"/>
      <c r="F1169" s="55"/>
      <c r="G1169" s="55"/>
      <c r="H1169" s="51"/>
      <c r="I1169" s="52"/>
      <c r="J1169" s="74" t="s">
        <v>921</v>
      </c>
      <c r="K1169" s="57"/>
      <c r="L1169" s="75">
        <v>49</v>
      </c>
      <c r="M1169" s="60">
        <v>2</v>
      </c>
      <c r="N1169" s="76">
        <v>100</v>
      </c>
      <c r="O1169" s="42"/>
      <c r="P1169" s="58" t="s">
        <v>36</v>
      </c>
      <c r="Q1169" s="61"/>
      <c r="R1169" s="62"/>
      <c r="S1169" s="78">
        <f t="shared" si="54"/>
        <v>200</v>
      </c>
      <c r="T1169" s="44" t="str">
        <f t="shared" si="55"/>
        <v>200grams</v>
      </c>
      <c r="U1169" s="77">
        <f t="shared" si="56"/>
        <v>98</v>
      </c>
      <c r="V1169" s="46"/>
      <c r="W1169" s="46"/>
      <c r="X1169" s="46"/>
    </row>
    <row r="1170" spans="1:24" ht="15.75" customHeight="1" thickBot="1" x14ac:dyDescent="0.35">
      <c r="A1170" s="40"/>
      <c r="B1170" s="67" t="s">
        <v>634</v>
      </c>
      <c r="C1170" s="55"/>
      <c r="D1170" s="41"/>
      <c r="E1170" s="55"/>
      <c r="F1170" s="55"/>
      <c r="G1170" s="55"/>
      <c r="H1170" s="51"/>
      <c r="I1170" s="52"/>
      <c r="J1170" s="74" t="s">
        <v>1248</v>
      </c>
      <c r="K1170" s="57"/>
      <c r="L1170" s="75">
        <v>48</v>
      </c>
      <c r="M1170" s="60">
        <v>7</v>
      </c>
      <c r="N1170" s="76">
        <v>100</v>
      </c>
      <c r="O1170" s="42"/>
      <c r="P1170" s="58" t="s">
        <v>36</v>
      </c>
      <c r="Q1170" s="61"/>
      <c r="R1170" s="62"/>
      <c r="S1170" s="78">
        <f t="shared" si="54"/>
        <v>700</v>
      </c>
      <c r="T1170" s="44" t="str">
        <f t="shared" si="55"/>
        <v>700grams</v>
      </c>
      <c r="U1170" s="77">
        <f t="shared" si="56"/>
        <v>336</v>
      </c>
      <c r="V1170" s="46"/>
      <c r="W1170" s="46"/>
      <c r="X1170" s="46"/>
    </row>
    <row r="1171" spans="1:24" ht="15.75" customHeight="1" thickBot="1" x14ac:dyDescent="0.35">
      <c r="A1171" s="40"/>
      <c r="B1171" s="68" t="s">
        <v>634</v>
      </c>
      <c r="C1171" s="55"/>
      <c r="D1171" s="41"/>
      <c r="E1171" s="55"/>
      <c r="F1171" s="55"/>
      <c r="G1171" s="55"/>
      <c r="H1171" s="51"/>
      <c r="I1171" s="52"/>
      <c r="J1171" s="74" t="s">
        <v>921</v>
      </c>
      <c r="K1171" s="57"/>
      <c r="L1171" s="75">
        <v>48.8</v>
      </c>
      <c r="M1171" s="60">
        <v>9</v>
      </c>
      <c r="N1171" s="76">
        <v>100</v>
      </c>
      <c r="O1171" s="42"/>
      <c r="P1171" s="58" t="s">
        <v>36</v>
      </c>
      <c r="Q1171" s="61"/>
      <c r="R1171" s="62"/>
      <c r="S1171" s="78">
        <f t="shared" si="54"/>
        <v>900</v>
      </c>
      <c r="T1171" s="44" t="str">
        <f t="shared" si="55"/>
        <v>900grams</v>
      </c>
      <c r="U1171" s="77">
        <f t="shared" si="56"/>
        <v>439.2</v>
      </c>
      <c r="V1171" s="46"/>
      <c r="W1171" s="46"/>
      <c r="X1171" s="46"/>
    </row>
    <row r="1172" spans="1:24" ht="15.75" customHeight="1" thickBot="1" x14ac:dyDescent="0.35">
      <c r="A1172" s="40"/>
      <c r="B1172" s="67" t="s">
        <v>637</v>
      </c>
      <c r="C1172" s="55"/>
      <c r="D1172" s="41"/>
      <c r="E1172" s="55"/>
      <c r="F1172" s="55"/>
      <c r="G1172" s="55"/>
      <c r="H1172" s="51"/>
      <c r="I1172" s="52"/>
      <c r="J1172" s="74"/>
      <c r="K1172" s="57"/>
      <c r="L1172" s="75">
        <v>125</v>
      </c>
      <c r="M1172" s="60">
        <v>1</v>
      </c>
      <c r="N1172" s="76">
        <v>1</v>
      </c>
      <c r="O1172" s="42"/>
      <c r="P1172" s="58" t="s">
        <v>88</v>
      </c>
      <c r="Q1172" s="61"/>
      <c r="R1172" s="62"/>
      <c r="S1172" s="78">
        <f t="shared" si="54"/>
        <v>1</v>
      </c>
      <c r="T1172" s="44" t="str">
        <f t="shared" si="55"/>
        <v>1kilos</v>
      </c>
      <c r="U1172" s="77">
        <f t="shared" si="56"/>
        <v>125</v>
      </c>
      <c r="V1172" s="46"/>
      <c r="W1172" s="46"/>
      <c r="X1172" s="46"/>
    </row>
    <row r="1173" spans="1:24" ht="15.75" customHeight="1" thickBot="1" x14ac:dyDescent="0.35">
      <c r="A1173" s="40"/>
      <c r="B1173" s="67" t="s">
        <v>1546</v>
      </c>
      <c r="C1173" s="55"/>
      <c r="D1173" s="41"/>
      <c r="E1173" s="55"/>
      <c r="F1173" s="55"/>
      <c r="G1173" s="55"/>
      <c r="H1173" s="51"/>
      <c r="I1173" s="52"/>
      <c r="J1173" s="74" t="s">
        <v>1547</v>
      </c>
      <c r="K1173" s="57"/>
      <c r="L1173" s="75">
        <v>25.8</v>
      </c>
      <c r="M1173" s="60">
        <v>8</v>
      </c>
      <c r="N1173" s="76">
        <v>1</v>
      </c>
      <c r="O1173" s="42"/>
      <c r="P1173" s="58" t="s">
        <v>38</v>
      </c>
      <c r="Q1173" s="61"/>
      <c r="R1173" s="62"/>
      <c r="S1173" s="78">
        <f t="shared" si="54"/>
        <v>8</v>
      </c>
      <c r="T1173" s="44" t="str">
        <f t="shared" si="55"/>
        <v>8pieces</v>
      </c>
      <c r="U1173" s="77">
        <f t="shared" si="56"/>
        <v>206.4</v>
      </c>
      <c r="V1173" s="46"/>
      <c r="W1173" s="46"/>
      <c r="X1173" s="46"/>
    </row>
    <row r="1174" spans="1:24" ht="15.75" customHeight="1" thickBot="1" x14ac:dyDescent="0.35">
      <c r="A1174" s="40"/>
      <c r="B1174" s="67" t="s">
        <v>644</v>
      </c>
      <c r="C1174" s="55"/>
      <c r="D1174" s="41"/>
      <c r="E1174" s="55"/>
      <c r="F1174" s="55"/>
      <c r="G1174" s="55"/>
      <c r="H1174" s="51"/>
      <c r="I1174" s="52"/>
      <c r="J1174" s="74"/>
      <c r="K1174" s="57"/>
      <c r="L1174" s="75">
        <v>56.4</v>
      </c>
      <c r="M1174" s="60">
        <v>1</v>
      </c>
      <c r="N1174" s="76">
        <v>430</v>
      </c>
      <c r="O1174" s="42"/>
      <c r="P1174" s="58" t="s">
        <v>47</v>
      </c>
      <c r="Q1174" s="61"/>
      <c r="R1174" s="62"/>
      <c r="S1174" s="78">
        <f t="shared" si="54"/>
        <v>430</v>
      </c>
      <c r="T1174" s="44" t="str">
        <f t="shared" si="55"/>
        <v>430ml</v>
      </c>
      <c r="U1174" s="77">
        <f t="shared" si="56"/>
        <v>56.4</v>
      </c>
      <c r="V1174" s="46"/>
      <c r="W1174" s="46"/>
      <c r="X1174" s="46"/>
    </row>
    <row r="1175" spans="1:24" ht="15.75" customHeight="1" thickBot="1" x14ac:dyDescent="0.35">
      <c r="A1175" s="40"/>
      <c r="B1175" s="68" t="s">
        <v>644</v>
      </c>
      <c r="C1175" s="55"/>
      <c r="D1175" s="41"/>
      <c r="E1175" s="55"/>
      <c r="F1175" s="55"/>
      <c r="G1175" s="55"/>
      <c r="H1175" s="51"/>
      <c r="I1175" s="52"/>
      <c r="J1175" s="74"/>
      <c r="K1175" s="57"/>
      <c r="L1175" s="75">
        <v>55.55</v>
      </c>
      <c r="M1175" s="60">
        <v>2</v>
      </c>
      <c r="N1175" s="76">
        <v>490</v>
      </c>
      <c r="O1175" s="42"/>
      <c r="P1175" s="58" t="s">
        <v>47</v>
      </c>
      <c r="Q1175" s="61"/>
      <c r="R1175" s="62"/>
      <c r="S1175" s="78">
        <f t="shared" si="54"/>
        <v>980</v>
      </c>
      <c r="T1175" s="44" t="str">
        <f t="shared" si="55"/>
        <v>980ml</v>
      </c>
      <c r="U1175" s="77">
        <f t="shared" si="56"/>
        <v>111.1</v>
      </c>
      <c r="V1175" s="46"/>
      <c r="W1175" s="46"/>
      <c r="X1175" s="46"/>
    </row>
    <row r="1176" spans="1:24" ht="15.75" customHeight="1" thickBot="1" x14ac:dyDescent="0.35">
      <c r="A1176" s="40"/>
      <c r="B1176" s="68" t="s">
        <v>646</v>
      </c>
      <c r="C1176" s="55"/>
      <c r="D1176" s="41"/>
      <c r="E1176" s="55"/>
      <c r="F1176" s="55"/>
      <c r="G1176" s="55"/>
      <c r="H1176" s="51"/>
      <c r="I1176" s="52"/>
      <c r="J1176" s="74" t="s">
        <v>843</v>
      </c>
      <c r="K1176" s="57"/>
      <c r="L1176" s="75">
        <v>139</v>
      </c>
      <c r="M1176" s="60">
        <v>1</v>
      </c>
      <c r="N1176" s="76">
        <v>185</v>
      </c>
      <c r="O1176" s="42"/>
      <c r="P1176" s="58" t="s">
        <v>36</v>
      </c>
      <c r="Q1176" s="61"/>
      <c r="R1176" s="62"/>
      <c r="S1176" s="78">
        <f t="shared" si="54"/>
        <v>185</v>
      </c>
      <c r="T1176" s="44" t="str">
        <f t="shared" si="55"/>
        <v>185grams</v>
      </c>
      <c r="U1176" s="77">
        <f t="shared" si="56"/>
        <v>139</v>
      </c>
      <c r="V1176" s="46"/>
      <c r="W1176" s="46"/>
      <c r="X1176" s="46"/>
    </row>
    <row r="1177" spans="1:24" ht="15.75" customHeight="1" thickBot="1" x14ac:dyDescent="0.35">
      <c r="A1177" s="40"/>
      <c r="B1177" s="68" t="s">
        <v>1548</v>
      </c>
      <c r="C1177" s="55"/>
      <c r="D1177" s="41"/>
      <c r="E1177" s="55"/>
      <c r="F1177" s="55"/>
      <c r="G1177" s="55"/>
      <c r="H1177" s="51"/>
      <c r="I1177" s="52"/>
      <c r="J1177" s="74" t="s">
        <v>1549</v>
      </c>
      <c r="K1177" s="57"/>
      <c r="L1177" s="75">
        <v>1700</v>
      </c>
      <c r="M1177" s="60">
        <v>1</v>
      </c>
      <c r="N1177" s="76">
        <v>5</v>
      </c>
      <c r="O1177" s="42"/>
      <c r="P1177" s="58" t="s">
        <v>88</v>
      </c>
      <c r="Q1177" s="61"/>
      <c r="R1177" s="62"/>
      <c r="S1177" s="78">
        <f t="shared" si="54"/>
        <v>5</v>
      </c>
      <c r="T1177" s="44" t="str">
        <f t="shared" si="55"/>
        <v>5kilos</v>
      </c>
      <c r="U1177" s="77">
        <f t="shared" si="56"/>
        <v>1700</v>
      </c>
      <c r="V1177" s="46"/>
      <c r="W1177" s="46"/>
      <c r="X1177" s="46"/>
    </row>
    <row r="1178" spans="1:24" ht="15.75" customHeight="1" thickBot="1" x14ac:dyDescent="0.35">
      <c r="A1178" s="40"/>
      <c r="B1178" s="67" t="s">
        <v>1550</v>
      </c>
      <c r="C1178" s="55"/>
      <c r="D1178" s="41"/>
      <c r="E1178" s="55"/>
      <c r="F1178" s="55"/>
      <c r="G1178" s="55"/>
      <c r="H1178" s="51"/>
      <c r="I1178" s="52"/>
      <c r="J1178" s="74" t="s">
        <v>1551</v>
      </c>
      <c r="K1178" s="57"/>
      <c r="L1178" s="75">
        <v>343</v>
      </c>
      <c r="M1178" s="60">
        <v>1</v>
      </c>
      <c r="N1178" s="76">
        <v>750</v>
      </c>
      <c r="O1178" s="42"/>
      <c r="P1178" s="58" t="s">
        <v>47</v>
      </c>
      <c r="Q1178" s="61"/>
      <c r="R1178" s="62"/>
      <c r="S1178" s="78">
        <f t="shared" si="54"/>
        <v>750</v>
      </c>
      <c r="T1178" s="44" t="str">
        <f t="shared" si="55"/>
        <v>750ml</v>
      </c>
      <c r="U1178" s="77">
        <f t="shared" si="56"/>
        <v>343</v>
      </c>
      <c r="V1178" s="46"/>
      <c r="W1178" s="46"/>
      <c r="X1178" s="46"/>
    </row>
    <row r="1179" spans="1:24" ht="15.75" customHeight="1" thickBot="1" x14ac:dyDescent="0.35">
      <c r="A1179" s="40"/>
      <c r="B1179" s="68" t="s">
        <v>1550</v>
      </c>
      <c r="C1179" s="55"/>
      <c r="D1179" s="41"/>
      <c r="E1179" s="55"/>
      <c r="F1179" s="55"/>
      <c r="G1179" s="55"/>
      <c r="H1179" s="51"/>
      <c r="I1179" s="52"/>
      <c r="J1179" s="74" t="s">
        <v>1551</v>
      </c>
      <c r="K1179" s="57"/>
      <c r="L1179" s="75">
        <v>301.5</v>
      </c>
      <c r="M1179" s="60">
        <v>1</v>
      </c>
      <c r="N1179" s="76">
        <v>1</v>
      </c>
      <c r="O1179" s="42"/>
      <c r="P1179" s="58" t="s">
        <v>685</v>
      </c>
      <c r="Q1179" s="61"/>
      <c r="R1179" s="62"/>
      <c r="S1179" s="78">
        <f t="shared" si="54"/>
        <v>1</v>
      </c>
      <c r="T1179" s="44" t="str">
        <f t="shared" si="55"/>
        <v>1liters</v>
      </c>
      <c r="U1179" s="77">
        <f t="shared" si="56"/>
        <v>301.5</v>
      </c>
      <c r="V1179" s="46"/>
      <c r="W1179" s="46"/>
      <c r="X1179" s="46"/>
    </row>
    <row r="1180" spans="1:24" ht="15.75" customHeight="1" thickBot="1" x14ac:dyDescent="0.35">
      <c r="A1180" s="40"/>
      <c r="B1180" s="67" t="s">
        <v>648</v>
      </c>
      <c r="C1180" s="55"/>
      <c r="D1180" s="41"/>
      <c r="E1180" s="55"/>
      <c r="F1180" s="55"/>
      <c r="G1180" s="55"/>
      <c r="H1180" s="51"/>
      <c r="I1180" s="52"/>
      <c r="J1180" s="74" t="s">
        <v>1552</v>
      </c>
      <c r="K1180" s="57"/>
      <c r="L1180" s="75">
        <v>48</v>
      </c>
      <c r="M1180" s="60">
        <v>150</v>
      </c>
      <c r="N1180" s="76">
        <v>1</v>
      </c>
      <c r="O1180" s="42"/>
      <c r="P1180" s="58" t="s">
        <v>88</v>
      </c>
      <c r="Q1180" s="61"/>
      <c r="R1180" s="62"/>
      <c r="S1180" s="78">
        <f t="shared" si="54"/>
        <v>150</v>
      </c>
      <c r="T1180" s="44" t="str">
        <f t="shared" si="55"/>
        <v>150kilos</v>
      </c>
      <c r="U1180" s="77">
        <f t="shared" si="56"/>
        <v>7200</v>
      </c>
      <c r="V1180" s="46"/>
      <c r="W1180" s="46"/>
      <c r="X1180" s="46"/>
    </row>
    <row r="1181" spans="1:24" ht="15.75" customHeight="1" thickBot="1" x14ac:dyDescent="0.35">
      <c r="A1181" s="40"/>
      <c r="B1181" s="67" t="s">
        <v>648</v>
      </c>
      <c r="C1181" s="55"/>
      <c r="D1181" s="41"/>
      <c r="E1181" s="55"/>
      <c r="F1181" s="55"/>
      <c r="G1181" s="55"/>
      <c r="H1181" s="51"/>
      <c r="I1181" s="52"/>
      <c r="J1181" s="74" t="s">
        <v>1553</v>
      </c>
      <c r="K1181" s="57"/>
      <c r="L1181" s="75">
        <v>1050</v>
      </c>
      <c r="M1181" s="60">
        <v>16</v>
      </c>
      <c r="N1181" s="76">
        <v>1</v>
      </c>
      <c r="O1181" s="42"/>
      <c r="P1181" s="58" t="s">
        <v>1554</v>
      </c>
      <c r="Q1181" s="61"/>
      <c r="R1181" s="62"/>
      <c r="S1181" s="78">
        <f t="shared" si="54"/>
        <v>16</v>
      </c>
      <c r="T1181" s="44" t="str">
        <f t="shared" si="55"/>
        <v>16sacks</v>
      </c>
      <c r="U1181" s="77">
        <f t="shared" si="56"/>
        <v>16800</v>
      </c>
      <c r="V1181" s="46"/>
      <c r="W1181" s="46"/>
      <c r="X1181" s="46"/>
    </row>
    <row r="1182" spans="1:24" ht="15.75" customHeight="1" thickBot="1" x14ac:dyDescent="0.35">
      <c r="A1182" s="40"/>
      <c r="B1182" s="67" t="s">
        <v>648</v>
      </c>
      <c r="C1182" s="55"/>
      <c r="D1182" s="41"/>
      <c r="E1182" s="55"/>
      <c r="F1182" s="55"/>
      <c r="G1182" s="55"/>
      <c r="H1182" s="51"/>
      <c r="I1182" s="52"/>
      <c r="J1182" s="74" t="s">
        <v>1555</v>
      </c>
      <c r="K1182" s="57"/>
      <c r="L1182" s="75">
        <v>1200</v>
      </c>
      <c r="M1182" s="60">
        <v>6</v>
      </c>
      <c r="N1182" s="76">
        <v>25</v>
      </c>
      <c r="O1182" s="42"/>
      <c r="P1182" s="58" t="s">
        <v>88</v>
      </c>
      <c r="Q1182" s="61"/>
      <c r="R1182" s="62"/>
      <c r="S1182" s="78">
        <f t="shared" si="54"/>
        <v>150</v>
      </c>
      <c r="T1182" s="44" t="str">
        <f t="shared" si="55"/>
        <v>150kilos</v>
      </c>
      <c r="U1182" s="77">
        <f t="shared" si="56"/>
        <v>7200</v>
      </c>
      <c r="V1182" s="46"/>
      <c r="W1182" s="46"/>
      <c r="X1182" s="46"/>
    </row>
    <row r="1183" spans="1:24" ht="15.75" customHeight="1" thickBot="1" x14ac:dyDescent="0.35">
      <c r="A1183" s="40"/>
      <c r="B1183" s="67" t="s">
        <v>648</v>
      </c>
      <c r="C1183" s="55"/>
      <c r="D1183" s="41"/>
      <c r="E1183" s="55"/>
      <c r="F1183" s="55"/>
      <c r="G1183" s="55"/>
      <c r="H1183" s="51"/>
      <c r="I1183" s="52"/>
      <c r="J1183" s="74" t="s">
        <v>1556</v>
      </c>
      <c r="K1183" s="57"/>
      <c r="L1183" s="75">
        <v>43.6</v>
      </c>
      <c r="M1183" s="60">
        <v>88</v>
      </c>
      <c r="N1183" s="76">
        <v>25</v>
      </c>
      <c r="O1183" s="42"/>
      <c r="P1183" s="58" t="s">
        <v>88</v>
      </c>
      <c r="Q1183" s="61"/>
      <c r="R1183" s="62"/>
      <c r="S1183" s="78">
        <f t="shared" si="54"/>
        <v>2200</v>
      </c>
      <c r="T1183" s="44" t="str">
        <f t="shared" si="55"/>
        <v>2200kilos</v>
      </c>
      <c r="U1183" s="77">
        <f t="shared" si="56"/>
        <v>3836.8</v>
      </c>
      <c r="V1183" s="46"/>
      <c r="W1183" s="46"/>
      <c r="X1183" s="46"/>
    </row>
    <row r="1184" spans="1:24" ht="15.75" customHeight="1" thickBot="1" x14ac:dyDescent="0.35">
      <c r="A1184" s="40"/>
      <c r="B1184" s="67" t="s">
        <v>648</v>
      </c>
      <c r="C1184" s="55"/>
      <c r="D1184" s="41"/>
      <c r="E1184" s="55"/>
      <c r="F1184" s="55"/>
      <c r="G1184" s="55"/>
      <c r="H1184" s="51"/>
      <c r="I1184" s="52"/>
      <c r="J1184" s="74" t="s">
        <v>829</v>
      </c>
      <c r="K1184" s="57"/>
      <c r="L1184" s="75">
        <v>48</v>
      </c>
      <c r="M1184" s="60">
        <v>150</v>
      </c>
      <c r="N1184" s="76">
        <v>1</v>
      </c>
      <c r="O1184" s="42"/>
      <c r="P1184" s="58" t="s">
        <v>88</v>
      </c>
      <c r="Q1184" s="61"/>
      <c r="R1184" s="62"/>
      <c r="S1184" s="78">
        <f t="shared" si="54"/>
        <v>150</v>
      </c>
      <c r="T1184" s="44" t="str">
        <f t="shared" si="55"/>
        <v>150kilos</v>
      </c>
      <c r="U1184" s="77">
        <f t="shared" si="56"/>
        <v>7200</v>
      </c>
      <c r="V1184" s="46"/>
      <c r="W1184" s="46"/>
      <c r="X1184" s="46"/>
    </row>
    <row r="1185" spans="1:24" ht="15.75" customHeight="1" thickBot="1" x14ac:dyDescent="0.35">
      <c r="A1185" s="40"/>
      <c r="B1185" s="68" t="s">
        <v>648</v>
      </c>
      <c r="C1185" s="55"/>
      <c r="D1185" s="41"/>
      <c r="E1185" s="55"/>
      <c r="F1185" s="55"/>
      <c r="G1185" s="55"/>
      <c r="H1185" s="51"/>
      <c r="I1185" s="52"/>
      <c r="J1185" s="74" t="s">
        <v>1557</v>
      </c>
      <c r="K1185" s="57"/>
      <c r="L1185" s="75">
        <v>2600</v>
      </c>
      <c r="M1185" s="60">
        <v>10</v>
      </c>
      <c r="N1185" s="76">
        <v>50</v>
      </c>
      <c r="O1185" s="42"/>
      <c r="P1185" s="58" t="s">
        <v>88</v>
      </c>
      <c r="Q1185" s="61"/>
      <c r="R1185" s="62"/>
      <c r="S1185" s="78">
        <f t="shared" si="54"/>
        <v>500</v>
      </c>
      <c r="T1185" s="44" t="str">
        <f t="shared" si="55"/>
        <v>500kilos</v>
      </c>
      <c r="U1185" s="77">
        <f t="shared" si="56"/>
        <v>26000</v>
      </c>
      <c r="V1185" s="46"/>
      <c r="W1185" s="46"/>
      <c r="X1185" s="46"/>
    </row>
    <row r="1186" spans="1:24" ht="15.75" customHeight="1" thickBot="1" x14ac:dyDescent="0.35">
      <c r="A1186" s="40"/>
      <c r="B1186" s="68" t="s">
        <v>648</v>
      </c>
      <c r="C1186" s="55"/>
      <c r="D1186" s="41"/>
      <c r="E1186" s="55"/>
      <c r="F1186" s="55"/>
      <c r="G1186" s="55"/>
      <c r="H1186" s="51"/>
      <c r="I1186" s="52"/>
      <c r="J1186" s="74" t="s">
        <v>1558</v>
      </c>
      <c r="K1186" s="57"/>
      <c r="L1186" s="75">
        <v>3000</v>
      </c>
      <c r="M1186" s="60">
        <v>10</v>
      </c>
      <c r="N1186" s="76">
        <v>50</v>
      </c>
      <c r="O1186" s="42"/>
      <c r="P1186" s="58" t="s">
        <v>88</v>
      </c>
      <c r="Q1186" s="61"/>
      <c r="R1186" s="62"/>
      <c r="S1186" s="78">
        <f t="shared" si="54"/>
        <v>500</v>
      </c>
      <c r="T1186" s="44" t="str">
        <f t="shared" si="55"/>
        <v>500kilos</v>
      </c>
      <c r="U1186" s="77">
        <f t="shared" si="56"/>
        <v>30000</v>
      </c>
      <c r="V1186" s="46"/>
      <c r="W1186" s="46"/>
      <c r="X1186" s="46"/>
    </row>
    <row r="1187" spans="1:24" ht="15.75" customHeight="1" thickBot="1" x14ac:dyDescent="0.35">
      <c r="A1187" s="40"/>
      <c r="B1187" s="68" t="s">
        <v>648</v>
      </c>
      <c r="C1187" s="55"/>
      <c r="D1187" s="41"/>
      <c r="E1187" s="55"/>
      <c r="F1187" s="55"/>
      <c r="G1187" s="55"/>
      <c r="H1187" s="51"/>
      <c r="I1187" s="52"/>
      <c r="J1187" s="74" t="s">
        <v>1559</v>
      </c>
      <c r="K1187" s="57"/>
      <c r="L1187" s="75">
        <v>1275</v>
      </c>
      <c r="M1187" s="60">
        <v>35</v>
      </c>
      <c r="N1187" s="76">
        <v>25</v>
      </c>
      <c r="O1187" s="42"/>
      <c r="P1187" s="58" t="s">
        <v>88</v>
      </c>
      <c r="Q1187" s="61"/>
      <c r="R1187" s="62"/>
      <c r="S1187" s="78">
        <f t="shared" si="54"/>
        <v>875</v>
      </c>
      <c r="T1187" s="44" t="str">
        <f t="shared" si="55"/>
        <v>875kilos</v>
      </c>
      <c r="U1187" s="77">
        <f t="shared" si="56"/>
        <v>44625</v>
      </c>
      <c r="V1187" s="46"/>
      <c r="W1187" s="46"/>
      <c r="X1187" s="46"/>
    </row>
    <row r="1188" spans="1:24" ht="15.75" customHeight="1" thickBot="1" x14ac:dyDescent="0.35">
      <c r="A1188" s="40"/>
      <c r="B1188" s="68" t="s">
        <v>1560</v>
      </c>
      <c r="C1188" s="55"/>
      <c r="D1188" s="41"/>
      <c r="E1188" s="55"/>
      <c r="F1188" s="55"/>
      <c r="G1188" s="55"/>
      <c r="H1188" s="51"/>
      <c r="I1188" s="52"/>
      <c r="J1188" s="74" t="s">
        <v>1561</v>
      </c>
      <c r="K1188" s="57"/>
      <c r="L1188" s="75">
        <v>365</v>
      </c>
      <c r="M1188" s="60">
        <v>3</v>
      </c>
      <c r="N1188" s="76">
        <v>355</v>
      </c>
      <c r="O1188" s="42"/>
      <c r="P1188" s="58" t="s">
        <v>47</v>
      </c>
      <c r="Q1188" s="61"/>
      <c r="R1188" s="62"/>
      <c r="S1188" s="78">
        <f t="shared" si="54"/>
        <v>1065</v>
      </c>
      <c r="T1188" s="44" t="str">
        <f t="shared" si="55"/>
        <v>1065ml</v>
      </c>
      <c r="U1188" s="77">
        <f t="shared" si="56"/>
        <v>1095</v>
      </c>
      <c r="V1188" s="46"/>
      <c r="W1188" s="46"/>
      <c r="X1188" s="46"/>
    </row>
    <row r="1189" spans="1:24" ht="15.75" customHeight="1" thickBot="1" x14ac:dyDescent="0.35">
      <c r="A1189" s="40"/>
      <c r="B1189" s="67" t="s">
        <v>1562</v>
      </c>
      <c r="C1189" s="55"/>
      <c r="D1189" s="41"/>
      <c r="E1189" s="55"/>
      <c r="F1189" s="55"/>
      <c r="G1189" s="55"/>
      <c r="H1189" s="51"/>
      <c r="I1189" s="52"/>
      <c r="J1189" s="74" t="s">
        <v>953</v>
      </c>
      <c r="K1189" s="57"/>
      <c r="L1189" s="75">
        <v>420</v>
      </c>
      <c r="M1189" s="60">
        <v>1</v>
      </c>
      <c r="N1189" s="76">
        <v>1</v>
      </c>
      <c r="O1189" s="42"/>
      <c r="P1189" s="58" t="s">
        <v>1293</v>
      </c>
      <c r="Q1189" s="61"/>
      <c r="R1189" s="62"/>
      <c r="S1189" s="78">
        <f t="shared" si="54"/>
        <v>1</v>
      </c>
      <c r="T1189" s="44" t="str">
        <f t="shared" si="55"/>
        <v>1bundle</v>
      </c>
      <c r="U1189" s="77">
        <f t="shared" si="56"/>
        <v>420</v>
      </c>
      <c r="V1189" s="46"/>
      <c r="W1189" s="46"/>
      <c r="X1189" s="46"/>
    </row>
    <row r="1190" spans="1:24" ht="15.75" customHeight="1" thickBot="1" x14ac:dyDescent="0.35">
      <c r="A1190" s="40"/>
      <c r="B1190" s="67" t="s">
        <v>1563</v>
      </c>
      <c r="C1190" s="55"/>
      <c r="D1190" s="41"/>
      <c r="E1190" s="55"/>
      <c r="F1190" s="55"/>
      <c r="G1190" s="55"/>
      <c r="H1190" s="51"/>
      <c r="I1190" s="52"/>
      <c r="J1190" s="74" t="s">
        <v>1564</v>
      </c>
      <c r="K1190" s="57"/>
      <c r="L1190" s="75">
        <v>550</v>
      </c>
      <c r="M1190" s="60">
        <v>2</v>
      </c>
      <c r="N1190" s="76">
        <v>1</v>
      </c>
      <c r="O1190" s="42"/>
      <c r="P1190" s="58" t="s">
        <v>1293</v>
      </c>
      <c r="Q1190" s="61"/>
      <c r="R1190" s="62"/>
      <c r="S1190" s="78">
        <f t="shared" si="54"/>
        <v>2</v>
      </c>
      <c r="T1190" s="44" t="str">
        <f t="shared" si="55"/>
        <v>2bundle</v>
      </c>
      <c r="U1190" s="77">
        <f t="shared" si="56"/>
        <v>1100</v>
      </c>
      <c r="V1190" s="46"/>
      <c r="W1190" s="46"/>
      <c r="X1190" s="46"/>
    </row>
    <row r="1191" spans="1:24" ht="15.75" customHeight="1" thickBot="1" x14ac:dyDescent="0.35">
      <c r="A1191" s="40"/>
      <c r="B1191" s="68" t="s">
        <v>1565</v>
      </c>
      <c r="C1191" s="55"/>
      <c r="D1191" s="41"/>
      <c r="E1191" s="55"/>
      <c r="F1191" s="55"/>
      <c r="G1191" s="55"/>
      <c r="H1191" s="51"/>
      <c r="I1191" s="52"/>
      <c r="J1191" s="74"/>
      <c r="K1191" s="57"/>
      <c r="L1191" s="75">
        <v>70.5</v>
      </c>
      <c r="M1191" s="60">
        <v>1</v>
      </c>
      <c r="N1191" s="76">
        <v>500</v>
      </c>
      <c r="O1191" s="42"/>
      <c r="P1191" s="58" t="s">
        <v>36</v>
      </c>
      <c r="Q1191" s="61"/>
      <c r="R1191" s="62"/>
      <c r="S1191" s="78">
        <f t="shared" si="54"/>
        <v>500</v>
      </c>
      <c r="T1191" s="44" t="str">
        <f t="shared" si="55"/>
        <v>500grams</v>
      </c>
      <c r="U1191" s="77">
        <f t="shared" si="56"/>
        <v>70.5</v>
      </c>
      <c r="V1191" s="46"/>
      <c r="W1191" s="46"/>
      <c r="X1191" s="46"/>
    </row>
    <row r="1192" spans="1:24" ht="15.75" customHeight="1" thickBot="1" x14ac:dyDescent="0.35">
      <c r="A1192" s="40"/>
      <c r="B1192" s="68" t="s">
        <v>1566</v>
      </c>
      <c r="C1192" s="55"/>
      <c r="D1192" s="41"/>
      <c r="E1192" s="55"/>
      <c r="F1192" s="55"/>
      <c r="G1192" s="55"/>
      <c r="H1192" s="51"/>
      <c r="I1192" s="52"/>
      <c r="J1192" s="74" t="s">
        <v>1567</v>
      </c>
      <c r="K1192" s="57"/>
      <c r="L1192" s="75">
        <v>28.56</v>
      </c>
      <c r="M1192" s="60">
        <v>3</v>
      </c>
      <c r="N1192" s="76">
        <v>250</v>
      </c>
      <c r="O1192" s="42"/>
      <c r="P1192" s="58" t="s">
        <v>47</v>
      </c>
      <c r="Q1192" s="61"/>
      <c r="R1192" s="62"/>
      <c r="S1192" s="78">
        <f t="shared" si="54"/>
        <v>750</v>
      </c>
      <c r="T1192" s="44" t="str">
        <f t="shared" si="55"/>
        <v>750ml</v>
      </c>
      <c r="U1192" s="77">
        <f t="shared" si="56"/>
        <v>85.679999999999993</v>
      </c>
      <c r="V1192" s="46"/>
      <c r="W1192" s="46"/>
      <c r="X1192" s="46"/>
    </row>
    <row r="1193" spans="1:24" ht="15.75" customHeight="1" thickBot="1" x14ac:dyDescent="0.35">
      <c r="A1193" s="40"/>
      <c r="B1193" s="67" t="s">
        <v>1568</v>
      </c>
      <c r="C1193" s="55"/>
      <c r="D1193" s="41"/>
      <c r="E1193" s="55"/>
      <c r="F1193" s="55"/>
      <c r="G1193" s="55"/>
      <c r="H1193" s="51"/>
      <c r="I1193" s="52"/>
      <c r="J1193" s="74" t="s">
        <v>1569</v>
      </c>
      <c r="K1193" s="57"/>
      <c r="L1193" s="75">
        <v>12.49</v>
      </c>
      <c r="M1193" s="60">
        <v>16</v>
      </c>
      <c r="N1193" s="76">
        <v>230</v>
      </c>
      <c r="O1193" s="42"/>
      <c r="P1193" s="58" t="s">
        <v>47</v>
      </c>
      <c r="Q1193" s="61"/>
      <c r="R1193" s="62"/>
      <c r="S1193" s="78">
        <f t="shared" si="54"/>
        <v>3680</v>
      </c>
      <c r="T1193" s="44" t="str">
        <f t="shared" si="55"/>
        <v>3680ml</v>
      </c>
      <c r="U1193" s="77">
        <f t="shared" si="56"/>
        <v>199.84</v>
      </c>
      <c r="V1193" s="46"/>
      <c r="W1193" s="46"/>
      <c r="X1193" s="46"/>
    </row>
    <row r="1194" spans="1:24" ht="15.75" customHeight="1" thickBot="1" x14ac:dyDescent="0.35">
      <c r="A1194" s="40"/>
      <c r="B1194" s="67" t="s">
        <v>1568</v>
      </c>
      <c r="C1194" s="55"/>
      <c r="D1194" s="41"/>
      <c r="E1194" s="55"/>
      <c r="F1194" s="55"/>
      <c r="G1194" s="55"/>
      <c r="H1194" s="51"/>
      <c r="I1194" s="52"/>
      <c r="J1194" s="74" t="s">
        <v>1570</v>
      </c>
      <c r="K1194" s="57"/>
      <c r="L1194" s="75">
        <v>12.49</v>
      </c>
      <c r="M1194" s="60">
        <v>65</v>
      </c>
      <c r="N1194" s="76">
        <v>230</v>
      </c>
      <c r="O1194" s="42"/>
      <c r="P1194" s="58" t="s">
        <v>47</v>
      </c>
      <c r="Q1194" s="61"/>
      <c r="R1194" s="62"/>
      <c r="S1194" s="78">
        <f t="shared" si="54"/>
        <v>14950</v>
      </c>
      <c r="T1194" s="44" t="str">
        <f t="shared" si="55"/>
        <v>14950ml</v>
      </c>
      <c r="U1194" s="77">
        <f t="shared" si="56"/>
        <v>811.85</v>
      </c>
      <c r="V1194" s="46"/>
      <c r="W1194" s="46"/>
      <c r="X1194" s="46"/>
    </row>
    <row r="1195" spans="1:24" ht="15.75" customHeight="1" thickBot="1" x14ac:dyDescent="0.35">
      <c r="A1195" s="40"/>
      <c r="B1195" s="67" t="s">
        <v>1568</v>
      </c>
      <c r="C1195" s="55"/>
      <c r="D1195" s="41"/>
      <c r="E1195" s="55"/>
      <c r="F1195" s="55"/>
      <c r="G1195" s="55"/>
      <c r="H1195" s="51"/>
      <c r="I1195" s="52"/>
      <c r="J1195" s="74" t="s">
        <v>1571</v>
      </c>
      <c r="K1195" s="57"/>
      <c r="L1195" s="75">
        <v>12.54</v>
      </c>
      <c r="M1195" s="60">
        <v>18</v>
      </c>
      <c r="N1195" s="76">
        <v>230</v>
      </c>
      <c r="O1195" s="42"/>
      <c r="P1195" s="58" t="s">
        <v>47</v>
      </c>
      <c r="Q1195" s="61"/>
      <c r="R1195" s="62"/>
      <c r="S1195" s="78">
        <f t="shared" si="54"/>
        <v>4140</v>
      </c>
      <c r="T1195" s="44" t="str">
        <f t="shared" si="55"/>
        <v>4140ml</v>
      </c>
      <c r="U1195" s="77">
        <f t="shared" si="56"/>
        <v>225.71999999999997</v>
      </c>
      <c r="V1195" s="46"/>
      <c r="W1195" s="46"/>
      <c r="X1195" s="46"/>
    </row>
    <row r="1196" spans="1:24" ht="15.75" customHeight="1" thickBot="1" x14ac:dyDescent="0.35">
      <c r="A1196" s="40"/>
      <c r="B1196" s="68" t="s">
        <v>1572</v>
      </c>
      <c r="C1196" s="55"/>
      <c r="D1196" s="41"/>
      <c r="E1196" s="55"/>
      <c r="F1196" s="55"/>
      <c r="G1196" s="55"/>
      <c r="H1196" s="51"/>
      <c r="I1196" s="52"/>
      <c r="J1196" s="74" t="s">
        <v>1573</v>
      </c>
      <c r="K1196" s="57"/>
      <c r="L1196" s="75">
        <v>14.25</v>
      </c>
      <c r="M1196" s="60">
        <v>44</v>
      </c>
      <c r="N1196" s="76">
        <v>250</v>
      </c>
      <c r="O1196" s="42"/>
      <c r="P1196" s="58" t="s">
        <v>47</v>
      </c>
      <c r="Q1196" s="61"/>
      <c r="R1196" s="62"/>
      <c r="S1196" s="78">
        <f t="shared" si="54"/>
        <v>11000</v>
      </c>
      <c r="T1196" s="44" t="str">
        <f t="shared" si="55"/>
        <v>11000ml</v>
      </c>
      <c r="U1196" s="77">
        <f t="shared" si="56"/>
        <v>627</v>
      </c>
      <c r="V1196" s="46"/>
      <c r="W1196" s="46"/>
      <c r="X1196" s="46"/>
    </row>
    <row r="1197" spans="1:24" ht="15.75" customHeight="1" thickBot="1" x14ac:dyDescent="0.35">
      <c r="A1197" s="40"/>
      <c r="B1197" s="68" t="s">
        <v>1572</v>
      </c>
      <c r="C1197" s="55"/>
      <c r="D1197" s="41"/>
      <c r="E1197" s="55"/>
      <c r="F1197" s="55"/>
      <c r="G1197" s="55"/>
      <c r="H1197" s="51"/>
      <c r="I1197" s="52"/>
      <c r="J1197" s="74" t="s">
        <v>1573</v>
      </c>
      <c r="K1197" s="57"/>
      <c r="L1197" s="75">
        <v>14.33</v>
      </c>
      <c r="M1197" s="60">
        <v>12</v>
      </c>
      <c r="N1197" s="76">
        <v>250</v>
      </c>
      <c r="O1197" s="42"/>
      <c r="P1197" s="58" t="s">
        <v>47</v>
      </c>
      <c r="Q1197" s="61"/>
      <c r="R1197" s="62"/>
      <c r="S1197" s="78">
        <f t="shared" si="54"/>
        <v>3000</v>
      </c>
      <c r="T1197" s="44" t="str">
        <f t="shared" si="55"/>
        <v>3000ml</v>
      </c>
      <c r="U1197" s="77">
        <f t="shared" si="56"/>
        <v>171.96</v>
      </c>
      <c r="V1197" s="46"/>
      <c r="W1197" s="46"/>
      <c r="X1197" s="46"/>
    </row>
    <row r="1198" spans="1:24" ht="15.75" customHeight="1" thickBot="1" x14ac:dyDescent="0.35">
      <c r="A1198" s="40"/>
      <c r="B1198" s="68" t="s">
        <v>1572</v>
      </c>
      <c r="C1198" s="55"/>
      <c r="D1198" s="41"/>
      <c r="E1198" s="55"/>
      <c r="F1198" s="55"/>
      <c r="G1198" s="55"/>
      <c r="H1198" s="51"/>
      <c r="I1198" s="52"/>
      <c r="J1198" s="74" t="s">
        <v>1573</v>
      </c>
      <c r="K1198" s="57"/>
      <c r="L1198" s="75">
        <v>14.33</v>
      </c>
      <c r="M1198" s="60">
        <v>1</v>
      </c>
      <c r="N1198" s="76">
        <v>250</v>
      </c>
      <c r="O1198" s="42"/>
      <c r="P1198" s="58" t="s">
        <v>47</v>
      </c>
      <c r="Q1198" s="61"/>
      <c r="R1198" s="62"/>
      <c r="S1198" s="78">
        <f t="shared" si="54"/>
        <v>250</v>
      </c>
      <c r="T1198" s="44" t="str">
        <f t="shared" si="55"/>
        <v>250ml</v>
      </c>
      <c r="U1198" s="77">
        <f t="shared" si="56"/>
        <v>14.33</v>
      </c>
      <c r="V1198" s="46"/>
      <c r="W1198" s="46"/>
      <c r="X1198" s="46"/>
    </row>
    <row r="1199" spans="1:24" ht="15.75" customHeight="1" thickBot="1" x14ac:dyDescent="0.35">
      <c r="A1199" s="40"/>
      <c r="B1199" s="68" t="s">
        <v>1572</v>
      </c>
      <c r="C1199" s="55"/>
      <c r="D1199" s="41"/>
      <c r="E1199" s="55"/>
      <c r="F1199" s="55"/>
      <c r="G1199" s="55"/>
      <c r="H1199" s="51"/>
      <c r="I1199" s="52"/>
      <c r="J1199" s="74" t="s">
        <v>1574</v>
      </c>
      <c r="K1199" s="57"/>
      <c r="L1199" s="75">
        <v>25.83</v>
      </c>
      <c r="M1199" s="60">
        <v>26</v>
      </c>
      <c r="N1199" s="76">
        <v>240</v>
      </c>
      <c r="O1199" s="42"/>
      <c r="P1199" s="58" t="s">
        <v>47</v>
      </c>
      <c r="Q1199" s="61"/>
      <c r="R1199" s="62"/>
      <c r="S1199" s="78">
        <f t="shared" si="54"/>
        <v>6240</v>
      </c>
      <c r="T1199" s="44" t="str">
        <f t="shared" si="55"/>
        <v>6240ml</v>
      </c>
      <c r="U1199" s="77">
        <f t="shared" si="56"/>
        <v>671.57999999999993</v>
      </c>
      <c r="V1199" s="46"/>
      <c r="W1199" s="46"/>
      <c r="X1199" s="46"/>
    </row>
    <row r="1200" spans="1:24" ht="15.75" customHeight="1" thickBot="1" x14ac:dyDescent="0.35">
      <c r="A1200" s="40"/>
      <c r="B1200" s="68" t="s">
        <v>1572</v>
      </c>
      <c r="C1200" s="55"/>
      <c r="D1200" s="41"/>
      <c r="E1200" s="55"/>
      <c r="F1200" s="55"/>
      <c r="G1200" s="55"/>
      <c r="H1200" s="51"/>
      <c r="I1200" s="52"/>
      <c r="J1200" s="74" t="s">
        <v>1574</v>
      </c>
      <c r="K1200" s="57"/>
      <c r="L1200" s="75">
        <v>10</v>
      </c>
      <c r="M1200" s="60">
        <v>7</v>
      </c>
      <c r="N1200" s="76">
        <v>180</v>
      </c>
      <c r="O1200" s="42"/>
      <c r="P1200" s="58" t="s">
        <v>47</v>
      </c>
      <c r="Q1200" s="61"/>
      <c r="R1200" s="62"/>
      <c r="S1200" s="78">
        <f t="shared" si="54"/>
        <v>1260</v>
      </c>
      <c r="T1200" s="44" t="str">
        <f t="shared" si="55"/>
        <v>1260ml</v>
      </c>
      <c r="U1200" s="77">
        <f t="shared" si="56"/>
        <v>70</v>
      </c>
      <c r="V1200" s="46"/>
      <c r="W1200" s="46"/>
      <c r="X1200" s="46"/>
    </row>
    <row r="1201" spans="1:24" ht="15.75" customHeight="1" thickBot="1" x14ac:dyDescent="0.35">
      <c r="A1201" s="40"/>
      <c r="B1201" s="68" t="s">
        <v>1572</v>
      </c>
      <c r="C1201" s="55"/>
      <c r="D1201" s="41"/>
      <c r="E1201" s="55"/>
      <c r="F1201" s="55"/>
      <c r="G1201" s="55"/>
      <c r="H1201" s="51"/>
      <c r="I1201" s="52"/>
      <c r="J1201" s="74" t="s">
        <v>1575</v>
      </c>
      <c r="K1201" s="57"/>
      <c r="L1201" s="75">
        <v>25.83</v>
      </c>
      <c r="M1201" s="60">
        <v>27</v>
      </c>
      <c r="N1201" s="76">
        <v>240</v>
      </c>
      <c r="O1201" s="42"/>
      <c r="P1201" s="58" t="s">
        <v>47</v>
      </c>
      <c r="Q1201" s="61"/>
      <c r="R1201" s="62"/>
      <c r="S1201" s="78">
        <f t="shared" si="54"/>
        <v>6480</v>
      </c>
      <c r="T1201" s="44" t="str">
        <f t="shared" si="55"/>
        <v>6480ml</v>
      </c>
      <c r="U1201" s="77">
        <f t="shared" si="56"/>
        <v>697.41</v>
      </c>
      <c r="V1201" s="46"/>
      <c r="W1201" s="46"/>
      <c r="X1201" s="46"/>
    </row>
    <row r="1202" spans="1:24" ht="15.75" customHeight="1" thickBot="1" x14ac:dyDescent="0.35">
      <c r="A1202" s="40"/>
      <c r="B1202" s="67" t="s">
        <v>1572</v>
      </c>
      <c r="C1202" s="55"/>
      <c r="D1202" s="41"/>
      <c r="E1202" s="55"/>
      <c r="F1202" s="55"/>
      <c r="G1202" s="55"/>
      <c r="H1202" s="51"/>
      <c r="I1202" s="52"/>
      <c r="J1202" s="74" t="s">
        <v>1576</v>
      </c>
      <c r="K1202" s="57"/>
      <c r="L1202" s="75">
        <v>42.32</v>
      </c>
      <c r="M1202" s="60">
        <v>24</v>
      </c>
      <c r="N1202" s="76">
        <v>320</v>
      </c>
      <c r="O1202" s="42"/>
      <c r="P1202" s="58" t="s">
        <v>47</v>
      </c>
      <c r="Q1202" s="61"/>
      <c r="R1202" s="62"/>
      <c r="S1202" s="78">
        <f t="shared" si="54"/>
        <v>7680</v>
      </c>
      <c r="T1202" s="44" t="str">
        <f t="shared" si="55"/>
        <v>7680ml</v>
      </c>
      <c r="U1202" s="77">
        <f t="shared" si="56"/>
        <v>1015.6800000000001</v>
      </c>
      <c r="V1202" s="46"/>
      <c r="W1202" s="46"/>
      <c r="X1202" s="46"/>
    </row>
    <row r="1203" spans="1:24" ht="15.75" customHeight="1" thickBot="1" x14ac:dyDescent="0.35">
      <c r="A1203" s="40"/>
      <c r="B1203" s="67" t="s">
        <v>1572</v>
      </c>
      <c r="C1203" s="55"/>
      <c r="D1203" s="41"/>
      <c r="E1203" s="55"/>
      <c r="F1203" s="55"/>
      <c r="G1203" s="55"/>
      <c r="H1203" s="51"/>
      <c r="I1203" s="52"/>
      <c r="J1203" s="74" t="s">
        <v>1577</v>
      </c>
      <c r="K1203" s="57"/>
      <c r="L1203" s="75">
        <v>28.02</v>
      </c>
      <c r="M1203" s="60">
        <v>28</v>
      </c>
      <c r="N1203" s="76">
        <v>220</v>
      </c>
      <c r="O1203" s="42"/>
      <c r="P1203" s="58" t="s">
        <v>47</v>
      </c>
      <c r="Q1203" s="61"/>
      <c r="R1203" s="62"/>
      <c r="S1203" s="78">
        <f t="shared" si="54"/>
        <v>6160</v>
      </c>
      <c r="T1203" s="44" t="str">
        <f t="shared" si="55"/>
        <v>6160ml</v>
      </c>
      <c r="U1203" s="77">
        <f t="shared" si="56"/>
        <v>784.56</v>
      </c>
      <c r="V1203" s="46"/>
      <c r="W1203" s="46"/>
      <c r="X1203" s="46"/>
    </row>
    <row r="1204" spans="1:24" ht="15.75" customHeight="1" thickBot="1" x14ac:dyDescent="0.35">
      <c r="A1204" s="40"/>
      <c r="B1204" s="67" t="s">
        <v>1572</v>
      </c>
      <c r="C1204" s="55"/>
      <c r="D1204" s="41"/>
      <c r="E1204" s="55"/>
      <c r="F1204" s="55"/>
      <c r="G1204" s="55"/>
      <c r="H1204" s="51"/>
      <c r="I1204" s="52"/>
      <c r="J1204" s="74" t="s">
        <v>1577</v>
      </c>
      <c r="K1204" s="57"/>
      <c r="L1204" s="75">
        <v>29.43</v>
      </c>
      <c r="M1204" s="60">
        <v>53</v>
      </c>
      <c r="N1204" s="76">
        <v>220</v>
      </c>
      <c r="O1204" s="42"/>
      <c r="P1204" s="58" t="s">
        <v>47</v>
      </c>
      <c r="Q1204" s="61"/>
      <c r="R1204" s="62"/>
      <c r="S1204" s="78">
        <f t="shared" si="54"/>
        <v>11660</v>
      </c>
      <c r="T1204" s="44" t="str">
        <f t="shared" si="55"/>
        <v>11660ml</v>
      </c>
      <c r="U1204" s="77">
        <f t="shared" si="56"/>
        <v>1559.79</v>
      </c>
      <c r="V1204" s="46"/>
      <c r="W1204" s="46"/>
      <c r="X1204" s="46"/>
    </row>
    <row r="1205" spans="1:24" ht="15.75" customHeight="1" thickBot="1" x14ac:dyDescent="0.35">
      <c r="A1205" s="40"/>
      <c r="B1205" s="67" t="s">
        <v>1572</v>
      </c>
      <c r="C1205" s="55"/>
      <c r="D1205" s="41"/>
      <c r="E1205" s="55"/>
      <c r="F1205" s="55"/>
      <c r="G1205" s="55"/>
      <c r="H1205" s="51"/>
      <c r="I1205" s="52"/>
      <c r="J1205" s="74" t="s">
        <v>1577</v>
      </c>
      <c r="K1205" s="57"/>
      <c r="L1205" s="75">
        <v>672.55</v>
      </c>
      <c r="M1205" s="60">
        <v>1</v>
      </c>
      <c r="N1205" s="76">
        <v>24</v>
      </c>
      <c r="O1205" s="42"/>
      <c r="P1205" s="58" t="s">
        <v>1578</v>
      </c>
      <c r="Q1205" s="61"/>
      <c r="R1205" s="62"/>
      <c r="S1205" s="78">
        <f t="shared" si="54"/>
        <v>24</v>
      </c>
      <c r="T1205" s="44" t="str">
        <f t="shared" si="55"/>
        <v>24cans</v>
      </c>
      <c r="U1205" s="77">
        <f t="shared" si="56"/>
        <v>672.55</v>
      </c>
      <c r="V1205" s="46"/>
      <c r="W1205" s="46"/>
      <c r="X1205" s="46"/>
    </row>
    <row r="1206" spans="1:24" ht="15.75" customHeight="1" thickBot="1" x14ac:dyDescent="0.35">
      <c r="A1206" s="40"/>
      <c r="B1206" s="67" t="s">
        <v>1572</v>
      </c>
      <c r="C1206" s="55"/>
      <c r="D1206" s="41"/>
      <c r="E1206" s="55"/>
      <c r="F1206" s="55"/>
      <c r="G1206" s="55"/>
      <c r="H1206" s="51"/>
      <c r="I1206" s="52"/>
      <c r="J1206" s="74" t="s">
        <v>1577</v>
      </c>
      <c r="K1206" s="57"/>
      <c r="L1206" s="75">
        <v>97.2</v>
      </c>
      <c r="M1206" s="60">
        <v>4</v>
      </c>
      <c r="N1206" s="76">
        <v>1</v>
      </c>
      <c r="O1206" s="42"/>
      <c r="P1206" s="58" t="s">
        <v>685</v>
      </c>
      <c r="Q1206" s="61"/>
      <c r="R1206" s="62"/>
      <c r="S1206" s="78">
        <f t="shared" ref="S1206:S1269" si="57">M1206*N1206</f>
        <v>4</v>
      </c>
      <c r="T1206" s="44" t="str">
        <f t="shared" ref="T1206:T1269" si="58">CONCATENATE(S1206,Q1206,P1206)</f>
        <v>4liters</v>
      </c>
      <c r="U1206" s="77">
        <f t="shared" ref="U1206:U1269" si="59">L1206*M1206</f>
        <v>388.8</v>
      </c>
      <c r="V1206" s="46"/>
      <c r="W1206" s="46"/>
      <c r="X1206" s="46"/>
    </row>
    <row r="1207" spans="1:24" ht="15.75" customHeight="1" thickBot="1" x14ac:dyDescent="0.35">
      <c r="A1207" s="40"/>
      <c r="B1207" s="67" t="s">
        <v>1572</v>
      </c>
      <c r="C1207" s="55"/>
      <c r="D1207" s="41"/>
      <c r="E1207" s="55"/>
      <c r="F1207" s="55"/>
      <c r="G1207" s="55"/>
      <c r="H1207" s="51"/>
      <c r="I1207" s="52"/>
      <c r="J1207" s="74" t="s">
        <v>1577</v>
      </c>
      <c r="K1207" s="57"/>
      <c r="L1207" s="75">
        <v>29.5</v>
      </c>
      <c r="M1207" s="60">
        <v>31</v>
      </c>
      <c r="N1207" s="76">
        <v>220</v>
      </c>
      <c r="O1207" s="42"/>
      <c r="P1207" s="58" t="s">
        <v>47</v>
      </c>
      <c r="Q1207" s="61"/>
      <c r="R1207" s="62"/>
      <c r="S1207" s="78">
        <f t="shared" si="57"/>
        <v>6820</v>
      </c>
      <c r="T1207" s="44" t="str">
        <f t="shared" si="58"/>
        <v>6820ml</v>
      </c>
      <c r="U1207" s="77">
        <f t="shared" si="59"/>
        <v>914.5</v>
      </c>
      <c r="V1207" s="46"/>
      <c r="W1207" s="46"/>
      <c r="X1207" s="46"/>
    </row>
    <row r="1208" spans="1:24" ht="15.75" customHeight="1" thickBot="1" x14ac:dyDescent="0.35">
      <c r="A1208" s="40"/>
      <c r="B1208" s="67" t="s">
        <v>1579</v>
      </c>
      <c r="C1208" s="55"/>
      <c r="D1208" s="41"/>
      <c r="E1208" s="55"/>
      <c r="F1208" s="55"/>
      <c r="G1208" s="55"/>
      <c r="H1208" s="51"/>
      <c r="I1208" s="52"/>
      <c r="J1208" s="74" t="s">
        <v>1203</v>
      </c>
      <c r="K1208" s="57"/>
      <c r="L1208" s="75">
        <v>27.7</v>
      </c>
      <c r="M1208" s="60">
        <v>72</v>
      </c>
      <c r="N1208" s="76">
        <v>220</v>
      </c>
      <c r="O1208" s="42"/>
      <c r="P1208" s="58" t="s">
        <v>47</v>
      </c>
      <c r="Q1208" s="61"/>
      <c r="R1208" s="62"/>
      <c r="S1208" s="78">
        <f t="shared" si="57"/>
        <v>15840</v>
      </c>
      <c r="T1208" s="44" t="str">
        <f t="shared" si="58"/>
        <v>15840ml</v>
      </c>
      <c r="U1208" s="77">
        <f t="shared" si="59"/>
        <v>1994.3999999999999</v>
      </c>
      <c r="V1208" s="46"/>
      <c r="W1208" s="46"/>
      <c r="X1208" s="46"/>
    </row>
    <row r="1209" spans="1:24" ht="15.75" customHeight="1" thickBot="1" x14ac:dyDescent="0.35">
      <c r="A1209" s="40"/>
      <c r="B1209" s="67" t="s">
        <v>1579</v>
      </c>
      <c r="C1209" s="55"/>
      <c r="D1209" s="41"/>
      <c r="E1209" s="55"/>
      <c r="F1209" s="55"/>
      <c r="G1209" s="55"/>
      <c r="H1209" s="51"/>
      <c r="I1209" s="52"/>
      <c r="J1209" s="74" t="s">
        <v>1203</v>
      </c>
      <c r="K1209" s="57"/>
      <c r="L1209" s="75">
        <v>43.88</v>
      </c>
      <c r="M1209" s="60">
        <v>10</v>
      </c>
      <c r="N1209" s="76">
        <v>220</v>
      </c>
      <c r="O1209" s="42"/>
      <c r="P1209" s="58" t="s">
        <v>47</v>
      </c>
      <c r="Q1209" s="61"/>
      <c r="R1209" s="62"/>
      <c r="S1209" s="78">
        <f t="shared" si="57"/>
        <v>2200</v>
      </c>
      <c r="T1209" s="44" t="str">
        <f t="shared" si="58"/>
        <v>2200ml</v>
      </c>
      <c r="U1209" s="77">
        <f t="shared" si="59"/>
        <v>438.8</v>
      </c>
      <c r="V1209" s="46"/>
      <c r="W1209" s="46"/>
      <c r="X1209" s="46"/>
    </row>
    <row r="1210" spans="1:24" ht="15.75" customHeight="1" thickBot="1" x14ac:dyDescent="0.35">
      <c r="A1210" s="40"/>
      <c r="B1210" s="67" t="s">
        <v>1579</v>
      </c>
      <c r="C1210" s="55"/>
      <c r="D1210" s="41"/>
      <c r="E1210" s="55"/>
      <c r="F1210" s="55"/>
      <c r="G1210" s="55"/>
      <c r="H1210" s="51"/>
      <c r="I1210" s="52"/>
      <c r="J1210" s="74" t="s">
        <v>1203</v>
      </c>
      <c r="K1210" s="57"/>
      <c r="L1210" s="75">
        <v>29.41</v>
      </c>
      <c r="M1210" s="60">
        <v>160</v>
      </c>
      <c r="N1210" s="76">
        <v>220</v>
      </c>
      <c r="O1210" s="42"/>
      <c r="P1210" s="58" t="s">
        <v>47</v>
      </c>
      <c r="Q1210" s="61"/>
      <c r="R1210" s="62"/>
      <c r="S1210" s="78">
        <f t="shared" si="57"/>
        <v>35200</v>
      </c>
      <c r="T1210" s="44" t="str">
        <f t="shared" si="58"/>
        <v>35200ml</v>
      </c>
      <c r="U1210" s="77">
        <f t="shared" si="59"/>
        <v>4705.6000000000004</v>
      </c>
      <c r="V1210" s="46"/>
      <c r="W1210" s="46"/>
      <c r="X1210" s="46"/>
    </row>
    <row r="1211" spans="1:24" ht="15.75" customHeight="1" thickBot="1" x14ac:dyDescent="0.35">
      <c r="A1211" s="40"/>
      <c r="B1211" s="67" t="s">
        <v>1579</v>
      </c>
      <c r="C1211" s="55"/>
      <c r="D1211" s="41"/>
      <c r="E1211" s="55"/>
      <c r="F1211" s="55"/>
      <c r="G1211" s="55"/>
      <c r="H1211" s="51"/>
      <c r="I1211" s="52"/>
      <c r="J1211" s="74" t="s">
        <v>1203</v>
      </c>
      <c r="K1211" s="57"/>
      <c r="L1211" s="75">
        <v>29.5</v>
      </c>
      <c r="M1211" s="60">
        <v>15</v>
      </c>
      <c r="N1211" s="76">
        <v>1</v>
      </c>
      <c r="O1211" s="42"/>
      <c r="P1211" s="58" t="s">
        <v>38</v>
      </c>
      <c r="Q1211" s="61"/>
      <c r="R1211" s="62"/>
      <c r="S1211" s="78">
        <f t="shared" si="57"/>
        <v>15</v>
      </c>
      <c r="T1211" s="44" t="str">
        <f t="shared" si="58"/>
        <v>15pieces</v>
      </c>
      <c r="U1211" s="77">
        <f t="shared" si="59"/>
        <v>442.5</v>
      </c>
      <c r="V1211" s="46"/>
      <c r="W1211" s="46"/>
      <c r="X1211" s="46"/>
    </row>
    <row r="1212" spans="1:24" ht="15.75" customHeight="1" thickBot="1" x14ac:dyDescent="0.35">
      <c r="A1212" s="40"/>
      <c r="B1212" s="67" t="s">
        <v>1579</v>
      </c>
      <c r="C1212" s="55"/>
      <c r="D1212" s="41"/>
      <c r="E1212" s="55"/>
      <c r="F1212" s="55"/>
      <c r="G1212" s="55"/>
      <c r="H1212" s="51"/>
      <c r="I1212" s="52"/>
      <c r="J1212" s="74" t="s">
        <v>1203</v>
      </c>
      <c r="K1212" s="57"/>
      <c r="L1212" s="75">
        <v>60</v>
      </c>
      <c r="M1212" s="60">
        <v>1</v>
      </c>
      <c r="N1212" s="76">
        <v>530</v>
      </c>
      <c r="O1212" s="42"/>
      <c r="P1212" s="58" t="s">
        <v>47</v>
      </c>
      <c r="Q1212" s="61"/>
      <c r="R1212" s="62"/>
      <c r="S1212" s="78">
        <f t="shared" si="57"/>
        <v>530</v>
      </c>
      <c r="T1212" s="44" t="str">
        <f t="shared" si="58"/>
        <v>530ml</v>
      </c>
      <c r="U1212" s="77">
        <f t="shared" si="59"/>
        <v>60</v>
      </c>
      <c r="V1212" s="46"/>
      <c r="W1212" s="46"/>
      <c r="X1212" s="46"/>
    </row>
    <row r="1213" spans="1:24" ht="15.75" customHeight="1" thickBot="1" x14ac:dyDescent="0.35">
      <c r="A1213" s="40"/>
      <c r="B1213" s="67" t="s">
        <v>1579</v>
      </c>
      <c r="C1213" s="55"/>
      <c r="D1213" s="41"/>
      <c r="E1213" s="55"/>
      <c r="F1213" s="55"/>
      <c r="G1213" s="55"/>
      <c r="H1213" s="51"/>
      <c r="I1213" s="52"/>
      <c r="J1213" s="74" t="s">
        <v>1203</v>
      </c>
      <c r="K1213" s="57"/>
      <c r="L1213" s="75">
        <v>29.41</v>
      </c>
      <c r="M1213" s="60">
        <v>72</v>
      </c>
      <c r="N1213" s="76">
        <v>220</v>
      </c>
      <c r="O1213" s="42"/>
      <c r="P1213" s="58" t="s">
        <v>47</v>
      </c>
      <c r="Q1213" s="61"/>
      <c r="R1213" s="62"/>
      <c r="S1213" s="78">
        <f t="shared" si="57"/>
        <v>15840</v>
      </c>
      <c r="T1213" s="44" t="str">
        <f t="shared" si="58"/>
        <v>15840ml</v>
      </c>
      <c r="U1213" s="77">
        <f t="shared" si="59"/>
        <v>2117.52</v>
      </c>
      <c r="V1213" s="46"/>
      <c r="W1213" s="46"/>
      <c r="X1213" s="46"/>
    </row>
    <row r="1214" spans="1:24" ht="15.75" customHeight="1" thickBot="1" x14ac:dyDescent="0.35">
      <c r="A1214" s="40"/>
      <c r="B1214" s="67" t="s">
        <v>1580</v>
      </c>
      <c r="C1214" s="55"/>
      <c r="D1214" s="41"/>
      <c r="E1214" s="55"/>
      <c r="F1214" s="55"/>
      <c r="G1214" s="55"/>
      <c r="H1214" s="51"/>
      <c r="I1214" s="52"/>
      <c r="J1214" s="74" t="s">
        <v>1203</v>
      </c>
      <c r="K1214" s="57"/>
      <c r="L1214" s="75">
        <v>136</v>
      </c>
      <c r="M1214" s="60">
        <v>2</v>
      </c>
      <c r="N1214" s="76">
        <v>1</v>
      </c>
      <c r="O1214" s="42"/>
      <c r="P1214" s="58" t="s">
        <v>685</v>
      </c>
      <c r="Q1214" s="61"/>
      <c r="R1214" s="62"/>
      <c r="S1214" s="78">
        <f t="shared" si="57"/>
        <v>2</v>
      </c>
      <c r="T1214" s="44" t="str">
        <f t="shared" si="58"/>
        <v>2liters</v>
      </c>
      <c r="U1214" s="77">
        <f t="shared" si="59"/>
        <v>272</v>
      </c>
      <c r="V1214" s="46"/>
      <c r="W1214" s="46"/>
      <c r="X1214" s="46"/>
    </row>
    <row r="1215" spans="1:24" ht="15.75" customHeight="1" thickBot="1" x14ac:dyDescent="0.35">
      <c r="A1215" s="40"/>
      <c r="B1215" s="67" t="s">
        <v>1580</v>
      </c>
      <c r="C1215" s="55"/>
      <c r="D1215" s="41"/>
      <c r="E1215" s="55"/>
      <c r="F1215" s="55"/>
      <c r="G1215" s="55"/>
      <c r="H1215" s="51"/>
      <c r="I1215" s="52"/>
      <c r="J1215" s="74" t="s">
        <v>1203</v>
      </c>
      <c r="K1215" s="57"/>
      <c r="L1215" s="75">
        <v>96.7</v>
      </c>
      <c r="M1215" s="60">
        <v>1</v>
      </c>
      <c r="N1215" s="76">
        <v>1</v>
      </c>
      <c r="O1215" s="42"/>
      <c r="P1215" s="58" t="s">
        <v>685</v>
      </c>
      <c r="Q1215" s="61"/>
      <c r="R1215" s="62"/>
      <c r="S1215" s="78">
        <f t="shared" si="57"/>
        <v>1</v>
      </c>
      <c r="T1215" s="44" t="str">
        <f t="shared" si="58"/>
        <v>1liters</v>
      </c>
      <c r="U1215" s="77">
        <f t="shared" si="59"/>
        <v>96.7</v>
      </c>
      <c r="V1215" s="46"/>
      <c r="W1215" s="46"/>
      <c r="X1215" s="46"/>
    </row>
    <row r="1216" spans="1:24" ht="15.75" customHeight="1" thickBot="1" x14ac:dyDescent="0.35">
      <c r="A1216" s="40"/>
      <c r="B1216" s="67" t="s">
        <v>1581</v>
      </c>
      <c r="C1216" s="55"/>
      <c r="D1216" s="41"/>
      <c r="E1216" s="55"/>
      <c r="F1216" s="55"/>
      <c r="G1216" s="55"/>
      <c r="H1216" s="51"/>
      <c r="I1216" s="52"/>
      <c r="J1216" s="74" t="s">
        <v>1203</v>
      </c>
      <c r="K1216" s="57"/>
      <c r="L1216" s="75">
        <v>97.2</v>
      </c>
      <c r="M1216" s="60">
        <v>1</v>
      </c>
      <c r="N1216" s="76">
        <v>1</v>
      </c>
      <c r="O1216" s="42"/>
      <c r="P1216" s="58" t="s">
        <v>685</v>
      </c>
      <c r="Q1216" s="61"/>
      <c r="R1216" s="62"/>
      <c r="S1216" s="78">
        <f t="shared" si="57"/>
        <v>1</v>
      </c>
      <c r="T1216" s="44" t="str">
        <f t="shared" si="58"/>
        <v>1liters</v>
      </c>
      <c r="U1216" s="77">
        <f t="shared" si="59"/>
        <v>97.2</v>
      </c>
      <c r="V1216" s="46"/>
      <c r="W1216" s="46"/>
      <c r="X1216" s="46"/>
    </row>
    <row r="1217" spans="1:24" ht="15.75" customHeight="1" thickBot="1" x14ac:dyDescent="0.35">
      <c r="A1217" s="40"/>
      <c r="B1217" s="68" t="s">
        <v>1582</v>
      </c>
      <c r="C1217" s="55"/>
      <c r="D1217" s="41"/>
      <c r="E1217" s="55"/>
      <c r="F1217" s="55"/>
      <c r="G1217" s="55"/>
      <c r="H1217" s="51"/>
      <c r="I1217" s="52"/>
      <c r="J1217" s="74" t="s">
        <v>1583</v>
      </c>
      <c r="K1217" s="57"/>
      <c r="L1217" s="75">
        <v>19.88</v>
      </c>
      <c r="M1217" s="60">
        <v>1</v>
      </c>
      <c r="N1217" s="76">
        <v>200</v>
      </c>
      <c r="O1217" s="42"/>
      <c r="P1217" s="58" t="s">
        <v>47</v>
      </c>
      <c r="Q1217" s="61"/>
      <c r="R1217" s="62"/>
      <c r="S1217" s="78">
        <f t="shared" si="57"/>
        <v>200</v>
      </c>
      <c r="T1217" s="44" t="str">
        <f t="shared" si="58"/>
        <v>200ml</v>
      </c>
      <c r="U1217" s="77">
        <f t="shared" si="59"/>
        <v>19.88</v>
      </c>
      <c r="V1217" s="46"/>
      <c r="W1217" s="46"/>
      <c r="X1217" s="46"/>
    </row>
    <row r="1218" spans="1:24" ht="15.75" customHeight="1" thickBot="1" x14ac:dyDescent="0.35">
      <c r="A1218" s="40"/>
      <c r="B1218" s="67" t="s">
        <v>1584</v>
      </c>
      <c r="C1218" s="55"/>
      <c r="D1218" s="41"/>
      <c r="E1218" s="55"/>
      <c r="F1218" s="55"/>
      <c r="G1218" s="55"/>
      <c r="H1218" s="51"/>
      <c r="I1218" s="52"/>
      <c r="J1218" s="74"/>
      <c r="K1218" s="57"/>
      <c r="L1218" s="75">
        <v>5.0999999999999996</v>
      </c>
      <c r="M1218" s="60">
        <v>56</v>
      </c>
      <c r="N1218" s="76">
        <v>1</v>
      </c>
      <c r="O1218" s="42"/>
      <c r="P1218" s="58" t="s">
        <v>38</v>
      </c>
      <c r="Q1218" s="61"/>
      <c r="R1218" s="62"/>
      <c r="S1218" s="78">
        <f t="shared" si="57"/>
        <v>56</v>
      </c>
      <c r="T1218" s="44" t="str">
        <f t="shared" si="58"/>
        <v>56pieces</v>
      </c>
      <c r="U1218" s="77">
        <f t="shared" si="59"/>
        <v>285.59999999999997</v>
      </c>
      <c r="V1218" s="46"/>
      <c r="W1218" s="46"/>
      <c r="X1218" s="46"/>
    </row>
    <row r="1219" spans="1:24" ht="15.75" customHeight="1" thickBot="1" x14ac:dyDescent="0.35">
      <c r="A1219" s="40"/>
      <c r="B1219" s="67" t="s">
        <v>1584</v>
      </c>
      <c r="C1219" s="55"/>
      <c r="D1219" s="41"/>
      <c r="E1219" s="55"/>
      <c r="F1219" s="55"/>
      <c r="G1219" s="55"/>
      <c r="H1219" s="51"/>
      <c r="I1219" s="52"/>
      <c r="J1219" s="74"/>
      <c r="K1219" s="57"/>
      <c r="L1219" s="75">
        <v>20</v>
      </c>
      <c r="M1219" s="60">
        <v>5</v>
      </c>
      <c r="N1219" s="76">
        <v>1</v>
      </c>
      <c r="O1219" s="42"/>
      <c r="P1219" s="58" t="s">
        <v>88</v>
      </c>
      <c r="Q1219" s="61"/>
      <c r="R1219" s="62"/>
      <c r="S1219" s="78">
        <f t="shared" si="57"/>
        <v>5</v>
      </c>
      <c r="T1219" s="44" t="str">
        <f t="shared" si="58"/>
        <v>5kilos</v>
      </c>
      <c r="U1219" s="77">
        <f t="shared" si="59"/>
        <v>100</v>
      </c>
      <c r="V1219" s="46"/>
      <c r="W1219" s="46"/>
      <c r="X1219" s="46"/>
    </row>
    <row r="1220" spans="1:24" ht="15.75" customHeight="1" thickBot="1" x14ac:dyDescent="0.35">
      <c r="A1220" s="40"/>
      <c r="B1220" s="68" t="s">
        <v>1585</v>
      </c>
      <c r="C1220" s="55"/>
      <c r="D1220" s="41"/>
      <c r="E1220" s="55"/>
      <c r="F1220" s="55"/>
      <c r="G1220" s="55"/>
      <c r="H1220" s="51"/>
      <c r="I1220" s="52"/>
      <c r="J1220" s="74" t="s">
        <v>816</v>
      </c>
      <c r="K1220" s="57"/>
      <c r="L1220" s="75">
        <v>61.75</v>
      </c>
      <c r="M1220" s="60">
        <v>3</v>
      </c>
      <c r="N1220" s="76">
        <v>12</v>
      </c>
      <c r="O1220" s="42"/>
      <c r="P1220" s="58" t="s">
        <v>36</v>
      </c>
      <c r="Q1220" s="61"/>
      <c r="R1220" s="62"/>
      <c r="S1220" s="78">
        <f t="shared" si="57"/>
        <v>36</v>
      </c>
      <c r="T1220" s="44" t="str">
        <f t="shared" si="58"/>
        <v>36grams</v>
      </c>
      <c r="U1220" s="77">
        <f t="shared" si="59"/>
        <v>185.25</v>
      </c>
      <c r="V1220" s="46"/>
      <c r="W1220" s="46"/>
      <c r="X1220" s="46"/>
    </row>
    <row r="1221" spans="1:24" ht="15.75" customHeight="1" thickBot="1" x14ac:dyDescent="0.35">
      <c r="A1221" s="40"/>
      <c r="B1221" s="67" t="s">
        <v>1585</v>
      </c>
      <c r="C1221" s="55"/>
      <c r="D1221" s="41"/>
      <c r="E1221" s="55"/>
      <c r="F1221" s="55"/>
      <c r="G1221" s="55"/>
      <c r="H1221" s="51"/>
      <c r="I1221" s="52"/>
      <c r="J1221" s="74" t="s">
        <v>1285</v>
      </c>
      <c r="K1221" s="57"/>
      <c r="L1221" s="75">
        <v>37</v>
      </c>
      <c r="M1221" s="60">
        <v>0</v>
      </c>
      <c r="N1221" s="76">
        <v>5</v>
      </c>
      <c r="O1221" s="42"/>
      <c r="P1221" s="58" t="s">
        <v>36</v>
      </c>
      <c r="Q1221" s="61"/>
      <c r="R1221" s="62"/>
      <c r="S1221" s="78">
        <f t="shared" si="57"/>
        <v>0</v>
      </c>
      <c r="T1221" s="44" t="str">
        <f t="shared" si="58"/>
        <v>0grams</v>
      </c>
      <c r="U1221" s="77">
        <f t="shared" si="59"/>
        <v>0</v>
      </c>
      <c r="V1221" s="46"/>
      <c r="W1221" s="46"/>
      <c r="X1221" s="46"/>
    </row>
    <row r="1222" spans="1:24" ht="15.75" customHeight="1" thickBot="1" x14ac:dyDescent="0.35">
      <c r="A1222" s="40"/>
      <c r="B1222" s="67" t="s">
        <v>1586</v>
      </c>
      <c r="C1222" s="55"/>
      <c r="D1222" s="41"/>
      <c r="E1222" s="55"/>
      <c r="F1222" s="55"/>
      <c r="G1222" s="55"/>
      <c r="H1222" s="51"/>
      <c r="I1222" s="52"/>
      <c r="J1222" s="74" t="s">
        <v>1587</v>
      </c>
      <c r="K1222" s="57"/>
      <c r="L1222" s="75">
        <v>100</v>
      </c>
      <c r="M1222" s="60">
        <v>1</v>
      </c>
      <c r="N1222" s="76">
        <v>1</v>
      </c>
      <c r="O1222" s="42"/>
      <c r="P1222" s="58" t="s">
        <v>88</v>
      </c>
      <c r="Q1222" s="61"/>
      <c r="R1222" s="62"/>
      <c r="S1222" s="78">
        <f t="shared" si="57"/>
        <v>1</v>
      </c>
      <c r="T1222" s="44" t="str">
        <f t="shared" si="58"/>
        <v>1kilos</v>
      </c>
      <c r="U1222" s="77">
        <f t="shared" si="59"/>
        <v>100</v>
      </c>
      <c r="V1222" s="46"/>
      <c r="W1222" s="46"/>
      <c r="X1222" s="46"/>
    </row>
    <row r="1223" spans="1:24" ht="15.75" customHeight="1" thickBot="1" x14ac:dyDescent="0.35">
      <c r="A1223" s="40"/>
      <c r="B1223" s="67" t="s">
        <v>658</v>
      </c>
      <c r="C1223" s="55"/>
      <c r="D1223" s="41"/>
      <c r="E1223" s="55"/>
      <c r="F1223" s="55"/>
      <c r="G1223" s="55"/>
      <c r="H1223" s="51"/>
      <c r="I1223" s="52"/>
      <c r="J1223" s="74" t="s">
        <v>1588</v>
      </c>
      <c r="K1223" s="57"/>
      <c r="L1223" s="75">
        <v>3.99</v>
      </c>
      <c r="M1223" s="60">
        <v>63</v>
      </c>
      <c r="N1223" s="76">
        <v>8</v>
      </c>
      <c r="O1223" s="42"/>
      <c r="P1223" s="58" t="s">
        <v>36</v>
      </c>
      <c r="Q1223" s="61"/>
      <c r="R1223" s="62"/>
      <c r="S1223" s="78">
        <f t="shared" si="57"/>
        <v>504</v>
      </c>
      <c r="T1223" s="44" t="str">
        <f t="shared" si="58"/>
        <v>504grams</v>
      </c>
      <c r="U1223" s="77">
        <f t="shared" si="59"/>
        <v>251.37</v>
      </c>
      <c r="V1223" s="46"/>
      <c r="W1223" s="46"/>
      <c r="X1223" s="46"/>
    </row>
    <row r="1224" spans="1:24" ht="15.75" customHeight="1" thickBot="1" x14ac:dyDescent="0.35">
      <c r="A1224" s="40"/>
      <c r="B1224" s="67" t="s">
        <v>658</v>
      </c>
      <c r="C1224" s="55"/>
      <c r="D1224" s="41"/>
      <c r="E1224" s="55"/>
      <c r="F1224" s="55"/>
      <c r="G1224" s="55"/>
      <c r="H1224" s="51"/>
      <c r="I1224" s="52"/>
      <c r="J1224" s="74" t="s">
        <v>1588</v>
      </c>
      <c r="K1224" s="57"/>
      <c r="L1224" s="75">
        <v>3.99</v>
      </c>
      <c r="M1224" s="60">
        <v>279</v>
      </c>
      <c r="N1224" s="76">
        <v>8</v>
      </c>
      <c r="O1224" s="42"/>
      <c r="P1224" s="58" t="s">
        <v>36</v>
      </c>
      <c r="Q1224" s="61"/>
      <c r="R1224" s="62"/>
      <c r="S1224" s="78">
        <f t="shared" si="57"/>
        <v>2232</v>
      </c>
      <c r="T1224" s="44" t="str">
        <f t="shared" si="58"/>
        <v>2232grams</v>
      </c>
      <c r="U1224" s="77">
        <f t="shared" si="59"/>
        <v>1113.21</v>
      </c>
      <c r="V1224" s="46"/>
      <c r="W1224" s="46"/>
      <c r="X1224" s="46"/>
    </row>
    <row r="1225" spans="1:24" ht="15.75" customHeight="1" thickBot="1" x14ac:dyDescent="0.35">
      <c r="A1225" s="40"/>
      <c r="B1225" s="68" t="s">
        <v>1589</v>
      </c>
      <c r="C1225" s="55"/>
      <c r="D1225" s="41"/>
      <c r="E1225" s="55"/>
      <c r="F1225" s="55"/>
      <c r="G1225" s="55"/>
      <c r="H1225" s="51"/>
      <c r="I1225" s="52"/>
      <c r="J1225" s="74" t="s">
        <v>1590</v>
      </c>
      <c r="K1225" s="57"/>
      <c r="L1225" s="75">
        <v>83</v>
      </c>
      <c r="M1225" s="60">
        <v>1</v>
      </c>
      <c r="N1225" s="76">
        <v>250</v>
      </c>
      <c r="O1225" s="42"/>
      <c r="P1225" s="58" t="s">
        <v>36</v>
      </c>
      <c r="Q1225" s="61"/>
      <c r="R1225" s="62"/>
      <c r="S1225" s="78">
        <f t="shared" si="57"/>
        <v>250</v>
      </c>
      <c r="T1225" s="44" t="str">
        <f t="shared" si="58"/>
        <v>250grams</v>
      </c>
      <c r="U1225" s="77">
        <f t="shared" si="59"/>
        <v>83</v>
      </c>
      <c r="V1225" s="46"/>
      <c r="W1225" s="46"/>
      <c r="X1225" s="46"/>
    </row>
    <row r="1226" spans="1:24" ht="15.75" customHeight="1" thickBot="1" x14ac:dyDescent="0.35">
      <c r="A1226" s="40"/>
      <c r="B1226" s="67" t="s">
        <v>1591</v>
      </c>
      <c r="C1226" s="55"/>
      <c r="D1226" s="41"/>
      <c r="E1226" s="55"/>
      <c r="F1226" s="55"/>
      <c r="G1226" s="55"/>
      <c r="H1226" s="51"/>
      <c r="I1226" s="52"/>
      <c r="J1226" s="74"/>
      <c r="K1226" s="57"/>
      <c r="L1226" s="75">
        <v>220</v>
      </c>
      <c r="M1226" s="60">
        <v>3</v>
      </c>
      <c r="N1226" s="76">
        <v>1</v>
      </c>
      <c r="O1226" s="42"/>
      <c r="P1226" s="58" t="s">
        <v>88</v>
      </c>
      <c r="Q1226" s="61"/>
      <c r="R1226" s="62"/>
      <c r="S1226" s="78">
        <f t="shared" si="57"/>
        <v>3</v>
      </c>
      <c r="T1226" s="44" t="str">
        <f t="shared" si="58"/>
        <v>3kilos</v>
      </c>
      <c r="U1226" s="77">
        <f t="shared" si="59"/>
        <v>660</v>
      </c>
      <c r="V1226" s="46"/>
      <c r="W1226" s="46"/>
      <c r="X1226" s="46"/>
    </row>
    <row r="1227" spans="1:24" ht="15.75" customHeight="1" thickBot="1" x14ac:dyDescent="0.35">
      <c r="A1227" s="40"/>
      <c r="B1227" s="68" t="s">
        <v>1592</v>
      </c>
      <c r="C1227" s="55"/>
      <c r="D1227" s="41"/>
      <c r="E1227" s="55"/>
      <c r="F1227" s="55"/>
      <c r="G1227" s="55"/>
      <c r="H1227" s="51"/>
      <c r="I1227" s="52"/>
      <c r="J1227" s="74" t="s">
        <v>1593</v>
      </c>
      <c r="K1227" s="57"/>
      <c r="L1227" s="75">
        <v>218</v>
      </c>
      <c r="M1227" s="60">
        <v>0</v>
      </c>
      <c r="N1227" s="76">
        <v>439</v>
      </c>
      <c r="O1227" s="42"/>
      <c r="P1227" s="58" t="s">
        <v>36</v>
      </c>
      <c r="Q1227" s="61"/>
      <c r="R1227" s="62"/>
      <c r="S1227" s="78">
        <f t="shared" si="57"/>
        <v>0</v>
      </c>
      <c r="T1227" s="44" t="str">
        <f t="shared" si="58"/>
        <v>0grams</v>
      </c>
      <c r="U1227" s="77">
        <f t="shared" si="59"/>
        <v>0</v>
      </c>
      <c r="V1227" s="46"/>
      <c r="W1227" s="46"/>
      <c r="X1227" s="46"/>
    </row>
    <row r="1228" spans="1:24" ht="15.75" customHeight="1" thickBot="1" x14ac:dyDescent="0.35">
      <c r="A1228" s="40"/>
      <c r="B1228" s="67" t="s">
        <v>660</v>
      </c>
      <c r="C1228" s="55"/>
      <c r="D1228" s="41"/>
      <c r="E1228" s="55"/>
      <c r="F1228" s="55"/>
      <c r="G1228" s="55"/>
      <c r="H1228" s="51"/>
      <c r="I1228" s="52"/>
      <c r="J1228" s="74" t="s">
        <v>1594</v>
      </c>
      <c r="K1228" s="57"/>
      <c r="L1228" s="75">
        <v>10</v>
      </c>
      <c r="M1228" s="60">
        <v>18</v>
      </c>
      <c r="N1228" s="76">
        <v>1</v>
      </c>
      <c r="O1228" s="42"/>
      <c r="P1228" s="58" t="s">
        <v>88</v>
      </c>
      <c r="Q1228" s="61"/>
      <c r="R1228" s="62"/>
      <c r="S1228" s="78">
        <f t="shared" si="57"/>
        <v>18</v>
      </c>
      <c r="T1228" s="44" t="str">
        <f t="shared" si="58"/>
        <v>18kilos</v>
      </c>
      <c r="U1228" s="77">
        <f t="shared" si="59"/>
        <v>180</v>
      </c>
      <c r="V1228" s="46"/>
      <c r="W1228" s="46"/>
      <c r="X1228" s="46"/>
    </row>
    <row r="1229" spans="1:24" ht="15.75" customHeight="1" thickBot="1" x14ac:dyDescent="0.35">
      <c r="A1229" s="40"/>
      <c r="B1229" s="67" t="s">
        <v>1595</v>
      </c>
      <c r="C1229" s="55"/>
      <c r="D1229" s="41"/>
      <c r="E1229" s="55"/>
      <c r="F1229" s="55"/>
      <c r="G1229" s="55"/>
      <c r="H1229" s="51"/>
      <c r="I1229" s="52"/>
      <c r="J1229" s="74" t="s">
        <v>1596</v>
      </c>
      <c r="K1229" s="57"/>
      <c r="L1229" s="75">
        <v>15</v>
      </c>
      <c r="M1229" s="60">
        <v>5</v>
      </c>
      <c r="N1229" s="76">
        <v>250</v>
      </c>
      <c r="O1229" s="42"/>
      <c r="P1229" s="58" t="s">
        <v>36</v>
      </c>
      <c r="Q1229" s="61"/>
      <c r="R1229" s="62"/>
      <c r="S1229" s="78">
        <f t="shared" si="57"/>
        <v>1250</v>
      </c>
      <c r="T1229" s="44" t="str">
        <f t="shared" si="58"/>
        <v>1250grams</v>
      </c>
      <c r="U1229" s="77">
        <f t="shared" si="59"/>
        <v>75</v>
      </c>
      <c r="V1229" s="46"/>
      <c r="W1229" s="46"/>
      <c r="X1229" s="46"/>
    </row>
    <row r="1230" spans="1:24" ht="15.75" customHeight="1" thickBot="1" x14ac:dyDescent="0.35">
      <c r="A1230" s="40"/>
      <c r="B1230" s="67" t="s">
        <v>1595</v>
      </c>
      <c r="C1230" s="55"/>
      <c r="D1230" s="41"/>
      <c r="E1230" s="55"/>
      <c r="F1230" s="55"/>
      <c r="G1230" s="55"/>
      <c r="H1230" s="51"/>
      <c r="I1230" s="52"/>
      <c r="J1230" s="74" t="s">
        <v>1596</v>
      </c>
      <c r="K1230" s="57"/>
      <c r="L1230" s="75">
        <v>32.299999999999997</v>
      </c>
      <c r="M1230" s="60">
        <v>1</v>
      </c>
      <c r="N1230" s="76">
        <v>1</v>
      </c>
      <c r="O1230" s="42"/>
      <c r="P1230" s="58" t="s">
        <v>88</v>
      </c>
      <c r="Q1230" s="61"/>
      <c r="R1230" s="62"/>
      <c r="S1230" s="78">
        <f t="shared" si="57"/>
        <v>1</v>
      </c>
      <c r="T1230" s="44" t="str">
        <f t="shared" si="58"/>
        <v>1kilos</v>
      </c>
      <c r="U1230" s="77">
        <f t="shared" si="59"/>
        <v>32.299999999999997</v>
      </c>
      <c r="V1230" s="46"/>
      <c r="W1230" s="46"/>
      <c r="X1230" s="46"/>
    </row>
    <row r="1231" spans="1:24" ht="15.75" customHeight="1" thickBot="1" x14ac:dyDescent="0.35">
      <c r="A1231" s="40"/>
      <c r="B1231" s="67" t="s">
        <v>1595</v>
      </c>
      <c r="C1231" s="55"/>
      <c r="D1231" s="41"/>
      <c r="E1231" s="55"/>
      <c r="F1231" s="55"/>
      <c r="G1231" s="55"/>
      <c r="H1231" s="51"/>
      <c r="I1231" s="52"/>
      <c r="J1231" s="74" t="s">
        <v>1314</v>
      </c>
      <c r="K1231" s="57"/>
      <c r="L1231" s="75">
        <v>25</v>
      </c>
      <c r="M1231" s="60">
        <v>30</v>
      </c>
      <c r="N1231" s="76">
        <v>500</v>
      </c>
      <c r="O1231" s="42"/>
      <c r="P1231" s="58" t="s">
        <v>36</v>
      </c>
      <c r="Q1231" s="61"/>
      <c r="R1231" s="62"/>
      <c r="S1231" s="78">
        <f t="shared" si="57"/>
        <v>15000</v>
      </c>
      <c r="T1231" s="44" t="str">
        <f t="shared" si="58"/>
        <v>15000grams</v>
      </c>
      <c r="U1231" s="77">
        <f t="shared" si="59"/>
        <v>750</v>
      </c>
      <c r="V1231" s="46"/>
      <c r="W1231" s="46"/>
      <c r="X1231" s="46"/>
    </row>
    <row r="1232" spans="1:24" ht="15.75" customHeight="1" thickBot="1" x14ac:dyDescent="0.35">
      <c r="A1232" s="40"/>
      <c r="B1232" s="67" t="s">
        <v>1595</v>
      </c>
      <c r="C1232" s="55"/>
      <c r="D1232" s="41"/>
      <c r="E1232" s="55"/>
      <c r="F1232" s="55"/>
      <c r="G1232" s="55"/>
      <c r="H1232" s="51"/>
      <c r="I1232" s="52"/>
      <c r="J1232" s="74" t="s">
        <v>1314</v>
      </c>
      <c r="K1232" s="57"/>
      <c r="L1232" s="75">
        <v>28</v>
      </c>
      <c r="M1232" s="60">
        <v>10</v>
      </c>
      <c r="N1232" s="76">
        <v>1</v>
      </c>
      <c r="O1232" s="42"/>
      <c r="P1232" s="58" t="s">
        <v>88</v>
      </c>
      <c r="Q1232" s="61"/>
      <c r="R1232" s="62"/>
      <c r="S1232" s="78">
        <f t="shared" si="57"/>
        <v>10</v>
      </c>
      <c r="T1232" s="44" t="str">
        <f t="shared" si="58"/>
        <v>10kilos</v>
      </c>
      <c r="U1232" s="77">
        <f t="shared" si="59"/>
        <v>280</v>
      </c>
      <c r="V1232" s="46"/>
      <c r="W1232" s="46"/>
      <c r="X1232" s="46"/>
    </row>
    <row r="1233" spans="1:24" ht="15.75" customHeight="1" thickBot="1" x14ac:dyDescent="0.35">
      <c r="A1233" s="40"/>
      <c r="B1233" s="67" t="s">
        <v>1595</v>
      </c>
      <c r="C1233" s="55"/>
      <c r="D1233" s="41"/>
      <c r="E1233" s="55"/>
      <c r="F1233" s="55"/>
      <c r="G1233" s="55"/>
      <c r="H1233" s="51"/>
      <c r="I1233" s="52"/>
      <c r="J1233" s="74" t="s">
        <v>1596</v>
      </c>
      <c r="K1233" s="57"/>
      <c r="L1233" s="75">
        <v>32</v>
      </c>
      <c r="M1233" s="60">
        <v>2</v>
      </c>
      <c r="N1233" s="76">
        <v>1</v>
      </c>
      <c r="O1233" s="42"/>
      <c r="P1233" s="58" t="s">
        <v>88</v>
      </c>
      <c r="Q1233" s="61"/>
      <c r="R1233" s="62"/>
      <c r="S1233" s="78">
        <f t="shared" si="57"/>
        <v>2</v>
      </c>
      <c r="T1233" s="44" t="str">
        <f t="shared" si="58"/>
        <v>2kilos</v>
      </c>
      <c r="U1233" s="77">
        <f t="shared" si="59"/>
        <v>64</v>
      </c>
      <c r="V1233" s="46"/>
      <c r="W1233" s="46"/>
      <c r="X1233" s="46"/>
    </row>
    <row r="1234" spans="1:24" ht="15.75" customHeight="1" thickBot="1" x14ac:dyDescent="0.35">
      <c r="A1234" s="40"/>
      <c r="B1234" s="68" t="s">
        <v>1595</v>
      </c>
      <c r="C1234" s="55"/>
      <c r="D1234" s="41"/>
      <c r="E1234" s="55"/>
      <c r="F1234" s="55"/>
      <c r="G1234" s="55"/>
      <c r="H1234" s="51"/>
      <c r="I1234" s="52"/>
      <c r="J1234" s="74" t="s">
        <v>1596</v>
      </c>
      <c r="K1234" s="57"/>
      <c r="L1234" s="75">
        <v>35.5</v>
      </c>
      <c r="M1234" s="60">
        <v>18</v>
      </c>
      <c r="N1234" s="76">
        <v>1</v>
      </c>
      <c r="O1234" s="42"/>
      <c r="P1234" s="58" t="s">
        <v>88</v>
      </c>
      <c r="Q1234" s="61"/>
      <c r="R1234" s="62"/>
      <c r="S1234" s="78">
        <f t="shared" si="57"/>
        <v>18</v>
      </c>
      <c r="T1234" s="44" t="str">
        <f t="shared" si="58"/>
        <v>18kilos</v>
      </c>
      <c r="U1234" s="77">
        <f t="shared" si="59"/>
        <v>639</v>
      </c>
      <c r="V1234" s="46"/>
      <c r="W1234" s="46"/>
      <c r="X1234" s="46"/>
    </row>
    <row r="1235" spans="1:24" ht="15.75" customHeight="1" thickBot="1" x14ac:dyDescent="0.35">
      <c r="A1235" s="40"/>
      <c r="B1235" s="67" t="s">
        <v>1595</v>
      </c>
      <c r="C1235" s="55"/>
      <c r="D1235" s="41"/>
      <c r="E1235" s="55"/>
      <c r="F1235" s="55"/>
      <c r="G1235" s="55"/>
      <c r="H1235" s="51"/>
      <c r="I1235" s="52"/>
      <c r="J1235" s="74" t="s">
        <v>1596</v>
      </c>
      <c r="K1235" s="57"/>
      <c r="L1235" s="75">
        <v>32.299999999999997</v>
      </c>
      <c r="M1235" s="60">
        <v>2</v>
      </c>
      <c r="N1235" s="76">
        <v>1</v>
      </c>
      <c r="O1235" s="42"/>
      <c r="P1235" s="58" t="s">
        <v>88</v>
      </c>
      <c r="Q1235" s="61"/>
      <c r="R1235" s="62"/>
      <c r="S1235" s="78">
        <f t="shared" si="57"/>
        <v>2</v>
      </c>
      <c r="T1235" s="44" t="str">
        <f t="shared" si="58"/>
        <v>2kilos</v>
      </c>
      <c r="U1235" s="77">
        <f t="shared" si="59"/>
        <v>64.599999999999994</v>
      </c>
      <c r="V1235" s="46"/>
      <c r="W1235" s="46"/>
      <c r="X1235" s="46"/>
    </row>
    <row r="1236" spans="1:24" ht="15.75" customHeight="1" thickBot="1" x14ac:dyDescent="0.35">
      <c r="A1236" s="40"/>
      <c r="B1236" s="67" t="s">
        <v>662</v>
      </c>
      <c r="C1236" s="55"/>
      <c r="D1236" s="41"/>
      <c r="E1236" s="55"/>
      <c r="F1236" s="55"/>
      <c r="G1236" s="55"/>
      <c r="H1236" s="51"/>
      <c r="I1236" s="52"/>
      <c r="J1236" s="74"/>
      <c r="K1236" s="57"/>
      <c r="L1236" s="75">
        <v>25</v>
      </c>
      <c r="M1236" s="60">
        <v>26</v>
      </c>
      <c r="N1236" s="76">
        <v>1</v>
      </c>
      <c r="O1236" s="42"/>
      <c r="P1236" s="58" t="s">
        <v>88</v>
      </c>
      <c r="Q1236" s="61"/>
      <c r="R1236" s="62"/>
      <c r="S1236" s="78">
        <f t="shared" si="57"/>
        <v>26</v>
      </c>
      <c r="T1236" s="44" t="str">
        <f t="shared" si="58"/>
        <v>26kilos</v>
      </c>
      <c r="U1236" s="77">
        <f t="shared" si="59"/>
        <v>650</v>
      </c>
      <c r="V1236" s="46"/>
      <c r="W1236" s="46"/>
      <c r="X1236" s="46"/>
    </row>
    <row r="1237" spans="1:24" ht="15.75" customHeight="1" thickBot="1" x14ac:dyDescent="0.35">
      <c r="A1237" s="40"/>
      <c r="B1237" s="68" t="s">
        <v>662</v>
      </c>
      <c r="C1237" s="55"/>
      <c r="D1237" s="41"/>
      <c r="E1237" s="55"/>
      <c r="F1237" s="55"/>
      <c r="G1237" s="55"/>
      <c r="H1237" s="51"/>
      <c r="I1237" s="52"/>
      <c r="J1237" s="74"/>
      <c r="K1237" s="57"/>
      <c r="L1237" s="75">
        <v>25</v>
      </c>
      <c r="M1237" s="60">
        <v>2</v>
      </c>
      <c r="N1237" s="76">
        <v>1</v>
      </c>
      <c r="O1237" s="42"/>
      <c r="P1237" s="58" t="s">
        <v>88</v>
      </c>
      <c r="Q1237" s="61"/>
      <c r="R1237" s="62"/>
      <c r="S1237" s="78">
        <f t="shared" si="57"/>
        <v>2</v>
      </c>
      <c r="T1237" s="44" t="str">
        <f t="shared" si="58"/>
        <v>2kilos</v>
      </c>
      <c r="U1237" s="77">
        <f t="shared" si="59"/>
        <v>50</v>
      </c>
      <c r="V1237" s="46"/>
      <c r="W1237" s="46"/>
      <c r="X1237" s="46"/>
    </row>
    <row r="1238" spans="1:24" ht="15.75" customHeight="1" thickBot="1" x14ac:dyDescent="0.35">
      <c r="A1238" s="40"/>
      <c r="B1238" s="67" t="s">
        <v>1597</v>
      </c>
      <c r="C1238" s="55"/>
      <c r="D1238" s="41"/>
      <c r="E1238" s="55"/>
      <c r="F1238" s="55"/>
      <c r="G1238" s="55"/>
      <c r="H1238" s="51"/>
      <c r="I1238" s="52"/>
      <c r="J1238" s="74" t="s">
        <v>1587</v>
      </c>
      <c r="K1238" s="57"/>
      <c r="L1238" s="75">
        <v>20</v>
      </c>
      <c r="M1238" s="60">
        <v>16</v>
      </c>
      <c r="N1238" s="76">
        <v>1</v>
      </c>
      <c r="O1238" s="42"/>
      <c r="P1238" s="58" t="s">
        <v>38</v>
      </c>
      <c r="Q1238" s="61"/>
      <c r="R1238" s="62"/>
      <c r="S1238" s="78">
        <f t="shared" si="57"/>
        <v>16</v>
      </c>
      <c r="T1238" s="44" t="str">
        <f t="shared" si="58"/>
        <v>16pieces</v>
      </c>
      <c r="U1238" s="77">
        <f t="shared" si="59"/>
        <v>320</v>
      </c>
      <c r="V1238" s="46"/>
      <c r="W1238" s="46"/>
      <c r="X1238" s="46"/>
    </row>
    <row r="1239" spans="1:24" ht="15.75" customHeight="1" thickBot="1" x14ac:dyDescent="0.35">
      <c r="A1239" s="40"/>
      <c r="B1239" s="67" t="s">
        <v>1598</v>
      </c>
      <c r="C1239" s="55"/>
      <c r="D1239" s="41"/>
      <c r="E1239" s="55"/>
      <c r="F1239" s="55"/>
      <c r="G1239" s="55"/>
      <c r="H1239" s="51"/>
      <c r="I1239" s="52"/>
      <c r="J1239" s="74"/>
      <c r="K1239" s="57"/>
      <c r="L1239" s="75">
        <v>30</v>
      </c>
      <c r="M1239" s="60">
        <v>1</v>
      </c>
      <c r="N1239" s="76">
        <v>1</v>
      </c>
      <c r="O1239" s="42"/>
      <c r="P1239" s="58" t="s">
        <v>88</v>
      </c>
      <c r="Q1239" s="61"/>
      <c r="R1239" s="62"/>
      <c r="S1239" s="78">
        <f t="shared" si="57"/>
        <v>1</v>
      </c>
      <c r="T1239" s="44" t="str">
        <f t="shared" si="58"/>
        <v>1kilos</v>
      </c>
      <c r="U1239" s="77">
        <f t="shared" si="59"/>
        <v>30</v>
      </c>
      <c r="V1239" s="46"/>
      <c r="W1239" s="46"/>
      <c r="X1239" s="46"/>
    </row>
    <row r="1240" spans="1:24" ht="15.75" customHeight="1" thickBot="1" x14ac:dyDescent="0.35">
      <c r="A1240" s="40"/>
      <c r="B1240" s="67" t="s">
        <v>1599</v>
      </c>
      <c r="C1240" s="55"/>
      <c r="D1240" s="41"/>
      <c r="E1240" s="55"/>
      <c r="F1240" s="55"/>
      <c r="G1240" s="55"/>
      <c r="H1240" s="51"/>
      <c r="I1240" s="52"/>
      <c r="J1240" s="74" t="s">
        <v>1600</v>
      </c>
      <c r="K1240" s="57"/>
      <c r="L1240" s="75">
        <v>90.5</v>
      </c>
      <c r="M1240" s="60">
        <v>3</v>
      </c>
      <c r="N1240" s="76">
        <v>1</v>
      </c>
      <c r="O1240" s="42"/>
      <c r="P1240" s="58" t="s">
        <v>1601</v>
      </c>
      <c r="Q1240" s="61"/>
      <c r="R1240" s="62"/>
      <c r="S1240" s="78">
        <f t="shared" si="57"/>
        <v>3</v>
      </c>
      <c r="T1240" s="44" t="str">
        <f t="shared" si="58"/>
        <v>3box</v>
      </c>
      <c r="U1240" s="77">
        <f t="shared" si="59"/>
        <v>271.5</v>
      </c>
      <c r="V1240" s="46"/>
      <c r="W1240" s="46"/>
      <c r="X1240" s="46"/>
    </row>
    <row r="1241" spans="1:24" ht="15.75" customHeight="1" thickBot="1" x14ac:dyDescent="0.35">
      <c r="A1241" s="40"/>
      <c r="B1241" s="68" t="s">
        <v>1602</v>
      </c>
      <c r="C1241" s="55"/>
      <c r="D1241" s="41"/>
      <c r="E1241" s="55"/>
      <c r="F1241" s="55"/>
      <c r="G1241" s="55"/>
      <c r="H1241" s="51"/>
      <c r="I1241" s="52"/>
      <c r="J1241" s="74" t="s">
        <v>1603</v>
      </c>
      <c r="K1241" s="57"/>
      <c r="L1241" s="75">
        <v>6.07</v>
      </c>
      <c r="M1241" s="60">
        <v>23</v>
      </c>
      <c r="N1241" s="76">
        <v>1</v>
      </c>
      <c r="O1241" s="42"/>
      <c r="P1241" s="58" t="s">
        <v>38</v>
      </c>
      <c r="Q1241" s="61"/>
      <c r="R1241" s="62"/>
      <c r="S1241" s="78">
        <f t="shared" si="57"/>
        <v>23</v>
      </c>
      <c r="T1241" s="44" t="str">
        <f t="shared" si="58"/>
        <v>23pieces</v>
      </c>
      <c r="U1241" s="77">
        <f t="shared" si="59"/>
        <v>139.61000000000001</v>
      </c>
      <c r="V1241" s="46"/>
      <c r="W1241" s="46"/>
      <c r="X1241" s="46"/>
    </row>
    <row r="1242" spans="1:24" ht="15.75" customHeight="1" thickBot="1" x14ac:dyDescent="0.35">
      <c r="A1242" s="40"/>
      <c r="B1242" s="67" t="s">
        <v>1602</v>
      </c>
      <c r="C1242" s="55"/>
      <c r="D1242" s="41"/>
      <c r="E1242" s="55"/>
      <c r="F1242" s="55"/>
      <c r="G1242" s="55"/>
      <c r="H1242" s="51"/>
      <c r="I1242" s="52"/>
      <c r="J1242" s="74" t="s">
        <v>1604</v>
      </c>
      <c r="K1242" s="57"/>
      <c r="L1242" s="75">
        <v>155.5</v>
      </c>
      <c r="M1242" s="60">
        <v>1</v>
      </c>
      <c r="N1242" s="76">
        <v>1</v>
      </c>
      <c r="O1242" s="42"/>
      <c r="P1242" s="58" t="s">
        <v>77</v>
      </c>
      <c r="Q1242" s="61"/>
      <c r="R1242" s="62"/>
      <c r="S1242" s="78">
        <f t="shared" si="57"/>
        <v>1</v>
      </c>
      <c r="T1242" s="44" t="str">
        <f t="shared" si="58"/>
        <v>1packs</v>
      </c>
      <c r="U1242" s="77">
        <f t="shared" si="59"/>
        <v>155.5</v>
      </c>
      <c r="V1242" s="46"/>
      <c r="W1242" s="46"/>
      <c r="X1242" s="46"/>
    </row>
    <row r="1243" spans="1:24" ht="15.75" customHeight="1" thickBot="1" x14ac:dyDescent="0.35">
      <c r="A1243" s="40"/>
      <c r="B1243" s="67" t="s">
        <v>1602</v>
      </c>
      <c r="C1243" s="55"/>
      <c r="D1243" s="41"/>
      <c r="E1243" s="55"/>
      <c r="F1243" s="55"/>
      <c r="G1243" s="55"/>
      <c r="H1243" s="51"/>
      <c r="I1243" s="52"/>
      <c r="J1243" s="74" t="s">
        <v>1604</v>
      </c>
      <c r="K1243" s="57"/>
      <c r="L1243" s="75">
        <v>55.8</v>
      </c>
      <c r="M1243" s="60">
        <v>4</v>
      </c>
      <c r="N1243" s="76">
        <v>1</v>
      </c>
      <c r="O1243" s="42"/>
      <c r="P1243" s="58" t="s">
        <v>77</v>
      </c>
      <c r="Q1243" s="61"/>
      <c r="R1243" s="62"/>
      <c r="S1243" s="78">
        <f t="shared" si="57"/>
        <v>4</v>
      </c>
      <c r="T1243" s="44" t="str">
        <f t="shared" si="58"/>
        <v>4packs</v>
      </c>
      <c r="U1243" s="77">
        <f t="shared" si="59"/>
        <v>223.2</v>
      </c>
      <c r="V1243" s="46"/>
      <c r="W1243" s="46"/>
      <c r="X1243" s="46"/>
    </row>
    <row r="1244" spans="1:24" ht="15.75" customHeight="1" thickBot="1" x14ac:dyDescent="0.35">
      <c r="A1244" s="40"/>
      <c r="B1244" s="67" t="s">
        <v>1605</v>
      </c>
      <c r="C1244" s="55"/>
      <c r="D1244" s="41"/>
      <c r="E1244" s="55"/>
      <c r="F1244" s="55"/>
      <c r="G1244" s="55"/>
      <c r="H1244" s="51"/>
      <c r="I1244" s="52"/>
      <c r="J1244" s="74" t="s">
        <v>1606</v>
      </c>
      <c r="K1244" s="57"/>
      <c r="L1244" s="75">
        <v>12.8</v>
      </c>
      <c r="M1244" s="60">
        <v>16</v>
      </c>
      <c r="N1244" s="76">
        <v>1</v>
      </c>
      <c r="O1244" s="42"/>
      <c r="P1244" s="58" t="s">
        <v>38</v>
      </c>
      <c r="Q1244" s="61"/>
      <c r="R1244" s="62"/>
      <c r="S1244" s="78">
        <f t="shared" si="57"/>
        <v>16</v>
      </c>
      <c r="T1244" s="44" t="str">
        <f t="shared" si="58"/>
        <v>16pieces</v>
      </c>
      <c r="U1244" s="77">
        <f t="shared" si="59"/>
        <v>204.8</v>
      </c>
      <c r="V1244" s="46"/>
      <c r="W1244" s="46"/>
      <c r="X1244" s="46"/>
    </row>
    <row r="1245" spans="1:24" ht="15.75" customHeight="1" thickBot="1" x14ac:dyDescent="0.35">
      <c r="A1245" s="40"/>
      <c r="B1245" s="67" t="s">
        <v>1607</v>
      </c>
      <c r="C1245" s="55"/>
      <c r="D1245" s="41"/>
      <c r="E1245" s="55"/>
      <c r="F1245" s="55"/>
      <c r="G1245" s="55"/>
      <c r="H1245" s="51"/>
      <c r="I1245" s="52"/>
      <c r="J1245" s="74"/>
      <c r="K1245" s="57"/>
      <c r="L1245" s="75">
        <v>320</v>
      </c>
      <c r="M1245" s="60">
        <v>1</v>
      </c>
      <c r="N1245" s="76">
        <v>1</v>
      </c>
      <c r="O1245" s="42"/>
      <c r="P1245" s="58" t="s">
        <v>88</v>
      </c>
      <c r="Q1245" s="61"/>
      <c r="R1245" s="62"/>
      <c r="S1245" s="78">
        <f t="shared" si="57"/>
        <v>1</v>
      </c>
      <c r="T1245" s="44" t="str">
        <f t="shared" si="58"/>
        <v>1kilos</v>
      </c>
      <c r="U1245" s="77">
        <f t="shared" si="59"/>
        <v>320</v>
      </c>
      <c r="V1245" s="46"/>
      <c r="W1245" s="46"/>
      <c r="X1245" s="46"/>
    </row>
    <row r="1246" spans="1:24" ht="15.75" customHeight="1" thickBot="1" x14ac:dyDescent="0.35">
      <c r="A1246" s="40"/>
      <c r="B1246" s="67" t="s">
        <v>1608</v>
      </c>
      <c r="C1246" s="55"/>
      <c r="D1246" s="41"/>
      <c r="E1246" s="55"/>
      <c r="F1246" s="55"/>
      <c r="G1246" s="55"/>
      <c r="H1246" s="51"/>
      <c r="I1246" s="52"/>
      <c r="J1246" s="74" t="s">
        <v>1609</v>
      </c>
      <c r="K1246" s="57"/>
      <c r="L1246" s="75">
        <v>1</v>
      </c>
      <c r="M1246" s="60">
        <v>143</v>
      </c>
      <c r="N1246" s="76">
        <v>50</v>
      </c>
      <c r="O1246" s="42"/>
      <c r="P1246" s="58" t="s">
        <v>38</v>
      </c>
      <c r="Q1246" s="61"/>
      <c r="R1246" s="62"/>
      <c r="S1246" s="78">
        <f t="shared" si="57"/>
        <v>7150</v>
      </c>
      <c r="T1246" s="44" t="str">
        <f t="shared" si="58"/>
        <v>7150pieces</v>
      </c>
      <c r="U1246" s="77">
        <f t="shared" si="59"/>
        <v>143</v>
      </c>
      <c r="V1246" s="46"/>
      <c r="W1246" s="46"/>
      <c r="X1246" s="46"/>
    </row>
    <row r="1247" spans="1:24" ht="15.75" customHeight="1" thickBot="1" x14ac:dyDescent="0.35">
      <c r="A1247" s="40"/>
      <c r="B1247" s="67" t="s">
        <v>1610</v>
      </c>
      <c r="C1247" s="55"/>
      <c r="D1247" s="41"/>
      <c r="E1247" s="55"/>
      <c r="F1247" s="55"/>
      <c r="G1247" s="55"/>
      <c r="H1247" s="51"/>
      <c r="I1247" s="52"/>
      <c r="J1247" s="74"/>
      <c r="K1247" s="57"/>
      <c r="L1247" s="75">
        <v>1</v>
      </c>
      <c r="M1247" s="60">
        <v>69</v>
      </c>
      <c r="N1247" s="76">
        <v>1</v>
      </c>
      <c r="O1247" s="42"/>
      <c r="P1247" s="58" t="s">
        <v>38</v>
      </c>
      <c r="Q1247" s="61"/>
      <c r="R1247" s="62"/>
      <c r="S1247" s="78">
        <f t="shared" si="57"/>
        <v>69</v>
      </c>
      <c r="T1247" s="44" t="str">
        <f t="shared" si="58"/>
        <v>69pieces</v>
      </c>
      <c r="U1247" s="77">
        <f t="shared" si="59"/>
        <v>69</v>
      </c>
      <c r="V1247" s="46"/>
      <c r="W1247" s="46"/>
      <c r="X1247" s="46"/>
    </row>
    <row r="1248" spans="1:24" ht="15.75" customHeight="1" thickBot="1" x14ac:dyDescent="0.35">
      <c r="A1248" s="40"/>
      <c r="B1248" s="67" t="s">
        <v>1611</v>
      </c>
      <c r="C1248" s="55"/>
      <c r="D1248" s="41"/>
      <c r="E1248" s="55"/>
      <c r="F1248" s="55"/>
      <c r="G1248" s="55"/>
      <c r="H1248" s="51"/>
      <c r="I1248" s="52"/>
      <c r="J1248" s="74"/>
      <c r="K1248" s="57"/>
      <c r="L1248" s="75">
        <v>2</v>
      </c>
      <c r="M1248" s="60">
        <v>41</v>
      </c>
      <c r="N1248" s="76">
        <v>1</v>
      </c>
      <c r="O1248" s="42"/>
      <c r="P1248" s="58" t="s">
        <v>38</v>
      </c>
      <c r="Q1248" s="61"/>
      <c r="R1248" s="62"/>
      <c r="S1248" s="78">
        <f t="shared" si="57"/>
        <v>41</v>
      </c>
      <c r="T1248" s="44" t="str">
        <f t="shared" si="58"/>
        <v>41pieces</v>
      </c>
      <c r="U1248" s="77">
        <f t="shared" si="59"/>
        <v>82</v>
      </c>
      <c r="V1248" s="46"/>
      <c r="W1248" s="46"/>
      <c r="X1248" s="46"/>
    </row>
    <row r="1249" spans="1:24" ht="15.75" customHeight="1" thickBot="1" x14ac:dyDescent="0.35">
      <c r="A1249" s="40"/>
      <c r="B1249" s="67" t="s">
        <v>1612</v>
      </c>
      <c r="C1249" s="55"/>
      <c r="D1249" s="41"/>
      <c r="E1249" s="55"/>
      <c r="F1249" s="55"/>
      <c r="G1249" s="55"/>
      <c r="H1249" s="51"/>
      <c r="I1249" s="52"/>
      <c r="J1249" s="74" t="s">
        <v>1375</v>
      </c>
      <c r="K1249" s="57"/>
      <c r="L1249" s="75">
        <v>48</v>
      </c>
      <c r="M1249" s="60">
        <v>2</v>
      </c>
      <c r="N1249" s="76">
        <v>130</v>
      </c>
      <c r="O1249" s="42"/>
      <c r="P1249" s="58" t="s">
        <v>47</v>
      </c>
      <c r="Q1249" s="61"/>
      <c r="R1249" s="62"/>
      <c r="S1249" s="78">
        <f t="shared" si="57"/>
        <v>260</v>
      </c>
      <c r="T1249" s="44" t="str">
        <f t="shared" si="58"/>
        <v>260ml</v>
      </c>
      <c r="U1249" s="77">
        <f t="shared" si="59"/>
        <v>96</v>
      </c>
      <c r="V1249" s="46"/>
      <c r="W1249" s="46"/>
      <c r="X1249" s="46"/>
    </row>
    <row r="1250" spans="1:24" ht="15.75" customHeight="1" thickBot="1" x14ac:dyDescent="0.35">
      <c r="A1250" s="40"/>
      <c r="B1250" s="67" t="s">
        <v>677</v>
      </c>
      <c r="C1250" s="55"/>
      <c r="D1250" s="41"/>
      <c r="E1250" s="55"/>
      <c r="F1250" s="55"/>
      <c r="G1250" s="55"/>
      <c r="H1250" s="51"/>
      <c r="I1250" s="52"/>
      <c r="J1250" s="74"/>
      <c r="K1250" s="57"/>
      <c r="L1250" s="75">
        <v>50</v>
      </c>
      <c r="M1250" s="60">
        <v>0</v>
      </c>
      <c r="N1250" s="76">
        <v>1</v>
      </c>
      <c r="O1250" s="42"/>
      <c r="P1250" s="58" t="s">
        <v>88</v>
      </c>
      <c r="Q1250" s="61"/>
      <c r="R1250" s="62"/>
      <c r="S1250" s="78">
        <f t="shared" si="57"/>
        <v>0</v>
      </c>
      <c r="T1250" s="44" t="str">
        <f t="shared" si="58"/>
        <v>0kilos</v>
      </c>
      <c r="U1250" s="77">
        <f t="shared" si="59"/>
        <v>0</v>
      </c>
      <c r="V1250" s="46"/>
      <c r="W1250" s="46"/>
      <c r="X1250" s="46"/>
    </row>
    <row r="1251" spans="1:24" ht="15.75" customHeight="1" thickBot="1" x14ac:dyDescent="0.35">
      <c r="A1251" s="40"/>
      <c r="B1251" s="67" t="s">
        <v>677</v>
      </c>
      <c r="C1251" s="55"/>
      <c r="D1251" s="41"/>
      <c r="E1251" s="55"/>
      <c r="F1251" s="55"/>
      <c r="G1251" s="55"/>
      <c r="H1251" s="51"/>
      <c r="I1251" s="52"/>
      <c r="J1251" s="74"/>
      <c r="K1251" s="57"/>
      <c r="L1251" s="75">
        <v>70</v>
      </c>
      <c r="M1251" s="60">
        <v>2</v>
      </c>
      <c r="N1251" s="76">
        <v>1</v>
      </c>
      <c r="O1251" s="42"/>
      <c r="P1251" s="58" t="s">
        <v>88</v>
      </c>
      <c r="Q1251" s="61"/>
      <c r="R1251" s="62"/>
      <c r="S1251" s="78">
        <f t="shared" si="57"/>
        <v>2</v>
      </c>
      <c r="T1251" s="44" t="str">
        <f t="shared" si="58"/>
        <v>2kilos</v>
      </c>
      <c r="U1251" s="77">
        <f t="shared" si="59"/>
        <v>140</v>
      </c>
      <c r="V1251" s="46"/>
      <c r="W1251" s="46"/>
      <c r="X1251" s="46"/>
    </row>
    <row r="1252" spans="1:24" ht="15.75" customHeight="1" thickBot="1" x14ac:dyDescent="0.35">
      <c r="A1252" s="40"/>
      <c r="B1252" s="67" t="s">
        <v>677</v>
      </c>
      <c r="C1252" s="55"/>
      <c r="D1252" s="41"/>
      <c r="E1252" s="55"/>
      <c r="F1252" s="55"/>
      <c r="G1252" s="55"/>
      <c r="H1252" s="51"/>
      <c r="I1252" s="52"/>
      <c r="J1252" s="74"/>
      <c r="K1252" s="57"/>
      <c r="L1252" s="75">
        <v>30</v>
      </c>
      <c r="M1252" s="60">
        <v>26</v>
      </c>
      <c r="N1252" s="76">
        <v>1</v>
      </c>
      <c r="O1252" s="42"/>
      <c r="P1252" s="58" t="s">
        <v>88</v>
      </c>
      <c r="Q1252" s="61"/>
      <c r="R1252" s="62"/>
      <c r="S1252" s="78">
        <f t="shared" si="57"/>
        <v>26</v>
      </c>
      <c r="T1252" s="44" t="str">
        <f t="shared" si="58"/>
        <v>26kilos</v>
      </c>
      <c r="U1252" s="77">
        <f t="shared" si="59"/>
        <v>780</v>
      </c>
      <c r="V1252" s="46"/>
      <c r="W1252" s="46"/>
      <c r="X1252" s="46"/>
    </row>
    <row r="1253" spans="1:24" ht="15.75" customHeight="1" thickBot="1" x14ac:dyDescent="0.35">
      <c r="A1253" s="40"/>
      <c r="B1253" s="67" t="s">
        <v>677</v>
      </c>
      <c r="C1253" s="55"/>
      <c r="D1253" s="41"/>
      <c r="E1253" s="55"/>
      <c r="F1253" s="55"/>
      <c r="G1253" s="55"/>
      <c r="H1253" s="51"/>
      <c r="I1253" s="52"/>
      <c r="J1253" s="74"/>
      <c r="K1253" s="57"/>
      <c r="L1253" s="75">
        <v>35</v>
      </c>
      <c r="M1253" s="60">
        <v>2</v>
      </c>
      <c r="N1253" s="76">
        <v>1</v>
      </c>
      <c r="O1253" s="42"/>
      <c r="P1253" s="58" t="s">
        <v>88</v>
      </c>
      <c r="Q1253" s="61"/>
      <c r="R1253" s="62"/>
      <c r="S1253" s="78">
        <f t="shared" si="57"/>
        <v>2</v>
      </c>
      <c r="T1253" s="44" t="str">
        <f t="shared" si="58"/>
        <v>2kilos</v>
      </c>
      <c r="U1253" s="77">
        <f t="shared" si="59"/>
        <v>70</v>
      </c>
      <c r="V1253" s="46"/>
      <c r="W1253" s="46"/>
      <c r="X1253" s="46"/>
    </row>
    <row r="1254" spans="1:24" ht="15.75" customHeight="1" thickBot="1" x14ac:dyDescent="0.35">
      <c r="A1254" s="40"/>
      <c r="B1254" s="67" t="s">
        <v>677</v>
      </c>
      <c r="C1254" s="55"/>
      <c r="D1254" s="41"/>
      <c r="E1254" s="55"/>
      <c r="F1254" s="55"/>
      <c r="G1254" s="55"/>
      <c r="H1254" s="51"/>
      <c r="I1254" s="52"/>
      <c r="J1254" s="74" t="s">
        <v>1022</v>
      </c>
      <c r="K1254" s="57"/>
      <c r="L1254" s="75">
        <v>90</v>
      </c>
      <c r="M1254" s="60">
        <v>8</v>
      </c>
      <c r="N1254" s="76">
        <v>1</v>
      </c>
      <c r="O1254" s="42"/>
      <c r="P1254" s="58" t="s">
        <v>88</v>
      </c>
      <c r="Q1254" s="61"/>
      <c r="R1254" s="62"/>
      <c r="S1254" s="78">
        <f t="shared" si="57"/>
        <v>8</v>
      </c>
      <c r="T1254" s="44" t="str">
        <f t="shared" si="58"/>
        <v>8kilos</v>
      </c>
      <c r="U1254" s="77">
        <f t="shared" si="59"/>
        <v>720</v>
      </c>
      <c r="V1254" s="46"/>
      <c r="W1254" s="46"/>
      <c r="X1254" s="46"/>
    </row>
    <row r="1255" spans="1:24" ht="15.75" customHeight="1" thickBot="1" x14ac:dyDescent="0.35">
      <c r="A1255" s="40"/>
      <c r="B1255" s="67" t="s">
        <v>1613</v>
      </c>
      <c r="C1255" s="55"/>
      <c r="D1255" s="41"/>
      <c r="E1255" s="55"/>
      <c r="F1255" s="55"/>
      <c r="G1255" s="55"/>
      <c r="H1255" s="51"/>
      <c r="I1255" s="52"/>
      <c r="J1255" s="74" t="s">
        <v>1234</v>
      </c>
      <c r="K1255" s="57"/>
      <c r="L1255" s="75">
        <v>14.55</v>
      </c>
      <c r="M1255" s="60">
        <v>7</v>
      </c>
      <c r="N1255" s="76">
        <v>1</v>
      </c>
      <c r="O1255" s="42"/>
      <c r="P1255" s="58" t="s">
        <v>38</v>
      </c>
      <c r="Q1255" s="61"/>
      <c r="R1255" s="62"/>
      <c r="S1255" s="78">
        <f t="shared" si="57"/>
        <v>7</v>
      </c>
      <c r="T1255" s="44" t="str">
        <f t="shared" si="58"/>
        <v>7pieces</v>
      </c>
      <c r="U1255" s="77">
        <f t="shared" si="59"/>
        <v>101.85000000000001</v>
      </c>
      <c r="V1255" s="46"/>
      <c r="W1255" s="46"/>
      <c r="X1255" s="46"/>
    </row>
    <row r="1256" spans="1:24" ht="15.75" customHeight="1" thickBot="1" x14ac:dyDescent="0.35">
      <c r="A1256" s="40"/>
      <c r="B1256" s="67" t="s">
        <v>1613</v>
      </c>
      <c r="C1256" s="55"/>
      <c r="D1256" s="41"/>
      <c r="E1256" s="55"/>
      <c r="F1256" s="55"/>
      <c r="G1256" s="55"/>
      <c r="H1256" s="51"/>
      <c r="I1256" s="52"/>
      <c r="J1256" s="74" t="s">
        <v>1234</v>
      </c>
      <c r="K1256" s="57"/>
      <c r="L1256" s="75">
        <v>49</v>
      </c>
      <c r="M1256" s="60">
        <v>12</v>
      </c>
      <c r="N1256" s="76">
        <v>1</v>
      </c>
      <c r="O1256" s="42"/>
      <c r="P1256" s="58" t="s">
        <v>38</v>
      </c>
      <c r="Q1256" s="61"/>
      <c r="R1256" s="62"/>
      <c r="S1256" s="78">
        <f t="shared" si="57"/>
        <v>12</v>
      </c>
      <c r="T1256" s="44" t="str">
        <f t="shared" si="58"/>
        <v>12pieces</v>
      </c>
      <c r="U1256" s="77">
        <f t="shared" si="59"/>
        <v>588</v>
      </c>
      <c r="V1256" s="46"/>
      <c r="W1256" s="46"/>
      <c r="X1256" s="46"/>
    </row>
    <row r="1257" spans="1:24" ht="15.75" customHeight="1" thickBot="1" x14ac:dyDescent="0.35">
      <c r="A1257" s="40"/>
      <c r="B1257" s="67" t="s">
        <v>1613</v>
      </c>
      <c r="C1257" s="55"/>
      <c r="D1257" s="41"/>
      <c r="E1257" s="55"/>
      <c r="F1257" s="55"/>
      <c r="G1257" s="55"/>
      <c r="H1257" s="51"/>
      <c r="I1257" s="52"/>
      <c r="J1257" s="74" t="s">
        <v>1234</v>
      </c>
      <c r="K1257" s="57"/>
      <c r="L1257" s="75">
        <v>14.55</v>
      </c>
      <c r="M1257" s="60">
        <v>12</v>
      </c>
      <c r="N1257" s="76">
        <v>1</v>
      </c>
      <c r="O1257" s="42"/>
      <c r="P1257" s="58" t="s">
        <v>38</v>
      </c>
      <c r="Q1257" s="61"/>
      <c r="R1257" s="62"/>
      <c r="S1257" s="78">
        <f t="shared" si="57"/>
        <v>12</v>
      </c>
      <c r="T1257" s="44" t="str">
        <f t="shared" si="58"/>
        <v>12pieces</v>
      </c>
      <c r="U1257" s="77">
        <f t="shared" si="59"/>
        <v>174.60000000000002</v>
      </c>
      <c r="V1257" s="46"/>
      <c r="W1257" s="46"/>
      <c r="X1257" s="46"/>
    </row>
    <row r="1258" spans="1:24" ht="15.75" customHeight="1" thickBot="1" x14ac:dyDescent="0.35">
      <c r="A1258" s="40"/>
      <c r="B1258" s="67" t="s">
        <v>1613</v>
      </c>
      <c r="C1258" s="55"/>
      <c r="D1258" s="41"/>
      <c r="E1258" s="55"/>
      <c r="F1258" s="55"/>
      <c r="G1258" s="55"/>
      <c r="H1258" s="51"/>
      <c r="I1258" s="52"/>
      <c r="J1258" s="74" t="s">
        <v>1234</v>
      </c>
      <c r="K1258" s="57"/>
      <c r="L1258" s="75">
        <v>32.5</v>
      </c>
      <c r="M1258" s="60">
        <v>8</v>
      </c>
      <c r="N1258" s="76">
        <v>1</v>
      </c>
      <c r="O1258" s="42"/>
      <c r="P1258" s="58" t="s">
        <v>38</v>
      </c>
      <c r="Q1258" s="61"/>
      <c r="R1258" s="62"/>
      <c r="S1258" s="78">
        <f t="shared" si="57"/>
        <v>8</v>
      </c>
      <c r="T1258" s="44" t="str">
        <f t="shared" si="58"/>
        <v>8pieces</v>
      </c>
      <c r="U1258" s="77">
        <f t="shared" si="59"/>
        <v>260</v>
      </c>
      <c r="V1258" s="46"/>
      <c r="W1258" s="46"/>
      <c r="X1258" s="46"/>
    </row>
    <row r="1259" spans="1:24" ht="15.75" customHeight="1" thickBot="1" x14ac:dyDescent="0.35">
      <c r="A1259" s="40"/>
      <c r="B1259" s="68" t="s">
        <v>1614</v>
      </c>
      <c r="C1259" s="55"/>
      <c r="D1259" s="41"/>
      <c r="E1259" s="55"/>
      <c r="F1259" s="55"/>
      <c r="G1259" s="55"/>
      <c r="H1259" s="51"/>
      <c r="I1259" s="52"/>
      <c r="J1259" s="74" t="s">
        <v>1615</v>
      </c>
      <c r="K1259" s="57"/>
      <c r="L1259" s="75">
        <v>85.5</v>
      </c>
      <c r="M1259" s="60">
        <v>1</v>
      </c>
      <c r="N1259" s="76">
        <v>250</v>
      </c>
      <c r="O1259" s="42"/>
      <c r="P1259" s="58" t="s">
        <v>36</v>
      </c>
      <c r="Q1259" s="61"/>
      <c r="R1259" s="62"/>
      <c r="S1259" s="78">
        <f t="shared" si="57"/>
        <v>250</v>
      </c>
      <c r="T1259" s="44" t="str">
        <f t="shared" si="58"/>
        <v>250grams</v>
      </c>
      <c r="U1259" s="77">
        <f t="shared" si="59"/>
        <v>85.5</v>
      </c>
      <c r="V1259" s="46"/>
      <c r="W1259" s="46"/>
      <c r="X1259" s="46"/>
    </row>
    <row r="1260" spans="1:24" ht="15.75" customHeight="1" thickBot="1" x14ac:dyDescent="0.35">
      <c r="A1260" s="40"/>
      <c r="B1260" s="68" t="s">
        <v>683</v>
      </c>
      <c r="C1260" s="55"/>
      <c r="D1260" s="41"/>
      <c r="E1260" s="55"/>
      <c r="F1260" s="55"/>
      <c r="G1260" s="55"/>
      <c r="H1260" s="51"/>
      <c r="I1260" s="52"/>
      <c r="J1260" s="74" t="s">
        <v>1064</v>
      </c>
      <c r="K1260" s="57"/>
      <c r="L1260" s="75">
        <v>272</v>
      </c>
      <c r="M1260" s="60">
        <v>0</v>
      </c>
      <c r="N1260" s="76">
        <v>410</v>
      </c>
      <c r="O1260" s="42"/>
      <c r="P1260" s="58" t="s">
        <v>47</v>
      </c>
      <c r="Q1260" s="61"/>
      <c r="R1260" s="62"/>
      <c r="S1260" s="78">
        <f t="shared" si="57"/>
        <v>0</v>
      </c>
      <c r="T1260" s="44" t="str">
        <f t="shared" si="58"/>
        <v>0ml</v>
      </c>
      <c r="U1260" s="77">
        <f t="shared" si="59"/>
        <v>0</v>
      </c>
      <c r="V1260" s="46"/>
      <c r="W1260" s="46"/>
      <c r="X1260" s="46"/>
    </row>
    <row r="1261" spans="1:24" ht="15.75" customHeight="1" thickBot="1" x14ac:dyDescent="0.35">
      <c r="A1261" s="40"/>
      <c r="B1261" s="68" t="s">
        <v>683</v>
      </c>
      <c r="C1261" s="55"/>
      <c r="D1261" s="41"/>
      <c r="E1261" s="55"/>
      <c r="F1261" s="55"/>
      <c r="G1261" s="55"/>
      <c r="H1261" s="51"/>
      <c r="I1261" s="52"/>
      <c r="J1261" s="74" t="s">
        <v>942</v>
      </c>
      <c r="K1261" s="57"/>
      <c r="L1261" s="75">
        <v>155</v>
      </c>
      <c r="M1261" s="60">
        <v>1</v>
      </c>
      <c r="N1261" s="76">
        <v>210</v>
      </c>
      <c r="O1261" s="42"/>
      <c r="P1261" s="58" t="s">
        <v>47</v>
      </c>
      <c r="Q1261" s="61"/>
      <c r="R1261" s="62"/>
      <c r="S1261" s="78">
        <f t="shared" si="57"/>
        <v>210</v>
      </c>
      <c r="T1261" s="44" t="str">
        <f t="shared" si="58"/>
        <v>210ml</v>
      </c>
      <c r="U1261" s="77">
        <f t="shared" si="59"/>
        <v>155</v>
      </c>
      <c r="V1261" s="46"/>
      <c r="W1261" s="46"/>
      <c r="X1261" s="46"/>
    </row>
    <row r="1262" spans="1:24" ht="15.75" customHeight="1" thickBot="1" x14ac:dyDescent="0.35">
      <c r="A1262" s="40"/>
      <c r="B1262" s="67" t="s">
        <v>1616</v>
      </c>
      <c r="C1262" s="55"/>
      <c r="D1262" s="41"/>
      <c r="E1262" s="55"/>
      <c r="F1262" s="55"/>
      <c r="G1262" s="55"/>
      <c r="H1262" s="51"/>
      <c r="I1262" s="52"/>
      <c r="J1262" s="74" t="s">
        <v>813</v>
      </c>
      <c r="K1262" s="57"/>
      <c r="L1262" s="75">
        <v>25</v>
      </c>
      <c r="M1262" s="60">
        <v>1</v>
      </c>
      <c r="N1262" s="76">
        <v>50</v>
      </c>
      <c r="O1262" s="42"/>
      <c r="P1262" s="58" t="s">
        <v>36</v>
      </c>
      <c r="Q1262" s="61"/>
      <c r="R1262" s="62"/>
      <c r="S1262" s="78">
        <f t="shared" si="57"/>
        <v>50</v>
      </c>
      <c r="T1262" s="44" t="str">
        <f t="shared" si="58"/>
        <v>50grams</v>
      </c>
      <c r="U1262" s="77">
        <f t="shared" si="59"/>
        <v>25</v>
      </c>
      <c r="V1262" s="46"/>
      <c r="W1262" s="46"/>
      <c r="X1262" s="46"/>
    </row>
    <row r="1263" spans="1:24" ht="15.75" customHeight="1" thickBot="1" x14ac:dyDescent="0.35">
      <c r="A1263" s="40"/>
      <c r="B1263" s="67" t="s">
        <v>1616</v>
      </c>
      <c r="C1263" s="55"/>
      <c r="D1263" s="41"/>
      <c r="E1263" s="55"/>
      <c r="F1263" s="55"/>
      <c r="G1263" s="55"/>
      <c r="H1263" s="51"/>
      <c r="I1263" s="52"/>
      <c r="J1263" s="74" t="s">
        <v>924</v>
      </c>
      <c r="K1263" s="57"/>
      <c r="L1263" s="75">
        <v>300</v>
      </c>
      <c r="M1263" s="60">
        <v>1</v>
      </c>
      <c r="N1263" s="76">
        <v>1</v>
      </c>
      <c r="O1263" s="42"/>
      <c r="P1263" s="58" t="s">
        <v>88</v>
      </c>
      <c r="Q1263" s="61"/>
      <c r="R1263" s="62"/>
      <c r="S1263" s="78">
        <f t="shared" si="57"/>
        <v>1</v>
      </c>
      <c r="T1263" s="44" t="str">
        <f t="shared" si="58"/>
        <v>1kilos</v>
      </c>
      <c r="U1263" s="77">
        <f t="shared" si="59"/>
        <v>300</v>
      </c>
      <c r="V1263" s="46"/>
      <c r="W1263" s="46"/>
      <c r="X1263" s="46"/>
    </row>
    <row r="1264" spans="1:24" ht="15.75" customHeight="1" thickBot="1" x14ac:dyDescent="0.35">
      <c r="A1264" s="40"/>
      <c r="B1264" s="67" t="s">
        <v>1617</v>
      </c>
      <c r="C1264" s="55"/>
      <c r="D1264" s="41"/>
      <c r="E1264" s="55"/>
      <c r="F1264" s="55"/>
      <c r="G1264" s="55"/>
      <c r="H1264" s="51"/>
      <c r="I1264" s="52"/>
      <c r="J1264" s="74" t="s">
        <v>1618</v>
      </c>
      <c r="K1264" s="57"/>
      <c r="L1264" s="75">
        <v>6.58</v>
      </c>
      <c r="M1264" s="60">
        <v>12</v>
      </c>
      <c r="N1264" s="76">
        <v>13.5</v>
      </c>
      <c r="O1264" s="42"/>
      <c r="P1264" s="58" t="s">
        <v>47</v>
      </c>
      <c r="Q1264" s="61"/>
      <c r="R1264" s="62"/>
      <c r="S1264" s="78">
        <f t="shared" si="57"/>
        <v>162</v>
      </c>
      <c r="T1264" s="44" t="str">
        <f t="shared" si="58"/>
        <v>162ml</v>
      </c>
      <c r="U1264" s="77">
        <f t="shared" si="59"/>
        <v>78.960000000000008</v>
      </c>
      <c r="V1264" s="46"/>
      <c r="W1264" s="46"/>
      <c r="X1264" s="46"/>
    </row>
    <row r="1265" spans="1:24" ht="15.75" customHeight="1" thickBot="1" x14ac:dyDescent="0.35">
      <c r="A1265" s="40"/>
      <c r="B1265" s="67" t="s">
        <v>1617</v>
      </c>
      <c r="C1265" s="55"/>
      <c r="D1265" s="41"/>
      <c r="E1265" s="55"/>
      <c r="F1265" s="55"/>
      <c r="G1265" s="55"/>
      <c r="H1265" s="51"/>
      <c r="I1265" s="52"/>
      <c r="J1265" s="74" t="s">
        <v>1618</v>
      </c>
      <c r="K1265" s="57"/>
      <c r="L1265" s="75">
        <v>5.9</v>
      </c>
      <c r="M1265" s="60">
        <v>20</v>
      </c>
      <c r="N1265" s="76">
        <v>13.5</v>
      </c>
      <c r="O1265" s="42"/>
      <c r="P1265" s="58" t="s">
        <v>47</v>
      </c>
      <c r="Q1265" s="61"/>
      <c r="R1265" s="62"/>
      <c r="S1265" s="78">
        <f t="shared" si="57"/>
        <v>270</v>
      </c>
      <c r="T1265" s="44" t="str">
        <f t="shared" si="58"/>
        <v>270ml</v>
      </c>
      <c r="U1265" s="77">
        <f t="shared" si="59"/>
        <v>118</v>
      </c>
      <c r="V1265" s="46"/>
      <c r="W1265" s="46"/>
      <c r="X1265" s="46"/>
    </row>
    <row r="1266" spans="1:24" ht="15.75" customHeight="1" thickBot="1" x14ac:dyDescent="0.35">
      <c r="A1266" s="40"/>
      <c r="B1266" s="67" t="s">
        <v>1619</v>
      </c>
      <c r="C1266" s="55"/>
      <c r="D1266" s="41"/>
      <c r="E1266" s="55"/>
      <c r="F1266" s="55"/>
      <c r="G1266" s="55"/>
      <c r="H1266" s="51"/>
      <c r="I1266" s="52"/>
      <c r="J1266" s="74" t="s">
        <v>1004</v>
      </c>
      <c r="K1266" s="57"/>
      <c r="L1266" s="75">
        <v>39.950000000000003</v>
      </c>
      <c r="M1266" s="60">
        <v>2</v>
      </c>
      <c r="N1266" s="76">
        <v>156</v>
      </c>
      <c r="O1266" s="42"/>
      <c r="P1266" s="58" t="s">
        <v>138</v>
      </c>
      <c r="Q1266" s="61"/>
      <c r="R1266" s="62"/>
      <c r="S1266" s="78">
        <f t="shared" si="57"/>
        <v>312</v>
      </c>
      <c r="T1266" s="44" t="str">
        <f t="shared" si="58"/>
        <v>312drained weight grams</v>
      </c>
      <c r="U1266" s="77">
        <f t="shared" si="59"/>
        <v>79.900000000000006</v>
      </c>
      <c r="V1266" s="46"/>
      <c r="W1266" s="46"/>
      <c r="X1266" s="46"/>
    </row>
    <row r="1267" spans="1:24" ht="15.75" customHeight="1" thickBot="1" x14ac:dyDescent="0.35">
      <c r="A1267" s="40"/>
      <c r="B1267" s="67" t="s">
        <v>1619</v>
      </c>
      <c r="C1267" s="55"/>
      <c r="D1267" s="41"/>
      <c r="E1267" s="55"/>
      <c r="F1267" s="55"/>
      <c r="G1267" s="55"/>
      <c r="H1267" s="51"/>
      <c r="I1267" s="52"/>
      <c r="J1267" s="74" t="s">
        <v>1004</v>
      </c>
      <c r="K1267" s="57"/>
      <c r="L1267" s="75">
        <v>54</v>
      </c>
      <c r="M1267" s="60">
        <v>1</v>
      </c>
      <c r="N1267" s="76">
        <v>156</v>
      </c>
      <c r="O1267" s="42"/>
      <c r="P1267" s="58" t="s">
        <v>138</v>
      </c>
      <c r="Q1267" s="61"/>
      <c r="R1267" s="62"/>
      <c r="S1267" s="78">
        <f t="shared" si="57"/>
        <v>156</v>
      </c>
      <c r="T1267" s="44" t="str">
        <f t="shared" si="58"/>
        <v>156drained weight grams</v>
      </c>
      <c r="U1267" s="77">
        <f t="shared" si="59"/>
        <v>54</v>
      </c>
      <c r="V1267" s="46"/>
      <c r="W1267" s="46"/>
      <c r="X1267" s="46"/>
    </row>
    <row r="1268" spans="1:24" ht="15.75" customHeight="1" thickBot="1" x14ac:dyDescent="0.35">
      <c r="A1268" s="40"/>
      <c r="B1268" s="68" t="s">
        <v>1620</v>
      </c>
      <c r="C1268" s="55"/>
      <c r="D1268" s="41"/>
      <c r="E1268" s="55"/>
      <c r="F1268" s="55"/>
      <c r="G1268" s="55"/>
      <c r="H1268" s="51"/>
      <c r="I1268" s="52"/>
      <c r="J1268" s="74" t="s">
        <v>1621</v>
      </c>
      <c r="K1268" s="57"/>
      <c r="L1268" s="75">
        <v>57.25</v>
      </c>
      <c r="M1268" s="60">
        <v>2</v>
      </c>
      <c r="N1268" s="76">
        <v>285</v>
      </c>
      <c r="O1268" s="42"/>
      <c r="P1268" s="58" t="s">
        <v>47</v>
      </c>
      <c r="Q1268" s="61"/>
      <c r="R1268" s="62"/>
      <c r="S1268" s="78">
        <f t="shared" si="57"/>
        <v>570</v>
      </c>
      <c r="T1268" s="44" t="str">
        <f t="shared" si="58"/>
        <v>570ml</v>
      </c>
      <c r="U1268" s="77">
        <f t="shared" si="59"/>
        <v>114.5</v>
      </c>
      <c r="V1268" s="46"/>
      <c r="W1268" s="46"/>
      <c r="X1268" s="46"/>
    </row>
    <row r="1269" spans="1:24" ht="15.75" customHeight="1" thickBot="1" x14ac:dyDescent="0.35">
      <c r="A1269" s="40"/>
      <c r="B1269" s="67" t="s">
        <v>1622</v>
      </c>
      <c r="C1269" s="55"/>
      <c r="D1269" s="41"/>
      <c r="E1269" s="55"/>
      <c r="F1269" s="55"/>
      <c r="G1269" s="55"/>
      <c r="H1269" s="51"/>
      <c r="I1269" s="52"/>
      <c r="J1269" s="74"/>
      <c r="K1269" s="57"/>
      <c r="L1269" s="75">
        <v>420</v>
      </c>
      <c r="M1269" s="60">
        <v>2</v>
      </c>
      <c r="N1269" s="76">
        <v>1</v>
      </c>
      <c r="O1269" s="42"/>
      <c r="P1269" s="58" t="s">
        <v>88</v>
      </c>
      <c r="Q1269" s="61"/>
      <c r="R1269" s="62"/>
      <c r="S1269" s="78">
        <f t="shared" si="57"/>
        <v>2</v>
      </c>
      <c r="T1269" s="44" t="str">
        <f t="shared" si="58"/>
        <v>2kilos</v>
      </c>
      <c r="U1269" s="77">
        <f t="shared" si="59"/>
        <v>840</v>
      </c>
      <c r="V1269" s="46"/>
      <c r="W1269" s="46"/>
      <c r="X1269" s="46"/>
    </row>
    <row r="1270" spans="1:24" ht="15.75" customHeight="1" thickBot="1" x14ac:dyDescent="0.35">
      <c r="A1270" s="40"/>
      <c r="B1270" s="67" t="s">
        <v>1623</v>
      </c>
      <c r="C1270" s="55"/>
      <c r="D1270" s="41"/>
      <c r="E1270" s="55"/>
      <c r="F1270" s="55"/>
      <c r="G1270" s="55"/>
      <c r="H1270" s="51"/>
      <c r="I1270" s="52"/>
      <c r="J1270" s="74"/>
      <c r="K1270" s="57"/>
      <c r="L1270" s="75">
        <v>130</v>
      </c>
      <c r="M1270" s="60">
        <v>0</v>
      </c>
      <c r="N1270" s="76">
        <v>1</v>
      </c>
      <c r="O1270" s="42"/>
      <c r="P1270" s="58" t="s">
        <v>88</v>
      </c>
      <c r="Q1270" s="61"/>
      <c r="R1270" s="62"/>
      <c r="S1270" s="78">
        <f t="shared" ref="S1270:S1333" si="60">M1270*N1270</f>
        <v>0</v>
      </c>
      <c r="T1270" s="44" t="str">
        <f t="shared" ref="T1270:T1333" si="61">CONCATENATE(S1270,Q1270,P1270)</f>
        <v>0kilos</v>
      </c>
      <c r="U1270" s="77">
        <f t="shared" ref="U1270:U1333" si="62">L1270*M1270</f>
        <v>0</v>
      </c>
      <c r="V1270" s="46"/>
      <c r="W1270" s="46"/>
      <c r="X1270" s="46"/>
    </row>
    <row r="1271" spans="1:24" ht="15.75" customHeight="1" thickBot="1" x14ac:dyDescent="0.35">
      <c r="A1271" s="40"/>
      <c r="B1271" s="67" t="s">
        <v>1624</v>
      </c>
      <c r="C1271" s="55"/>
      <c r="D1271" s="41"/>
      <c r="E1271" s="55"/>
      <c r="F1271" s="55"/>
      <c r="G1271" s="55"/>
      <c r="H1271" s="51"/>
      <c r="I1271" s="52"/>
      <c r="J1271" s="74" t="s">
        <v>1625</v>
      </c>
      <c r="K1271" s="57"/>
      <c r="L1271" s="75">
        <v>600</v>
      </c>
      <c r="M1271" s="60">
        <v>0</v>
      </c>
      <c r="N1271" s="76">
        <v>1000</v>
      </c>
      <c r="O1271" s="42"/>
      <c r="P1271" s="58" t="s">
        <v>88</v>
      </c>
      <c r="Q1271" s="61"/>
      <c r="R1271" s="62"/>
      <c r="S1271" s="78">
        <f t="shared" si="60"/>
        <v>0</v>
      </c>
      <c r="T1271" s="44" t="str">
        <f t="shared" si="61"/>
        <v>0kilos</v>
      </c>
      <c r="U1271" s="77">
        <f t="shared" si="62"/>
        <v>0</v>
      </c>
      <c r="V1271" s="46"/>
      <c r="W1271" s="46"/>
      <c r="X1271" s="46"/>
    </row>
    <row r="1272" spans="1:24" ht="15.75" customHeight="1" thickBot="1" x14ac:dyDescent="0.35">
      <c r="A1272" s="40"/>
      <c r="B1272" s="67" t="s">
        <v>1624</v>
      </c>
      <c r="C1272" s="55"/>
      <c r="D1272" s="41"/>
      <c r="E1272" s="55"/>
      <c r="F1272" s="55"/>
      <c r="G1272" s="55"/>
      <c r="H1272" s="51"/>
      <c r="I1272" s="52"/>
      <c r="J1272" s="74"/>
      <c r="K1272" s="57"/>
      <c r="L1272" s="75">
        <v>730</v>
      </c>
      <c r="M1272" s="60">
        <v>1</v>
      </c>
      <c r="N1272" s="76">
        <v>1</v>
      </c>
      <c r="O1272" s="42"/>
      <c r="P1272" s="58" t="s">
        <v>88</v>
      </c>
      <c r="Q1272" s="61"/>
      <c r="R1272" s="62"/>
      <c r="S1272" s="78">
        <f t="shared" si="60"/>
        <v>1</v>
      </c>
      <c r="T1272" s="44" t="str">
        <f t="shared" si="61"/>
        <v>1kilos</v>
      </c>
      <c r="U1272" s="77">
        <f t="shared" si="62"/>
        <v>730</v>
      </c>
      <c r="V1272" s="46"/>
      <c r="W1272" s="46"/>
      <c r="X1272" s="46"/>
    </row>
    <row r="1273" spans="1:24" ht="15.75" customHeight="1" thickBot="1" x14ac:dyDescent="0.35">
      <c r="A1273" s="40"/>
      <c r="B1273" s="67" t="s">
        <v>1624</v>
      </c>
      <c r="C1273" s="55"/>
      <c r="D1273" s="41"/>
      <c r="E1273" s="55"/>
      <c r="F1273" s="55"/>
      <c r="G1273" s="55"/>
      <c r="H1273" s="51"/>
      <c r="I1273" s="52"/>
      <c r="J1273" s="74"/>
      <c r="K1273" s="57"/>
      <c r="L1273" s="75">
        <v>1000</v>
      </c>
      <c r="M1273" s="60">
        <v>1</v>
      </c>
      <c r="N1273" s="76">
        <v>1</v>
      </c>
      <c r="O1273" s="42"/>
      <c r="P1273" s="58" t="s">
        <v>88</v>
      </c>
      <c r="Q1273" s="61"/>
      <c r="R1273" s="62"/>
      <c r="S1273" s="78">
        <f t="shared" si="60"/>
        <v>1</v>
      </c>
      <c r="T1273" s="44" t="str">
        <f t="shared" si="61"/>
        <v>1kilos</v>
      </c>
      <c r="U1273" s="77">
        <f t="shared" si="62"/>
        <v>1000</v>
      </c>
      <c r="V1273" s="46"/>
      <c r="W1273" s="46"/>
      <c r="X1273" s="46"/>
    </row>
    <row r="1274" spans="1:24" ht="15.75" customHeight="1" thickBot="1" x14ac:dyDescent="0.35">
      <c r="A1274" s="40"/>
      <c r="B1274" s="67" t="s">
        <v>1626</v>
      </c>
      <c r="C1274" s="55"/>
      <c r="D1274" s="41"/>
      <c r="E1274" s="55"/>
      <c r="F1274" s="55"/>
      <c r="G1274" s="55"/>
      <c r="H1274" s="51"/>
      <c r="I1274" s="52"/>
      <c r="J1274" s="74"/>
      <c r="K1274" s="57"/>
      <c r="L1274" s="75">
        <v>115</v>
      </c>
      <c r="M1274" s="60">
        <v>1</v>
      </c>
      <c r="N1274" s="76">
        <v>1</v>
      </c>
      <c r="O1274" s="42"/>
      <c r="P1274" s="58" t="s">
        <v>88</v>
      </c>
      <c r="Q1274" s="61"/>
      <c r="R1274" s="62"/>
      <c r="S1274" s="78">
        <f t="shared" si="60"/>
        <v>1</v>
      </c>
      <c r="T1274" s="44" t="str">
        <f t="shared" si="61"/>
        <v>1kilos</v>
      </c>
      <c r="U1274" s="77">
        <f t="shared" si="62"/>
        <v>115</v>
      </c>
      <c r="V1274" s="46"/>
      <c r="W1274" s="46"/>
      <c r="X1274" s="46"/>
    </row>
    <row r="1275" spans="1:24" ht="15.75" customHeight="1" thickBot="1" x14ac:dyDescent="0.35">
      <c r="A1275" s="40"/>
      <c r="B1275" s="67" t="s">
        <v>1627</v>
      </c>
      <c r="C1275" s="55"/>
      <c r="D1275" s="41"/>
      <c r="E1275" s="55"/>
      <c r="F1275" s="55"/>
      <c r="G1275" s="55"/>
      <c r="H1275" s="51"/>
      <c r="I1275" s="52"/>
      <c r="J1275" s="74" t="s">
        <v>1375</v>
      </c>
      <c r="K1275" s="57"/>
      <c r="L1275" s="75">
        <v>14.4</v>
      </c>
      <c r="M1275" s="60">
        <v>13</v>
      </c>
      <c r="N1275" s="76">
        <v>25</v>
      </c>
      <c r="O1275" s="42"/>
      <c r="P1275" s="58" t="s">
        <v>36</v>
      </c>
      <c r="Q1275" s="61"/>
      <c r="R1275" s="62"/>
      <c r="S1275" s="78">
        <f t="shared" si="60"/>
        <v>325</v>
      </c>
      <c r="T1275" s="44" t="str">
        <f t="shared" si="61"/>
        <v>325grams</v>
      </c>
      <c r="U1275" s="77">
        <f t="shared" si="62"/>
        <v>187.20000000000002</v>
      </c>
      <c r="V1275" s="46"/>
      <c r="W1275" s="46"/>
      <c r="X1275" s="46"/>
    </row>
    <row r="1276" spans="1:24" ht="15.75" customHeight="1" thickBot="1" x14ac:dyDescent="0.35">
      <c r="A1276" s="40"/>
      <c r="B1276" s="67" t="s">
        <v>1627</v>
      </c>
      <c r="C1276" s="55"/>
      <c r="D1276" s="41"/>
      <c r="E1276" s="55"/>
      <c r="F1276" s="55"/>
      <c r="G1276" s="55"/>
      <c r="H1276" s="51"/>
      <c r="I1276" s="52"/>
      <c r="J1276" s="74" t="s">
        <v>949</v>
      </c>
      <c r="K1276" s="57"/>
      <c r="L1276" s="75">
        <v>14</v>
      </c>
      <c r="M1276" s="60">
        <v>12</v>
      </c>
      <c r="N1276" s="76">
        <v>25</v>
      </c>
      <c r="O1276" s="42"/>
      <c r="P1276" s="58" t="s">
        <v>36</v>
      </c>
      <c r="Q1276" s="61"/>
      <c r="R1276" s="62"/>
      <c r="S1276" s="78">
        <f t="shared" si="60"/>
        <v>300</v>
      </c>
      <c r="T1276" s="44" t="str">
        <f t="shared" si="61"/>
        <v>300grams</v>
      </c>
      <c r="U1276" s="77">
        <f t="shared" si="62"/>
        <v>168</v>
      </c>
      <c r="V1276" s="46"/>
      <c r="W1276" s="46"/>
      <c r="X1276" s="46"/>
    </row>
    <row r="1277" spans="1:24" ht="15.75" customHeight="1" thickBot="1" x14ac:dyDescent="0.35">
      <c r="A1277" s="40"/>
      <c r="B1277" s="67" t="s">
        <v>689</v>
      </c>
      <c r="C1277" s="55"/>
      <c r="D1277" s="41"/>
      <c r="E1277" s="55"/>
      <c r="F1277" s="55"/>
      <c r="G1277" s="55"/>
      <c r="H1277" s="51"/>
      <c r="I1277" s="52"/>
      <c r="J1277" s="74" t="s">
        <v>1375</v>
      </c>
      <c r="K1277" s="57"/>
      <c r="L1277" s="75">
        <v>14.2</v>
      </c>
      <c r="M1277" s="60">
        <v>13</v>
      </c>
      <c r="N1277" s="76">
        <v>25</v>
      </c>
      <c r="O1277" s="42"/>
      <c r="P1277" s="58" t="s">
        <v>36</v>
      </c>
      <c r="Q1277" s="61"/>
      <c r="R1277" s="62"/>
      <c r="S1277" s="78">
        <f t="shared" si="60"/>
        <v>325</v>
      </c>
      <c r="T1277" s="44" t="str">
        <f t="shared" si="61"/>
        <v>325grams</v>
      </c>
      <c r="U1277" s="77">
        <f t="shared" si="62"/>
        <v>184.6</v>
      </c>
      <c r="V1277" s="46"/>
      <c r="W1277" s="46"/>
      <c r="X1277" s="46"/>
    </row>
    <row r="1278" spans="1:24" ht="15.75" customHeight="1" thickBot="1" x14ac:dyDescent="0.35">
      <c r="A1278" s="40"/>
      <c r="B1278" s="67" t="s">
        <v>689</v>
      </c>
      <c r="C1278" s="55"/>
      <c r="D1278" s="41"/>
      <c r="E1278" s="55"/>
      <c r="F1278" s="55"/>
      <c r="G1278" s="55"/>
      <c r="H1278" s="51"/>
      <c r="I1278" s="52"/>
      <c r="J1278" s="74" t="s">
        <v>1375</v>
      </c>
      <c r="K1278" s="57"/>
      <c r="L1278" s="75">
        <v>14.8</v>
      </c>
      <c r="M1278" s="60">
        <v>12</v>
      </c>
      <c r="N1278" s="76">
        <v>25</v>
      </c>
      <c r="O1278" s="42"/>
      <c r="P1278" s="58" t="s">
        <v>36</v>
      </c>
      <c r="Q1278" s="61"/>
      <c r="R1278" s="62"/>
      <c r="S1278" s="78">
        <f t="shared" si="60"/>
        <v>300</v>
      </c>
      <c r="T1278" s="44" t="str">
        <f t="shared" si="61"/>
        <v>300grams</v>
      </c>
      <c r="U1278" s="77">
        <f t="shared" si="62"/>
        <v>177.60000000000002</v>
      </c>
      <c r="V1278" s="46"/>
      <c r="W1278" s="46"/>
      <c r="X1278" s="46"/>
    </row>
    <row r="1279" spans="1:24" ht="15.75" customHeight="1" thickBot="1" x14ac:dyDescent="0.35">
      <c r="A1279" s="40"/>
      <c r="B1279" s="67" t="s">
        <v>689</v>
      </c>
      <c r="C1279" s="55"/>
      <c r="D1279" s="41"/>
      <c r="E1279" s="55"/>
      <c r="F1279" s="55"/>
      <c r="G1279" s="55"/>
      <c r="H1279" s="51"/>
      <c r="I1279" s="52"/>
      <c r="J1279" s="74" t="s">
        <v>949</v>
      </c>
      <c r="K1279" s="57"/>
      <c r="L1279" s="75">
        <v>29</v>
      </c>
      <c r="M1279" s="60">
        <v>10</v>
      </c>
      <c r="N1279" s="76">
        <v>44</v>
      </c>
      <c r="O1279" s="42"/>
      <c r="P1279" s="58" t="s">
        <v>36</v>
      </c>
      <c r="Q1279" s="61"/>
      <c r="R1279" s="62"/>
      <c r="S1279" s="78">
        <f t="shared" si="60"/>
        <v>440</v>
      </c>
      <c r="T1279" s="44" t="str">
        <f t="shared" si="61"/>
        <v>440grams</v>
      </c>
      <c r="U1279" s="77">
        <f t="shared" si="62"/>
        <v>290</v>
      </c>
      <c r="V1279" s="46"/>
      <c r="W1279" s="46"/>
      <c r="X1279" s="46"/>
    </row>
    <row r="1280" spans="1:24" ht="15.75" customHeight="1" thickBot="1" x14ac:dyDescent="0.35">
      <c r="A1280" s="40"/>
      <c r="B1280" s="67" t="s">
        <v>689</v>
      </c>
      <c r="C1280" s="55"/>
      <c r="D1280" s="41"/>
      <c r="E1280" s="55"/>
      <c r="F1280" s="55"/>
      <c r="G1280" s="55"/>
      <c r="H1280" s="51"/>
      <c r="I1280" s="52"/>
      <c r="J1280" s="74" t="s">
        <v>1375</v>
      </c>
      <c r="K1280" s="57"/>
      <c r="L1280" s="75">
        <v>11.84</v>
      </c>
      <c r="M1280" s="60">
        <v>27</v>
      </c>
      <c r="N1280" s="76">
        <v>25</v>
      </c>
      <c r="O1280" s="42"/>
      <c r="P1280" s="58" t="s">
        <v>36</v>
      </c>
      <c r="Q1280" s="61"/>
      <c r="R1280" s="62"/>
      <c r="S1280" s="78">
        <f t="shared" si="60"/>
        <v>675</v>
      </c>
      <c r="T1280" s="44" t="str">
        <f t="shared" si="61"/>
        <v>675grams</v>
      </c>
      <c r="U1280" s="77">
        <f t="shared" si="62"/>
        <v>319.68</v>
      </c>
      <c r="V1280" s="46"/>
      <c r="W1280" s="46"/>
      <c r="X1280" s="46"/>
    </row>
    <row r="1281" spans="1:24" ht="15.75" customHeight="1" thickBot="1" x14ac:dyDescent="0.35">
      <c r="A1281" s="40"/>
      <c r="B1281" s="67" t="s">
        <v>689</v>
      </c>
      <c r="C1281" s="55"/>
      <c r="D1281" s="41"/>
      <c r="E1281" s="55"/>
      <c r="F1281" s="55"/>
      <c r="G1281" s="55"/>
      <c r="H1281" s="51"/>
      <c r="I1281" s="52"/>
      <c r="J1281" s="74" t="s">
        <v>1375</v>
      </c>
      <c r="K1281" s="57"/>
      <c r="L1281" s="75">
        <v>318</v>
      </c>
      <c r="M1281" s="60">
        <v>2</v>
      </c>
      <c r="N1281" s="76">
        <v>1000</v>
      </c>
      <c r="O1281" s="42"/>
      <c r="P1281" s="58" t="s">
        <v>36</v>
      </c>
      <c r="Q1281" s="61"/>
      <c r="R1281" s="62"/>
      <c r="S1281" s="78">
        <f t="shared" si="60"/>
        <v>2000</v>
      </c>
      <c r="T1281" s="44" t="str">
        <f t="shared" si="61"/>
        <v>2000grams</v>
      </c>
      <c r="U1281" s="77">
        <f t="shared" si="62"/>
        <v>636</v>
      </c>
      <c r="V1281" s="46"/>
      <c r="W1281" s="46"/>
      <c r="X1281" s="46"/>
    </row>
    <row r="1282" spans="1:24" ht="15.75" customHeight="1" thickBot="1" x14ac:dyDescent="0.35">
      <c r="A1282" s="40"/>
      <c r="B1282" s="67" t="s">
        <v>689</v>
      </c>
      <c r="C1282" s="55"/>
      <c r="D1282" s="41"/>
      <c r="E1282" s="55"/>
      <c r="F1282" s="55"/>
      <c r="G1282" s="55"/>
      <c r="H1282" s="51"/>
      <c r="I1282" s="52"/>
      <c r="J1282" s="74" t="s">
        <v>949</v>
      </c>
      <c r="K1282" s="57"/>
      <c r="L1282" s="75">
        <v>28</v>
      </c>
      <c r="M1282" s="60">
        <v>19</v>
      </c>
      <c r="N1282" s="76">
        <v>44</v>
      </c>
      <c r="O1282" s="42"/>
      <c r="P1282" s="58" t="s">
        <v>36</v>
      </c>
      <c r="Q1282" s="61"/>
      <c r="R1282" s="62"/>
      <c r="S1282" s="78">
        <f t="shared" si="60"/>
        <v>836</v>
      </c>
      <c r="T1282" s="44" t="str">
        <f t="shared" si="61"/>
        <v>836grams</v>
      </c>
      <c r="U1282" s="77">
        <f t="shared" si="62"/>
        <v>532</v>
      </c>
      <c r="V1282" s="46"/>
      <c r="W1282" s="46"/>
      <c r="X1282" s="46"/>
    </row>
    <row r="1283" spans="1:24" ht="15.75" customHeight="1" thickBot="1" x14ac:dyDescent="0.35">
      <c r="A1283" s="40"/>
      <c r="B1283" s="67" t="s">
        <v>689</v>
      </c>
      <c r="C1283" s="55"/>
      <c r="D1283" s="41"/>
      <c r="E1283" s="55"/>
      <c r="F1283" s="55"/>
      <c r="G1283" s="55"/>
      <c r="H1283" s="51"/>
      <c r="I1283" s="52"/>
      <c r="J1283" s="74" t="s">
        <v>949</v>
      </c>
      <c r="K1283" s="57"/>
      <c r="L1283" s="75">
        <v>28</v>
      </c>
      <c r="M1283" s="60">
        <v>12</v>
      </c>
      <c r="N1283" s="76">
        <v>44</v>
      </c>
      <c r="O1283" s="42"/>
      <c r="P1283" s="58" t="s">
        <v>36</v>
      </c>
      <c r="Q1283" s="61"/>
      <c r="R1283" s="62"/>
      <c r="S1283" s="78">
        <f t="shared" si="60"/>
        <v>528</v>
      </c>
      <c r="T1283" s="44" t="str">
        <f t="shared" si="61"/>
        <v>528grams</v>
      </c>
      <c r="U1283" s="77">
        <f t="shared" si="62"/>
        <v>336</v>
      </c>
      <c r="V1283" s="46"/>
      <c r="W1283" s="46"/>
      <c r="X1283" s="46"/>
    </row>
    <row r="1284" spans="1:24" ht="15.75" customHeight="1" thickBot="1" x14ac:dyDescent="0.35">
      <c r="A1284" s="40"/>
      <c r="B1284" s="67" t="s">
        <v>689</v>
      </c>
      <c r="C1284" s="55"/>
      <c r="D1284" s="41"/>
      <c r="E1284" s="55"/>
      <c r="F1284" s="55"/>
      <c r="G1284" s="55"/>
      <c r="H1284" s="51"/>
      <c r="I1284" s="52"/>
      <c r="J1284" s="74" t="s">
        <v>949</v>
      </c>
      <c r="K1284" s="57"/>
      <c r="L1284" s="75">
        <v>27.7</v>
      </c>
      <c r="M1284" s="60">
        <v>7</v>
      </c>
      <c r="N1284" s="76">
        <v>44</v>
      </c>
      <c r="O1284" s="42"/>
      <c r="P1284" s="58" t="s">
        <v>36</v>
      </c>
      <c r="Q1284" s="61"/>
      <c r="R1284" s="62"/>
      <c r="S1284" s="78">
        <f t="shared" si="60"/>
        <v>308</v>
      </c>
      <c r="T1284" s="44" t="str">
        <f t="shared" si="61"/>
        <v>308grams</v>
      </c>
      <c r="U1284" s="77">
        <f t="shared" si="62"/>
        <v>193.9</v>
      </c>
      <c r="V1284" s="46"/>
      <c r="W1284" s="46"/>
      <c r="X1284" s="46"/>
    </row>
    <row r="1285" spans="1:24" ht="15.75" customHeight="1" thickBot="1" x14ac:dyDescent="0.35">
      <c r="A1285" s="40"/>
      <c r="B1285" s="67" t="s">
        <v>689</v>
      </c>
      <c r="C1285" s="55"/>
      <c r="D1285" s="41"/>
      <c r="E1285" s="55"/>
      <c r="F1285" s="55"/>
      <c r="G1285" s="55"/>
      <c r="H1285" s="51"/>
      <c r="I1285" s="52"/>
      <c r="J1285" s="74" t="s">
        <v>949</v>
      </c>
      <c r="K1285" s="57"/>
      <c r="L1285" s="75">
        <v>27.7</v>
      </c>
      <c r="M1285" s="60">
        <v>12</v>
      </c>
      <c r="N1285" s="76">
        <v>44</v>
      </c>
      <c r="O1285" s="42"/>
      <c r="P1285" s="58" t="s">
        <v>36</v>
      </c>
      <c r="Q1285" s="61"/>
      <c r="R1285" s="62"/>
      <c r="S1285" s="78">
        <f t="shared" si="60"/>
        <v>528</v>
      </c>
      <c r="T1285" s="44" t="str">
        <f t="shared" si="61"/>
        <v>528grams</v>
      </c>
      <c r="U1285" s="77">
        <f t="shared" si="62"/>
        <v>332.4</v>
      </c>
      <c r="V1285" s="46"/>
      <c r="W1285" s="46"/>
      <c r="X1285" s="46"/>
    </row>
    <row r="1286" spans="1:24" ht="15.75" customHeight="1" thickBot="1" x14ac:dyDescent="0.35">
      <c r="A1286" s="40"/>
      <c r="B1286" s="67" t="s">
        <v>1628</v>
      </c>
      <c r="C1286" s="55"/>
      <c r="D1286" s="41"/>
      <c r="E1286" s="55"/>
      <c r="F1286" s="55"/>
      <c r="G1286" s="55"/>
      <c r="H1286" s="51"/>
      <c r="I1286" s="52"/>
      <c r="J1286" s="74" t="s">
        <v>1629</v>
      </c>
      <c r="K1286" s="57"/>
      <c r="L1286" s="75">
        <v>140</v>
      </c>
      <c r="M1286" s="60">
        <v>1</v>
      </c>
      <c r="N1286" s="76">
        <v>1</v>
      </c>
      <c r="O1286" s="42"/>
      <c r="P1286" s="58" t="s">
        <v>88</v>
      </c>
      <c r="Q1286" s="61"/>
      <c r="R1286" s="62"/>
      <c r="S1286" s="78">
        <f t="shared" si="60"/>
        <v>1</v>
      </c>
      <c r="T1286" s="44" t="str">
        <f t="shared" si="61"/>
        <v>1kilos</v>
      </c>
      <c r="U1286" s="77">
        <f t="shared" si="62"/>
        <v>140</v>
      </c>
      <c r="V1286" s="46"/>
      <c r="W1286" s="46"/>
      <c r="X1286" s="46"/>
    </row>
    <row r="1287" spans="1:24" ht="15.75" customHeight="1" thickBot="1" x14ac:dyDescent="0.35">
      <c r="A1287" s="40"/>
      <c r="B1287" s="67" t="s">
        <v>1628</v>
      </c>
      <c r="C1287" s="55"/>
      <c r="D1287" s="41"/>
      <c r="E1287" s="55"/>
      <c r="F1287" s="55"/>
      <c r="G1287" s="55"/>
      <c r="H1287" s="51"/>
      <c r="I1287" s="52"/>
      <c r="J1287" s="74"/>
      <c r="K1287" s="57"/>
      <c r="L1287" s="75">
        <v>250</v>
      </c>
      <c r="M1287" s="60">
        <v>4</v>
      </c>
      <c r="N1287" s="76">
        <v>60</v>
      </c>
      <c r="O1287" s="42"/>
      <c r="P1287" s="58" t="s">
        <v>38</v>
      </c>
      <c r="Q1287" s="61"/>
      <c r="R1287" s="62"/>
      <c r="S1287" s="78">
        <f t="shared" si="60"/>
        <v>240</v>
      </c>
      <c r="T1287" s="44" t="str">
        <f t="shared" si="61"/>
        <v>240pieces</v>
      </c>
      <c r="U1287" s="77">
        <f t="shared" si="62"/>
        <v>1000</v>
      </c>
      <c r="V1287" s="46"/>
      <c r="W1287" s="46"/>
      <c r="X1287" s="46"/>
    </row>
    <row r="1288" spans="1:24" ht="15.75" customHeight="1" thickBot="1" x14ac:dyDescent="0.35">
      <c r="A1288" s="40"/>
      <c r="B1288" s="67" t="s">
        <v>1630</v>
      </c>
      <c r="C1288" s="55"/>
      <c r="D1288" s="41"/>
      <c r="E1288" s="55"/>
      <c r="F1288" s="55"/>
      <c r="G1288" s="55"/>
      <c r="H1288" s="51"/>
      <c r="I1288" s="52"/>
      <c r="J1288" s="74"/>
      <c r="K1288" s="57"/>
      <c r="L1288" s="75">
        <v>40</v>
      </c>
      <c r="M1288" s="60">
        <v>10</v>
      </c>
      <c r="N1288" s="76">
        <v>1000</v>
      </c>
      <c r="O1288" s="42"/>
      <c r="P1288" s="58" t="s">
        <v>36</v>
      </c>
      <c r="Q1288" s="61"/>
      <c r="R1288" s="62"/>
      <c r="S1288" s="78">
        <f t="shared" si="60"/>
        <v>10000</v>
      </c>
      <c r="T1288" s="44" t="str">
        <f t="shared" si="61"/>
        <v>10000grams</v>
      </c>
      <c r="U1288" s="77">
        <f t="shared" si="62"/>
        <v>400</v>
      </c>
      <c r="V1288" s="46"/>
      <c r="W1288" s="46"/>
      <c r="X1288" s="46"/>
    </row>
    <row r="1289" spans="1:24" ht="15.75" customHeight="1" thickBot="1" x14ac:dyDescent="0.35">
      <c r="A1289" s="40"/>
      <c r="B1289" s="67" t="s">
        <v>1631</v>
      </c>
      <c r="C1289" s="55"/>
      <c r="D1289" s="41"/>
      <c r="E1289" s="55"/>
      <c r="F1289" s="55"/>
      <c r="G1289" s="55"/>
      <c r="H1289" s="51"/>
      <c r="I1289" s="52"/>
      <c r="J1289" s="74" t="s">
        <v>1063</v>
      </c>
      <c r="K1289" s="57"/>
      <c r="L1289" s="75">
        <v>70</v>
      </c>
      <c r="M1289" s="60">
        <v>5</v>
      </c>
      <c r="N1289" s="76">
        <v>360</v>
      </c>
      <c r="O1289" s="42"/>
      <c r="P1289" s="58" t="s">
        <v>36</v>
      </c>
      <c r="Q1289" s="61"/>
      <c r="R1289" s="62"/>
      <c r="S1289" s="78">
        <f t="shared" si="60"/>
        <v>1800</v>
      </c>
      <c r="T1289" s="44" t="str">
        <f t="shared" si="61"/>
        <v>1800grams</v>
      </c>
      <c r="U1289" s="77">
        <f t="shared" si="62"/>
        <v>350</v>
      </c>
      <c r="V1289" s="46"/>
      <c r="W1289" s="46"/>
      <c r="X1289" s="46"/>
    </row>
    <row r="1290" spans="1:24" ht="15.75" customHeight="1" thickBot="1" x14ac:dyDescent="0.35">
      <c r="A1290" s="40"/>
      <c r="B1290" s="67" t="s">
        <v>1631</v>
      </c>
      <c r="C1290" s="55"/>
      <c r="D1290" s="41"/>
      <c r="E1290" s="55"/>
      <c r="F1290" s="55"/>
      <c r="G1290" s="55"/>
      <c r="H1290" s="51"/>
      <c r="I1290" s="52"/>
      <c r="J1290" s="74" t="s">
        <v>1632</v>
      </c>
      <c r="K1290" s="57"/>
      <c r="L1290" s="75">
        <v>285</v>
      </c>
      <c r="M1290" s="60">
        <v>1</v>
      </c>
      <c r="N1290" s="76">
        <v>500</v>
      </c>
      <c r="O1290" s="42"/>
      <c r="P1290" s="58" t="s">
        <v>36</v>
      </c>
      <c r="Q1290" s="61"/>
      <c r="R1290" s="62"/>
      <c r="S1290" s="78">
        <f t="shared" si="60"/>
        <v>500</v>
      </c>
      <c r="T1290" s="44" t="str">
        <f t="shared" si="61"/>
        <v>500grams</v>
      </c>
      <c r="U1290" s="77">
        <f t="shared" si="62"/>
        <v>285</v>
      </c>
      <c r="V1290" s="46"/>
      <c r="W1290" s="46"/>
      <c r="X1290" s="46"/>
    </row>
    <row r="1291" spans="1:24" ht="15.75" customHeight="1" thickBot="1" x14ac:dyDescent="0.35">
      <c r="A1291" s="40"/>
      <c r="B1291" s="67" t="s">
        <v>1631</v>
      </c>
      <c r="C1291" s="55"/>
      <c r="D1291" s="41"/>
      <c r="E1291" s="55"/>
      <c r="F1291" s="55"/>
      <c r="G1291" s="55"/>
      <c r="H1291" s="51"/>
      <c r="I1291" s="52"/>
      <c r="J1291" s="74" t="s">
        <v>1060</v>
      </c>
      <c r="K1291" s="57"/>
      <c r="L1291" s="75">
        <v>70</v>
      </c>
      <c r="M1291" s="60">
        <v>1</v>
      </c>
      <c r="N1291" s="76">
        <v>400</v>
      </c>
      <c r="O1291" s="42"/>
      <c r="P1291" s="58" t="s">
        <v>36</v>
      </c>
      <c r="Q1291" s="61"/>
      <c r="R1291" s="62"/>
      <c r="S1291" s="78">
        <f t="shared" si="60"/>
        <v>400</v>
      </c>
      <c r="T1291" s="44" t="str">
        <f t="shared" si="61"/>
        <v>400grams</v>
      </c>
      <c r="U1291" s="77">
        <f t="shared" si="62"/>
        <v>70</v>
      </c>
      <c r="V1291" s="46"/>
      <c r="W1291" s="46"/>
      <c r="X1291" s="46"/>
    </row>
    <row r="1292" spans="1:24" ht="15.75" customHeight="1" thickBot="1" x14ac:dyDescent="0.35">
      <c r="A1292" s="40"/>
      <c r="B1292" s="67" t="s">
        <v>1633</v>
      </c>
      <c r="C1292" s="55"/>
      <c r="D1292" s="41"/>
      <c r="E1292" s="55"/>
      <c r="F1292" s="55"/>
      <c r="G1292" s="55"/>
      <c r="H1292" s="51"/>
      <c r="I1292" s="52"/>
      <c r="J1292" s="74" t="s">
        <v>1049</v>
      </c>
      <c r="K1292" s="57"/>
      <c r="L1292" s="75">
        <v>82</v>
      </c>
      <c r="M1292" s="60">
        <v>2</v>
      </c>
      <c r="N1292" s="76">
        <v>250</v>
      </c>
      <c r="O1292" s="42"/>
      <c r="P1292" s="58" t="s">
        <v>36</v>
      </c>
      <c r="Q1292" s="61"/>
      <c r="R1292" s="62"/>
      <c r="S1292" s="78">
        <f t="shared" si="60"/>
        <v>500</v>
      </c>
      <c r="T1292" s="44" t="str">
        <f t="shared" si="61"/>
        <v>500grams</v>
      </c>
      <c r="U1292" s="77">
        <f t="shared" si="62"/>
        <v>164</v>
      </c>
      <c r="V1292" s="46"/>
      <c r="W1292" s="46"/>
      <c r="X1292" s="46"/>
    </row>
    <row r="1293" spans="1:24" ht="15.75" customHeight="1" thickBot="1" x14ac:dyDescent="0.35">
      <c r="A1293" s="40"/>
      <c r="B1293" s="67" t="s">
        <v>1633</v>
      </c>
      <c r="C1293" s="55"/>
      <c r="D1293" s="41"/>
      <c r="E1293" s="55"/>
      <c r="F1293" s="55"/>
      <c r="G1293" s="55"/>
      <c r="H1293" s="51"/>
      <c r="I1293" s="52"/>
      <c r="J1293" s="74" t="s">
        <v>1046</v>
      </c>
      <c r="K1293" s="57"/>
      <c r="L1293" s="75">
        <v>65</v>
      </c>
      <c r="M1293" s="60">
        <v>24</v>
      </c>
      <c r="N1293" s="76">
        <v>100</v>
      </c>
      <c r="O1293" s="42"/>
      <c r="P1293" s="58" t="s">
        <v>36</v>
      </c>
      <c r="Q1293" s="61"/>
      <c r="R1293" s="62"/>
      <c r="S1293" s="78">
        <f t="shared" si="60"/>
        <v>2400</v>
      </c>
      <c r="T1293" s="44" t="str">
        <f t="shared" si="61"/>
        <v>2400grams</v>
      </c>
      <c r="U1293" s="77">
        <f t="shared" si="62"/>
        <v>1560</v>
      </c>
      <c r="V1293" s="46"/>
      <c r="W1293" s="46"/>
      <c r="X1293" s="46"/>
    </row>
    <row r="1294" spans="1:24" ht="15.75" customHeight="1" thickBot="1" x14ac:dyDescent="0.35">
      <c r="A1294" s="40"/>
      <c r="B1294" s="68" t="s">
        <v>1633</v>
      </c>
      <c r="C1294" s="55"/>
      <c r="D1294" s="41"/>
      <c r="E1294" s="55"/>
      <c r="F1294" s="55"/>
      <c r="G1294" s="55"/>
      <c r="H1294" s="51"/>
      <c r="I1294" s="52"/>
      <c r="J1294" s="74" t="s">
        <v>1049</v>
      </c>
      <c r="K1294" s="57"/>
      <c r="L1294" s="75">
        <v>75</v>
      </c>
      <c r="M1294" s="60">
        <v>5</v>
      </c>
      <c r="N1294" s="76">
        <v>105</v>
      </c>
      <c r="O1294" s="42"/>
      <c r="P1294" s="58" t="s">
        <v>36</v>
      </c>
      <c r="Q1294" s="61"/>
      <c r="R1294" s="62"/>
      <c r="S1294" s="78">
        <f t="shared" si="60"/>
        <v>525</v>
      </c>
      <c r="T1294" s="44" t="str">
        <f t="shared" si="61"/>
        <v>525grams</v>
      </c>
      <c r="U1294" s="77">
        <f t="shared" si="62"/>
        <v>375</v>
      </c>
      <c r="V1294" s="46"/>
      <c r="W1294" s="46"/>
      <c r="X1294" s="46"/>
    </row>
    <row r="1295" spans="1:24" ht="15.75" customHeight="1" thickBot="1" x14ac:dyDescent="0.35">
      <c r="A1295" s="40"/>
      <c r="B1295" s="67" t="s">
        <v>1634</v>
      </c>
      <c r="C1295" s="55"/>
      <c r="D1295" s="41"/>
      <c r="E1295" s="55"/>
      <c r="F1295" s="55"/>
      <c r="G1295" s="55"/>
      <c r="H1295" s="51"/>
      <c r="I1295" s="52"/>
      <c r="J1295" s="74" t="s">
        <v>1635</v>
      </c>
      <c r="K1295" s="57"/>
      <c r="L1295" s="75">
        <v>31.5</v>
      </c>
      <c r="M1295" s="60">
        <v>1</v>
      </c>
      <c r="N1295" s="76">
        <v>60</v>
      </c>
      <c r="O1295" s="42"/>
      <c r="P1295" s="58" t="s">
        <v>36</v>
      </c>
      <c r="Q1295" s="61"/>
      <c r="R1295" s="62"/>
      <c r="S1295" s="78">
        <f t="shared" si="60"/>
        <v>60</v>
      </c>
      <c r="T1295" s="44" t="str">
        <f t="shared" si="61"/>
        <v>60grams</v>
      </c>
      <c r="U1295" s="77">
        <f t="shared" si="62"/>
        <v>31.5</v>
      </c>
      <c r="V1295" s="46"/>
      <c r="W1295" s="46"/>
      <c r="X1295" s="46"/>
    </row>
    <row r="1296" spans="1:24" ht="15.75" customHeight="1" thickBot="1" x14ac:dyDescent="0.35">
      <c r="A1296" s="40"/>
      <c r="B1296" s="67" t="s">
        <v>1634</v>
      </c>
      <c r="C1296" s="55"/>
      <c r="D1296" s="41"/>
      <c r="E1296" s="55"/>
      <c r="F1296" s="55"/>
      <c r="G1296" s="55"/>
      <c r="H1296" s="51"/>
      <c r="I1296" s="52"/>
      <c r="J1296" s="74" t="s">
        <v>1636</v>
      </c>
      <c r="K1296" s="57"/>
      <c r="L1296" s="75">
        <v>30.68</v>
      </c>
      <c r="M1296" s="60">
        <v>30</v>
      </c>
      <c r="N1296" s="76">
        <v>60</v>
      </c>
      <c r="O1296" s="42"/>
      <c r="P1296" s="58" t="s">
        <v>36</v>
      </c>
      <c r="Q1296" s="61"/>
      <c r="R1296" s="62"/>
      <c r="S1296" s="78">
        <f t="shared" si="60"/>
        <v>1800</v>
      </c>
      <c r="T1296" s="44" t="str">
        <f t="shared" si="61"/>
        <v>1800grams</v>
      </c>
      <c r="U1296" s="77">
        <f t="shared" si="62"/>
        <v>920.4</v>
      </c>
      <c r="V1296" s="46"/>
      <c r="W1296" s="46"/>
      <c r="X1296" s="46"/>
    </row>
    <row r="1297" spans="1:24" ht="15.75" customHeight="1" thickBot="1" x14ac:dyDescent="0.35">
      <c r="A1297" s="40"/>
      <c r="B1297" s="67" t="s">
        <v>1634</v>
      </c>
      <c r="C1297" s="55"/>
      <c r="D1297" s="41"/>
      <c r="E1297" s="55"/>
      <c r="F1297" s="55"/>
      <c r="G1297" s="55"/>
      <c r="H1297" s="51"/>
      <c r="I1297" s="52"/>
      <c r="J1297" s="74" t="s">
        <v>1637</v>
      </c>
      <c r="K1297" s="57"/>
      <c r="L1297" s="75">
        <v>13.69</v>
      </c>
      <c r="M1297" s="60">
        <v>50</v>
      </c>
      <c r="N1297" s="76">
        <v>50</v>
      </c>
      <c r="O1297" s="42"/>
      <c r="P1297" s="58" t="s">
        <v>36</v>
      </c>
      <c r="Q1297" s="61"/>
      <c r="R1297" s="62"/>
      <c r="S1297" s="78">
        <f t="shared" si="60"/>
        <v>2500</v>
      </c>
      <c r="T1297" s="44" t="str">
        <f t="shared" si="61"/>
        <v>2500grams</v>
      </c>
      <c r="U1297" s="77">
        <f t="shared" si="62"/>
        <v>684.5</v>
      </c>
      <c r="V1297" s="46"/>
      <c r="W1297" s="46"/>
      <c r="X1297" s="46"/>
    </row>
    <row r="1298" spans="1:24" ht="15.75" customHeight="1" thickBot="1" x14ac:dyDescent="0.35">
      <c r="A1298" s="40"/>
      <c r="B1298" s="67" t="s">
        <v>1634</v>
      </c>
      <c r="C1298" s="55"/>
      <c r="D1298" s="41"/>
      <c r="E1298" s="55"/>
      <c r="F1298" s="55"/>
      <c r="G1298" s="55"/>
      <c r="H1298" s="51"/>
      <c r="I1298" s="52"/>
      <c r="J1298" s="74" t="s">
        <v>1638</v>
      </c>
      <c r="K1298" s="57"/>
      <c r="L1298" s="75">
        <v>13.68</v>
      </c>
      <c r="M1298" s="60">
        <v>36</v>
      </c>
      <c r="N1298" s="76">
        <v>50</v>
      </c>
      <c r="O1298" s="42"/>
      <c r="P1298" s="58" t="s">
        <v>36</v>
      </c>
      <c r="Q1298" s="61"/>
      <c r="R1298" s="62"/>
      <c r="S1298" s="78">
        <f t="shared" si="60"/>
        <v>1800</v>
      </c>
      <c r="T1298" s="44" t="str">
        <f t="shared" si="61"/>
        <v>1800grams</v>
      </c>
      <c r="U1298" s="77">
        <f t="shared" si="62"/>
        <v>492.48</v>
      </c>
      <c r="V1298" s="46"/>
      <c r="W1298" s="46"/>
      <c r="X1298" s="46"/>
    </row>
    <row r="1299" spans="1:24" ht="15.75" customHeight="1" thickBot="1" x14ac:dyDescent="0.35">
      <c r="A1299" s="40"/>
      <c r="B1299" s="67" t="s">
        <v>1634</v>
      </c>
      <c r="C1299" s="55"/>
      <c r="D1299" s="41"/>
      <c r="E1299" s="55"/>
      <c r="F1299" s="55"/>
      <c r="G1299" s="55"/>
      <c r="H1299" s="51"/>
      <c r="I1299" s="52"/>
      <c r="J1299" s="74" t="s">
        <v>1639</v>
      </c>
      <c r="K1299" s="57"/>
      <c r="L1299" s="75">
        <v>13.68</v>
      </c>
      <c r="M1299" s="60">
        <v>7</v>
      </c>
      <c r="N1299" s="76">
        <v>50</v>
      </c>
      <c r="O1299" s="42"/>
      <c r="P1299" s="58" t="s">
        <v>36</v>
      </c>
      <c r="Q1299" s="61"/>
      <c r="R1299" s="62"/>
      <c r="S1299" s="78">
        <f t="shared" si="60"/>
        <v>350</v>
      </c>
      <c r="T1299" s="44" t="str">
        <f t="shared" si="61"/>
        <v>350grams</v>
      </c>
      <c r="U1299" s="77">
        <f t="shared" si="62"/>
        <v>95.759999999999991</v>
      </c>
      <c r="V1299" s="46"/>
      <c r="W1299" s="46"/>
      <c r="X1299" s="46"/>
    </row>
    <row r="1300" spans="1:24" ht="15.75" customHeight="1" thickBot="1" x14ac:dyDescent="0.35">
      <c r="A1300" s="40"/>
      <c r="B1300" s="68" t="s">
        <v>1640</v>
      </c>
      <c r="C1300" s="55"/>
      <c r="D1300" s="41"/>
      <c r="E1300" s="55"/>
      <c r="F1300" s="55"/>
      <c r="G1300" s="55"/>
      <c r="H1300" s="51"/>
      <c r="I1300" s="52"/>
      <c r="J1300" s="74" t="s">
        <v>1641</v>
      </c>
      <c r="K1300" s="57"/>
      <c r="L1300" s="75">
        <v>7.77</v>
      </c>
      <c r="M1300" s="60">
        <v>19</v>
      </c>
      <c r="N1300" s="76">
        <v>1</v>
      </c>
      <c r="O1300" s="42"/>
      <c r="P1300" s="58" t="s">
        <v>38</v>
      </c>
      <c r="Q1300" s="61"/>
      <c r="R1300" s="62"/>
      <c r="S1300" s="78">
        <f t="shared" si="60"/>
        <v>19</v>
      </c>
      <c r="T1300" s="44" t="str">
        <f t="shared" si="61"/>
        <v>19pieces</v>
      </c>
      <c r="U1300" s="77">
        <f t="shared" si="62"/>
        <v>147.63</v>
      </c>
      <c r="V1300" s="46"/>
      <c r="W1300" s="46"/>
      <c r="X1300" s="46"/>
    </row>
    <row r="1301" spans="1:24" ht="15.75" customHeight="1" thickBot="1" x14ac:dyDescent="0.35">
      <c r="A1301" s="40"/>
      <c r="B1301" s="68" t="s">
        <v>1640</v>
      </c>
      <c r="C1301" s="55"/>
      <c r="D1301" s="41"/>
      <c r="E1301" s="55"/>
      <c r="F1301" s="55"/>
      <c r="G1301" s="55"/>
      <c r="H1301" s="51"/>
      <c r="I1301" s="52"/>
      <c r="J1301" s="74" t="s">
        <v>1642</v>
      </c>
      <c r="K1301" s="57"/>
      <c r="L1301" s="75">
        <v>7.77</v>
      </c>
      <c r="M1301" s="60">
        <v>13</v>
      </c>
      <c r="N1301" s="76">
        <v>1</v>
      </c>
      <c r="O1301" s="42"/>
      <c r="P1301" s="58" t="s">
        <v>38</v>
      </c>
      <c r="Q1301" s="61"/>
      <c r="R1301" s="62"/>
      <c r="S1301" s="78">
        <f t="shared" si="60"/>
        <v>13</v>
      </c>
      <c r="T1301" s="44" t="str">
        <f t="shared" si="61"/>
        <v>13pieces</v>
      </c>
      <c r="U1301" s="77">
        <f t="shared" si="62"/>
        <v>101.00999999999999</v>
      </c>
      <c r="V1301" s="46"/>
      <c r="W1301" s="46"/>
      <c r="X1301" s="46"/>
    </row>
    <row r="1302" spans="1:24" ht="15.75" customHeight="1" thickBot="1" x14ac:dyDescent="0.35">
      <c r="A1302" s="40"/>
      <c r="B1302" s="68" t="s">
        <v>1640</v>
      </c>
      <c r="C1302" s="55"/>
      <c r="D1302" s="41"/>
      <c r="E1302" s="55"/>
      <c r="F1302" s="55"/>
      <c r="G1302" s="55"/>
      <c r="H1302" s="51"/>
      <c r="I1302" s="52"/>
      <c r="J1302" s="74" t="s">
        <v>1643</v>
      </c>
      <c r="K1302" s="57"/>
      <c r="L1302" s="75">
        <v>7.84</v>
      </c>
      <c r="M1302" s="60">
        <v>16</v>
      </c>
      <c r="N1302" s="76">
        <v>1</v>
      </c>
      <c r="O1302" s="42"/>
      <c r="P1302" s="58" t="s">
        <v>38</v>
      </c>
      <c r="Q1302" s="61"/>
      <c r="R1302" s="62"/>
      <c r="S1302" s="78">
        <f t="shared" si="60"/>
        <v>16</v>
      </c>
      <c r="T1302" s="44" t="str">
        <f t="shared" si="61"/>
        <v>16pieces</v>
      </c>
      <c r="U1302" s="77">
        <f t="shared" si="62"/>
        <v>125.44</v>
      </c>
      <c r="V1302" s="46"/>
      <c r="W1302" s="46"/>
      <c r="X1302" s="46"/>
    </row>
    <row r="1303" spans="1:24" ht="15.75" customHeight="1" thickBot="1" x14ac:dyDescent="0.35">
      <c r="A1303" s="40"/>
      <c r="B1303" s="67" t="s">
        <v>1640</v>
      </c>
      <c r="C1303" s="55"/>
      <c r="D1303" s="41"/>
      <c r="E1303" s="55"/>
      <c r="F1303" s="55"/>
      <c r="G1303" s="55"/>
      <c r="H1303" s="51"/>
      <c r="I1303" s="52"/>
      <c r="J1303" s="74" t="s">
        <v>1644</v>
      </c>
      <c r="K1303" s="57"/>
      <c r="L1303" s="75">
        <v>8.65</v>
      </c>
      <c r="M1303" s="60">
        <v>30</v>
      </c>
      <c r="N1303" s="76">
        <v>27</v>
      </c>
      <c r="O1303" s="42"/>
      <c r="P1303" s="58" t="s">
        <v>36</v>
      </c>
      <c r="Q1303" s="61"/>
      <c r="R1303" s="62"/>
      <c r="S1303" s="78">
        <f t="shared" si="60"/>
        <v>810</v>
      </c>
      <c r="T1303" s="44" t="str">
        <f t="shared" si="61"/>
        <v>810grams</v>
      </c>
      <c r="U1303" s="77">
        <f t="shared" si="62"/>
        <v>259.5</v>
      </c>
      <c r="V1303" s="46"/>
      <c r="W1303" s="46"/>
      <c r="X1303" s="46"/>
    </row>
    <row r="1304" spans="1:24" ht="15.75" customHeight="1" thickBot="1" x14ac:dyDescent="0.35">
      <c r="A1304" s="40"/>
      <c r="B1304" s="67" t="s">
        <v>1640</v>
      </c>
      <c r="C1304" s="55"/>
      <c r="D1304" s="41"/>
      <c r="E1304" s="55"/>
      <c r="F1304" s="55"/>
      <c r="G1304" s="55"/>
      <c r="H1304" s="51"/>
      <c r="I1304" s="52"/>
      <c r="J1304" s="74" t="s">
        <v>1645</v>
      </c>
      <c r="K1304" s="57"/>
      <c r="L1304" s="75">
        <v>9.5299999999999994</v>
      </c>
      <c r="M1304" s="60">
        <v>36</v>
      </c>
      <c r="N1304" s="76">
        <v>28</v>
      </c>
      <c r="O1304" s="42"/>
      <c r="P1304" s="58" t="s">
        <v>36</v>
      </c>
      <c r="Q1304" s="61"/>
      <c r="R1304" s="62"/>
      <c r="S1304" s="78">
        <f t="shared" si="60"/>
        <v>1008</v>
      </c>
      <c r="T1304" s="44" t="str">
        <f t="shared" si="61"/>
        <v>1008grams</v>
      </c>
      <c r="U1304" s="77">
        <f t="shared" si="62"/>
        <v>343.08</v>
      </c>
      <c r="V1304" s="46"/>
      <c r="W1304" s="46"/>
      <c r="X1304" s="46"/>
    </row>
    <row r="1305" spans="1:24" ht="15.75" customHeight="1" thickBot="1" x14ac:dyDescent="0.35">
      <c r="A1305" s="40"/>
      <c r="B1305" s="67" t="s">
        <v>1640</v>
      </c>
      <c r="C1305" s="55"/>
      <c r="D1305" s="41"/>
      <c r="E1305" s="55"/>
      <c r="F1305" s="55"/>
      <c r="G1305" s="55"/>
      <c r="H1305" s="51"/>
      <c r="I1305" s="52"/>
      <c r="J1305" s="74" t="s">
        <v>1645</v>
      </c>
      <c r="K1305" s="57"/>
      <c r="L1305" s="75">
        <v>7.94</v>
      </c>
      <c r="M1305" s="60">
        <v>15</v>
      </c>
      <c r="N1305" s="76">
        <v>28</v>
      </c>
      <c r="O1305" s="42"/>
      <c r="P1305" s="58" t="s">
        <v>36</v>
      </c>
      <c r="Q1305" s="61"/>
      <c r="R1305" s="62"/>
      <c r="S1305" s="78">
        <f t="shared" si="60"/>
        <v>420</v>
      </c>
      <c r="T1305" s="44" t="str">
        <f t="shared" si="61"/>
        <v>420grams</v>
      </c>
      <c r="U1305" s="77">
        <f t="shared" si="62"/>
        <v>119.10000000000001</v>
      </c>
      <c r="V1305" s="46"/>
      <c r="W1305" s="46"/>
      <c r="X1305" s="46"/>
    </row>
    <row r="1306" spans="1:24" ht="15.75" customHeight="1" thickBot="1" x14ac:dyDescent="0.35">
      <c r="A1306" s="40"/>
      <c r="B1306" s="67" t="s">
        <v>1640</v>
      </c>
      <c r="C1306" s="55"/>
      <c r="D1306" s="41"/>
      <c r="E1306" s="55"/>
      <c r="F1306" s="55"/>
      <c r="G1306" s="55"/>
      <c r="H1306" s="51"/>
      <c r="I1306" s="52"/>
      <c r="J1306" s="74" t="s">
        <v>1646</v>
      </c>
      <c r="K1306" s="57"/>
      <c r="L1306" s="75">
        <v>15.1</v>
      </c>
      <c r="M1306" s="60">
        <v>1</v>
      </c>
      <c r="N1306" s="76">
        <v>50</v>
      </c>
      <c r="O1306" s="42"/>
      <c r="P1306" s="58" t="s">
        <v>36</v>
      </c>
      <c r="Q1306" s="61"/>
      <c r="R1306" s="62"/>
      <c r="S1306" s="78">
        <f t="shared" si="60"/>
        <v>50</v>
      </c>
      <c r="T1306" s="44" t="str">
        <f t="shared" si="61"/>
        <v>50grams</v>
      </c>
      <c r="U1306" s="77">
        <f t="shared" si="62"/>
        <v>15.1</v>
      </c>
      <c r="V1306" s="46"/>
      <c r="W1306" s="46"/>
      <c r="X1306" s="46"/>
    </row>
    <row r="1307" spans="1:24" ht="15.75" customHeight="1" thickBot="1" x14ac:dyDescent="0.35">
      <c r="A1307" s="40"/>
      <c r="B1307" s="67" t="s">
        <v>1640</v>
      </c>
      <c r="C1307" s="55"/>
      <c r="D1307" s="41"/>
      <c r="E1307" s="55"/>
      <c r="F1307" s="55"/>
      <c r="G1307" s="55"/>
      <c r="H1307" s="51"/>
      <c r="I1307" s="52"/>
      <c r="J1307" s="74" t="s">
        <v>1647</v>
      </c>
      <c r="K1307" s="57"/>
      <c r="L1307" s="75">
        <v>16.649999999999999</v>
      </c>
      <c r="M1307" s="60">
        <v>36</v>
      </c>
      <c r="N1307" s="76">
        <v>50</v>
      </c>
      <c r="O1307" s="42"/>
      <c r="P1307" s="58" t="s">
        <v>36</v>
      </c>
      <c r="Q1307" s="61"/>
      <c r="R1307" s="62"/>
      <c r="S1307" s="78">
        <f t="shared" si="60"/>
        <v>1800</v>
      </c>
      <c r="T1307" s="44" t="str">
        <f t="shared" si="61"/>
        <v>1800grams</v>
      </c>
      <c r="U1307" s="77">
        <f t="shared" si="62"/>
        <v>599.4</v>
      </c>
      <c r="V1307" s="46"/>
      <c r="W1307" s="46"/>
      <c r="X1307" s="46"/>
    </row>
    <row r="1308" spans="1:24" ht="15.75" customHeight="1" thickBot="1" x14ac:dyDescent="0.35">
      <c r="A1308" s="40"/>
      <c r="B1308" s="67" t="s">
        <v>1640</v>
      </c>
      <c r="C1308" s="55"/>
      <c r="D1308" s="41"/>
      <c r="E1308" s="55"/>
      <c r="F1308" s="55"/>
      <c r="G1308" s="55"/>
      <c r="H1308" s="51"/>
      <c r="I1308" s="52"/>
      <c r="J1308" s="74" t="s">
        <v>1648</v>
      </c>
      <c r="K1308" s="57"/>
      <c r="L1308" s="75">
        <v>8.2799999999999994</v>
      </c>
      <c r="M1308" s="60">
        <v>3</v>
      </c>
      <c r="N1308" s="76">
        <v>28</v>
      </c>
      <c r="O1308" s="42"/>
      <c r="P1308" s="58" t="s">
        <v>36</v>
      </c>
      <c r="Q1308" s="61"/>
      <c r="R1308" s="62"/>
      <c r="S1308" s="78">
        <f t="shared" si="60"/>
        <v>84</v>
      </c>
      <c r="T1308" s="44" t="str">
        <f t="shared" si="61"/>
        <v>84grams</v>
      </c>
      <c r="U1308" s="77">
        <f t="shared" si="62"/>
        <v>24.839999999999996</v>
      </c>
      <c r="V1308" s="46"/>
      <c r="W1308" s="46"/>
      <c r="X1308" s="46"/>
    </row>
    <row r="1309" spans="1:24" ht="15.75" customHeight="1" thickBot="1" x14ac:dyDescent="0.35">
      <c r="A1309" s="40"/>
      <c r="B1309" s="68" t="s">
        <v>1649</v>
      </c>
      <c r="C1309" s="55"/>
      <c r="D1309" s="41"/>
      <c r="E1309" s="55"/>
      <c r="F1309" s="55"/>
      <c r="G1309" s="55"/>
      <c r="H1309" s="51"/>
      <c r="I1309" s="52"/>
      <c r="J1309" s="74" t="s">
        <v>1650</v>
      </c>
      <c r="K1309" s="57"/>
      <c r="L1309" s="75">
        <v>23.2</v>
      </c>
      <c r="M1309" s="60">
        <v>11</v>
      </c>
      <c r="N1309" s="76">
        <v>60</v>
      </c>
      <c r="O1309" s="42"/>
      <c r="P1309" s="58" t="s">
        <v>36</v>
      </c>
      <c r="Q1309" s="61"/>
      <c r="R1309" s="62"/>
      <c r="S1309" s="78">
        <f t="shared" si="60"/>
        <v>660</v>
      </c>
      <c r="T1309" s="44" t="str">
        <f t="shared" si="61"/>
        <v>660grams</v>
      </c>
      <c r="U1309" s="77">
        <f t="shared" si="62"/>
        <v>255.2</v>
      </c>
      <c r="V1309" s="46"/>
      <c r="W1309" s="46"/>
      <c r="X1309" s="46"/>
    </row>
    <row r="1310" spans="1:24" ht="15.75" customHeight="1" thickBot="1" x14ac:dyDescent="0.35">
      <c r="A1310" s="40"/>
      <c r="B1310" s="68" t="s">
        <v>1649</v>
      </c>
      <c r="C1310" s="55"/>
      <c r="D1310" s="41"/>
      <c r="E1310" s="55"/>
      <c r="F1310" s="55"/>
      <c r="G1310" s="55"/>
      <c r="H1310" s="51"/>
      <c r="I1310" s="52"/>
      <c r="J1310" s="74" t="s">
        <v>1651</v>
      </c>
      <c r="K1310" s="57"/>
      <c r="L1310" s="75">
        <v>24.25</v>
      </c>
      <c r="M1310" s="60">
        <v>60</v>
      </c>
      <c r="N1310" s="76">
        <v>45</v>
      </c>
      <c r="O1310" s="42"/>
      <c r="P1310" s="58" t="s">
        <v>36</v>
      </c>
      <c r="Q1310" s="61"/>
      <c r="R1310" s="62"/>
      <c r="S1310" s="78">
        <f t="shared" si="60"/>
        <v>2700</v>
      </c>
      <c r="T1310" s="44" t="str">
        <f t="shared" si="61"/>
        <v>2700grams</v>
      </c>
      <c r="U1310" s="77">
        <f t="shared" si="62"/>
        <v>1455</v>
      </c>
      <c r="V1310" s="46"/>
      <c r="W1310" s="46"/>
      <c r="X1310" s="46"/>
    </row>
    <row r="1311" spans="1:24" ht="15.75" customHeight="1" thickBot="1" x14ac:dyDescent="0.35">
      <c r="A1311" s="40"/>
      <c r="B1311" s="67" t="s">
        <v>1649</v>
      </c>
      <c r="C1311" s="55"/>
      <c r="D1311" s="41"/>
      <c r="E1311" s="55"/>
      <c r="F1311" s="55"/>
      <c r="G1311" s="55"/>
      <c r="H1311" s="51"/>
      <c r="I1311" s="52"/>
      <c r="J1311" s="74" t="s">
        <v>1652</v>
      </c>
      <c r="K1311" s="57"/>
      <c r="L1311" s="75">
        <v>7.1</v>
      </c>
      <c r="M1311" s="60">
        <v>24</v>
      </c>
      <c r="N1311" s="76">
        <v>1</v>
      </c>
      <c r="O1311" s="42"/>
      <c r="P1311" s="58" t="s">
        <v>38</v>
      </c>
      <c r="Q1311" s="61"/>
      <c r="R1311" s="62"/>
      <c r="S1311" s="78">
        <f t="shared" si="60"/>
        <v>24</v>
      </c>
      <c r="T1311" s="44" t="str">
        <f t="shared" si="61"/>
        <v>24pieces</v>
      </c>
      <c r="U1311" s="77">
        <f t="shared" si="62"/>
        <v>170.39999999999998</v>
      </c>
      <c r="V1311" s="46"/>
      <c r="W1311" s="46"/>
      <c r="X1311" s="46"/>
    </row>
    <row r="1312" spans="1:24" ht="15.75" customHeight="1" thickBot="1" x14ac:dyDescent="0.35">
      <c r="A1312" s="40"/>
      <c r="B1312" s="67" t="s">
        <v>1649</v>
      </c>
      <c r="C1312" s="55"/>
      <c r="D1312" s="41"/>
      <c r="E1312" s="55"/>
      <c r="F1312" s="55"/>
      <c r="G1312" s="55"/>
      <c r="H1312" s="51"/>
      <c r="I1312" s="52"/>
      <c r="J1312" s="74" t="s">
        <v>1653</v>
      </c>
      <c r="K1312" s="57"/>
      <c r="L1312" s="75">
        <v>7.2</v>
      </c>
      <c r="M1312" s="60">
        <v>9</v>
      </c>
      <c r="N1312" s="76">
        <v>1</v>
      </c>
      <c r="O1312" s="42"/>
      <c r="P1312" s="58" t="s">
        <v>38</v>
      </c>
      <c r="Q1312" s="61"/>
      <c r="R1312" s="62"/>
      <c r="S1312" s="78">
        <f t="shared" si="60"/>
        <v>9</v>
      </c>
      <c r="T1312" s="44" t="str">
        <f t="shared" si="61"/>
        <v>9pieces</v>
      </c>
      <c r="U1312" s="77">
        <f t="shared" si="62"/>
        <v>64.8</v>
      </c>
      <c r="V1312" s="46"/>
      <c r="W1312" s="46"/>
      <c r="X1312" s="46"/>
    </row>
    <row r="1313" spans="1:24" ht="15.75" customHeight="1" thickBot="1" x14ac:dyDescent="0.35">
      <c r="A1313" s="40"/>
      <c r="B1313" s="68" t="s">
        <v>1649</v>
      </c>
      <c r="C1313" s="55"/>
      <c r="D1313" s="41"/>
      <c r="E1313" s="55"/>
      <c r="F1313" s="55"/>
      <c r="G1313" s="55"/>
      <c r="H1313" s="51"/>
      <c r="I1313" s="52"/>
      <c r="J1313" s="74" t="s">
        <v>1654</v>
      </c>
      <c r="K1313" s="57"/>
      <c r="L1313" s="75">
        <v>18.8</v>
      </c>
      <c r="M1313" s="60">
        <v>10</v>
      </c>
      <c r="N1313" s="76">
        <v>1</v>
      </c>
      <c r="O1313" s="42"/>
      <c r="P1313" s="58" t="s">
        <v>77</v>
      </c>
      <c r="Q1313" s="61"/>
      <c r="R1313" s="62"/>
      <c r="S1313" s="78">
        <f t="shared" si="60"/>
        <v>10</v>
      </c>
      <c r="T1313" s="44" t="str">
        <f t="shared" si="61"/>
        <v>10packs</v>
      </c>
      <c r="U1313" s="77">
        <f t="shared" si="62"/>
        <v>188</v>
      </c>
      <c r="V1313" s="46"/>
      <c r="W1313" s="46"/>
      <c r="X1313" s="46"/>
    </row>
    <row r="1314" spans="1:24" ht="15.75" customHeight="1" thickBot="1" x14ac:dyDescent="0.35">
      <c r="A1314" s="40"/>
      <c r="B1314" s="68" t="s">
        <v>1649</v>
      </c>
      <c r="C1314" s="55"/>
      <c r="D1314" s="41"/>
      <c r="E1314" s="55"/>
      <c r="F1314" s="55"/>
      <c r="G1314" s="55"/>
      <c r="H1314" s="51"/>
      <c r="I1314" s="52"/>
      <c r="J1314" s="74" t="s">
        <v>1655</v>
      </c>
      <c r="K1314" s="57"/>
      <c r="L1314" s="75">
        <v>21.68</v>
      </c>
      <c r="M1314" s="60">
        <v>33</v>
      </c>
      <c r="N1314" s="76">
        <v>18</v>
      </c>
      <c r="O1314" s="42"/>
      <c r="P1314" s="58" t="s">
        <v>38</v>
      </c>
      <c r="Q1314" s="61"/>
      <c r="R1314" s="62"/>
      <c r="S1314" s="78">
        <f t="shared" si="60"/>
        <v>594</v>
      </c>
      <c r="T1314" s="44" t="str">
        <f t="shared" si="61"/>
        <v>594pieces</v>
      </c>
      <c r="U1314" s="77">
        <f t="shared" si="62"/>
        <v>715.43999999999994</v>
      </c>
      <c r="V1314" s="46"/>
      <c r="W1314" s="46"/>
      <c r="X1314" s="46"/>
    </row>
    <row r="1315" spans="1:24" ht="15.75" customHeight="1" thickBot="1" x14ac:dyDescent="0.35">
      <c r="A1315" s="40"/>
      <c r="B1315" s="67" t="s">
        <v>1649</v>
      </c>
      <c r="C1315" s="55"/>
      <c r="D1315" s="41"/>
      <c r="E1315" s="55"/>
      <c r="F1315" s="55"/>
      <c r="G1315" s="55"/>
      <c r="H1315" s="51"/>
      <c r="I1315" s="52"/>
      <c r="J1315" s="74" t="s">
        <v>1656</v>
      </c>
      <c r="K1315" s="57"/>
      <c r="L1315" s="75">
        <v>19.32</v>
      </c>
      <c r="M1315" s="60">
        <v>30</v>
      </c>
      <c r="N1315" s="76">
        <v>90</v>
      </c>
      <c r="O1315" s="42"/>
      <c r="P1315" s="58" t="s">
        <v>36</v>
      </c>
      <c r="Q1315" s="61"/>
      <c r="R1315" s="62"/>
      <c r="S1315" s="78">
        <f t="shared" si="60"/>
        <v>2700</v>
      </c>
      <c r="T1315" s="44" t="str">
        <f t="shared" si="61"/>
        <v>2700grams</v>
      </c>
      <c r="U1315" s="77">
        <f t="shared" si="62"/>
        <v>579.6</v>
      </c>
      <c r="V1315" s="46"/>
      <c r="W1315" s="46"/>
      <c r="X1315" s="46"/>
    </row>
    <row r="1316" spans="1:24" ht="15.75" customHeight="1" thickBot="1" x14ac:dyDescent="0.35">
      <c r="A1316" s="40"/>
      <c r="B1316" s="67" t="s">
        <v>1649</v>
      </c>
      <c r="C1316" s="55"/>
      <c r="D1316" s="41"/>
      <c r="E1316" s="55"/>
      <c r="F1316" s="55"/>
      <c r="G1316" s="55"/>
      <c r="H1316" s="51"/>
      <c r="I1316" s="52"/>
      <c r="J1316" s="74" t="s">
        <v>1657</v>
      </c>
      <c r="K1316" s="57"/>
      <c r="L1316" s="75">
        <v>21.12</v>
      </c>
      <c r="M1316" s="60">
        <v>19</v>
      </c>
      <c r="N1316" s="76">
        <v>90</v>
      </c>
      <c r="O1316" s="42"/>
      <c r="P1316" s="58" t="s">
        <v>36</v>
      </c>
      <c r="Q1316" s="61"/>
      <c r="R1316" s="62"/>
      <c r="S1316" s="78">
        <f t="shared" si="60"/>
        <v>1710</v>
      </c>
      <c r="T1316" s="44" t="str">
        <f t="shared" si="61"/>
        <v>1710grams</v>
      </c>
      <c r="U1316" s="77">
        <f t="shared" si="62"/>
        <v>401.28000000000003</v>
      </c>
      <c r="V1316" s="46"/>
      <c r="W1316" s="46"/>
      <c r="X1316" s="46"/>
    </row>
    <row r="1317" spans="1:24" ht="15.75" customHeight="1" thickBot="1" x14ac:dyDescent="0.35">
      <c r="A1317" s="40"/>
      <c r="B1317" s="67" t="s">
        <v>1649</v>
      </c>
      <c r="C1317" s="55"/>
      <c r="D1317" s="41"/>
      <c r="E1317" s="55"/>
      <c r="F1317" s="55"/>
      <c r="G1317" s="55"/>
      <c r="H1317" s="51"/>
      <c r="I1317" s="52"/>
      <c r="J1317" s="74" t="s">
        <v>1657</v>
      </c>
      <c r="K1317" s="57"/>
      <c r="L1317" s="75">
        <v>19.899999999999999</v>
      </c>
      <c r="M1317" s="60">
        <v>20</v>
      </c>
      <c r="N1317" s="76">
        <v>90</v>
      </c>
      <c r="O1317" s="42"/>
      <c r="P1317" s="58" t="s">
        <v>36</v>
      </c>
      <c r="Q1317" s="61"/>
      <c r="R1317" s="62"/>
      <c r="S1317" s="78">
        <f t="shared" si="60"/>
        <v>1800</v>
      </c>
      <c r="T1317" s="44" t="str">
        <f t="shared" si="61"/>
        <v>1800grams</v>
      </c>
      <c r="U1317" s="77">
        <f t="shared" si="62"/>
        <v>398</v>
      </c>
      <c r="V1317" s="46"/>
      <c r="W1317" s="46"/>
      <c r="X1317" s="46"/>
    </row>
    <row r="1318" spans="1:24" ht="15.75" customHeight="1" thickBot="1" x14ac:dyDescent="0.35">
      <c r="A1318" s="40"/>
      <c r="B1318" s="67" t="s">
        <v>1649</v>
      </c>
      <c r="C1318" s="55"/>
      <c r="D1318" s="41"/>
      <c r="E1318" s="55"/>
      <c r="F1318" s="55"/>
      <c r="G1318" s="55"/>
      <c r="H1318" s="51"/>
      <c r="I1318" s="52"/>
      <c r="J1318" s="74" t="s">
        <v>1658</v>
      </c>
      <c r="K1318" s="57"/>
      <c r="L1318" s="75">
        <v>22.45</v>
      </c>
      <c r="M1318" s="60">
        <v>24</v>
      </c>
      <c r="N1318" s="76">
        <v>105</v>
      </c>
      <c r="O1318" s="42"/>
      <c r="P1318" s="58" t="s">
        <v>36</v>
      </c>
      <c r="Q1318" s="61"/>
      <c r="R1318" s="62"/>
      <c r="S1318" s="78">
        <f t="shared" si="60"/>
        <v>2520</v>
      </c>
      <c r="T1318" s="44" t="str">
        <f t="shared" si="61"/>
        <v>2520grams</v>
      </c>
      <c r="U1318" s="77">
        <f t="shared" si="62"/>
        <v>538.79999999999995</v>
      </c>
      <c r="V1318" s="46"/>
      <c r="W1318" s="46"/>
      <c r="X1318" s="46"/>
    </row>
    <row r="1319" spans="1:24" ht="15.75" customHeight="1" thickBot="1" x14ac:dyDescent="0.35">
      <c r="A1319" s="40"/>
      <c r="B1319" s="67" t="s">
        <v>1649</v>
      </c>
      <c r="C1319" s="55"/>
      <c r="D1319" s="41"/>
      <c r="E1319" s="55"/>
      <c r="F1319" s="55"/>
      <c r="G1319" s="55"/>
      <c r="H1319" s="51"/>
      <c r="I1319" s="52"/>
      <c r="J1319" s="74" t="s">
        <v>1659</v>
      </c>
      <c r="K1319" s="57"/>
      <c r="L1319" s="75">
        <v>16.7</v>
      </c>
      <c r="M1319" s="60">
        <v>9</v>
      </c>
      <c r="N1319" s="76">
        <v>60</v>
      </c>
      <c r="O1319" s="42"/>
      <c r="P1319" s="58" t="s">
        <v>38</v>
      </c>
      <c r="Q1319" s="61"/>
      <c r="R1319" s="62"/>
      <c r="S1319" s="78">
        <f t="shared" si="60"/>
        <v>540</v>
      </c>
      <c r="T1319" s="44" t="str">
        <f t="shared" si="61"/>
        <v>540pieces</v>
      </c>
      <c r="U1319" s="77">
        <f t="shared" si="62"/>
        <v>150.29999999999998</v>
      </c>
      <c r="V1319" s="46"/>
      <c r="W1319" s="46"/>
      <c r="X1319" s="46"/>
    </row>
    <row r="1320" spans="1:24" ht="15.75" customHeight="1" thickBot="1" x14ac:dyDescent="0.35">
      <c r="A1320" s="40"/>
      <c r="B1320" s="67" t="s">
        <v>1649</v>
      </c>
      <c r="C1320" s="55"/>
      <c r="D1320" s="41"/>
      <c r="E1320" s="55"/>
      <c r="F1320" s="55"/>
      <c r="G1320" s="55"/>
      <c r="H1320" s="51"/>
      <c r="I1320" s="52"/>
      <c r="J1320" s="74" t="s">
        <v>1660</v>
      </c>
      <c r="K1320" s="57"/>
      <c r="L1320" s="75">
        <v>15</v>
      </c>
      <c r="M1320" s="60">
        <v>58</v>
      </c>
      <c r="N1320" s="76">
        <v>23</v>
      </c>
      <c r="O1320" s="42"/>
      <c r="P1320" s="58" t="s">
        <v>36</v>
      </c>
      <c r="Q1320" s="61"/>
      <c r="R1320" s="62"/>
      <c r="S1320" s="78">
        <f t="shared" si="60"/>
        <v>1334</v>
      </c>
      <c r="T1320" s="44" t="str">
        <f t="shared" si="61"/>
        <v>1334grams</v>
      </c>
      <c r="U1320" s="77">
        <f t="shared" si="62"/>
        <v>870</v>
      </c>
      <c r="V1320" s="46"/>
      <c r="W1320" s="46"/>
      <c r="X1320" s="46"/>
    </row>
    <row r="1321" spans="1:24" ht="15.75" customHeight="1" thickBot="1" x14ac:dyDescent="0.35">
      <c r="A1321" s="40"/>
      <c r="B1321" s="67" t="s">
        <v>1649</v>
      </c>
      <c r="C1321" s="55"/>
      <c r="D1321" s="41"/>
      <c r="E1321" s="55"/>
      <c r="F1321" s="55"/>
      <c r="G1321" s="55"/>
      <c r="H1321" s="51"/>
      <c r="I1321" s="52"/>
      <c r="J1321" s="74" t="s">
        <v>1661</v>
      </c>
      <c r="K1321" s="57"/>
      <c r="L1321" s="75">
        <v>16.95</v>
      </c>
      <c r="M1321" s="60">
        <v>47</v>
      </c>
      <c r="N1321" s="76">
        <v>110</v>
      </c>
      <c r="O1321" s="42"/>
      <c r="P1321" s="58" t="s">
        <v>36</v>
      </c>
      <c r="Q1321" s="61"/>
      <c r="R1321" s="62"/>
      <c r="S1321" s="78">
        <f t="shared" si="60"/>
        <v>5170</v>
      </c>
      <c r="T1321" s="44" t="str">
        <f t="shared" si="61"/>
        <v>5170grams</v>
      </c>
      <c r="U1321" s="77">
        <f t="shared" si="62"/>
        <v>796.65</v>
      </c>
      <c r="V1321" s="46"/>
      <c r="W1321" s="46"/>
      <c r="X1321" s="46"/>
    </row>
    <row r="1322" spans="1:24" ht="15.75" customHeight="1" thickBot="1" x14ac:dyDescent="0.35">
      <c r="A1322" s="40"/>
      <c r="B1322" s="67" t="s">
        <v>1649</v>
      </c>
      <c r="C1322" s="55"/>
      <c r="D1322" s="41"/>
      <c r="E1322" s="55"/>
      <c r="F1322" s="55"/>
      <c r="G1322" s="55"/>
      <c r="H1322" s="51"/>
      <c r="I1322" s="52"/>
      <c r="J1322" s="74" t="s">
        <v>1662</v>
      </c>
      <c r="K1322" s="57"/>
      <c r="L1322" s="75">
        <v>23.5</v>
      </c>
      <c r="M1322" s="60">
        <v>19</v>
      </c>
      <c r="N1322" s="76">
        <v>100</v>
      </c>
      <c r="O1322" s="42"/>
      <c r="P1322" s="58" t="s">
        <v>36</v>
      </c>
      <c r="Q1322" s="61"/>
      <c r="R1322" s="62"/>
      <c r="S1322" s="78">
        <f t="shared" si="60"/>
        <v>1900</v>
      </c>
      <c r="T1322" s="44" t="str">
        <f t="shared" si="61"/>
        <v>1900grams</v>
      </c>
      <c r="U1322" s="77">
        <f t="shared" si="62"/>
        <v>446.5</v>
      </c>
      <c r="V1322" s="46"/>
      <c r="W1322" s="46"/>
      <c r="X1322" s="46"/>
    </row>
    <row r="1323" spans="1:24" ht="15.75" customHeight="1" thickBot="1" x14ac:dyDescent="0.35">
      <c r="A1323" s="40"/>
      <c r="B1323" s="67" t="s">
        <v>1649</v>
      </c>
      <c r="C1323" s="55"/>
      <c r="D1323" s="41"/>
      <c r="E1323" s="55"/>
      <c r="F1323" s="55"/>
      <c r="G1323" s="55"/>
      <c r="H1323" s="51"/>
      <c r="I1323" s="52"/>
      <c r="J1323" s="74" t="s">
        <v>1662</v>
      </c>
      <c r="K1323" s="57"/>
      <c r="L1323" s="75">
        <v>21.66</v>
      </c>
      <c r="M1323" s="60">
        <v>50</v>
      </c>
      <c r="N1323" s="76">
        <v>98</v>
      </c>
      <c r="O1323" s="42"/>
      <c r="P1323" s="58" t="s">
        <v>36</v>
      </c>
      <c r="Q1323" s="61"/>
      <c r="R1323" s="62"/>
      <c r="S1323" s="78">
        <f t="shared" si="60"/>
        <v>4900</v>
      </c>
      <c r="T1323" s="44" t="str">
        <f t="shared" si="61"/>
        <v>4900grams</v>
      </c>
      <c r="U1323" s="77">
        <f t="shared" si="62"/>
        <v>1083</v>
      </c>
      <c r="V1323" s="46"/>
      <c r="W1323" s="46"/>
      <c r="X1323" s="46"/>
    </row>
    <row r="1324" spans="1:24" ht="15.75" customHeight="1" thickBot="1" x14ac:dyDescent="0.35">
      <c r="A1324" s="40"/>
      <c r="B1324" s="67" t="s">
        <v>1649</v>
      </c>
      <c r="C1324" s="55"/>
      <c r="D1324" s="41"/>
      <c r="E1324" s="55"/>
      <c r="F1324" s="55"/>
      <c r="G1324" s="55"/>
      <c r="H1324" s="51"/>
      <c r="I1324" s="52"/>
      <c r="J1324" s="74" t="s">
        <v>1663</v>
      </c>
      <c r="K1324" s="57"/>
      <c r="L1324" s="75">
        <v>35.15</v>
      </c>
      <c r="M1324" s="60">
        <v>17</v>
      </c>
      <c r="N1324" s="76">
        <v>78</v>
      </c>
      <c r="O1324" s="42"/>
      <c r="P1324" s="58" t="s">
        <v>36</v>
      </c>
      <c r="Q1324" s="61"/>
      <c r="R1324" s="62"/>
      <c r="S1324" s="78">
        <f t="shared" si="60"/>
        <v>1326</v>
      </c>
      <c r="T1324" s="44" t="str">
        <f t="shared" si="61"/>
        <v>1326grams</v>
      </c>
      <c r="U1324" s="77">
        <f t="shared" si="62"/>
        <v>597.54999999999995</v>
      </c>
      <c r="V1324" s="46"/>
      <c r="W1324" s="46"/>
      <c r="X1324" s="46"/>
    </row>
    <row r="1325" spans="1:24" ht="15.75" customHeight="1" thickBot="1" x14ac:dyDescent="0.35">
      <c r="A1325" s="40"/>
      <c r="B1325" s="67" t="s">
        <v>1649</v>
      </c>
      <c r="C1325" s="55"/>
      <c r="D1325" s="41"/>
      <c r="E1325" s="55"/>
      <c r="F1325" s="55"/>
      <c r="G1325" s="55"/>
      <c r="H1325" s="51"/>
      <c r="I1325" s="52"/>
      <c r="J1325" s="74" t="s">
        <v>1664</v>
      </c>
      <c r="K1325" s="57"/>
      <c r="L1325" s="75">
        <v>33.5</v>
      </c>
      <c r="M1325" s="60">
        <v>100</v>
      </c>
      <c r="N1325" s="76">
        <v>78</v>
      </c>
      <c r="O1325" s="42"/>
      <c r="P1325" s="58" t="s">
        <v>36</v>
      </c>
      <c r="Q1325" s="61"/>
      <c r="R1325" s="62"/>
      <c r="S1325" s="78">
        <f t="shared" si="60"/>
        <v>7800</v>
      </c>
      <c r="T1325" s="44" t="str">
        <f t="shared" si="61"/>
        <v>7800grams</v>
      </c>
      <c r="U1325" s="77">
        <f t="shared" si="62"/>
        <v>3350</v>
      </c>
      <c r="V1325" s="46"/>
      <c r="W1325" s="46"/>
      <c r="X1325" s="46"/>
    </row>
    <row r="1326" spans="1:24" ht="15.75" customHeight="1" thickBot="1" x14ac:dyDescent="0.35">
      <c r="A1326" s="40"/>
      <c r="B1326" s="67" t="s">
        <v>1649</v>
      </c>
      <c r="C1326" s="55"/>
      <c r="D1326" s="41"/>
      <c r="E1326" s="55"/>
      <c r="F1326" s="55"/>
      <c r="G1326" s="55"/>
      <c r="H1326" s="51"/>
      <c r="I1326" s="52"/>
      <c r="J1326" s="74" t="s">
        <v>1664</v>
      </c>
      <c r="K1326" s="57"/>
      <c r="L1326" s="75">
        <v>33.5</v>
      </c>
      <c r="M1326" s="60">
        <v>150</v>
      </c>
      <c r="N1326" s="76">
        <v>78</v>
      </c>
      <c r="O1326" s="42"/>
      <c r="P1326" s="58" t="s">
        <v>36</v>
      </c>
      <c r="Q1326" s="61"/>
      <c r="R1326" s="62"/>
      <c r="S1326" s="78">
        <f t="shared" si="60"/>
        <v>11700</v>
      </c>
      <c r="T1326" s="44" t="str">
        <f t="shared" si="61"/>
        <v>11700grams</v>
      </c>
      <c r="U1326" s="77">
        <f t="shared" si="62"/>
        <v>5025</v>
      </c>
      <c r="V1326" s="46"/>
      <c r="W1326" s="46"/>
      <c r="X1326" s="46"/>
    </row>
    <row r="1327" spans="1:24" ht="15.75" customHeight="1" thickBot="1" x14ac:dyDescent="0.35">
      <c r="A1327" s="40"/>
      <c r="B1327" s="67" t="s">
        <v>1649</v>
      </c>
      <c r="C1327" s="55"/>
      <c r="D1327" s="41"/>
      <c r="E1327" s="55"/>
      <c r="F1327" s="55"/>
      <c r="G1327" s="55"/>
      <c r="H1327" s="51"/>
      <c r="I1327" s="52"/>
      <c r="J1327" s="74" t="s">
        <v>1665</v>
      </c>
      <c r="K1327" s="57"/>
      <c r="L1327" s="75">
        <v>34.9</v>
      </c>
      <c r="M1327" s="60">
        <v>25</v>
      </c>
      <c r="N1327" s="76">
        <v>100</v>
      </c>
      <c r="O1327" s="42"/>
      <c r="P1327" s="58" t="s">
        <v>36</v>
      </c>
      <c r="Q1327" s="61"/>
      <c r="R1327" s="62"/>
      <c r="S1327" s="78">
        <f t="shared" si="60"/>
        <v>2500</v>
      </c>
      <c r="T1327" s="44" t="str">
        <f t="shared" si="61"/>
        <v>2500grams</v>
      </c>
      <c r="U1327" s="77">
        <f t="shared" si="62"/>
        <v>872.5</v>
      </c>
      <c r="V1327" s="46"/>
      <c r="W1327" s="46"/>
      <c r="X1327" s="46"/>
    </row>
    <row r="1328" spans="1:24" ht="15.75" customHeight="1" thickBot="1" x14ac:dyDescent="0.35">
      <c r="A1328" s="40"/>
      <c r="B1328" s="67" t="s">
        <v>1649</v>
      </c>
      <c r="C1328" s="55"/>
      <c r="D1328" s="41"/>
      <c r="E1328" s="55"/>
      <c r="F1328" s="55"/>
      <c r="G1328" s="55"/>
      <c r="H1328" s="51"/>
      <c r="I1328" s="52"/>
      <c r="J1328" s="74" t="s">
        <v>1666</v>
      </c>
      <c r="K1328" s="57"/>
      <c r="L1328" s="75">
        <v>22.38</v>
      </c>
      <c r="M1328" s="60">
        <v>30</v>
      </c>
      <c r="N1328" s="76">
        <v>75</v>
      </c>
      <c r="O1328" s="42"/>
      <c r="P1328" s="58" t="s">
        <v>36</v>
      </c>
      <c r="Q1328" s="61"/>
      <c r="R1328" s="62"/>
      <c r="S1328" s="78">
        <f t="shared" si="60"/>
        <v>2250</v>
      </c>
      <c r="T1328" s="44" t="str">
        <f t="shared" si="61"/>
        <v>2250grams</v>
      </c>
      <c r="U1328" s="77">
        <f t="shared" si="62"/>
        <v>671.4</v>
      </c>
      <c r="V1328" s="46"/>
      <c r="W1328" s="46"/>
      <c r="X1328" s="46"/>
    </row>
    <row r="1329" spans="1:24" ht="15.75" customHeight="1" thickBot="1" x14ac:dyDescent="0.35">
      <c r="A1329" s="40"/>
      <c r="B1329" s="67" t="s">
        <v>1649</v>
      </c>
      <c r="C1329" s="55"/>
      <c r="D1329" s="41"/>
      <c r="E1329" s="55"/>
      <c r="F1329" s="55"/>
      <c r="G1329" s="55"/>
      <c r="H1329" s="51"/>
      <c r="I1329" s="52"/>
      <c r="J1329" s="74" t="s">
        <v>1667</v>
      </c>
      <c r="K1329" s="57"/>
      <c r="L1329" s="75">
        <v>12.54</v>
      </c>
      <c r="M1329" s="60">
        <v>18</v>
      </c>
      <c r="N1329" s="76">
        <v>56</v>
      </c>
      <c r="O1329" s="42"/>
      <c r="P1329" s="58" t="s">
        <v>36</v>
      </c>
      <c r="Q1329" s="61"/>
      <c r="R1329" s="62"/>
      <c r="S1329" s="78">
        <f t="shared" si="60"/>
        <v>1008</v>
      </c>
      <c r="T1329" s="44" t="str">
        <f t="shared" si="61"/>
        <v>1008grams</v>
      </c>
      <c r="U1329" s="77">
        <f t="shared" si="62"/>
        <v>225.71999999999997</v>
      </c>
      <c r="V1329" s="46"/>
      <c r="W1329" s="46"/>
      <c r="X1329" s="46"/>
    </row>
    <row r="1330" spans="1:24" ht="15.75" customHeight="1" thickBot="1" x14ac:dyDescent="0.35">
      <c r="A1330" s="40"/>
      <c r="B1330" s="68" t="s">
        <v>1649</v>
      </c>
      <c r="C1330" s="55"/>
      <c r="D1330" s="41"/>
      <c r="E1330" s="55"/>
      <c r="F1330" s="55"/>
      <c r="G1330" s="55"/>
      <c r="H1330" s="51"/>
      <c r="I1330" s="52"/>
      <c r="J1330" s="74" t="s">
        <v>1668</v>
      </c>
      <c r="K1330" s="57"/>
      <c r="L1330" s="75">
        <v>23.1</v>
      </c>
      <c r="M1330" s="60">
        <v>2</v>
      </c>
      <c r="N1330" s="76">
        <v>85</v>
      </c>
      <c r="O1330" s="42"/>
      <c r="P1330" s="58" t="s">
        <v>36</v>
      </c>
      <c r="Q1330" s="61"/>
      <c r="R1330" s="62"/>
      <c r="S1330" s="78">
        <f t="shared" si="60"/>
        <v>170</v>
      </c>
      <c r="T1330" s="44" t="str">
        <f t="shared" si="61"/>
        <v>170grams</v>
      </c>
      <c r="U1330" s="77">
        <f t="shared" si="62"/>
        <v>46.2</v>
      </c>
      <c r="V1330" s="46"/>
      <c r="W1330" s="46"/>
      <c r="X1330" s="46"/>
    </row>
    <row r="1331" spans="1:24" ht="15.75" customHeight="1" thickBot="1" x14ac:dyDescent="0.35">
      <c r="A1331" s="40"/>
      <c r="B1331" s="68" t="s">
        <v>1649</v>
      </c>
      <c r="C1331" s="55"/>
      <c r="D1331" s="41"/>
      <c r="E1331" s="55"/>
      <c r="F1331" s="55"/>
      <c r="G1331" s="55"/>
      <c r="H1331" s="51"/>
      <c r="I1331" s="52"/>
      <c r="J1331" s="74" t="s">
        <v>1668</v>
      </c>
      <c r="K1331" s="57"/>
      <c r="L1331" s="75">
        <v>22.45</v>
      </c>
      <c r="M1331" s="60">
        <v>1</v>
      </c>
      <c r="N1331" s="76">
        <v>85</v>
      </c>
      <c r="O1331" s="42"/>
      <c r="P1331" s="58" t="s">
        <v>36</v>
      </c>
      <c r="Q1331" s="61"/>
      <c r="R1331" s="62"/>
      <c r="S1331" s="78">
        <f t="shared" si="60"/>
        <v>85</v>
      </c>
      <c r="T1331" s="44" t="str">
        <f t="shared" si="61"/>
        <v>85grams</v>
      </c>
      <c r="U1331" s="77">
        <f t="shared" si="62"/>
        <v>22.45</v>
      </c>
      <c r="V1331" s="46"/>
      <c r="W1331" s="46"/>
      <c r="X1331" s="46"/>
    </row>
    <row r="1332" spans="1:24" ht="15.75" customHeight="1" thickBot="1" x14ac:dyDescent="0.35">
      <c r="A1332" s="40"/>
      <c r="B1332" s="67" t="s">
        <v>1649</v>
      </c>
      <c r="C1332" s="55"/>
      <c r="D1332" s="41"/>
      <c r="E1332" s="55"/>
      <c r="F1332" s="55"/>
      <c r="G1332" s="55"/>
      <c r="H1332" s="51"/>
      <c r="I1332" s="52"/>
      <c r="J1332" s="74" t="s">
        <v>1669</v>
      </c>
      <c r="K1332" s="57"/>
      <c r="L1332" s="75">
        <v>85</v>
      </c>
      <c r="M1332" s="60">
        <v>15</v>
      </c>
      <c r="N1332" s="76">
        <v>350</v>
      </c>
      <c r="O1332" s="42"/>
      <c r="P1332" s="58" t="s">
        <v>47</v>
      </c>
      <c r="Q1332" s="61"/>
      <c r="R1332" s="62"/>
      <c r="S1332" s="78">
        <f t="shared" si="60"/>
        <v>5250</v>
      </c>
      <c r="T1332" s="44" t="str">
        <f t="shared" si="61"/>
        <v>5250ml</v>
      </c>
      <c r="U1332" s="77">
        <f t="shared" si="62"/>
        <v>1275</v>
      </c>
      <c r="V1332" s="46"/>
      <c r="W1332" s="46"/>
      <c r="X1332" s="46"/>
    </row>
    <row r="1333" spans="1:24" ht="15.75" customHeight="1" thickBot="1" x14ac:dyDescent="0.35">
      <c r="A1333" s="40"/>
      <c r="B1333" s="67" t="s">
        <v>1649</v>
      </c>
      <c r="C1333" s="55"/>
      <c r="D1333" s="41"/>
      <c r="E1333" s="55"/>
      <c r="F1333" s="55"/>
      <c r="G1333" s="55"/>
      <c r="H1333" s="51"/>
      <c r="I1333" s="52"/>
      <c r="J1333" s="74" t="s">
        <v>1669</v>
      </c>
      <c r="K1333" s="57"/>
      <c r="L1333" s="75">
        <v>120</v>
      </c>
      <c r="M1333" s="60">
        <v>7</v>
      </c>
      <c r="N1333" s="76">
        <v>750</v>
      </c>
      <c r="O1333" s="42"/>
      <c r="P1333" s="58" t="s">
        <v>47</v>
      </c>
      <c r="Q1333" s="61"/>
      <c r="R1333" s="62"/>
      <c r="S1333" s="78">
        <f t="shared" si="60"/>
        <v>5250</v>
      </c>
      <c r="T1333" s="44" t="str">
        <f t="shared" si="61"/>
        <v>5250ml</v>
      </c>
      <c r="U1333" s="77">
        <f t="shared" si="62"/>
        <v>840</v>
      </c>
      <c r="V1333" s="46"/>
      <c r="W1333" s="46"/>
      <c r="X1333" s="46"/>
    </row>
    <row r="1334" spans="1:24" ht="15.75" customHeight="1" thickBot="1" x14ac:dyDescent="0.35">
      <c r="A1334" s="40"/>
      <c r="B1334" s="67" t="s">
        <v>1649</v>
      </c>
      <c r="C1334" s="55"/>
      <c r="D1334" s="41"/>
      <c r="E1334" s="55"/>
      <c r="F1334" s="55"/>
      <c r="G1334" s="55"/>
      <c r="H1334" s="51"/>
      <c r="I1334" s="52"/>
      <c r="J1334" s="74" t="s">
        <v>1670</v>
      </c>
      <c r="K1334" s="57"/>
      <c r="L1334" s="75">
        <v>34.200000000000003</v>
      </c>
      <c r="M1334" s="60">
        <v>20</v>
      </c>
      <c r="N1334" s="76">
        <v>85</v>
      </c>
      <c r="O1334" s="42"/>
      <c r="P1334" s="58" t="s">
        <v>36</v>
      </c>
      <c r="Q1334" s="61"/>
      <c r="R1334" s="62"/>
      <c r="S1334" s="78">
        <f t="shared" ref="S1334:S1397" si="63">M1334*N1334</f>
        <v>1700</v>
      </c>
      <c r="T1334" s="44" t="str">
        <f t="shared" ref="T1334:T1397" si="64">CONCATENATE(S1334,Q1334,P1334)</f>
        <v>1700grams</v>
      </c>
      <c r="U1334" s="77">
        <f t="shared" ref="U1334:U1397" si="65">L1334*M1334</f>
        <v>684</v>
      </c>
      <c r="V1334" s="46"/>
      <c r="W1334" s="46"/>
      <c r="X1334" s="46"/>
    </row>
    <row r="1335" spans="1:24" ht="15.75" customHeight="1" thickBot="1" x14ac:dyDescent="0.35">
      <c r="A1335" s="40"/>
      <c r="B1335" s="67" t="s">
        <v>1649</v>
      </c>
      <c r="C1335" s="55"/>
      <c r="D1335" s="41"/>
      <c r="E1335" s="55"/>
      <c r="F1335" s="55"/>
      <c r="G1335" s="55"/>
      <c r="H1335" s="51"/>
      <c r="I1335" s="52"/>
      <c r="J1335" s="74" t="s">
        <v>1671</v>
      </c>
      <c r="K1335" s="57"/>
      <c r="L1335" s="75">
        <v>56.45</v>
      </c>
      <c r="M1335" s="60">
        <v>18</v>
      </c>
      <c r="N1335" s="76">
        <v>180</v>
      </c>
      <c r="O1335" s="42"/>
      <c r="P1335" s="58" t="s">
        <v>36</v>
      </c>
      <c r="Q1335" s="61"/>
      <c r="R1335" s="62"/>
      <c r="S1335" s="78">
        <f t="shared" si="63"/>
        <v>3240</v>
      </c>
      <c r="T1335" s="44" t="str">
        <f t="shared" si="64"/>
        <v>3240grams</v>
      </c>
      <c r="U1335" s="77">
        <f t="shared" si="65"/>
        <v>1016.1</v>
      </c>
      <c r="V1335" s="46"/>
      <c r="W1335" s="46"/>
      <c r="X1335" s="46"/>
    </row>
    <row r="1336" spans="1:24" ht="15.75" customHeight="1" thickBot="1" x14ac:dyDescent="0.35">
      <c r="A1336" s="40"/>
      <c r="B1336" s="67" t="s">
        <v>1649</v>
      </c>
      <c r="C1336" s="55"/>
      <c r="D1336" s="41"/>
      <c r="E1336" s="55"/>
      <c r="F1336" s="55"/>
      <c r="G1336" s="55"/>
      <c r="H1336" s="51"/>
      <c r="I1336" s="52"/>
      <c r="J1336" s="74" t="s">
        <v>1672</v>
      </c>
      <c r="K1336" s="57"/>
      <c r="L1336" s="75">
        <v>40.1</v>
      </c>
      <c r="M1336" s="60">
        <v>3</v>
      </c>
      <c r="N1336" s="76">
        <v>150</v>
      </c>
      <c r="O1336" s="42"/>
      <c r="P1336" s="58" t="s">
        <v>36</v>
      </c>
      <c r="Q1336" s="61"/>
      <c r="R1336" s="62"/>
      <c r="S1336" s="78">
        <f t="shared" si="63"/>
        <v>450</v>
      </c>
      <c r="T1336" s="44" t="str">
        <f t="shared" si="64"/>
        <v>450grams</v>
      </c>
      <c r="U1336" s="77">
        <f t="shared" si="65"/>
        <v>120.30000000000001</v>
      </c>
      <c r="V1336" s="46"/>
      <c r="W1336" s="46"/>
      <c r="X1336" s="46"/>
    </row>
    <row r="1337" spans="1:24" ht="15.75" customHeight="1" thickBot="1" x14ac:dyDescent="0.35">
      <c r="A1337" s="40"/>
      <c r="B1337" s="67" t="s">
        <v>1649</v>
      </c>
      <c r="C1337" s="55"/>
      <c r="D1337" s="41"/>
      <c r="E1337" s="55"/>
      <c r="F1337" s="55"/>
      <c r="G1337" s="55"/>
      <c r="H1337" s="51"/>
      <c r="I1337" s="52"/>
      <c r="J1337" s="74" t="s">
        <v>1673</v>
      </c>
      <c r="K1337" s="57"/>
      <c r="L1337" s="75">
        <v>15.8</v>
      </c>
      <c r="M1337" s="60">
        <v>250</v>
      </c>
      <c r="N1337" s="76">
        <v>60</v>
      </c>
      <c r="O1337" s="42"/>
      <c r="P1337" s="58" t="s">
        <v>36</v>
      </c>
      <c r="Q1337" s="61"/>
      <c r="R1337" s="62"/>
      <c r="S1337" s="78">
        <f t="shared" si="63"/>
        <v>15000</v>
      </c>
      <c r="T1337" s="44" t="str">
        <f t="shared" si="64"/>
        <v>15000grams</v>
      </c>
      <c r="U1337" s="77">
        <f t="shared" si="65"/>
        <v>3950</v>
      </c>
      <c r="V1337" s="46"/>
      <c r="W1337" s="46"/>
      <c r="X1337" s="46"/>
    </row>
    <row r="1338" spans="1:24" ht="15.75" customHeight="1" thickBot="1" x14ac:dyDescent="0.35">
      <c r="A1338" s="40"/>
      <c r="B1338" s="67" t="s">
        <v>1649</v>
      </c>
      <c r="C1338" s="55"/>
      <c r="D1338" s="41"/>
      <c r="E1338" s="55"/>
      <c r="F1338" s="55"/>
      <c r="G1338" s="55"/>
      <c r="H1338" s="51"/>
      <c r="I1338" s="52"/>
      <c r="J1338" s="74" t="s">
        <v>1673</v>
      </c>
      <c r="K1338" s="57"/>
      <c r="L1338" s="75">
        <v>16</v>
      </c>
      <c r="M1338" s="60">
        <v>200</v>
      </c>
      <c r="N1338" s="76">
        <v>60</v>
      </c>
      <c r="O1338" s="42"/>
      <c r="P1338" s="58" t="s">
        <v>36</v>
      </c>
      <c r="Q1338" s="61"/>
      <c r="R1338" s="62"/>
      <c r="S1338" s="78">
        <f t="shared" si="63"/>
        <v>12000</v>
      </c>
      <c r="T1338" s="44" t="str">
        <f t="shared" si="64"/>
        <v>12000grams</v>
      </c>
      <c r="U1338" s="77">
        <f t="shared" si="65"/>
        <v>3200</v>
      </c>
      <c r="V1338" s="46"/>
      <c r="W1338" s="46"/>
      <c r="X1338" s="46"/>
    </row>
    <row r="1339" spans="1:24" ht="15.75" customHeight="1" thickBot="1" x14ac:dyDescent="0.35">
      <c r="A1339" s="40"/>
      <c r="B1339" s="67" t="s">
        <v>1649</v>
      </c>
      <c r="C1339" s="55"/>
      <c r="D1339" s="41"/>
      <c r="E1339" s="55"/>
      <c r="F1339" s="55"/>
      <c r="G1339" s="55"/>
      <c r="H1339" s="51"/>
      <c r="I1339" s="52"/>
      <c r="J1339" s="74" t="s">
        <v>1674</v>
      </c>
      <c r="K1339" s="57"/>
      <c r="L1339" s="75">
        <v>48.8</v>
      </c>
      <c r="M1339" s="60">
        <v>2</v>
      </c>
      <c r="N1339" s="76">
        <v>200</v>
      </c>
      <c r="O1339" s="42"/>
      <c r="P1339" s="58" t="s">
        <v>36</v>
      </c>
      <c r="Q1339" s="61"/>
      <c r="R1339" s="62"/>
      <c r="S1339" s="78">
        <f t="shared" si="63"/>
        <v>400</v>
      </c>
      <c r="T1339" s="44" t="str">
        <f t="shared" si="64"/>
        <v>400grams</v>
      </c>
      <c r="U1339" s="77">
        <f t="shared" si="65"/>
        <v>97.6</v>
      </c>
      <c r="V1339" s="46"/>
      <c r="W1339" s="46"/>
      <c r="X1339" s="46"/>
    </row>
    <row r="1340" spans="1:24" ht="15.75" customHeight="1" thickBot="1" x14ac:dyDescent="0.35">
      <c r="A1340" s="40"/>
      <c r="B1340" s="67" t="s">
        <v>1649</v>
      </c>
      <c r="C1340" s="55"/>
      <c r="D1340" s="41"/>
      <c r="E1340" s="55"/>
      <c r="F1340" s="55"/>
      <c r="G1340" s="55"/>
      <c r="H1340" s="51"/>
      <c r="I1340" s="52"/>
      <c r="J1340" s="74" t="s">
        <v>1675</v>
      </c>
      <c r="K1340" s="57"/>
      <c r="L1340" s="75">
        <v>65.25</v>
      </c>
      <c r="M1340" s="60">
        <v>2</v>
      </c>
      <c r="N1340" s="76">
        <v>250</v>
      </c>
      <c r="O1340" s="42"/>
      <c r="P1340" s="58" t="s">
        <v>36</v>
      </c>
      <c r="Q1340" s="61"/>
      <c r="R1340" s="62"/>
      <c r="S1340" s="78">
        <f t="shared" si="63"/>
        <v>500</v>
      </c>
      <c r="T1340" s="44" t="str">
        <f t="shared" si="64"/>
        <v>500grams</v>
      </c>
      <c r="U1340" s="77">
        <f t="shared" si="65"/>
        <v>130.5</v>
      </c>
      <c r="V1340" s="46"/>
      <c r="W1340" s="46"/>
      <c r="X1340" s="46"/>
    </row>
    <row r="1341" spans="1:24" ht="15.75" customHeight="1" thickBot="1" x14ac:dyDescent="0.35">
      <c r="A1341" s="40"/>
      <c r="B1341" s="67" t="s">
        <v>1649</v>
      </c>
      <c r="C1341" s="55"/>
      <c r="D1341" s="41"/>
      <c r="E1341" s="55"/>
      <c r="F1341" s="55"/>
      <c r="G1341" s="55"/>
      <c r="H1341" s="51"/>
      <c r="I1341" s="52"/>
      <c r="J1341" s="74" t="s">
        <v>1676</v>
      </c>
      <c r="K1341" s="57"/>
      <c r="L1341" s="75">
        <v>6.03</v>
      </c>
      <c r="M1341" s="60">
        <v>100</v>
      </c>
      <c r="N1341" s="76">
        <v>24</v>
      </c>
      <c r="O1341" s="42"/>
      <c r="P1341" s="58" t="s">
        <v>36</v>
      </c>
      <c r="Q1341" s="61"/>
      <c r="R1341" s="62"/>
      <c r="S1341" s="78">
        <f t="shared" si="63"/>
        <v>2400</v>
      </c>
      <c r="T1341" s="44" t="str">
        <f t="shared" si="64"/>
        <v>2400grams</v>
      </c>
      <c r="U1341" s="77">
        <f t="shared" si="65"/>
        <v>603</v>
      </c>
      <c r="V1341" s="46"/>
      <c r="W1341" s="46"/>
      <c r="X1341" s="46"/>
    </row>
    <row r="1342" spans="1:24" ht="15.75" customHeight="1" thickBot="1" x14ac:dyDescent="0.35">
      <c r="A1342" s="40"/>
      <c r="B1342" s="67" t="s">
        <v>1649</v>
      </c>
      <c r="C1342" s="55"/>
      <c r="D1342" s="41"/>
      <c r="E1342" s="55"/>
      <c r="F1342" s="55"/>
      <c r="G1342" s="55"/>
      <c r="H1342" s="51"/>
      <c r="I1342" s="52"/>
      <c r="J1342" s="74" t="s">
        <v>1677</v>
      </c>
      <c r="K1342" s="57"/>
      <c r="L1342" s="75">
        <v>40.1</v>
      </c>
      <c r="M1342" s="60">
        <v>10</v>
      </c>
      <c r="N1342" s="76">
        <v>150</v>
      </c>
      <c r="O1342" s="42"/>
      <c r="P1342" s="58" t="s">
        <v>36</v>
      </c>
      <c r="Q1342" s="61"/>
      <c r="R1342" s="62"/>
      <c r="S1342" s="78">
        <f t="shared" si="63"/>
        <v>1500</v>
      </c>
      <c r="T1342" s="44" t="str">
        <f t="shared" si="64"/>
        <v>1500grams</v>
      </c>
      <c r="U1342" s="77">
        <f t="shared" si="65"/>
        <v>401</v>
      </c>
      <c r="V1342" s="46"/>
      <c r="W1342" s="46"/>
      <c r="X1342" s="46"/>
    </row>
    <row r="1343" spans="1:24" ht="15.75" customHeight="1" thickBot="1" x14ac:dyDescent="0.35">
      <c r="A1343" s="40"/>
      <c r="B1343" s="67" t="s">
        <v>1649</v>
      </c>
      <c r="C1343" s="55"/>
      <c r="D1343" s="41"/>
      <c r="E1343" s="55"/>
      <c r="F1343" s="55"/>
      <c r="G1343" s="55"/>
      <c r="H1343" s="51"/>
      <c r="I1343" s="52"/>
      <c r="J1343" s="74" t="s">
        <v>1678</v>
      </c>
      <c r="K1343" s="57"/>
      <c r="L1343" s="75">
        <v>12.1</v>
      </c>
      <c r="M1343" s="60">
        <v>31</v>
      </c>
      <c r="N1343" s="76">
        <v>40</v>
      </c>
      <c r="O1343" s="42"/>
      <c r="P1343" s="58" t="s">
        <v>36</v>
      </c>
      <c r="Q1343" s="61"/>
      <c r="R1343" s="62"/>
      <c r="S1343" s="78">
        <f t="shared" si="63"/>
        <v>1240</v>
      </c>
      <c r="T1343" s="44" t="str">
        <f t="shared" si="64"/>
        <v>1240grams</v>
      </c>
      <c r="U1343" s="77">
        <f t="shared" si="65"/>
        <v>375.09999999999997</v>
      </c>
      <c r="V1343" s="46"/>
      <c r="W1343" s="46"/>
      <c r="X1343" s="46"/>
    </row>
    <row r="1344" spans="1:24" ht="15.75" customHeight="1" thickBot="1" x14ac:dyDescent="0.35">
      <c r="A1344" s="40"/>
      <c r="B1344" s="67" t="s">
        <v>1649</v>
      </c>
      <c r="C1344" s="55"/>
      <c r="D1344" s="41"/>
      <c r="E1344" s="55"/>
      <c r="F1344" s="55"/>
      <c r="G1344" s="55"/>
      <c r="H1344" s="51"/>
      <c r="I1344" s="52"/>
      <c r="J1344" s="74" t="s">
        <v>1679</v>
      </c>
      <c r="K1344" s="57"/>
      <c r="L1344" s="75">
        <v>24.23</v>
      </c>
      <c r="M1344" s="60">
        <v>50</v>
      </c>
      <c r="N1344" s="76">
        <v>110</v>
      </c>
      <c r="O1344" s="42"/>
      <c r="P1344" s="58" t="s">
        <v>36</v>
      </c>
      <c r="Q1344" s="61"/>
      <c r="R1344" s="62"/>
      <c r="S1344" s="78">
        <f t="shared" si="63"/>
        <v>5500</v>
      </c>
      <c r="T1344" s="44" t="str">
        <f t="shared" si="64"/>
        <v>5500grams</v>
      </c>
      <c r="U1344" s="77">
        <f t="shared" si="65"/>
        <v>1211.5</v>
      </c>
      <c r="V1344" s="46"/>
      <c r="W1344" s="46"/>
      <c r="X1344" s="46"/>
    </row>
    <row r="1345" spans="1:24" ht="15.75" customHeight="1" thickBot="1" x14ac:dyDescent="0.35">
      <c r="A1345" s="40"/>
      <c r="B1345" s="68" t="s">
        <v>1649</v>
      </c>
      <c r="C1345" s="55"/>
      <c r="D1345" s="41"/>
      <c r="E1345" s="55"/>
      <c r="F1345" s="55"/>
      <c r="G1345" s="55"/>
      <c r="H1345" s="51"/>
      <c r="I1345" s="52"/>
      <c r="J1345" s="74" t="s">
        <v>1680</v>
      </c>
      <c r="K1345" s="57"/>
      <c r="L1345" s="75">
        <v>11.2</v>
      </c>
      <c r="M1345" s="60">
        <v>81</v>
      </c>
      <c r="N1345" s="76">
        <v>42</v>
      </c>
      <c r="O1345" s="42"/>
      <c r="P1345" s="58" t="s">
        <v>38</v>
      </c>
      <c r="Q1345" s="61"/>
      <c r="R1345" s="62"/>
      <c r="S1345" s="78">
        <f t="shared" si="63"/>
        <v>3402</v>
      </c>
      <c r="T1345" s="44" t="str">
        <f t="shared" si="64"/>
        <v>3402pieces</v>
      </c>
      <c r="U1345" s="77">
        <f t="shared" si="65"/>
        <v>907.19999999999993</v>
      </c>
      <c r="V1345" s="46"/>
      <c r="W1345" s="46"/>
      <c r="X1345" s="46"/>
    </row>
    <row r="1346" spans="1:24" ht="15.75" customHeight="1" thickBot="1" x14ac:dyDescent="0.35">
      <c r="A1346" s="40"/>
      <c r="B1346" s="68" t="s">
        <v>1649</v>
      </c>
      <c r="C1346" s="55"/>
      <c r="D1346" s="41"/>
      <c r="E1346" s="55"/>
      <c r="F1346" s="55"/>
      <c r="G1346" s="55"/>
      <c r="H1346" s="51"/>
      <c r="I1346" s="52"/>
      <c r="J1346" s="74" t="s">
        <v>1681</v>
      </c>
      <c r="K1346" s="57"/>
      <c r="L1346" s="75">
        <v>11.3</v>
      </c>
      <c r="M1346" s="60">
        <v>4</v>
      </c>
      <c r="N1346" s="76">
        <v>42</v>
      </c>
      <c r="O1346" s="42"/>
      <c r="P1346" s="58" t="s">
        <v>38</v>
      </c>
      <c r="Q1346" s="61"/>
      <c r="R1346" s="62"/>
      <c r="S1346" s="78">
        <f t="shared" si="63"/>
        <v>168</v>
      </c>
      <c r="T1346" s="44" t="str">
        <f t="shared" si="64"/>
        <v>168pieces</v>
      </c>
      <c r="U1346" s="77">
        <f t="shared" si="65"/>
        <v>45.2</v>
      </c>
      <c r="V1346" s="46"/>
      <c r="W1346" s="46"/>
      <c r="X1346" s="46"/>
    </row>
    <row r="1347" spans="1:24" ht="15.75" customHeight="1" thickBot="1" x14ac:dyDescent="0.35">
      <c r="A1347" s="40"/>
      <c r="B1347" s="67" t="s">
        <v>1649</v>
      </c>
      <c r="C1347" s="55"/>
      <c r="D1347" s="41"/>
      <c r="E1347" s="55"/>
      <c r="F1347" s="55"/>
      <c r="G1347" s="55"/>
      <c r="H1347" s="51"/>
      <c r="I1347" s="52"/>
      <c r="J1347" s="74" t="s">
        <v>1682</v>
      </c>
      <c r="K1347" s="57"/>
      <c r="L1347" s="75">
        <v>36</v>
      </c>
      <c r="M1347" s="60">
        <v>360</v>
      </c>
      <c r="N1347" s="76">
        <v>130</v>
      </c>
      <c r="O1347" s="42"/>
      <c r="P1347" s="58" t="s">
        <v>36</v>
      </c>
      <c r="Q1347" s="61"/>
      <c r="R1347" s="62"/>
      <c r="S1347" s="78">
        <f t="shared" si="63"/>
        <v>46800</v>
      </c>
      <c r="T1347" s="44" t="str">
        <f t="shared" si="64"/>
        <v>46800grams</v>
      </c>
      <c r="U1347" s="77">
        <f t="shared" si="65"/>
        <v>12960</v>
      </c>
      <c r="V1347" s="46"/>
      <c r="W1347" s="46"/>
      <c r="X1347" s="46"/>
    </row>
    <row r="1348" spans="1:24" ht="15.75" customHeight="1" thickBot="1" x14ac:dyDescent="0.35">
      <c r="A1348" s="40"/>
      <c r="B1348" s="67" t="s">
        <v>1649</v>
      </c>
      <c r="C1348" s="55"/>
      <c r="D1348" s="41"/>
      <c r="E1348" s="55"/>
      <c r="F1348" s="55"/>
      <c r="G1348" s="55"/>
      <c r="H1348" s="51"/>
      <c r="I1348" s="52"/>
      <c r="J1348" s="74" t="s">
        <v>1683</v>
      </c>
      <c r="K1348" s="57"/>
      <c r="L1348" s="75">
        <v>24.8</v>
      </c>
      <c r="M1348" s="60">
        <v>39</v>
      </c>
      <c r="N1348" s="76">
        <v>90</v>
      </c>
      <c r="O1348" s="42"/>
      <c r="P1348" s="58" t="s">
        <v>36</v>
      </c>
      <c r="Q1348" s="61"/>
      <c r="R1348" s="62"/>
      <c r="S1348" s="78">
        <f t="shared" si="63"/>
        <v>3510</v>
      </c>
      <c r="T1348" s="44" t="str">
        <f t="shared" si="64"/>
        <v>3510grams</v>
      </c>
      <c r="U1348" s="77">
        <f t="shared" si="65"/>
        <v>967.2</v>
      </c>
      <c r="V1348" s="46"/>
      <c r="W1348" s="46"/>
      <c r="X1348" s="46"/>
    </row>
    <row r="1349" spans="1:24" ht="15.75" customHeight="1" thickBot="1" x14ac:dyDescent="0.35">
      <c r="A1349" s="40"/>
      <c r="B1349" s="67" t="s">
        <v>1649</v>
      </c>
      <c r="C1349" s="55"/>
      <c r="D1349" s="41"/>
      <c r="E1349" s="55"/>
      <c r="F1349" s="55"/>
      <c r="G1349" s="55"/>
      <c r="H1349" s="51"/>
      <c r="I1349" s="52"/>
      <c r="J1349" s="74" t="s">
        <v>1684</v>
      </c>
      <c r="K1349" s="57"/>
      <c r="L1349" s="75">
        <v>19.16</v>
      </c>
      <c r="M1349" s="60">
        <v>30</v>
      </c>
      <c r="N1349" s="76">
        <v>1</v>
      </c>
      <c r="O1349" s="42"/>
      <c r="P1349" s="58" t="s">
        <v>38</v>
      </c>
      <c r="Q1349" s="61"/>
      <c r="R1349" s="62"/>
      <c r="S1349" s="78">
        <f t="shared" si="63"/>
        <v>30</v>
      </c>
      <c r="T1349" s="44" t="str">
        <f t="shared" si="64"/>
        <v>30pieces</v>
      </c>
      <c r="U1349" s="77">
        <f t="shared" si="65"/>
        <v>574.79999999999995</v>
      </c>
      <c r="V1349" s="46"/>
      <c r="W1349" s="46"/>
      <c r="X1349" s="46"/>
    </row>
    <row r="1350" spans="1:24" ht="15.75" customHeight="1" thickBot="1" x14ac:dyDescent="0.35">
      <c r="A1350" s="40"/>
      <c r="B1350" s="67" t="s">
        <v>1649</v>
      </c>
      <c r="C1350" s="55"/>
      <c r="D1350" s="41"/>
      <c r="E1350" s="55"/>
      <c r="F1350" s="55"/>
      <c r="G1350" s="55"/>
      <c r="H1350" s="51"/>
      <c r="I1350" s="52"/>
      <c r="J1350" s="74" t="s">
        <v>1685</v>
      </c>
      <c r="K1350" s="57"/>
      <c r="L1350" s="75">
        <v>16.329999999999998</v>
      </c>
      <c r="M1350" s="60">
        <v>50</v>
      </c>
      <c r="N1350" s="76">
        <v>60</v>
      </c>
      <c r="O1350" s="42"/>
      <c r="P1350" s="58" t="s">
        <v>36</v>
      </c>
      <c r="Q1350" s="61"/>
      <c r="R1350" s="62"/>
      <c r="S1350" s="78">
        <f t="shared" si="63"/>
        <v>3000</v>
      </c>
      <c r="T1350" s="44" t="str">
        <f t="shared" si="64"/>
        <v>3000grams</v>
      </c>
      <c r="U1350" s="77">
        <f t="shared" si="65"/>
        <v>816.49999999999989</v>
      </c>
      <c r="V1350" s="46"/>
      <c r="W1350" s="46"/>
      <c r="X1350" s="46"/>
    </row>
    <row r="1351" spans="1:24" ht="15.75" customHeight="1" thickBot="1" x14ac:dyDescent="0.35">
      <c r="A1351" s="40"/>
      <c r="B1351" s="67" t="s">
        <v>1649</v>
      </c>
      <c r="C1351" s="55"/>
      <c r="D1351" s="41"/>
      <c r="E1351" s="55"/>
      <c r="F1351" s="55"/>
      <c r="G1351" s="55"/>
      <c r="H1351" s="51"/>
      <c r="I1351" s="52"/>
      <c r="J1351" s="74" t="s">
        <v>1686</v>
      </c>
      <c r="K1351" s="57"/>
      <c r="L1351" s="75">
        <v>25.25</v>
      </c>
      <c r="M1351" s="60">
        <v>35</v>
      </c>
      <c r="N1351" s="76">
        <v>110</v>
      </c>
      <c r="O1351" s="42"/>
      <c r="P1351" s="58" t="s">
        <v>36</v>
      </c>
      <c r="Q1351" s="61"/>
      <c r="R1351" s="62"/>
      <c r="S1351" s="78">
        <f t="shared" si="63"/>
        <v>3850</v>
      </c>
      <c r="T1351" s="44" t="str">
        <f t="shared" si="64"/>
        <v>3850grams</v>
      </c>
      <c r="U1351" s="77">
        <f t="shared" si="65"/>
        <v>883.75</v>
      </c>
      <c r="V1351" s="46"/>
      <c r="W1351" s="46"/>
      <c r="X1351" s="46"/>
    </row>
    <row r="1352" spans="1:24" ht="15.75" customHeight="1" thickBot="1" x14ac:dyDescent="0.35">
      <c r="A1352" s="40"/>
      <c r="B1352" s="67" t="s">
        <v>1649</v>
      </c>
      <c r="C1352" s="55"/>
      <c r="D1352" s="41"/>
      <c r="E1352" s="55"/>
      <c r="F1352" s="55"/>
      <c r="G1352" s="55"/>
      <c r="H1352" s="51"/>
      <c r="I1352" s="52"/>
      <c r="J1352" s="74" t="s">
        <v>1663</v>
      </c>
      <c r="K1352" s="57"/>
      <c r="L1352" s="75">
        <v>35</v>
      </c>
      <c r="M1352" s="60">
        <v>1</v>
      </c>
      <c r="N1352" s="76">
        <v>78</v>
      </c>
      <c r="O1352" s="42"/>
      <c r="P1352" s="58" t="s">
        <v>36</v>
      </c>
      <c r="Q1352" s="61"/>
      <c r="R1352" s="62"/>
      <c r="S1352" s="78">
        <f t="shared" si="63"/>
        <v>78</v>
      </c>
      <c r="T1352" s="44" t="str">
        <f t="shared" si="64"/>
        <v>78grams</v>
      </c>
      <c r="U1352" s="77">
        <f t="shared" si="65"/>
        <v>35</v>
      </c>
      <c r="V1352" s="46"/>
      <c r="W1352" s="46"/>
      <c r="X1352" s="46"/>
    </row>
    <row r="1353" spans="1:24" ht="15.75" customHeight="1" thickBot="1" x14ac:dyDescent="0.35">
      <c r="A1353" s="40"/>
      <c r="B1353" s="67" t="s">
        <v>1649</v>
      </c>
      <c r="C1353" s="55"/>
      <c r="D1353" s="41"/>
      <c r="E1353" s="55"/>
      <c r="F1353" s="55"/>
      <c r="G1353" s="55"/>
      <c r="H1353" s="51"/>
      <c r="I1353" s="52"/>
      <c r="J1353" s="74" t="s">
        <v>1687</v>
      </c>
      <c r="K1353" s="57"/>
      <c r="L1353" s="75">
        <v>7.07</v>
      </c>
      <c r="M1353" s="60">
        <v>105</v>
      </c>
      <c r="N1353" s="76">
        <v>24</v>
      </c>
      <c r="O1353" s="42"/>
      <c r="P1353" s="58" t="s">
        <v>36</v>
      </c>
      <c r="Q1353" s="61"/>
      <c r="R1353" s="62"/>
      <c r="S1353" s="78">
        <f t="shared" si="63"/>
        <v>2520</v>
      </c>
      <c r="T1353" s="44" t="str">
        <f t="shared" si="64"/>
        <v>2520grams</v>
      </c>
      <c r="U1353" s="77">
        <f t="shared" si="65"/>
        <v>742.35</v>
      </c>
      <c r="V1353" s="46"/>
      <c r="W1353" s="46"/>
      <c r="X1353" s="46"/>
    </row>
    <row r="1354" spans="1:24" ht="15.75" customHeight="1" thickBot="1" x14ac:dyDescent="0.35">
      <c r="A1354" s="40"/>
      <c r="B1354" s="67" t="s">
        <v>1649</v>
      </c>
      <c r="C1354" s="55"/>
      <c r="D1354" s="41"/>
      <c r="E1354" s="55"/>
      <c r="F1354" s="55"/>
      <c r="G1354" s="55"/>
      <c r="H1354" s="51"/>
      <c r="I1354" s="52"/>
      <c r="J1354" s="74" t="s">
        <v>1688</v>
      </c>
      <c r="K1354" s="57"/>
      <c r="L1354" s="75">
        <v>22.1</v>
      </c>
      <c r="M1354" s="60">
        <v>17</v>
      </c>
      <c r="N1354" s="76">
        <v>90</v>
      </c>
      <c r="O1354" s="42"/>
      <c r="P1354" s="58" t="s">
        <v>36</v>
      </c>
      <c r="Q1354" s="61"/>
      <c r="R1354" s="62"/>
      <c r="S1354" s="78">
        <f t="shared" si="63"/>
        <v>1530</v>
      </c>
      <c r="T1354" s="44" t="str">
        <f t="shared" si="64"/>
        <v>1530grams</v>
      </c>
      <c r="U1354" s="77">
        <f t="shared" si="65"/>
        <v>375.70000000000005</v>
      </c>
      <c r="V1354" s="46"/>
      <c r="W1354" s="46"/>
      <c r="X1354" s="46"/>
    </row>
    <row r="1355" spans="1:24" ht="15.75" customHeight="1" thickBot="1" x14ac:dyDescent="0.35">
      <c r="A1355" s="40"/>
      <c r="B1355" s="67" t="s">
        <v>1649</v>
      </c>
      <c r="C1355" s="55"/>
      <c r="D1355" s="41"/>
      <c r="E1355" s="55"/>
      <c r="F1355" s="55"/>
      <c r="G1355" s="55"/>
      <c r="H1355" s="51"/>
      <c r="I1355" s="52"/>
      <c r="J1355" s="74" t="s">
        <v>1688</v>
      </c>
      <c r="K1355" s="57"/>
      <c r="L1355" s="75">
        <v>14.1</v>
      </c>
      <c r="M1355" s="60">
        <v>1</v>
      </c>
      <c r="N1355" s="76">
        <v>50</v>
      </c>
      <c r="O1355" s="42"/>
      <c r="P1355" s="58" t="s">
        <v>36</v>
      </c>
      <c r="Q1355" s="61"/>
      <c r="R1355" s="62"/>
      <c r="S1355" s="78">
        <f t="shared" si="63"/>
        <v>50</v>
      </c>
      <c r="T1355" s="44" t="str">
        <f t="shared" si="64"/>
        <v>50grams</v>
      </c>
      <c r="U1355" s="77">
        <f t="shared" si="65"/>
        <v>14.1</v>
      </c>
      <c r="V1355" s="46"/>
      <c r="W1355" s="46"/>
      <c r="X1355" s="46"/>
    </row>
    <row r="1356" spans="1:24" ht="15.75" customHeight="1" thickBot="1" x14ac:dyDescent="0.35">
      <c r="A1356" s="40"/>
      <c r="B1356" s="67" t="s">
        <v>1649</v>
      </c>
      <c r="C1356" s="55"/>
      <c r="D1356" s="41"/>
      <c r="E1356" s="55"/>
      <c r="F1356" s="55"/>
      <c r="G1356" s="55"/>
      <c r="H1356" s="51"/>
      <c r="I1356" s="52"/>
      <c r="J1356" s="74" t="s">
        <v>1683</v>
      </c>
      <c r="K1356" s="57"/>
      <c r="L1356" s="75">
        <v>23</v>
      </c>
      <c r="M1356" s="60">
        <v>1</v>
      </c>
      <c r="N1356" s="76">
        <v>90</v>
      </c>
      <c r="O1356" s="42"/>
      <c r="P1356" s="58" t="s">
        <v>36</v>
      </c>
      <c r="Q1356" s="61"/>
      <c r="R1356" s="62"/>
      <c r="S1356" s="78">
        <f t="shared" si="63"/>
        <v>90</v>
      </c>
      <c r="T1356" s="44" t="str">
        <f t="shared" si="64"/>
        <v>90grams</v>
      </c>
      <c r="U1356" s="77">
        <f t="shared" si="65"/>
        <v>23</v>
      </c>
      <c r="V1356" s="46"/>
      <c r="W1356" s="46"/>
      <c r="X1356" s="46"/>
    </row>
    <row r="1357" spans="1:24" ht="15.75" customHeight="1" thickBot="1" x14ac:dyDescent="0.35">
      <c r="A1357" s="40"/>
      <c r="B1357" s="67" t="s">
        <v>1649</v>
      </c>
      <c r="C1357" s="55"/>
      <c r="D1357" s="41"/>
      <c r="E1357" s="55"/>
      <c r="F1357" s="55"/>
      <c r="G1357" s="55"/>
      <c r="H1357" s="51"/>
      <c r="I1357" s="52"/>
      <c r="J1357" s="74" t="s">
        <v>1688</v>
      </c>
      <c r="K1357" s="57"/>
      <c r="L1357" s="75">
        <v>13.56</v>
      </c>
      <c r="M1357" s="60">
        <v>50</v>
      </c>
      <c r="N1357" s="76">
        <v>50</v>
      </c>
      <c r="O1357" s="42"/>
      <c r="P1357" s="58" t="s">
        <v>36</v>
      </c>
      <c r="Q1357" s="61"/>
      <c r="R1357" s="62"/>
      <c r="S1357" s="78">
        <f t="shared" si="63"/>
        <v>2500</v>
      </c>
      <c r="T1357" s="44" t="str">
        <f t="shared" si="64"/>
        <v>2500grams</v>
      </c>
      <c r="U1357" s="77">
        <f t="shared" si="65"/>
        <v>678</v>
      </c>
      <c r="V1357" s="46"/>
      <c r="W1357" s="46"/>
      <c r="X1357" s="46"/>
    </row>
    <row r="1358" spans="1:24" ht="15.75" customHeight="1" thickBot="1" x14ac:dyDescent="0.35">
      <c r="A1358" s="40"/>
      <c r="B1358" s="67" t="s">
        <v>1649</v>
      </c>
      <c r="C1358" s="55"/>
      <c r="D1358" s="41"/>
      <c r="E1358" s="55"/>
      <c r="F1358" s="55"/>
      <c r="G1358" s="55"/>
      <c r="H1358" s="51"/>
      <c r="I1358" s="52"/>
      <c r="J1358" s="74" t="s">
        <v>1689</v>
      </c>
      <c r="K1358" s="57"/>
      <c r="L1358" s="75">
        <v>7</v>
      </c>
      <c r="M1358" s="60">
        <v>11</v>
      </c>
      <c r="N1358" s="76">
        <v>42</v>
      </c>
      <c r="O1358" s="42"/>
      <c r="P1358" s="58" t="s">
        <v>36</v>
      </c>
      <c r="Q1358" s="61"/>
      <c r="R1358" s="62"/>
      <c r="S1358" s="78">
        <f t="shared" si="63"/>
        <v>462</v>
      </c>
      <c r="T1358" s="44" t="str">
        <f t="shared" si="64"/>
        <v>462grams</v>
      </c>
      <c r="U1358" s="77">
        <f t="shared" si="65"/>
        <v>77</v>
      </c>
      <c r="V1358" s="46"/>
      <c r="W1358" s="46"/>
      <c r="X1358" s="46"/>
    </row>
    <row r="1359" spans="1:24" ht="15.75" customHeight="1" thickBot="1" x14ac:dyDescent="0.35">
      <c r="A1359" s="40"/>
      <c r="B1359" s="67" t="s">
        <v>1649</v>
      </c>
      <c r="C1359" s="55"/>
      <c r="D1359" s="41"/>
      <c r="E1359" s="55"/>
      <c r="F1359" s="55"/>
      <c r="G1359" s="55"/>
      <c r="H1359" s="51"/>
      <c r="I1359" s="52"/>
      <c r="J1359" s="74" t="s">
        <v>1668</v>
      </c>
      <c r="K1359" s="57"/>
      <c r="L1359" s="75">
        <v>23.1</v>
      </c>
      <c r="M1359" s="60">
        <v>8</v>
      </c>
      <c r="N1359" s="76">
        <v>85</v>
      </c>
      <c r="O1359" s="42"/>
      <c r="P1359" s="58" t="s">
        <v>36</v>
      </c>
      <c r="Q1359" s="61"/>
      <c r="R1359" s="62"/>
      <c r="S1359" s="78">
        <f t="shared" si="63"/>
        <v>680</v>
      </c>
      <c r="T1359" s="44" t="str">
        <f t="shared" si="64"/>
        <v>680grams</v>
      </c>
      <c r="U1359" s="77">
        <f t="shared" si="65"/>
        <v>184.8</v>
      </c>
      <c r="V1359" s="46"/>
      <c r="W1359" s="46"/>
      <c r="X1359" s="46"/>
    </row>
    <row r="1360" spans="1:24" ht="15.75" customHeight="1" thickBot="1" x14ac:dyDescent="0.35">
      <c r="A1360" s="40"/>
      <c r="B1360" s="67" t="s">
        <v>1649</v>
      </c>
      <c r="C1360" s="55"/>
      <c r="D1360" s="41"/>
      <c r="E1360" s="55"/>
      <c r="F1360" s="55"/>
      <c r="G1360" s="55"/>
      <c r="H1360" s="51"/>
      <c r="I1360" s="52"/>
      <c r="J1360" s="74" t="s">
        <v>1690</v>
      </c>
      <c r="K1360" s="57"/>
      <c r="L1360" s="75">
        <v>22.45</v>
      </c>
      <c r="M1360" s="60">
        <v>7</v>
      </c>
      <c r="N1360" s="76">
        <v>90</v>
      </c>
      <c r="O1360" s="42"/>
      <c r="P1360" s="58" t="s">
        <v>36</v>
      </c>
      <c r="Q1360" s="61"/>
      <c r="R1360" s="62"/>
      <c r="S1360" s="78">
        <f t="shared" si="63"/>
        <v>630</v>
      </c>
      <c r="T1360" s="44" t="str">
        <f t="shared" si="64"/>
        <v>630grams</v>
      </c>
      <c r="U1360" s="77">
        <f t="shared" si="65"/>
        <v>157.15</v>
      </c>
      <c r="V1360" s="46"/>
      <c r="W1360" s="46"/>
      <c r="X1360" s="46"/>
    </row>
    <row r="1361" spans="1:24" ht="15.75" customHeight="1" thickBot="1" x14ac:dyDescent="0.35">
      <c r="A1361" s="40"/>
      <c r="B1361" s="67" t="s">
        <v>1649</v>
      </c>
      <c r="C1361" s="55"/>
      <c r="D1361" s="41"/>
      <c r="E1361" s="55"/>
      <c r="F1361" s="55"/>
      <c r="G1361" s="55"/>
      <c r="H1361" s="51"/>
      <c r="I1361" s="52"/>
      <c r="J1361" s="74" t="s">
        <v>1691</v>
      </c>
      <c r="K1361" s="57"/>
      <c r="L1361" s="75">
        <v>15.72</v>
      </c>
      <c r="M1361" s="60">
        <v>17</v>
      </c>
      <c r="N1361" s="76">
        <v>60</v>
      </c>
      <c r="O1361" s="42"/>
      <c r="P1361" s="58" t="s">
        <v>36</v>
      </c>
      <c r="Q1361" s="61"/>
      <c r="R1361" s="62"/>
      <c r="S1361" s="78">
        <f t="shared" si="63"/>
        <v>1020</v>
      </c>
      <c r="T1361" s="44" t="str">
        <f t="shared" si="64"/>
        <v>1020grams</v>
      </c>
      <c r="U1361" s="77">
        <f t="shared" si="65"/>
        <v>267.24</v>
      </c>
      <c r="V1361" s="46"/>
      <c r="W1361" s="46"/>
      <c r="X1361" s="46"/>
    </row>
    <row r="1362" spans="1:24" ht="15.75" customHeight="1" thickBot="1" x14ac:dyDescent="0.35">
      <c r="A1362" s="40"/>
      <c r="B1362" s="67" t="s">
        <v>1649</v>
      </c>
      <c r="C1362" s="55"/>
      <c r="D1362" s="41"/>
      <c r="E1362" s="55"/>
      <c r="F1362" s="55"/>
      <c r="G1362" s="55"/>
      <c r="H1362" s="51"/>
      <c r="I1362" s="52"/>
      <c r="J1362" s="74" t="s">
        <v>1692</v>
      </c>
      <c r="K1362" s="57"/>
      <c r="L1362" s="75">
        <v>22.37</v>
      </c>
      <c r="M1362" s="60">
        <v>30</v>
      </c>
      <c r="N1362" s="76">
        <v>75</v>
      </c>
      <c r="O1362" s="42"/>
      <c r="P1362" s="58" t="s">
        <v>36</v>
      </c>
      <c r="Q1362" s="61"/>
      <c r="R1362" s="62"/>
      <c r="S1362" s="78">
        <f t="shared" si="63"/>
        <v>2250</v>
      </c>
      <c r="T1362" s="44" t="str">
        <f t="shared" si="64"/>
        <v>2250grams</v>
      </c>
      <c r="U1362" s="77">
        <f t="shared" si="65"/>
        <v>671.1</v>
      </c>
      <c r="V1362" s="46"/>
      <c r="W1362" s="46"/>
      <c r="X1362" s="46"/>
    </row>
    <row r="1363" spans="1:24" ht="15.75" customHeight="1" thickBot="1" x14ac:dyDescent="0.35">
      <c r="A1363" s="40"/>
      <c r="B1363" s="67" t="s">
        <v>1649</v>
      </c>
      <c r="C1363" s="55"/>
      <c r="D1363" s="41"/>
      <c r="E1363" s="55"/>
      <c r="F1363" s="55"/>
      <c r="G1363" s="55"/>
      <c r="H1363" s="51"/>
      <c r="I1363" s="52"/>
      <c r="J1363" s="74" t="s">
        <v>1692</v>
      </c>
      <c r="K1363" s="57"/>
      <c r="L1363" s="75">
        <v>671.35</v>
      </c>
      <c r="M1363" s="60">
        <v>90</v>
      </c>
      <c r="N1363" s="76">
        <v>75</v>
      </c>
      <c r="O1363" s="42"/>
      <c r="P1363" s="58" t="s">
        <v>36</v>
      </c>
      <c r="Q1363" s="61"/>
      <c r="R1363" s="62"/>
      <c r="S1363" s="78">
        <f t="shared" si="63"/>
        <v>6750</v>
      </c>
      <c r="T1363" s="44" t="str">
        <f t="shared" si="64"/>
        <v>6750grams</v>
      </c>
      <c r="U1363" s="77">
        <f t="shared" si="65"/>
        <v>60421.5</v>
      </c>
      <c r="V1363" s="46"/>
      <c r="W1363" s="46"/>
      <c r="X1363" s="46"/>
    </row>
    <row r="1364" spans="1:24" ht="15.75" customHeight="1" thickBot="1" x14ac:dyDescent="0.35">
      <c r="A1364" s="40"/>
      <c r="B1364" s="67" t="s">
        <v>1649</v>
      </c>
      <c r="C1364" s="55"/>
      <c r="D1364" s="41"/>
      <c r="E1364" s="55"/>
      <c r="F1364" s="55"/>
      <c r="G1364" s="55"/>
      <c r="H1364" s="51"/>
      <c r="I1364" s="52"/>
      <c r="J1364" s="74" t="s">
        <v>1692</v>
      </c>
      <c r="K1364" s="57"/>
      <c r="L1364" s="75">
        <v>22.38</v>
      </c>
      <c r="M1364" s="60">
        <v>60</v>
      </c>
      <c r="N1364" s="76">
        <v>75</v>
      </c>
      <c r="O1364" s="42"/>
      <c r="P1364" s="58" t="s">
        <v>36</v>
      </c>
      <c r="Q1364" s="61"/>
      <c r="R1364" s="62"/>
      <c r="S1364" s="78">
        <f t="shared" si="63"/>
        <v>4500</v>
      </c>
      <c r="T1364" s="44" t="str">
        <f t="shared" si="64"/>
        <v>4500grams</v>
      </c>
      <c r="U1364" s="77">
        <f t="shared" si="65"/>
        <v>1342.8</v>
      </c>
      <c r="V1364" s="46"/>
      <c r="W1364" s="46"/>
      <c r="X1364" s="46"/>
    </row>
    <row r="1365" spans="1:24" ht="15.75" customHeight="1" thickBot="1" x14ac:dyDescent="0.35">
      <c r="A1365" s="40"/>
      <c r="B1365" s="67" t="s">
        <v>1649</v>
      </c>
      <c r="C1365" s="55"/>
      <c r="D1365" s="41"/>
      <c r="E1365" s="55"/>
      <c r="F1365" s="55"/>
      <c r="G1365" s="55"/>
      <c r="H1365" s="51"/>
      <c r="I1365" s="52"/>
      <c r="J1365" s="74" t="s">
        <v>1692</v>
      </c>
      <c r="K1365" s="57"/>
      <c r="L1365" s="75">
        <v>22.37</v>
      </c>
      <c r="M1365" s="60">
        <v>30</v>
      </c>
      <c r="N1365" s="76">
        <v>75</v>
      </c>
      <c r="O1365" s="42"/>
      <c r="P1365" s="58" t="s">
        <v>36</v>
      </c>
      <c r="Q1365" s="61"/>
      <c r="R1365" s="62"/>
      <c r="S1365" s="78">
        <f t="shared" si="63"/>
        <v>2250</v>
      </c>
      <c r="T1365" s="44" t="str">
        <f t="shared" si="64"/>
        <v>2250grams</v>
      </c>
      <c r="U1365" s="77">
        <f t="shared" si="65"/>
        <v>671.1</v>
      </c>
      <c r="V1365" s="46"/>
      <c r="W1365" s="46"/>
      <c r="X1365" s="46"/>
    </row>
    <row r="1366" spans="1:24" ht="15.75" customHeight="1" thickBot="1" x14ac:dyDescent="0.35">
      <c r="A1366" s="40"/>
      <c r="B1366" s="67" t="s">
        <v>1649</v>
      </c>
      <c r="C1366" s="55"/>
      <c r="D1366" s="41"/>
      <c r="E1366" s="55"/>
      <c r="F1366" s="55"/>
      <c r="G1366" s="55"/>
      <c r="H1366" s="51"/>
      <c r="I1366" s="52"/>
      <c r="J1366" s="74" t="s">
        <v>1693</v>
      </c>
      <c r="K1366" s="57"/>
      <c r="L1366" s="75">
        <v>19.16</v>
      </c>
      <c r="M1366" s="60">
        <v>53</v>
      </c>
      <c r="N1366" s="76">
        <v>120</v>
      </c>
      <c r="O1366" s="42"/>
      <c r="P1366" s="58" t="s">
        <v>36</v>
      </c>
      <c r="Q1366" s="61"/>
      <c r="R1366" s="62"/>
      <c r="S1366" s="78">
        <f t="shared" si="63"/>
        <v>6360</v>
      </c>
      <c r="T1366" s="44" t="str">
        <f t="shared" si="64"/>
        <v>6360grams</v>
      </c>
      <c r="U1366" s="77">
        <f t="shared" si="65"/>
        <v>1015.48</v>
      </c>
      <c r="V1366" s="46"/>
      <c r="W1366" s="46"/>
      <c r="X1366" s="46"/>
    </row>
    <row r="1367" spans="1:24" ht="15.75" customHeight="1" thickBot="1" x14ac:dyDescent="0.35">
      <c r="A1367" s="40"/>
      <c r="B1367" s="67" t="s">
        <v>1649</v>
      </c>
      <c r="C1367" s="55"/>
      <c r="D1367" s="41"/>
      <c r="E1367" s="55"/>
      <c r="F1367" s="55"/>
      <c r="G1367" s="55"/>
      <c r="H1367" s="51"/>
      <c r="I1367" s="52"/>
      <c r="J1367" s="74" t="s">
        <v>1694</v>
      </c>
      <c r="K1367" s="57"/>
      <c r="L1367" s="75">
        <v>19.61</v>
      </c>
      <c r="M1367" s="60">
        <v>25</v>
      </c>
      <c r="N1367" s="76">
        <v>100</v>
      </c>
      <c r="O1367" s="42"/>
      <c r="P1367" s="58" t="s">
        <v>36</v>
      </c>
      <c r="Q1367" s="61"/>
      <c r="R1367" s="62"/>
      <c r="S1367" s="78">
        <f t="shared" si="63"/>
        <v>2500</v>
      </c>
      <c r="T1367" s="44" t="str">
        <f t="shared" si="64"/>
        <v>2500grams</v>
      </c>
      <c r="U1367" s="77">
        <f t="shared" si="65"/>
        <v>490.25</v>
      </c>
      <c r="V1367" s="46"/>
      <c r="W1367" s="46"/>
      <c r="X1367" s="46"/>
    </row>
    <row r="1368" spans="1:24" ht="15.75" customHeight="1" thickBot="1" x14ac:dyDescent="0.35">
      <c r="A1368" s="40"/>
      <c r="B1368" s="67" t="s">
        <v>1649</v>
      </c>
      <c r="C1368" s="55"/>
      <c r="D1368" s="41"/>
      <c r="E1368" s="55"/>
      <c r="F1368" s="55"/>
      <c r="G1368" s="55"/>
      <c r="H1368" s="51"/>
      <c r="I1368" s="52"/>
      <c r="J1368" s="74" t="s">
        <v>1694</v>
      </c>
      <c r="K1368" s="57"/>
      <c r="L1368" s="75">
        <v>21.45</v>
      </c>
      <c r="M1368" s="60">
        <v>13</v>
      </c>
      <c r="N1368" s="76">
        <v>100</v>
      </c>
      <c r="O1368" s="42"/>
      <c r="P1368" s="58" t="s">
        <v>36</v>
      </c>
      <c r="Q1368" s="61"/>
      <c r="R1368" s="62"/>
      <c r="S1368" s="78">
        <f t="shared" si="63"/>
        <v>1300</v>
      </c>
      <c r="T1368" s="44" t="str">
        <f t="shared" si="64"/>
        <v>1300grams</v>
      </c>
      <c r="U1368" s="77">
        <f t="shared" si="65"/>
        <v>278.84999999999997</v>
      </c>
      <c r="V1368" s="46"/>
      <c r="W1368" s="46"/>
      <c r="X1368" s="46"/>
    </row>
    <row r="1369" spans="1:24" ht="15.75" customHeight="1" thickBot="1" x14ac:dyDescent="0.35">
      <c r="A1369" s="40"/>
      <c r="B1369" s="67" t="s">
        <v>1649</v>
      </c>
      <c r="C1369" s="55"/>
      <c r="D1369" s="41"/>
      <c r="E1369" s="55"/>
      <c r="F1369" s="55"/>
      <c r="G1369" s="55"/>
      <c r="H1369" s="51"/>
      <c r="I1369" s="52"/>
      <c r="J1369" s="74" t="s">
        <v>1695</v>
      </c>
      <c r="K1369" s="57"/>
      <c r="L1369" s="75">
        <v>7.74</v>
      </c>
      <c r="M1369" s="60">
        <v>25</v>
      </c>
      <c r="N1369" s="76">
        <v>60</v>
      </c>
      <c r="O1369" s="42"/>
      <c r="P1369" s="58" t="s">
        <v>36</v>
      </c>
      <c r="Q1369" s="61"/>
      <c r="R1369" s="62"/>
      <c r="S1369" s="78">
        <f t="shared" si="63"/>
        <v>1500</v>
      </c>
      <c r="T1369" s="44" t="str">
        <f t="shared" si="64"/>
        <v>1500grams</v>
      </c>
      <c r="U1369" s="77">
        <f t="shared" si="65"/>
        <v>193.5</v>
      </c>
      <c r="V1369" s="46"/>
      <c r="W1369" s="46"/>
      <c r="X1369" s="46"/>
    </row>
    <row r="1370" spans="1:24" ht="15.75" customHeight="1" thickBot="1" x14ac:dyDescent="0.35">
      <c r="A1370" s="40"/>
      <c r="B1370" s="67" t="s">
        <v>1649</v>
      </c>
      <c r="C1370" s="55"/>
      <c r="D1370" s="41"/>
      <c r="E1370" s="55"/>
      <c r="F1370" s="55"/>
      <c r="G1370" s="55"/>
      <c r="H1370" s="51"/>
      <c r="I1370" s="52"/>
      <c r="J1370" s="74" t="s">
        <v>1695</v>
      </c>
      <c r="K1370" s="57"/>
      <c r="L1370" s="75">
        <v>15.45</v>
      </c>
      <c r="M1370" s="60">
        <v>19</v>
      </c>
      <c r="N1370" s="76">
        <v>60</v>
      </c>
      <c r="O1370" s="42"/>
      <c r="P1370" s="58" t="s">
        <v>36</v>
      </c>
      <c r="Q1370" s="61"/>
      <c r="R1370" s="62"/>
      <c r="S1370" s="78">
        <f t="shared" si="63"/>
        <v>1140</v>
      </c>
      <c r="T1370" s="44" t="str">
        <f t="shared" si="64"/>
        <v>1140grams</v>
      </c>
      <c r="U1370" s="77">
        <f t="shared" si="65"/>
        <v>293.55</v>
      </c>
      <c r="V1370" s="46"/>
      <c r="W1370" s="46"/>
      <c r="X1370" s="46"/>
    </row>
    <row r="1371" spans="1:24" ht="15.75" customHeight="1" thickBot="1" x14ac:dyDescent="0.35">
      <c r="A1371" s="40"/>
      <c r="B1371" s="67" t="s">
        <v>1696</v>
      </c>
      <c r="C1371" s="55"/>
      <c r="D1371" s="41"/>
      <c r="E1371" s="55"/>
      <c r="F1371" s="55"/>
      <c r="G1371" s="55"/>
      <c r="H1371" s="51"/>
      <c r="I1371" s="52"/>
      <c r="J1371" s="74"/>
      <c r="K1371" s="57"/>
      <c r="L1371" s="75">
        <v>12</v>
      </c>
      <c r="M1371" s="60">
        <v>65</v>
      </c>
      <c r="N1371" s="76">
        <v>1</v>
      </c>
      <c r="O1371" s="42"/>
      <c r="P1371" s="58" t="s">
        <v>1697</v>
      </c>
      <c r="Q1371" s="61"/>
      <c r="R1371" s="62"/>
      <c r="S1371" s="78">
        <f t="shared" si="63"/>
        <v>65</v>
      </c>
      <c r="T1371" s="44" t="str">
        <f t="shared" si="64"/>
        <v>65pair</v>
      </c>
      <c r="U1371" s="77">
        <f t="shared" si="65"/>
        <v>780</v>
      </c>
      <c r="V1371" s="46"/>
      <c r="W1371" s="46"/>
      <c r="X1371" s="46"/>
    </row>
    <row r="1372" spans="1:24" ht="15.75" customHeight="1" thickBot="1" x14ac:dyDescent="0.35">
      <c r="A1372" s="40"/>
      <c r="B1372" s="69" t="s">
        <v>1698</v>
      </c>
      <c r="C1372" s="55"/>
      <c r="D1372" s="41"/>
      <c r="E1372" s="55"/>
      <c r="F1372" s="55"/>
      <c r="G1372" s="55"/>
      <c r="H1372" s="51"/>
      <c r="I1372" s="52"/>
      <c r="J1372" s="74" t="s">
        <v>1699</v>
      </c>
      <c r="K1372" s="57"/>
      <c r="L1372" s="75">
        <v>16.079999999999998</v>
      </c>
      <c r="M1372" s="60">
        <v>12</v>
      </c>
      <c r="N1372" s="76">
        <v>290</v>
      </c>
      <c r="O1372" s="42"/>
      <c r="P1372" s="58" t="s">
        <v>47</v>
      </c>
      <c r="Q1372" s="61"/>
      <c r="R1372" s="62"/>
      <c r="S1372" s="78">
        <f t="shared" si="63"/>
        <v>3480</v>
      </c>
      <c r="T1372" s="44" t="str">
        <f t="shared" si="64"/>
        <v>3480ml</v>
      </c>
      <c r="U1372" s="77">
        <f t="shared" si="65"/>
        <v>192.95999999999998</v>
      </c>
      <c r="V1372" s="46"/>
      <c r="W1372" s="46"/>
      <c r="X1372" s="46"/>
    </row>
    <row r="1373" spans="1:24" ht="15.75" customHeight="1" thickBot="1" x14ac:dyDescent="0.35">
      <c r="A1373" s="40"/>
      <c r="B1373" s="69" t="s">
        <v>1698</v>
      </c>
      <c r="C1373" s="55"/>
      <c r="D1373" s="41"/>
      <c r="E1373" s="55"/>
      <c r="F1373" s="55"/>
      <c r="G1373" s="55"/>
      <c r="H1373" s="51"/>
      <c r="I1373" s="52"/>
      <c r="J1373" s="74" t="s">
        <v>1699</v>
      </c>
      <c r="K1373" s="57"/>
      <c r="L1373" s="75">
        <v>33</v>
      </c>
      <c r="M1373" s="60">
        <v>7</v>
      </c>
      <c r="N1373" s="76">
        <v>1</v>
      </c>
      <c r="O1373" s="42"/>
      <c r="P1373" s="58" t="s">
        <v>38</v>
      </c>
      <c r="Q1373" s="61"/>
      <c r="R1373" s="62"/>
      <c r="S1373" s="78">
        <f t="shared" si="63"/>
        <v>7</v>
      </c>
      <c r="T1373" s="44" t="str">
        <f t="shared" si="64"/>
        <v>7pieces</v>
      </c>
      <c r="U1373" s="77">
        <f t="shared" si="65"/>
        <v>231</v>
      </c>
      <c r="V1373" s="46"/>
      <c r="W1373" s="46"/>
      <c r="X1373" s="46"/>
    </row>
    <row r="1374" spans="1:24" ht="15.75" customHeight="1" thickBot="1" x14ac:dyDescent="0.35">
      <c r="A1374" s="40"/>
      <c r="B1374" s="67" t="s">
        <v>1698</v>
      </c>
      <c r="C1374" s="55"/>
      <c r="D1374" s="41"/>
      <c r="E1374" s="55"/>
      <c r="F1374" s="55"/>
      <c r="G1374" s="55"/>
      <c r="H1374" s="51"/>
      <c r="I1374" s="52"/>
      <c r="J1374" s="74" t="s">
        <v>1699</v>
      </c>
      <c r="K1374" s="57"/>
      <c r="L1374" s="75">
        <v>27.64</v>
      </c>
      <c r="M1374" s="60">
        <v>26</v>
      </c>
      <c r="N1374" s="76">
        <v>320</v>
      </c>
      <c r="O1374" s="42"/>
      <c r="P1374" s="58" t="s">
        <v>47</v>
      </c>
      <c r="Q1374" s="61"/>
      <c r="R1374" s="62"/>
      <c r="S1374" s="78">
        <f t="shared" si="63"/>
        <v>8320</v>
      </c>
      <c r="T1374" s="44" t="str">
        <f t="shared" si="64"/>
        <v>8320ml</v>
      </c>
      <c r="U1374" s="77">
        <f t="shared" si="65"/>
        <v>718.64</v>
      </c>
      <c r="V1374" s="46"/>
      <c r="W1374" s="46"/>
      <c r="X1374" s="46"/>
    </row>
    <row r="1375" spans="1:24" ht="15.75" customHeight="1" thickBot="1" x14ac:dyDescent="0.35">
      <c r="A1375" s="40"/>
      <c r="B1375" s="67" t="s">
        <v>1698</v>
      </c>
      <c r="C1375" s="55"/>
      <c r="D1375" s="41"/>
      <c r="E1375" s="55"/>
      <c r="F1375" s="55"/>
      <c r="G1375" s="55"/>
      <c r="H1375" s="51"/>
      <c r="I1375" s="52"/>
      <c r="J1375" s="74" t="s">
        <v>1700</v>
      </c>
      <c r="K1375" s="57"/>
      <c r="L1375" s="75">
        <v>30.07</v>
      </c>
      <c r="M1375" s="60">
        <v>24</v>
      </c>
      <c r="N1375" s="76">
        <v>320</v>
      </c>
      <c r="O1375" s="42"/>
      <c r="P1375" s="58" t="s">
        <v>47</v>
      </c>
      <c r="Q1375" s="61"/>
      <c r="R1375" s="62"/>
      <c r="S1375" s="78">
        <f t="shared" si="63"/>
        <v>7680</v>
      </c>
      <c r="T1375" s="44" t="str">
        <f t="shared" si="64"/>
        <v>7680ml</v>
      </c>
      <c r="U1375" s="77">
        <f t="shared" si="65"/>
        <v>721.68000000000006</v>
      </c>
      <c r="V1375" s="46"/>
      <c r="W1375" s="46"/>
      <c r="X1375" s="46"/>
    </row>
    <row r="1376" spans="1:24" ht="15.75" customHeight="1" thickBot="1" x14ac:dyDescent="0.35">
      <c r="A1376" s="40"/>
      <c r="B1376" s="69" t="s">
        <v>1698</v>
      </c>
      <c r="C1376" s="55"/>
      <c r="D1376" s="41"/>
      <c r="E1376" s="55"/>
      <c r="F1376" s="55"/>
      <c r="G1376" s="55"/>
      <c r="H1376" s="51"/>
      <c r="I1376" s="52"/>
      <c r="J1376" s="74" t="s">
        <v>1701</v>
      </c>
      <c r="K1376" s="57"/>
      <c r="L1376" s="75">
        <v>32.6</v>
      </c>
      <c r="M1376" s="60">
        <v>22</v>
      </c>
      <c r="N1376" s="76">
        <v>320</v>
      </c>
      <c r="O1376" s="42"/>
      <c r="P1376" s="58" t="s">
        <v>47</v>
      </c>
      <c r="Q1376" s="61"/>
      <c r="R1376" s="62"/>
      <c r="S1376" s="78">
        <f t="shared" si="63"/>
        <v>7040</v>
      </c>
      <c r="T1376" s="44" t="str">
        <f t="shared" si="64"/>
        <v>7040ml</v>
      </c>
      <c r="U1376" s="77">
        <f t="shared" si="65"/>
        <v>717.2</v>
      </c>
      <c r="V1376" s="46"/>
      <c r="W1376" s="46"/>
      <c r="X1376" s="46"/>
    </row>
    <row r="1377" spans="1:24" ht="15.75" customHeight="1" thickBot="1" x14ac:dyDescent="0.35">
      <c r="A1377" s="40"/>
      <c r="B1377" s="69" t="s">
        <v>1698</v>
      </c>
      <c r="C1377" s="55"/>
      <c r="D1377" s="41"/>
      <c r="E1377" s="55"/>
      <c r="F1377" s="55"/>
      <c r="G1377" s="55"/>
      <c r="H1377" s="51"/>
      <c r="I1377" s="52"/>
      <c r="J1377" s="74" t="s">
        <v>1702</v>
      </c>
      <c r="K1377" s="57"/>
      <c r="L1377" s="75">
        <v>25.63</v>
      </c>
      <c r="M1377" s="60">
        <v>24</v>
      </c>
      <c r="N1377" s="76">
        <v>250</v>
      </c>
      <c r="O1377" s="42"/>
      <c r="P1377" s="58" t="s">
        <v>47</v>
      </c>
      <c r="Q1377" s="61"/>
      <c r="R1377" s="62"/>
      <c r="S1377" s="78">
        <f t="shared" si="63"/>
        <v>6000</v>
      </c>
      <c r="T1377" s="44" t="str">
        <f t="shared" si="64"/>
        <v>6000ml</v>
      </c>
      <c r="U1377" s="77">
        <f t="shared" si="65"/>
        <v>615.12</v>
      </c>
      <c r="V1377" s="46"/>
      <c r="W1377" s="46"/>
      <c r="X1377" s="46"/>
    </row>
    <row r="1378" spans="1:24" ht="15.75" customHeight="1" thickBot="1" x14ac:dyDescent="0.35">
      <c r="A1378" s="40"/>
      <c r="B1378" s="69" t="s">
        <v>1698</v>
      </c>
      <c r="C1378" s="55"/>
      <c r="D1378" s="41"/>
      <c r="E1378" s="55"/>
      <c r="F1378" s="55"/>
      <c r="G1378" s="55"/>
      <c r="H1378" s="51"/>
      <c r="I1378" s="52"/>
      <c r="J1378" s="74" t="s">
        <v>1703</v>
      </c>
      <c r="K1378" s="57"/>
      <c r="L1378" s="75">
        <v>25.63</v>
      </c>
      <c r="M1378" s="60">
        <v>40</v>
      </c>
      <c r="N1378" s="76">
        <v>250</v>
      </c>
      <c r="O1378" s="42"/>
      <c r="P1378" s="58" t="s">
        <v>47</v>
      </c>
      <c r="Q1378" s="61"/>
      <c r="R1378" s="62"/>
      <c r="S1378" s="78">
        <f t="shared" si="63"/>
        <v>10000</v>
      </c>
      <c r="T1378" s="44" t="str">
        <f t="shared" si="64"/>
        <v>10000ml</v>
      </c>
      <c r="U1378" s="77">
        <f t="shared" si="65"/>
        <v>1025.2</v>
      </c>
      <c r="V1378" s="46"/>
      <c r="W1378" s="46"/>
      <c r="X1378" s="46"/>
    </row>
    <row r="1379" spans="1:24" ht="15.75" customHeight="1" thickBot="1" x14ac:dyDescent="0.35">
      <c r="A1379" s="40"/>
      <c r="B1379" s="69" t="s">
        <v>1698</v>
      </c>
      <c r="C1379" s="55"/>
      <c r="D1379" s="41"/>
      <c r="E1379" s="55"/>
      <c r="F1379" s="55"/>
      <c r="G1379" s="55"/>
      <c r="H1379" s="51"/>
      <c r="I1379" s="52"/>
      <c r="J1379" s="74" t="s">
        <v>1703</v>
      </c>
      <c r="K1379" s="57"/>
      <c r="L1379" s="75">
        <v>25.63</v>
      </c>
      <c r="M1379" s="60">
        <v>24</v>
      </c>
      <c r="N1379" s="76">
        <v>250</v>
      </c>
      <c r="O1379" s="42"/>
      <c r="P1379" s="58" t="s">
        <v>47</v>
      </c>
      <c r="Q1379" s="61"/>
      <c r="R1379" s="62"/>
      <c r="S1379" s="78">
        <f t="shared" si="63"/>
        <v>6000</v>
      </c>
      <c r="T1379" s="44" t="str">
        <f t="shared" si="64"/>
        <v>6000ml</v>
      </c>
      <c r="U1379" s="77">
        <f t="shared" si="65"/>
        <v>615.12</v>
      </c>
      <c r="V1379" s="46"/>
      <c r="W1379" s="46"/>
      <c r="X1379" s="46"/>
    </row>
    <row r="1380" spans="1:24" ht="15.75" customHeight="1" thickBot="1" x14ac:dyDescent="0.35">
      <c r="A1380" s="40"/>
      <c r="B1380" s="69" t="s">
        <v>1698</v>
      </c>
      <c r="C1380" s="55"/>
      <c r="D1380" s="41"/>
      <c r="E1380" s="55"/>
      <c r="F1380" s="55"/>
      <c r="G1380" s="55"/>
      <c r="H1380" s="51"/>
      <c r="I1380" s="52"/>
      <c r="J1380" s="74" t="s">
        <v>1702</v>
      </c>
      <c r="K1380" s="57"/>
      <c r="L1380" s="75">
        <v>24</v>
      </c>
      <c r="M1380" s="60">
        <v>35</v>
      </c>
      <c r="N1380" s="76">
        <v>250</v>
      </c>
      <c r="O1380" s="42"/>
      <c r="P1380" s="58" t="s">
        <v>47</v>
      </c>
      <c r="Q1380" s="61"/>
      <c r="R1380" s="62"/>
      <c r="S1380" s="78">
        <f t="shared" si="63"/>
        <v>8750</v>
      </c>
      <c r="T1380" s="44" t="str">
        <f t="shared" si="64"/>
        <v>8750ml</v>
      </c>
      <c r="U1380" s="77">
        <f t="shared" si="65"/>
        <v>840</v>
      </c>
      <c r="V1380" s="46"/>
      <c r="W1380" s="46"/>
      <c r="X1380" s="46"/>
    </row>
    <row r="1381" spans="1:24" ht="15.75" customHeight="1" thickBot="1" x14ac:dyDescent="0.35">
      <c r="A1381" s="40"/>
      <c r="B1381" s="69" t="s">
        <v>1698</v>
      </c>
      <c r="C1381" s="55"/>
      <c r="D1381" s="41"/>
      <c r="E1381" s="55"/>
      <c r="F1381" s="55"/>
      <c r="G1381" s="55"/>
      <c r="H1381" s="51"/>
      <c r="I1381" s="52"/>
      <c r="J1381" s="74" t="s">
        <v>1704</v>
      </c>
      <c r="K1381" s="57"/>
      <c r="L1381" s="75">
        <v>24</v>
      </c>
      <c r="M1381" s="60">
        <v>11</v>
      </c>
      <c r="N1381" s="76">
        <v>250</v>
      </c>
      <c r="O1381" s="42"/>
      <c r="P1381" s="58" t="s">
        <v>47</v>
      </c>
      <c r="Q1381" s="61"/>
      <c r="R1381" s="62"/>
      <c r="S1381" s="78">
        <f t="shared" si="63"/>
        <v>2750</v>
      </c>
      <c r="T1381" s="44" t="str">
        <f t="shared" si="64"/>
        <v>2750ml</v>
      </c>
      <c r="U1381" s="77">
        <f t="shared" si="65"/>
        <v>264</v>
      </c>
      <c r="V1381" s="46"/>
      <c r="W1381" s="46"/>
      <c r="X1381" s="46"/>
    </row>
    <row r="1382" spans="1:24" ht="15.75" customHeight="1" thickBot="1" x14ac:dyDescent="0.35">
      <c r="A1382" s="40"/>
      <c r="B1382" s="68" t="s">
        <v>1698</v>
      </c>
      <c r="C1382" s="55"/>
      <c r="D1382" s="41"/>
      <c r="E1382" s="55"/>
      <c r="F1382" s="55"/>
      <c r="G1382" s="55"/>
      <c r="H1382" s="51"/>
      <c r="I1382" s="52"/>
      <c r="J1382" s="74" t="s">
        <v>1705</v>
      </c>
      <c r="K1382" s="57"/>
      <c r="L1382" s="75">
        <v>61</v>
      </c>
      <c r="M1382" s="60">
        <v>2</v>
      </c>
      <c r="N1382" s="76">
        <v>2</v>
      </c>
      <c r="O1382" s="42"/>
      <c r="P1382" s="58" t="s">
        <v>685</v>
      </c>
      <c r="Q1382" s="61"/>
      <c r="R1382" s="62"/>
      <c r="S1382" s="78">
        <f t="shared" si="63"/>
        <v>4</v>
      </c>
      <c r="T1382" s="44" t="str">
        <f t="shared" si="64"/>
        <v>4liters</v>
      </c>
      <c r="U1382" s="77">
        <f t="shared" si="65"/>
        <v>122</v>
      </c>
      <c r="V1382" s="46"/>
      <c r="W1382" s="46"/>
      <c r="X1382" s="46"/>
    </row>
    <row r="1383" spans="1:24" ht="15.75" customHeight="1" thickBot="1" x14ac:dyDescent="0.35">
      <c r="A1383" s="40"/>
      <c r="B1383" s="68" t="s">
        <v>1698</v>
      </c>
      <c r="C1383" s="55"/>
      <c r="D1383" s="41"/>
      <c r="E1383" s="55"/>
      <c r="F1383" s="55"/>
      <c r="G1383" s="55"/>
      <c r="H1383" s="51"/>
      <c r="I1383" s="52"/>
      <c r="J1383" s="74" t="s">
        <v>1705</v>
      </c>
      <c r="K1383" s="57"/>
      <c r="L1383" s="75">
        <v>63</v>
      </c>
      <c r="M1383" s="60">
        <v>51</v>
      </c>
      <c r="N1383" s="76">
        <v>2</v>
      </c>
      <c r="O1383" s="42"/>
      <c r="P1383" s="58" t="s">
        <v>685</v>
      </c>
      <c r="Q1383" s="61"/>
      <c r="R1383" s="62"/>
      <c r="S1383" s="78">
        <f t="shared" si="63"/>
        <v>102</v>
      </c>
      <c r="T1383" s="44" t="str">
        <f t="shared" si="64"/>
        <v>102liters</v>
      </c>
      <c r="U1383" s="77">
        <f t="shared" si="65"/>
        <v>3213</v>
      </c>
      <c r="V1383" s="46"/>
      <c r="W1383" s="46"/>
      <c r="X1383" s="46"/>
    </row>
    <row r="1384" spans="1:24" ht="15.75" customHeight="1" thickBot="1" x14ac:dyDescent="0.35">
      <c r="A1384" s="40"/>
      <c r="B1384" s="67" t="s">
        <v>1698</v>
      </c>
      <c r="C1384" s="55"/>
      <c r="D1384" s="41"/>
      <c r="E1384" s="55"/>
      <c r="F1384" s="55"/>
      <c r="G1384" s="55"/>
      <c r="H1384" s="51"/>
      <c r="I1384" s="52"/>
      <c r="J1384" s="74" t="s">
        <v>1706</v>
      </c>
      <c r="K1384" s="57"/>
      <c r="L1384" s="75">
        <v>22.16</v>
      </c>
      <c r="M1384" s="60">
        <v>4</v>
      </c>
      <c r="N1384" s="76">
        <v>180</v>
      </c>
      <c r="O1384" s="42"/>
      <c r="P1384" s="58" t="s">
        <v>47</v>
      </c>
      <c r="Q1384" s="61"/>
      <c r="R1384" s="62"/>
      <c r="S1384" s="78">
        <f t="shared" si="63"/>
        <v>720</v>
      </c>
      <c r="T1384" s="44" t="str">
        <f t="shared" si="64"/>
        <v>720ml</v>
      </c>
      <c r="U1384" s="77">
        <f t="shared" si="65"/>
        <v>88.64</v>
      </c>
      <c r="V1384" s="46"/>
      <c r="W1384" s="46"/>
      <c r="X1384" s="46"/>
    </row>
    <row r="1385" spans="1:24" ht="15.75" customHeight="1" thickBot="1" x14ac:dyDescent="0.35">
      <c r="A1385" s="40"/>
      <c r="B1385" s="67" t="s">
        <v>1698</v>
      </c>
      <c r="C1385" s="55"/>
      <c r="D1385" s="41"/>
      <c r="E1385" s="55"/>
      <c r="F1385" s="55"/>
      <c r="G1385" s="55"/>
      <c r="H1385" s="51"/>
      <c r="I1385" s="52"/>
      <c r="J1385" s="74" t="s">
        <v>1707</v>
      </c>
      <c r="K1385" s="57"/>
      <c r="L1385" s="75">
        <v>16.66</v>
      </c>
      <c r="M1385" s="60">
        <v>12</v>
      </c>
      <c r="N1385" s="76">
        <v>290</v>
      </c>
      <c r="O1385" s="42"/>
      <c r="P1385" s="58" t="s">
        <v>47</v>
      </c>
      <c r="Q1385" s="61"/>
      <c r="R1385" s="62"/>
      <c r="S1385" s="78">
        <f t="shared" si="63"/>
        <v>3480</v>
      </c>
      <c r="T1385" s="44" t="str">
        <f t="shared" si="64"/>
        <v>3480ml</v>
      </c>
      <c r="U1385" s="77">
        <f t="shared" si="65"/>
        <v>199.92000000000002</v>
      </c>
      <c r="V1385" s="46"/>
      <c r="W1385" s="46"/>
      <c r="X1385" s="46"/>
    </row>
    <row r="1386" spans="1:24" ht="15.75" customHeight="1" thickBot="1" x14ac:dyDescent="0.35">
      <c r="A1386" s="40"/>
      <c r="B1386" s="67" t="s">
        <v>1698</v>
      </c>
      <c r="C1386" s="55"/>
      <c r="D1386" s="41"/>
      <c r="E1386" s="55"/>
      <c r="F1386" s="55"/>
      <c r="G1386" s="55"/>
      <c r="H1386" s="51"/>
      <c r="I1386" s="52"/>
      <c r="J1386" s="74" t="s">
        <v>1705</v>
      </c>
      <c r="K1386" s="57"/>
      <c r="L1386" s="75">
        <v>65.25</v>
      </c>
      <c r="M1386" s="60">
        <v>36</v>
      </c>
      <c r="N1386" s="76">
        <v>2</v>
      </c>
      <c r="O1386" s="42"/>
      <c r="P1386" s="58" t="s">
        <v>685</v>
      </c>
      <c r="Q1386" s="61"/>
      <c r="R1386" s="62"/>
      <c r="S1386" s="78">
        <f t="shared" si="63"/>
        <v>72</v>
      </c>
      <c r="T1386" s="44" t="str">
        <f t="shared" si="64"/>
        <v>72liters</v>
      </c>
      <c r="U1386" s="77">
        <f t="shared" si="65"/>
        <v>2349</v>
      </c>
      <c r="V1386" s="46"/>
      <c r="W1386" s="46"/>
      <c r="X1386" s="46"/>
    </row>
    <row r="1387" spans="1:24" ht="15.75" customHeight="1" thickBot="1" x14ac:dyDescent="0.35">
      <c r="A1387" s="40"/>
      <c r="B1387" s="67" t="s">
        <v>1698</v>
      </c>
      <c r="C1387" s="55"/>
      <c r="D1387" s="41"/>
      <c r="E1387" s="55"/>
      <c r="F1387" s="55"/>
      <c r="G1387" s="55"/>
      <c r="H1387" s="51"/>
      <c r="I1387" s="52"/>
      <c r="J1387" s="74" t="s">
        <v>1708</v>
      </c>
      <c r="K1387" s="57"/>
      <c r="L1387" s="75">
        <v>754.3</v>
      </c>
      <c r="M1387" s="60">
        <v>72</v>
      </c>
      <c r="N1387" s="76">
        <v>320</v>
      </c>
      <c r="O1387" s="42"/>
      <c r="P1387" s="58" t="s">
        <v>47</v>
      </c>
      <c r="Q1387" s="61"/>
      <c r="R1387" s="62"/>
      <c r="S1387" s="78">
        <f t="shared" si="63"/>
        <v>23040</v>
      </c>
      <c r="T1387" s="44" t="str">
        <f t="shared" si="64"/>
        <v>23040ml</v>
      </c>
      <c r="U1387" s="77">
        <f t="shared" si="65"/>
        <v>54309.599999999999</v>
      </c>
      <c r="V1387" s="46"/>
      <c r="W1387" s="46"/>
      <c r="X1387" s="46"/>
    </row>
    <row r="1388" spans="1:24" ht="15.75" customHeight="1" thickBot="1" x14ac:dyDescent="0.35">
      <c r="A1388" s="40"/>
      <c r="B1388" s="67" t="s">
        <v>1698</v>
      </c>
      <c r="C1388" s="55"/>
      <c r="D1388" s="41"/>
      <c r="E1388" s="55"/>
      <c r="F1388" s="55"/>
      <c r="G1388" s="55"/>
      <c r="H1388" s="51"/>
      <c r="I1388" s="52"/>
      <c r="J1388" s="74" t="s">
        <v>1708</v>
      </c>
      <c r="K1388" s="57"/>
      <c r="L1388" s="75">
        <v>32.700000000000003</v>
      </c>
      <c r="M1388" s="60">
        <v>15</v>
      </c>
      <c r="N1388" s="76">
        <v>320</v>
      </c>
      <c r="O1388" s="42"/>
      <c r="P1388" s="58" t="s">
        <v>47</v>
      </c>
      <c r="Q1388" s="61"/>
      <c r="R1388" s="62"/>
      <c r="S1388" s="78">
        <f t="shared" si="63"/>
        <v>4800</v>
      </c>
      <c r="T1388" s="44" t="str">
        <f t="shared" si="64"/>
        <v>4800ml</v>
      </c>
      <c r="U1388" s="77">
        <f t="shared" si="65"/>
        <v>490.50000000000006</v>
      </c>
      <c r="V1388" s="46"/>
      <c r="W1388" s="46"/>
      <c r="X1388" s="46"/>
    </row>
    <row r="1389" spans="1:24" ht="15.75" customHeight="1" thickBot="1" x14ac:dyDescent="0.35">
      <c r="A1389" s="40"/>
      <c r="B1389" s="67" t="s">
        <v>1698</v>
      </c>
      <c r="C1389" s="55"/>
      <c r="D1389" s="41"/>
      <c r="E1389" s="55"/>
      <c r="F1389" s="55"/>
      <c r="G1389" s="55"/>
      <c r="H1389" s="51"/>
      <c r="I1389" s="52"/>
      <c r="J1389" s="74" t="s">
        <v>1708</v>
      </c>
      <c r="K1389" s="57"/>
      <c r="L1389" s="75">
        <v>30.4</v>
      </c>
      <c r="M1389" s="60">
        <v>25</v>
      </c>
      <c r="N1389" s="76">
        <v>320</v>
      </c>
      <c r="O1389" s="42"/>
      <c r="P1389" s="58" t="s">
        <v>47</v>
      </c>
      <c r="Q1389" s="61"/>
      <c r="R1389" s="62"/>
      <c r="S1389" s="78">
        <f t="shared" si="63"/>
        <v>8000</v>
      </c>
      <c r="T1389" s="44" t="str">
        <f t="shared" si="64"/>
        <v>8000ml</v>
      </c>
      <c r="U1389" s="77">
        <f t="shared" si="65"/>
        <v>760</v>
      </c>
      <c r="V1389" s="46"/>
      <c r="W1389" s="46"/>
      <c r="X1389" s="46"/>
    </row>
    <row r="1390" spans="1:24" ht="15.75" customHeight="1" thickBot="1" x14ac:dyDescent="0.35">
      <c r="A1390" s="40"/>
      <c r="B1390" s="67" t="s">
        <v>1698</v>
      </c>
      <c r="C1390" s="55"/>
      <c r="D1390" s="41"/>
      <c r="E1390" s="55"/>
      <c r="F1390" s="55"/>
      <c r="G1390" s="55"/>
      <c r="H1390" s="51"/>
      <c r="I1390" s="52"/>
      <c r="J1390" s="74" t="s">
        <v>1708</v>
      </c>
      <c r="K1390" s="57"/>
      <c r="L1390" s="75">
        <v>32.6</v>
      </c>
      <c r="M1390" s="60">
        <v>32</v>
      </c>
      <c r="N1390" s="76">
        <v>320</v>
      </c>
      <c r="O1390" s="42"/>
      <c r="P1390" s="58" t="s">
        <v>47</v>
      </c>
      <c r="Q1390" s="61"/>
      <c r="R1390" s="62"/>
      <c r="S1390" s="78">
        <f t="shared" si="63"/>
        <v>10240</v>
      </c>
      <c r="T1390" s="44" t="str">
        <f t="shared" si="64"/>
        <v>10240ml</v>
      </c>
      <c r="U1390" s="77">
        <f t="shared" si="65"/>
        <v>1043.2</v>
      </c>
      <c r="V1390" s="46"/>
      <c r="W1390" s="46"/>
      <c r="X1390" s="46"/>
    </row>
    <row r="1391" spans="1:24" ht="15.75" customHeight="1" thickBot="1" x14ac:dyDescent="0.35">
      <c r="A1391" s="40"/>
      <c r="B1391" s="67" t="s">
        <v>1698</v>
      </c>
      <c r="C1391" s="55"/>
      <c r="D1391" s="41"/>
      <c r="E1391" s="55"/>
      <c r="F1391" s="55"/>
      <c r="G1391" s="55"/>
      <c r="H1391" s="51"/>
      <c r="I1391" s="52"/>
      <c r="J1391" s="74" t="s">
        <v>1709</v>
      </c>
      <c r="K1391" s="57"/>
      <c r="L1391" s="75">
        <v>68.5</v>
      </c>
      <c r="M1391" s="60">
        <v>20</v>
      </c>
      <c r="N1391" s="76">
        <v>2</v>
      </c>
      <c r="O1391" s="42"/>
      <c r="P1391" s="58" t="s">
        <v>685</v>
      </c>
      <c r="Q1391" s="61"/>
      <c r="R1391" s="62"/>
      <c r="S1391" s="78">
        <f t="shared" si="63"/>
        <v>40</v>
      </c>
      <c r="T1391" s="44" t="str">
        <f t="shared" si="64"/>
        <v>40liters</v>
      </c>
      <c r="U1391" s="77">
        <f t="shared" si="65"/>
        <v>1370</v>
      </c>
      <c r="V1391" s="46"/>
      <c r="W1391" s="46"/>
      <c r="X1391" s="46"/>
    </row>
    <row r="1392" spans="1:24" ht="15.75" customHeight="1" thickBot="1" x14ac:dyDescent="0.35">
      <c r="A1392" s="40"/>
      <c r="B1392" s="67" t="s">
        <v>1698</v>
      </c>
      <c r="C1392" s="55"/>
      <c r="D1392" s="41"/>
      <c r="E1392" s="55"/>
      <c r="F1392" s="55"/>
      <c r="G1392" s="55"/>
      <c r="H1392" s="51"/>
      <c r="I1392" s="52"/>
      <c r="J1392" s="74" t="s">
        <v>1710</v>
      </c>
      <c r="K1392" s="57"/>
      <c r="L1392" s="75">
        <v>31.6</v>
      </c>
      <c r="M1392" s="60">
        <v>5</v>
      </c>
      <c r="N1392" s="76">
        <v>320</v>
      </c>
      <c r="O1392" s="42"/>
      <c r="P1392" s="58" t="s">
        <v>47</v>
      </c>
      <c r="Q1392" s="61"/>
      <c r="R1392" s="62"/>
      <c r="S1392" s="78">
        <f t="shared" si="63"/>
        <v>1600</v>
      </c>
      <c r="T1392" s="44" t="str">
        <f t="shared" si="64"/>
        <v>1600ml</v>
      </c>
      <c r="U1392" s="77">
        <f t="shared" si="65"/>
        <v>158</v>
      </c>
      <c r="V1392" s="46"/>
      <c r="W1392" s="46"/>
      <c r="X1392" s="46"/>
    </row>
    <row r="1393" spans="1:24" ht="15.75" customHeight="1" thickBot="1" x14ac:dyDescent="0.35">
      <c r="A1393" s="40"/>
      <c r="B1393" s="67" t="s">
        <v>1698</v>
      </c>
      <c r="C1393" s="55"/>
      <c r="D1393" s="41"/>
      <c r="E1393" s="55"/>
      <c r="F1393" s="55"/>
      <c r="G1393" s="55"/>
      <c r="H1393" s="51"/>
      <c r="I1393" s="52"/>
      <c r="J1393" s="74" t="s">
        <v>1710</v>
      </c>
      <c r="K1393" s="57"/>
      <c r="L1393" s="75">
        <v>31.57</v>
      </c>
      <c r="M1393" s="60">
        <v>60</v>
      </c>
      <c r="N1393" s="76">
        <v>320</v>
      </c>
      <c r="O1393" s="42"/>
      <c r="P1393" s="58" t="s">
        <v>47</v>
      </c>
      <c r="Q1393" s="61"/>
      <c r="R1393" s="62"/>
      <c r="S1393" s="78">
        <f t="shared" si="63"/>
        <v>19200</v>
      </c>
      <c r="T1393" s="44" t="str">
        <f t="shared" si="64"/>
        <v>19200ml</v>
      </c>
      <c r="U1393" s="77">
        <f t="shared" si="65"/>
        <v>1894.2</v>
      </c>
      <c r="V1393" s="46"/>
      <c r="W1393" s="46"/>
      <c r="X1393" s="46"/>
    </row>
    <row r="1394" spans="1:24" ht="15.75" customHeight="1" thickBot="1" x14ac:dyDescent="0.35">
      <c r="A1394" s="40"/>
      <c r="B1394" s="67" t="s">
        <v>1698</v>
      </c>
      <c r="C1394" s="55"/>
      <c r="D1394" s="41"/>
      <c r="E1394" s="55"/>
      <c r="F1394" s="55"/>
      <c r="G1394" s="55"/>
      <c r="H1394" s="51"/>
      <c r="I1394" s="52"/>
      <c r="J1394" s="74" t="s">
        <v>1710</v>
      </c>
      <c r="K1394" s="57"/>
      <c r="L1394" s="75">
        <v>32.840000000000003</v>
      </c>
      <c r="M1394" s="60">
        <v>24</v>
      </c>
      <c r="N1394" s="76">
        <v>320</v>
      </c>
      <c r="O1394" s="42"/>
      <c r="P1394" s="58" t="s">
        <v>47</v>
      </c>
      <c r="Q1394" s="61"/>
      <c r="R1394" s="62"/>
      <c r="S1394" s="78">
        <f t="shared" si="63"/>
        <v>7680</v>
      </c>
      <c r="T1394" s="44" t="str">
        <f t="shared" si="64"/>
        <v>7680ml</v>
      </c>
      <c r="U1394" s="77">
        <f t="shared" si="65"/>
        <v>788.16000000000008</v>
      </c>
      <c r="V1394" s="46"/>
      <c r="W1394" s="46"/>
      <c r="X1394" s="46"/>
    </row>
    <row r="1395" spans="1:24" ht="15.75" customHeight="1" thickBot="1" x14ac:dyDescent="0.35">
      <c r="A1395" s="40"/>
      <c r="B1395" s="67" t="s">
        <v>1698</v>
      </c>
      <c r="C1395" s="55"/>
      <c r="D1395" s="41"/>
      <c r="E1395" s="55"/>
      <c r="F1395" s="55"/>
      <c r="G1395" s="55"/>
      <c r="H1395" s="51"/>
      <c r="I1395" s="52"/>
      <c r="J1395" s="74" t="s">
        <v>1710</v>
      </c>
      <c r="K1395" s="57"/>
      <c r="L1395" s="75">
        <v>32.6</v>
      </c>
      <c r="M1395" s="60">
        <v>52</v>
      </c>
      <c r="N1395" s="76">
        <v>320</v>
      </c>
      <c r="O1395" s="42"/>
      <c r="P1395" s="58" t="s">
        <v>47</v>
      </c>
      <c r="Q1395" s="61"/>
      <c r="R1395" s="62"/>
      <c r="S1395" s="78">
        <f t="shared" si="63"/>
        <v>16640</v>
      </c>
      <c r="T1395" s="44" t="str">
        <f t="shared" si="64"/>
        <v>16640ml</v>
      </c>
      <c r="U1395" s="77">
        <f t="shared" si="65"/>
        <v>1695.2</v>
      </c>
      <c r="V1395" s="46"/>
      <c r="W1395" s="46"/>
      <c r="X1395" s="46"/>
    </row>
    <row r="1396" spans="1:24" ht="15.75" customHeight="1" thickBot="1" x14ac:dyDescent="0.35">
      <c r="A1396" s="40"/>
      <c r="B1396" s="67" t="s">
        <v>1698</v>
      </c>
      <c r="C1396" s="55"/>
      <c r="D1396" s="41"/>
      <c r="E1396" s="55"/>
      <c r="F1396" s="55"/>
      <c r="G1396" s="55"/>
      <c r="H1396" s="51"/>
      <c r="I1396" s="52"/>
      <c r="J1396" s="74" t="s">
        <v>1711</v>
      </c>
      <c r="K1396" s="57"/>
      <c r="L1396" s="75">
        <v>61</v>
      </c>
      <c r="M1396" s="60">
        <v>1</v>
      </c>
      <c r="N1396" s="76">
        <v>2</v>
      </c>
      <c r="O1396" s="42"/>
      <c r="P1396" s="58" t="s">
        <v>685</v>
      </c>
      <c r="Q1396" s="61"/>
      <c r="R1396" s="62"/>
      <c r="S1396" s="78">
        <f t="shared" si="63"/>
        <v>2</v>
      </c>
      <c r="T1396" s="44" t="str">
        <f t="shared" si="64"/>
        <v>2liters</v>
      </c>
      <c r="U1396" s="77">
        <f t="shared" si="65"/>
        <v>61</v>
      </c>
      <c r="V1396" s="46"/>
      <c r="W1396" s="46"/>
      <c r="X1396" s="46"/>
    </row>
    <row r="1397" spans="1:24" ht="15.75" customHeight="1" thickBot="1" x14ac:dyDescent="0.35">
      <c r="A1397" s="40"/>
      <c r="B1397" s="67" t="s">
        <v>1698</v>
      </c>
      <c r="C1397" s="55"/>
      <c r="D1397" s="41"/>
      <c r="E1397" s="55"/>
      <c r="F1397" s="55"/>
      <c r="G1397" s="55"/>
      <c r="H1397" s="51"/>
      <c r="I1397" s="52"/>
      <c r="J1397" s="74" t="s">
        <v>1712</v>
      </c>
      <c r="K1397" s="57"/>
      <c r="L1397" s="75">
        <v>16.14</v>
      </c>
      <c r="M1397" s="60">
        <v>12</v>
      </c>
      <c r="N1397" s="76">
        <v>250</v>
      </c>
      <c r="O1397" s="42"/>
      <c r="P1397" s="58" t="s">
        <v>47</v>
      </c>
      <c r="Q1397" s="61"/>
      <c r="R1397" s="62"/>
      <c r="S1397" s="78">
        <f t="shared" si="63"/>
        <v>3000</v>
      </c>
      <c r="T1397" s="44" t="str">
        <f t="shared" si="64"/>
        <v>3000ml</v>
      </c>
      <c r="U1397" s="77">
        <f t="shared" si="65"/>
        <v>193.68</v>
      </c>
      <c r="V1397" s="46"/>
      <c r="W1397" s="46"/>
      <c r="X1397" s="46"/>
    </row>
    <row r="1398" spans="1:24" ht="15.75" customHeight="1" thickBot="1" x14ac:dyDescent="0.35">
      <c r="A1398" s="40"/>
      <c r="B1398" s="67" t="s">
        <v>1698</v>
      </c>
      <c r="C1398" s="55"/>
      <c r="D1398" s="41"/>
      <c r="E1398" s="55"/>
      <c r="F1398" s="55"/>
      <c r="G1398" s="55"/>
      <c r="H1398" s="51"/>
      <c r="I1398" s="52"/>
      <c r="J1398" s="74" t="s">
        <v>1713</v>
      </c>
      <c r="K1398" s="57"/>
      <c r="L1398" s="75">
        <v>32.840000000000003</v>
      </c>
      <c r="M1398" s="60">
        <v>15</v>
      </c>
      <c r="N1398" s="76">
        <v>320</v>
      </c>
      <c r="O1398" s="42"/>
      <c r="P1398" s="58" t="s">
        <v>47</v>
      </c>
      <c r="Q1398" s="61"/>
      <c r="R1398" s="62"/>
      <c r="S1398" s="78">
        <f t="shared" ref="S1398:S1461" si="66">M1398*N1398</f>
        <v>4800</v>
      </c>
      <c r="T1398" s="44" t="str">
        <f t="shared" ref="T1398:T1461" si="67">CONCATENATE(S1398,Q1398,P1398)</f>
        <v>4800ml</v>
      </c>
      <c r="U1398" s="77">
        <f t="shared" ref="U1398:U1461" si="68">L1398*M1398</f>
        <v>492.6</v>
      </c>
      <c r="V1398" s="46"/>
      <c r="W1398" s="46"/>
      <c r="X1398" s="46"/>
    </row>
    <row r="1399" spans="1:24" ht="15.75" customHeight="1" thickBot="1" x14ac:dyDescent="0.35">
      <c r="A1399" s="40"/>
      <c r="B1399" s="67" t="s">
        <v>1698</v>
      </c>
      <c r="C1399" s="55"/>
      <c r="D1399" s="41"/>
      <c r="E1399" s="55"/>
      <c r="F1399" s="55"/>
      <c r="G1399" s="55"/>
      <c r="H1399" s="51"/>
      <c r="I1399" s="52"/>
      <c r="J1399" s="74" t="s">
        <v>1713</v>
      </c>
      <c r="K1399" s="57"/>
      <c r="L1399" s="75">
        <v>30.4</v>
      </c>
      <c r="M1399" s="60">
        <v>23</v>
      </c>
      <c r="N1399" s="76">
        <v>320</v>
      </c>
      <c r="O1399" s="42"/>
      <c r="P1399" s="58" t="s">
        <v>47</v>
      </c>
      <c r="Q1399" s="61"/>
      <c r="R1399" s="62"/>
      <c r="S1399" s="78">
        <f t="shared" si="66"/>
        <v>7360</v>
      </c>
      <c r="T1399" s="44" t="str">
        <f t="shared" si="67"/>
        <v>7360ml</v>
      </c>
      <c r="U1399" s="77">
        <f t="shared" si="68"/>
        <v>699.19999999999993</v>
      </c>
      <c r="V1399" s="46"/>
      <c r="W1399" s="46"/>
      <c r="X1399" s="46"/>
    </row>
    <row r="1400" spans="1:24" ht="15.75" customHeight="1" thickBot="1" x14ac:dyDescent="0.35">
      <c r="A1400" s="40"/>
      <c r="B1400" s="67" t="s">
        <v>1698</v>
      </c>
      <c r="C1400" s="55"/>
      <c r="D1400" s="41"/>
      <c r="E1400" s="55"/>
      <c r="F1400" s="55"/>
      <c r="G1400" s="55"/>
      <c r="H1400" s="51"/>
      <c r="I1400" s="52"/>
      <c r="J1400" s="74" t="s">
        <v>1713</v>
      </c>
      <c r="K1400" s="57"/>
      <c r="L1400" s="75">
        <v>31.35</v>
      </c>
      <c r="M1400" s="60">
        <v>49</v>
      </c>
      <c r="N1400" s="76">
        <v>320</v>
      </c>
      <c r="O1400" s="42"/>
      <c r="P1400" s="58" t="s">
        <v>47</v>
      </c>
      <c r="Q1400" s="61"/>
      <c r="R1400" s="62"/>
      <c r="S1400" s="78">
        <f t="shared" si="66"/>
        <v>15680</v>
      </c>
      <c r="T1400" s="44" t="str">
        <f t="shared" si="67"/>
        <v>15680ml</v>
      </c>
      <c r="U1400" s="77">
        <f t="shared" si="68"/>
        <v>1536.15</v>
      </c>
      <c r="V1400" s="46"/>
      <c r="W1400" s="46"/>
      <c r="X1400" s="46"/>
    </row>
    <row r="1401" spans="1:24" ht="15.75" customHeight="1" thickBot="1" x14ac:dyDescent="0.35">
      <c r="A1401" s="40"/>
      <c r="B1401" s="67" t="s">
        <v>1698</v>
      </c>
      <c r="C1401" s="55"/>
      <c r="D1401" s="41"/>
      <c r="E1401" s="55"/>
      <c r="F1401" s="55"/>
      <c r="G1401" s="55"/>
      <c r="H1401" s="51"/>
      <c r="I1401" s="52"/>
      <c r="J1401" s="74" t="s">
        <v>1711</v>
      </c>
      <c r="K1401" s="57"/>
      <c r="L1401" s="75">
        <v>63</v>
      </c>
      <c r="M1401" s="60">
        <v>14</v>
      </c>
      <c r="N1401" s="76">
        <v>2</v>
      </c>
      <c r="O1401" s="42"/>
      <c r="P1401" s="58" t="s">
        <v>685</v>
      </c>
      <c r="Q1401" s="61"/>
      <c r="R1401" s="62"/>
      <c r="S1401" s="78">
        <f t="shared" si="66"/>
        <v>28</v>
      </c>
      <c r="T1401" s="44" t="str">
        <f t="shared" si="67"/>
        <v>28liters</v>
      </c>
      <c r="U1401" s="77">
        <f t="shared" si="68"/>
        <v>882</v>
      </c>
      <c r="V1401" s="46"/>
      <c r="W1401" s="46"/>
      <c r="X1401" s="46"/>
    </row>
    <row r="1402" spans="1:24" ht="15.75" customHeight="1" thickBot="1" x14ac:dyDescent="0.35">
      <c r="A1402" s="40"/>
      <c r="B1402" s="67" t="s">
        <v>1698</v>
      </c>
      <c r="C1402" s="55"/>
      <c r="D1402" s="41"/>
      <c r="E1402" s="55"/>
      <c r="F1402" s="55"/>
      <c r="G1402" s="55"/>
      <c r="H1402" s="51"/>
      <c r="I1402" s="52"/>
      <c r="J1402" s="74" t="s">
        <v>1714</v>
      </c>
      <c r="K1402" s="57"/>
      <c r="L1402" s="75">
        <v>63</v>
      </c>
      <c r="M1402" s="60">
        <v>12</v>
      </c>
      <c r="N1402" s="76">
        <v>2</v>
      </c>
      <c r="O1402" s="42"/>
      <c r="P1402" s="58" t="s">
        <v>685</v>
      </c>
      <c r="Q1402" s="61"/>
      <c r="R1402" s="62"/>
      <c r="S1402" s="78">
        <f t="shared" si="66"/>
        <v>24</v>
      </c>
      <c r="T1402" s="44" t="str">
        <f t="shared" si="67"/>
        <v>24liters</v>
      </c>
      <c r="U1402" s="77">
        <f t="shared" si="68"/>
        <v>756</v>
      </c>
      <c r="V1402" s="46"/>
      <c r="W1402" s="46"/>
      <c r="X1402" s="46"/>
    </row>
    <row r="1403" spans="1:24" ht="15.75" customHeight="1" thickBot="1" x14ac:dyDescent="0.35">
      <c r="A1403" s="40"/>
      <c r="B1403" s="67" t="s">
        <v>1698</v>
      </c>
      <c r="C1403" s="55"/>
      <c r="D1403" s="41"/>
      <c r="E1403" s="55"/>
      <c r="F1403" s="55"/>
      <c r="G1403" s="55"/>
      <c r="H1403" s="51"/>
      <c r="I1403" s="52"/>
      <c r="J1403" s="74" t="s">
        <v>1714</v>
      </c>
      <c r="K1403" s="57"/>
      <c r="L1403" s="75">
        <v>61</v>
      </c>
      <c r="M1403" s="60">
        <v>1</v>
      </c>
      <c r="N1403" s="76">
        <v>2</v>
      </c>
      <c r="O1403" s="42"/>
      <c r="P1403" s="58" t="s">
        <v>685</v>
      </c>
      <c r="Q1403" s="61"/>
      <c r="R1403" s="62"/>
      <c r="S1403" s="78">
        <f t="shared" si="66"/>
        <v>2</v>
      </c>
      <c r="T1403" s="44" t="str">
        <f t="shared" si="67"/>
        <v>2liters</v>
      </c>
      <c r="U1403" s="77">
        <f t="shared" si="68"/>
        <v>61</v>
      </c>
      <c r="V1403" s="46"/>
      <c r="W1403" s="46"/>
      <c r="X1403" s="46"/>
    </row>
    <row r="1404" spans="1:24" ht="15.75" customHeight="1" thickBot="1" x14ac:dyDescent="0.35">
      <c r="A1404" s="40"/>
      <c r="B1404" s="67" t="s">
        <v>1698</v>
      </c>
      <c r="C1404" s="55"/>
      <c r="D1404" s="41"/>
      <c r="E1404" s="55"/>
      <c r="F1404" s="55"/>
      <c r="G1404" s="55"/>
      <c r="H1404" s="51"/>
      <c r="I1404" s="52"/>
      <c r="J1404" s="74" t="s">
        <v>1715</v>
      </c>
      <c r="K1404" s="57"/>
      <c r="L1404" s="75">
        <v>16.66</v>
      </c>
      <c r="M1404" s="60">
        <v>19</v>
      </c>
      <c r="N1404" s="76">
        <v>290</v>
      </c>
      <c r="O1404" s="42"/>
      <c r="P1404" s="58" t="s">
        <v>47</v>
      </c>
      <c r="Q1404" s="61"/>
      <c r="R1404" s="62"/>
      <c r="S1404" s="78">
        <f t="shared" si="66"/>
        <v>5510</v>
      </c>
      <c r="T1404" s="44" t="str">
        <f t="shared" si="67"/>
        <v>5510ml</v>
      </c>
      <c r="U1404" s="77">
        <f t="shared" si="68"/>
        <v>316.54000000000002</v>
      </c>
      <c r="V1404" s="46"/>
      <c r="W1404" s="46"/>
      <c r="X1404" s="46"/>
    </row>
    <row r="1405" spans="1:24" ht="15.75" customHeight="1" thickBot="1" x14ac:dyDescent="0.35">
      <c r="A1405" s="40"/>
      <c r="B1405" s="67" t="s">
        <v>1698</v>
      </c>
      <c r="C1405" s="55"/>
      <c r="D1405" s="41"/>
      <c r="E1405" s="55"/>
      <c r="F1405" s="55"/>
      <c r="G1405" s="55"/>
      <c r="H1405" s="51"/>
      <c r="I1405" s="52"/>
      <c r="J1405" s="74" t="s">
        <v>1716</v>
      </c>
      <c r="K1405" s="57"/>
      <c r="L1405" s="75">
        <v>31.57</v>
      </c>
      <c r="M1405" s="60">
        <v>48</v>
      </c>
      <c r="N1405" s="76">
        <v>320</v>
      </c>
      <c r="O1405" s="42"/>
      <c r="P1405" s="58" t="s">
        <v>47</v>
      </c>
      <c r="Q1405" s="61"/>
      <c r="R1405" s="62"/>
      <c r="S1405" s="78">
        <f t="shared" si="66"/>
        <v>15360</v>
      </c>
      <c r="T1405" s="44" t="str">
        <f t="shared" si="67"/>
        <v>15360ml</v>
      </c>
      <c r="U1405" s="77">
        <f t="shared" si="68"/>
        <v>1515.3600000000001</v>
      </c>
      <c r="V1405" s="46"/>
      <c r="W1405" s="46"/>
      <c r="X1405" s="46"/>
    </row>
    <row r="1406" spans="1:24" ht="15.75" customHeight="1" thickBot="1" x14ac:dyDescent="0.35">
      <c r="A1406" s="40"/>
      <c r="B1406" s="67" t="s">
        <v>1698</v>
      </c>
      <c r="C1406" s="55"/>
      <c r="D1406" s="41"/>
      <c r="E1406" s="55"/>
      <c r="F1406" s="55"/>
      <c r="G1406" s="55"/>
      <c r="H1406" s="51"/>
      <c r="I1406" s="52"/>
      <c r="J1406" s="74" t="s">
        <v>1716</v>
      </c>
      <c r="K1406" s="57"/>
      <c r="L1406" s="75">
        <v>32.840000000000003</v>
      </c>
      <c r="M1406" s="60">
        <v>9</v>
      </c>
      <c r="N1406" s="76">
        <v>320</v>
      </c>
      <c r="O1406" s="42"/>
      <c r="P1406" s="58" t="s">
        <v>47</v>
      </c>
      <c r="Q1406" s="61"/>
      <c r="R1406" s="62"/>
      <c r="S1406" s="78">
        <f t="shared" si="66"/>
        <v>2880</v>
      </c>
      <c r="T1406" s="44" t="str">
        <f t="shared" si="67"/>
        <v>2880ml</v>
      </c>
      <c r="U1406" s="77">
        <f t="shared" si="68"/>
        <v>295.56000000000006</v>
      </c>
      <c r="V1406" s="46"/>
      <c r="W1406" s="46"/>
      <c r="X1406" s="46"/>
    </row>
    <row r="1407" spans="1:24" ht="15.75" customHeight="1" thickBot="1" x14ac:dyDescent="0.35">
      <c r="A1407" s="40"/>
      <c r="B1407" s="67" t="s">
        <v>1698</v>
      </c>
      <c r="C1407" s="55"/>
      <c r="D1407" s="41"/>
      <c r="E1407" s="55"/>
      <c r="F1407" s="55"/>
      <c r="G1407" s="55"/>
      <c r="H1407" s="51"/>
      <c r="I1407" s="52"/>
      <c r="J1407" s="74" t="s">
        <v>1716</v>
      </c>
      <c r="K1407" s="57"/>
      <c r="L1407" s="75">
        <v>30.4</v>
      </c>
      <c r="M1407" s="60">
        <v>23</v>
      </c>
      <c r="N1407" s="76">
        <v>320</v>
      </c>
      <c r="O1407" s="42"/>
      <c r="P1407" s="58" t="s">
        <v>47</v>
      </c>
      <c r="Q1407" s="61"/>
      <c r="R1407" s="62"/>
      <c r="S1407" s="78">
        <f t="shared" si="66"/>
        <v>7360</v>
      </c>
      <c r="T1407" s="44" t="str">
        <f t="shared" si="67"/>
        <v>7360ml</v>
      </c>
      <c r="U1407" s="77">
        <f t="shared" si="68"/>
        <v>699.19999999999993</v>
      </c>
      <c r="V1407" s="46"/>
      <c r="W1407" s="46"/>
      <c r="X1407" s="46"/>
    </row>
    <row r="1408" spans="1:24" ht="15.75" customHeight="1" thickBot="1" x14ac:dyDescent="0.35">
      <c r="A1408" s="40"/>
      <c r="B1408" s="67" t="s">
        <v>692</v>
      </c>
      <c r="C1408" s="55"/>
      <c r="D1408" s="41"/>
      <c r="E1408" s="55"/>
      <c r="F1408" s="55"/>
      <c r="G1408" s="55"/>
      <c r="H1408" s="51"/>
      <c r="I1408" s="52"/>
      <c r="J1408" s="74" t="s">
        <v>1717</v>
      </c>
      <c r="K1408" s="57"/>
      <c r="L1408" s="75">
        <v>310</v>
      </c>
      <c r="M1408" s="60">
        <v>6</v>
      </c>
      <c r="N1408" s="76">
        <v>1</v>
      </c>
      <c r="O1408" s="42"/>
      <c r="P1408" s="58" t="s">
        <v>88</v>
      </c>
      <c r="Q1408" s="61"/>
      <c r="R1408" s="62"/>
      <c r="S1408" s="78">
        <f t="shared" si="66"/>
        <v>6</v>
      </c>
      <c r="T1408" s="44" t="str">
        <f t="shared" si="67"/>
        <v>6kilos</v>
      </c>
      <c r="U1408" s="77">
        <f t="shared" si="68"/>
        <v>1860</v>
      </c>
      <c r="V1408" s="46"/>
      <c r="W1408" s="46"/>
      <c r="X1408" s="46"/>
    </row>
    <row r="1409" spans="1:24" ht="15.75" customHeight="1" thickBot="1" x14ac:dyDescent="0.35">
      <c r="A1409" s="40"/>
      <c r="B1409" s="67" t="s">
        <v>692</v>
      </c>
      <c r="C1409" s="55"/>
      <c r="D1409" s="41"/>
      <c r="E1409" s="55"/>
      <c r="F1409" s="55"/>
      <c r="G1409" s="55"/>
      <c r="H1409" s="51"/>
      <c r="I1409" s="52"/>
      <c r="J1409" s="74" t="s">
        <v>1717</v>
      </c>
      <c r="K1409" s="57"/>
      <c r="L1409" s="75">
        <v>250</v>
      </c>
      <c r="M1409" s="60">
        <v>0</v>
      </c>
      <c r="N1409" s="76">
        <v>1</v>
      </c>
      <c r="O1409" s="42"/>
      <c r="P1409" s="58" t="s">
        <v>88</v>
      </c>
      <c r="Q1409" s="61"/>
      <c r="R1409" s="62"/>
      <c r="S1409" s="78">
        <f t="shared" si="66"/>
        <v>0</v>
      </c>
      <c r="T1409" s="44" t="str">
        <f t="shared" si="67"/>
        <v>0kilos</v>
      </c>
      <c r="U1409" s="77">
        <f t="shared" si="68"/>
        <v>0</v>
      </c>
      <c r="V1409" s="46"/>
      <c r="W1409" s="46"/>
      <c r="X1409" s="46"/>
    </row>
    <row r="1410" spans="1:24" ht="15.75" customHeight="1" thickBot="1" x14ac:dyDescent="0.35">
      <c r="A1410" s="40"/>
      <c r="B1410" s="67" t="s">
        <v>692</v>
      </c>
      <c r="C1410" s="55"/>
      <c r="D1410" s="41"/>
      <c r="E1410" s="55"/>
      <c r="F1410" s="55"/>
      <c r="G1410" s="55"/>
      <c r="H1410" s="51"/>
      <c r="I1410" s="52"/>
      <c r="J1410" s="74" t="s">
        <v>942</v>
      </c>
      <c r="K1410" s="57"/>
      <c r="L1410" s="75">
        <v>158.80000000000001</v>
      </c>
      <c r="M1410" s="60">
        <v>2</v>
      </c>
      <c r="N1410" s="76">
        <v>500</v>
      </c>
      <c r="O1410" s="42"/>
      <c r="P1410" s="58" t="s">
        <v>36</v>
      </c>
      <c r="Q1410" s="61"/>
      <c r="R1410" s="62"/>
      <c r="S1410" s="78">
        <f t="shared" si="66"/>
        <v>1000</v>
      </c>
      <c r="T1410" s="44" t="str">
        <f t="shared" si="67"/>
        <v>1000grams</v>
      </c>
      <c r="U1410" s="77">
        <f t="shared" si="68"/>
        <v>317.60000000000002</v>
      </c>
      <c r="V1410" s="46"/>
      <c r="W1410" s="46"/>
      <c r="X1410" s="46"/>
    </row>
    <row r="1411" spans="1:24" ht="15.75" customHeight="1" thickBot="1" x14ac:dyDescent="0.35">
      <c r="A1411" s="40"/>
      <c r="B1411" s="67" t="s">
        <v>692</v>
      </c>
      <c r="C1411" s="55"/>
      <c r="D1411" s="41"/>
      <c r="E1411" s="55"/>
      <c r="F1411" s="55"/>
      <c r="G1411" s="55"/>
      <c r="H1411" s="51"/>
      <c r="I1411" s="52"/>
      <c r="J1411" s="74" t="s">
        <v>1718</v>
      </c>
      <c r="K1411" s="57"/>
      <c r="L1411" s="75">
        <v>106.5</v>
      </c>
      <c r="M1411" s="60">
        <v>2</v>
      </c>
      <c r="N1411" s="76">
        <v>800</v>
      </c>
      <c r="O1411" s="42"/>
      <c r="P1411" s="58" t="s">
        <v>36</v>
      </c>
      <c r="Q1411" s="61"/>
      <c r="R1411" s="62"/>
      <c r="S1411" s="78">
        <f t="shared" si="66"/>
        <v>1600</v>
      </c>
      <c r="T1411" s="44" t="str">
        <f t="shared" si="67"/>
        <v>1600grams</v>
      </c>
      <c r="U1411" s="77">
        <f t="shared" si="68"/>
        <v>213</v>
      </c>
      <c r="V1411" s="46"/>
      <c r="W1411" s="46"/>
      <c r="X1411" s="46"/>
    </row>
    <row r="1412" spans="1:24" ht="15.75" customHeight="1" thickBot="1" x14ac:dyDescent="0.35">
      <c r="A1412" s="40"/>
      <c r="B1412" s="67" t="s">
        <v>692</v>
      </c>
      <c r="C1412" s="55"/>
      <c r="D1412" s="41"/>
      <c r="E1412" s="55"/>
      <c r="F1412" s="55"/>
      <c r="G1412" s="55"/>
      <c r="H1412" s="51"/>
      <c r="I1412" s="52"/>
      <c r="J1412" s="74" t="s">
        <v>942</v>
      </c>
      <c r="K1412" s="57"/>
      <c r="L1412" s="75">
        <v>164</v>
      </c>
      <c r="M1412" s="60">
        <v>2</v>
      </c>
      <c r="N1412" s="76">
        <v>32</v>
      </c>
      <c r="O1412" s="42"/>
      <c r="P1412" s="58" t="s">
        <v>1186</v>
      </c>
      <c r="Q1412" s="61"/>
      <c r="R1412" s="62"/>
      <c r="S1412" s="78">
        <f t="shared" si="66"/>
        <v>64</v>
      </c>
      <c r="T1412" s="44" t="str">
        <f t="shared" si="67"/>
        <v>64ounces</v>
      </c>
      <c r="U1412" s="77">
        <f t="shared" si="68"/>
        <v>328</v>
      </c>
      <c r="V1412" s="46"/>
      <c r="W1412" s="46"/>
      <c r="X1412" s="46"/>
    </row>
    <row r="1413" spans="1:24" ht="15.75" customHeight="1" thickBot="1" x14ac:dyDescent="0.35">
      <c r="A1413" s="40"/>
      <c r="B1413" s="67" t="s">
        <v>1719</v>
      </c>
      <c r="C1413" s="55"/>
      <c r="D1413" s="41"/>
      <c r="E1413" s="55"/>
      <c r="F1413" s="55"/>
      <c r="G1413" s="55"/>
      <c r="H1413" s="51"/>
      <c r="I1413" s="52"/>
      <c r="J1413" s="74" t="s">
        <v>1720</v>
      </c>
      <c r="K1413" s="57"/>
      <c r="L1413" s="75">
        <v>65</v>
      </c>
      <c r="M1413" s="60">
        <v>17</v>
      </c>
      <c r="N1413" s="76">
        <v>53</v>
      </c>
      <c r="O1413" s="42"/>
      <c r="P1413" s="58" t="s">
        <v>36</v>
      </c>
      <c r="Q1413" s="61"/>
      <c r="R1413" s="62"/>
      <c r="S1413" s="78">
        <f t="shared" si="66"/>
        <v>901</v>
      </c>
      <c r="T1413" s="44" t="str">
        <f t="shared" si="67"/>
        <v>901grams</v>
      </c>
      <c r="U1413" s="77">
        <f t="shared" si="68"/>
        <v>1105</v>
      </c>
      <c r="V1413" s="46"/>
      <c r="W1413" s="46"/>
      <c r="X1413" s="46"/>
    </row>
    <row r="1414" spans="1:24" ht="15.75" customHeight="1" thickBot="1" x14ac:dyDescent="0.35">
      <c r="A1414" s="40"/>
      <c r="B1414" s="67" t="s">
        <v>1719</v>
      </c>
      <c r="C1414" s="55"/>
      <c r="D1414" s="41"/>
      <c r="E1414" s="55"/>
      <c r="F1414" s="55"/>
      <c r="G1414" s="55"/>
      <c r="H1414" s="51"/>
      <c r="I1414" s="52"/>
      <c r="J1414" s="74" t="s">
        <v>1720</v>
      </c>
      <c r="K1414" s="57"/>
      <c r="L1414" s="75">
        <v>52.8</v>
      </c>
      <c r="M1414" s="60">
        <v>1</v>
      </c>
      <c r="N1414" s="76">
        <v>53</v>
      </c>
      <c r="O1414" s="42"/>
      <c r="P1414" s="58" t="s">
        <v>36</v>
      </c>
      <c r="Q1414" s="61"/>
      <c r="R1414" s="62"/>
      <c r="S1414" s="78">
        <f t="shared" si="66"/>
        <v>53</v>
      </c>
      <c r="T1414" s="44" t="str">
        <f t="shared" si="67"/>
        <v>53grams</v>
      </c>
      <c r="U1414" s="77">
        <f t="shared" si="68"/>
        <v>52.8</v>
      </c>
      <c r="V1414" s="46"/>
      <c r="W1414" s="46"/>
      <c r="X1414" s="46"/>
    </row>
    <row r="1415" spans="1:24" ht="15.75" customHeight="1" thickBot="1" x14ac:dyDescent="0.35">
      <c r="A1415" s="40"/>
      <c r="B1415" s="67" t="s">
        <v>1719</v>
      </c>
      <c r="C1415" s="55"/>
      <c r="D1415" s="41"/>
      <c r="E1415" s="55"/>
      <c r="F1415" s="55"/>
      <c r="G1415" s="55"/>
      <c r="H1415" s="51"/>
      <c r="I1415" s="52"/>
      <c r="J1415" s="74" t="s">
        <v>1720</v>
      </c>
      <c r="K1415" s="57"/>
      <c r="L1415" s="75">
        <v>52.6</v>
      </c>
      <c r="M1415" s="60">
        <v>3</v>
      </c>
      <c r="N1415" s="76">
        <v>53</v>
      </c>
      <c r="O1415" s="42"/>
      <c r="P1415" s="58" t="s">
        <v>36</v>
      </c>
      <c r="Q1415" s="61"/>
      <c r="R1415" s="62"/>
      <c r="S1415" s="78">
        <f t="shared" si="66"/>
        <v>159</v>
      </c>
      <c r="T1415" s="44" t="str">
        <f t="shared" si="67"/>
        <v>159grams</v>
      </c>
      <c r="U1415" s="77">
        <f t="shared" si="68"/>
        <v>157.80000000000001</v>
      </c>
      <c r="V1415" s="46"/>
      <c r="W1415" s="46"/>
      <c r="X1415" s="46"/>
    </row>
    <row r="1416" spans="1:24" ht="15.75" customHeight="1" thickBot="1" x14ac:dyDescent="0.35">
      <c r="A1416" s="40"/>
      <c r="B1416" s="67" t="s">
        <v>699</v>
      </c>
      <c r="C1416" s="55"/>
      <c r="D1416" s="41"/>
      <c r="E1416" s="55"/>
      <c r="F1416" s="55"/>
      <c r="G1416" s="55"/>
      <c r="H1416" s="51"/>
      <c r="I1416" s="52"/>
      <c r="J1416" s="74" t="s">
        <v>1031</v>
      </c>
      <c r="K1416" s="57"/>
      <c r="L1416" s="75">
        <v>73</v>
      </c>
      <c r="M1416" s="60">
        <v>1</v>
      </c>
      <c r="N1416" s="76">
        <v>3500</v>
      </c>
      <c r="O1416" s="42"/>
      <c r="P1416" s="58" t="s">
        <v>47</v>
      </c>
      <c r="Q1416" s="61"/>
      <c r="R1416" s="62"/>
      <c r="S1416" s="78">
        <f t="shared" si="66"/>
        <v>3500</v>
      </c>
      <c r="T1416" s="44" t="str">
        <f t="shared" si="67"/>
        <v>3500ml</v>
      </c>
      <c r="U1416" s="77">
        <f t="shared" si="68"/>
        <v>73</v>
      </c>
      <c r="V1416" s="46"/>
      <c r="W1416" s="46"/>
      <c r="X1416" s="46"/>
    </row>
    <row r="1417" spans="1:24" ht="15.75" customHeight="1" thickBot="1" x14ac:dyDescent="0.35">
      <c r="A1417" s="40"/>
      <c r="B1417" s="67" t="s">
        <v>699</v>
      </c>
      <c r="C1417" s="55"/>
      <c r="D1417" s="41"/>
      <c r="E1417" s="55"/>
      <c r="F1417" s="55"/>
      <c r="G1417" s="55"/>
      <c r="H1417" s="51"/>
      <c r="I1417" s="52"/>
      <c r="J1417" s="74" t="s">
        <v>1031</v>
      </c>
      <c r="K1417" s="57"/>
      <c r="L1417" s="75">
        <v>73</v>
      </c>
      <c r="M1417" s="60">
        <v>29</v>
      </c>
      <c r="N1417" s="76">
        <v>3500</v>
      </c>
      <c r="O1417" s="42"/>
      <c r="P1417" s="58" t="s">
        <v>47</v>
      </c>
      <c r="Q1417" s="61"/>
      <c r="R1417" s="62"/>
      <c r="S1417" s="78">
        <f t="shared" si="66"/>
        <v>101500</v>
      </c>
      <c r="T1417" s="44" t="str">
        <f t="shared" si="67"/>
        <v>101500ml</v>
      </c>
      <c r="U1417" s="77">
        <f t="shared" si="68"/>
        <v>2117</v>
      </c>
      <c r="V1417" s="46"/>
      <c r="W1417" s="46"/>
      <c r="X1417" s="46"/>
    </row>
    <row r="1418" spans="1:24" ht="15.75" customHeight="1" thickBot="1" x14ac:dyDescent="0.35">
      <c r="A1418" s="40"/>
      <c r="B1418" s="67" t="s">
        <v>699</v>
      </c>
      <c r="C1418" s="55"/>
      <c r="D1418" s="41"/>
      <c r="E1418" s="55"/>
      <c r="F1418" s="55"/>
      <c r="G1418" s="55"/>
      <c r="H1418" s="51"/>
      <c r="I1418" s="52"/>
      <c r="J1418" s="74" t="s">
        <v>1721</v>
      </c>
      <c r="K1418" s="57"/>
      <c r="L1418" s="75">
        <v>187.8</v>
      </c>
      <c r="M1418" s="60">
        <v>1</v>
      </c>
      <c r="N1418" s="76">
        <v>4</v>
      </c>
      <c r="O1418" s="42"/>
      <c r="P1418" s="58" t="s">
        <v>685</v>
      </c>
      <c r="Q1418" s="61"/>
      <c r="R1418" s="62"/>
      <c r="S1418" s="78">
        <f t="shared" si="66"/>
        <v>4</v>
      </c>
      <c r="T1418" s="44" t="str">
        <f t="shared" si="67"/>
        <v>4liters</v>
      </c>
      <c r="U1418" s="77">
        <f t="shared" si="68"/>
        <v>187.8</v>
      </c>
      <c r="V1418" s="46"/>
      <c r="W1418" s="46"/>
      <c r="X1418" s="46"/>
    </row>
    <row r="1419" spans="1:24" ht="15.75" customHeight="1" thickBot="1" x14ac:dyDescent="0.35">
      <c r="A1419" s="40"/>
      <c r="B1419" s="67" t="s">
        <v>699</v>
      </c>
      <c r="C1419" s="55"/>
      <c r="D1419" s="41"/>
      <c r="E1419" s="55"/>
      <c r="F1419" s="55"/>
      <c r="G1419" s="55"/>
      <c r="H1419" s="51"/>
      <c r="I1419" s="52"/>
      <c r="J1419" s="74" t="s">
        <v>1214</v>
      </c>
      <c r="K1419" s="57"/>
      <c r="L1419" s="75">
        <v>80</v>
      </c>
      <c r="M1419" s="60">
        <v>1</v>
      </c>
      <c r="N1419" s="76">
        <v>3500</v>
      </c>
      <c r="O1419" s="42"/>
      <c r="P1419" s="58" t="s">
        <v>47</v>
      </c>
      <c r="Q1419" s="61"/>
      <c r="R1419" s="62"/>
      <c r="S1419" s="78">
        <f t="shared" si="66"/>
        <v>3500</v>
      </c>
      <c r="T1419" s="44" t="str">
        <f t="shared" si="67"/>
        <v>3500ml</v>
      </c>
      <c r="U1419" s="77">
        <f t="shared" si="68"/>
        <v>80</v>
      </c>
      <c r="V1419" s="46"/>
      <c r="W1419" s="46"/>
      <c r="X1419" s="46"/>
    </row>
    <row r="1420" spans="1:24" ht="15.75" customHeight="1" thickBot="1" x14ac:dyDescent="0.35">
      <c r="A1420" s="40"/>
      <c r="B1420" s="67" t="s">
        <v>699</v>
      </c>
      <c r="C1420" s="55"/>
      <c r="D1420" s="41"/>
      <c r="E1420" s="55"/>
      <c r="F1420" s="55"/>
      <c r="G1420" s="55"/>
      <c r="H1420" s="51"/>
      <c r="I1420" s="52"/>
      <c r="J1420" s="74" t="s">
        <v>1321</v>
      </c>
      <c r="K1420" s="57"/>
      <c r="L1420" s="75">
        <v>370</v>
      </c>
      <c r="M1420" s="60">
        <v>1</v>
      </c>
      <c r="N1420" s="76">
        <v>1</v>
      </c>
      <c r="O1420" s="42"/>
      <c r="P1420" s="58" t="s">
        <v>685</v>
      </c>
      <c r="Q1420" s="61"/>
      <c r="R1420" s="62"/>
      <c r="S1420" s="78">
        <f t="shared" si="66"/>
        <v>1</v>
      </c>
      <c r="T1420" s="44" t="str">
        <f t="shared" si="67"/>
        <v>1liters</v>
      </c>
      <c r="U1420" s="77">
        <f t="shared" si="68"/>
        <v>370</v>
      </c>
      <c r="V1420" s="46"/>
      <c r="W1420" s="46"/>
      <c r="X1420" s="46"/>
    </row>
    <row r="1421" spans="1:24" ht="15.75" customHeight="1" thickBot="1" x14ac:dyDescent="0.35">
      <c r="A1421" s="40"/>
      <c r="B1421" s="68" t="s">
        <v>1722</v>
      </c>
      <c r="C1421" s="55"/>
      <c r="D1421" s="41"/>
      <c r="E1421" s="55"/>
      <c r="F1421" s="55"/>
      <c r="G1421" s="55"/>
      <c r="H1421" s="51"/>
      <c r="I1421" s="52"/>
      <c r="J1421" s="74"/>
      <c r="K1421" s="57"/>
      <c r="L1421" s="75">
        <v>11</v>
      </c>
      <c r="M1421" s="60">
        <v>1</v>
      </c>
      <c r="N1421" s="76">
        <v>200</v>
      </c>
      <c r="O1421" s="42"/>
      <c r="P1421" s="58" t="s">
        <v>47</v>
      </c>
      <c r="Q1421" s="61"/>
      <c r="R1421" s="62"/>
      <c r="S1421" s="78">
        <f t="shared" si="66"/>
        <v>200</v>
      </c>
      <c r="T1421" s="44" t="str">
        <f t="shared" si="67"/>
        <v>200ml</v>
      </c>
      <c r="U1421" s="77">
        <f t="shared" si="68"/>
        <v>11</v>
      </c>
      <c r="V1421" s="46"/>
      <c r="W1421" s="46"/>
      <c r="X1421" s="46"/>
    </row>
    <row r="1422" spans="1:24" ht="15.75" customHeight="1" thickBot="1" x14ac:dyDescent="0.35">
      <c r="A1422" s="40"/>
      <c r="B1422" s="67" t="s">
        <v>699</v>
      </c>
      <c r="C1422" s="55"/>
      <c r="D1422" s="41"/>
      <c r="E1422" s="55"/>
      <c r="F1422" s="55"/>
      <c r="G1422" s="55"/>
      <c r="H1422" s="51"/>
      <c r="I1422" s="52"/>
      <c r="J1422" s="74" t="s">
        <v>1031</v>
      </c>
      <c r="K1422" s="57"/>
      <c r="L1422" s="75">
        <v>73</v>
      </c>
      <c r="M1422" s="60">
        <v>16</v>
      </c>
      <c r="N1422" s="76">
        <v>3500</v>
      </c>
      <c r="O1422" s="42"/>
      <c r="P1422" s="58" t="s">
        <v>47</v>
      </c>
      <c r="Q1422" s="61"/>
      <c r="R1422" s="62"/>
      <c r="S1422" s="78">
        <f t="shared" si="66"/>
        <v>56000</v>
      </c>
      <c r="T1422" s="44" t="str">
        <f t="shared" si="67"/>
        <v>56000ml</v>
      </c>
      <c r="U1422" s="77">
        <f t="shared" si="68"/>
        <v>1168</v>
      </c>
      <c r="V1422" s="46"/>
      <c r="W1422" s="46"/>
      <c r="X1422" s="46"/>
    </row>
    <row r="1423" spans="1:24" ht="15.75" customHeight="1" thickBot="1" x14ac:dyDescent="0.35">
      <c r="A1423" s="40"/>
      <c r="B1423" s="67" t="s">
        <v>699</v>
      </c>
      <c r="C1423" s="55"/>
      <c r="D1423" s="41"/>
      <c r="E1423" s="55"/>
      <c r="F1423" s="55"/>
      <c r="G1423" s="55"/>
      <c r="H1423" s="51"/>
      <c r="I1423" s="52"/>
      <c r="J1423" s="74" t="s">
        <v>1033</v>
      </c>
      <c r="K1423" s="57"/>
      <c r="L1423" s="75">
        <v>10</v>
      </c>
      <c r="M1423" s="60">
        <v>65</v>
      </c>
      <c r="N1423" s="76">
        <v>1</v>
      </c>
      <c r="O1423" s="42"/>
      <c r="P1423" s="58" t="s">
        <v>53</v>
      </c>
      <c r="Q1423" s="61"/>
      <c r="R1423" s="62"/>
      <c r="S1423" s="78">
        <f t="shared" si="66"/>
        <v>65</v>
      </c>
      <c r="T1423" s="44" t="str">
        <f t="shared" si="67"/>
        <v>65gal</v>
      </c>
      <c r="U1423" s="77">
        <f t="shared" si="68"/>
        <v>650</v>
      </c>
      <c r="V1423" s="46"/>
      <c r="W1423" s="46"/>
      <c r="X1423" s="46"/>
    </row>
    <row r="1424" spans="1:24" ht="15.75" customHeight="1" thickBot="1" x14ac:dyDescent="0.35">
      <c r="A1424" s="40"/>
      <c r="B1424" s="68" t="s">
        <v>699</v>
      </c>
      <c r="C1424" s="55"/>
      <c r="D1424" s="41"/>
      <c r="E1424" s="55"/>
      <c r="F1424" s="55"/>
      <c r="G1424" s="55"/>
      <c r="H1424" s="51"/>
      <c r="I1424" s="52"/>
      <c r="J1424" s="74" t="s">
        <v>1031</v>
      </c>
      <c r="K1424" s="57"/>
      <c r="L1424" s="75">
        <v>70</v>
      </c>
      <c r="M1424" s="60">
        <v>6</v>
      </c>
      <c r="N1424" s="76">
        <v>3500</v>
      </c>
      <c r="O1424" s="42"/>
      <c r="P1424" s="58" t="s">
        <v>47</v>
      </c>
      <c r="Q1424" s="61"/>
      <c r="R1424" s="62"/>
      <c r="S1424" s="78">
        <f t="shared" si="66"/>
        <v>21000</v>
      </c>
      <c r="T1424" s="44" t="str">
        <f t="shared" si="67"/>
        <v>21000ml</v>
      </c>
      <c r="U1424" s="77">
        <f t="shared" si="68"/>
        <v>420</v>
      </c>
      <c r="V1424" s="46"/>
      <c r="W1424" s="46"/>
      <c r="X1424" s="46"/>
    </row>
    <row r="1425" spans="1:24" ht="15.75" customHeight="1" thickBot="1" x14ac:dyDescent="0.35">
      <c r="A1425" s="40"/>
      <c r="B1425" s="67" t="s">
        <v>1722</v>
      </c>
      <c r="C1425" s="55"/>
      <c r="D1425" s="41"/>
      <c r="E1425" s="55"/>
      <c r="F1425" s="55"/>
      <c r="G1425" s="55"/>
      <c r="H1425" s="51"/>
      <c r="I1425" s="52"/>
      <c r="J1425" s="74" t="s">
        <v>1031</v>
      </c>
      <c r="K1425" s="57"/>
      <c r="L1425" s="75">
        <v>73</v>
      </c>
      <c r="M1425" s="60">
        <v>1</v>
      </c>
      <c r="N1425" s="76">
        <v>1</v>
      </c>
      <c r="O1425" s="42"/>
      <c r="P1425" s="58" t="s">
        <v>53</v>
      </c>
      <c r="Q1425" s="61"/>
      <c r="R1425" s="62"/>
      <c r="S1425" s="78">
        <f t="shared" si="66"/>
        <v>1</v>
      </c>
      <c r="T1425" s="44" t="str">
        <f t="shared" si="67"/>
        <v>1gal</v>
      </c>
      <c r="U1425" s="77">
        <f t="shared" si="68"/>
        <v>73</v>
      </c>
      <c r="V1425" s="46"/>
      <c r="W1425" s="46"/>
      <c r="X1425" s="46"/>
    </row>
    <row r="1426" spans="1:24" ht="15.75" customHeight="1" thickBot="1" x14ac:dyDescent="0.35">
      <c r="A1426" s="40"/>
      <c r="B1426" s="67" t="s">
        <v>699</v>
      </c>
      <c r="C1426" s="55"/>
      <c r="D1426" s="41"/>
      <c r="E1426" s="55"/>
      <c r="F1426" s="55"/>
      <c r="G1426" s="55"/>
      <c r="H1426" s="51"/>
      <c r="I1426" s="52"/>
      <c r="J1426" s="74" t="s">
        <v>1321</v>
      </c>
      <c r="K1426" s="57"/>
      <c r="L1426" s="75">
        <v>198</v>
      </c>
      <c r="M1426" s="60">
        <v>1</v>
      </c>
      <c r="N1426" s="76">
        <v>500</v>
      </c>
      <c r="O1426" s="42"/>
      <c r="P1426" s="58" t="s">
        <v>47</v>
      </c>
      <c r="Q1426" s="61"/>
      <c r="R1426" s="62"/>
      <c r="S1426" s="78">
        <f t="shared" si="66"/>
        <v>500</v>
      </c>
      <c r="T1426" s="44" t="str">
        <f t="shared" si="67"/>
        <v>500ml</v>
      </c>
      <c r="U1426" s="77">
        <f t="shared" si="68"/>
        <v>198</v>
      </c>
      <c r="V1426" s="46"/>
      <c r="W1426" s="46"/>
      <c r="X1426" s="46"/>
    </row>
    <row r="1427" spans="1:24" ht="15.75" customHeight="1" thickBot="1" x14ac:dyDescent="0.35">
      <c r="A1427" s="40"/>
      <c r="B1427" s="67" t="s">
        <v>699</v>
      </c>
      <c r="C1427" s="55"/>
      <c r="D1427" s="41"/>
      <c r="E1427" s="55"/>
      <c r="F1427" s="55"/>
      <c r="G1427" s="55"/>
      <c r="H1427" s="51"/>
      <c r="I1427" s="52"/>
      <c r="J1427" s="74" t="s">
        <v>1723</v>
      </c>
      <c r="K1427" s="57"/>
      <c r="L1427" s="75">
        <v>184</v>
      </c>
      <c r="M1427" s="60">
        <v>14</v>
      </c>
      <c r="N1427" s="76">
        <v>1</v>
      </c>
      <c r="O1427" s="42"/>
      <c r="P1427" s="58" t="s">
        <v>53</v>
      </c>
      <c r="Q1427" s="61"/>
      <c r="R1427" s="62"/>
      <c r="S1427" s="78">
        <f t="shared" si="66"/>
        <v>14</v>
      </c>
      <c r="T1427" s="44" t="str">
        <f t="shared" si="67"/>
        <v>14gal</v>
      </c>
      <c r="U1427" s="77">
        <f t="shared" si="68"/>
        <v>2576</v>
      </c>
      <c r="V1427" s="46"/>
      <c r="W1427" s="46"/>
      <c r="X1427" s="46"/>
    </row>
    <row r="1428" spans="1:24" ht="15.75" customHeight="1" thickBot="1" x14ac:dyDescent="0.35">
      <c r="A1428" s="40"/>
      <c r="B1428" s="68" t="s">
        <v>701</v>
      </c>
      <c r="C1428" s="55"/>
      <c r="D1428" s="41"/>
      <c r="E1428" s="55"/>
      <c r="F1428" s="55"/>
      <c r="G1428" s="55"/>
      <c r="H1428" s="51"/>
      <c r="I1428" s="52"/>
      <c r="J1428" s="74" t="s">
        <v>1311</v>
      </c>
      <c r="K1428" s="57"/>
      <c r="L1428" s="75">
        <v>71.2</v>
      </c>
      <c r="M1428" s="60">
        <v>3</v>
      </c>
      <c r="N1428" s="76">
        <v>800</v>
      </c>
      <c r="O1428" s="42"/>
      <c r="P1428" s="58" t="s">
        <v>36</v>
      </c>
      <c r="Q1428" s="61"/>
      <c r="R1428" s="62"/>
      <c r="S1428" s="78">
        <f t="shared" si="66"/>
        <v>2400</v>
      </c>
      <c r="T1428" s="44" t="str">
        <f t="shared" si="67"/>
        <v>2400grams</v>
      </c>
      <c r="U1428" s="77">
        <f t="shared" si="68"/>
        <v>213.60000000000002</v>
      </c>
      <c r="V1428" s="46"/>
      <c r="W1428" s="46"/>
      <c r="X1428" s="46"/>
    </row>
    <row r="1429" spans="1:24" ht="15.75" customHeight="1" thickBot="1" x14ac:dyDescent="0.35">
      <c r="A1429" s="40"/>
      <c r="B1429" s="67" t="s">
        <v>701</v>
      </c>
      <c r="C1429" s="55"/>
      <c r="D1429" s="41"/>
      <c r="E1429" s="55"/>
      <c r="F1429" s="55"/>
      <c r="G1429" s="55"/>
      <c r="H1429" s="51"/>
      <c r="I1429" s="52"/>
      <c r="J1429" s="74" t="s">
        <v>1724</v>
      </c>
      <c r="K1429" s="57"/>
      <c r="L1429" s="75">
        <v>80</v>
      </c>
      <c r="M1429" s="60">
        <v>3</v>
      </c>
      <c r="N1429" s="76">
        <v>800</v>
      </c>
      <c r="O1429" s="42"/>
      <c r="P1429" s="58" t="s">
        <v>36</v>
      </c>
      <c r="Q1429" s="61"/>
      <c r="R1429" s="62"/>
      <c r="S1429" s="78">
        <f t="shared" si="66"/>
        <v>2400</v>
      </c>
      <c r="T1429" s="44" t="str">
        <f t="shared" si="67"/>
        <v>2400grams</v>
      </c>
      <c r="U1429" s="77">
        <f t="shared" si="68"/>
        <v>240</v>
      </c>
      <c r="V1429" s="46"/>
      <c r="W1429" s="46"/>
      <c r="X1429" s="46"/>
    </row>
    <row r="1430" spans="1:24" ht="15.75" customHeight="1" thickBot="1" x14ac:dyDescent="0.35">
      <c r="A1430" s="40"/>
      <c r="B1430" s="67" t="s">
        <v>701</v>
      </c>
      <c r="C1430" s="55"/>
      <c r="D1430" s="41"/>
      <c r="E1430" s="55"/>
      <c r="F1430" s="55"/>
      <c r="G1430" s="55"/>
      <c r="H1430" s="51"/>
      <c r="I1430" s="52"/>
      <c r="J1430" s="74" t="s">
        <v>1725</v>
      </c>
      <c r="K1430" s="57"/>
      <c r="L1430" s="75">
        <v>116</v>
      </c>
      <c r="M1430" s="60">
        <v>3</v>
      </c>
      <c r="N1430" s="76">
        <v>900</v>
      </c>
      <c r="O1430" s="42"/>
      <c r="P1430" s="58" t="s">
        <v>36</v>
      </c>
      <c r="Q1430" s="61"/>
      <c r="R1430" s="62"/>
      <c r="S1430" s="78">
        <f t="shared" si="66"/>
        <v>2700</v>
      </c>
      <c r="T1430" s="44" t="str">
        <f t="shared" si="67"/>
        <v>2700grams</v>
      </c>
      <c r="U1430" s="77">
        <f t="shared" si="68"/>
        <v>348</v>
      </c>
      <c r="V1430" s="46"/>
      <c r="W1430" s="46"/>
      <c r="X1430" s="46"/>
    </row>
    <row r="1431" spans="1:24" ht="15.75" customHeight="1" thickBot="1" x14ac:dyDescent="0.35">
      <c r="A1431" s="40"/>
      <c r="B1431" s="67" t="s">
        <v>701</v>
      </c>
      <c r="C1431" s="55"/>
      <c r="D1431" s="41"/>
      <c r="E1431" s="55"/>
      <c r="F1431" s="55"/>
      <c r="G1431" s="55"/>
      <c r="H1431" s="51"/>
      <c r="I1431" s="52"/>
      <c r="J1431" s="74" t="s">
        <v>1724</v>
      </c>
      <c r="K1431" s="57"/>
      <c r="L1431" s="75">
        <v>75</v>
      </c>
      <c r="M1431" s="60">
        <v>12</v>
      </c>
      <c r="N1431" s="76">
        <v>1</v>
      </c>
      <c r="O1431" s="42"/>
      <c r="P1431" s="58" t="s">
        <v>88</v>
      </c>
      <c r="Q1431" s="61"/>
      <c r="R1431" s="62"/>
      <c r="S1431" s="78">
        <f t="shared" si="66"/>
        <v>12</v>
      </c>
      <c r="T1431" s="44" t="str">
        <f t="shared" si="67"/>
        <v>12kilos</v>
      </c>
      <c r="U1431" s="77">
        <f t="shared" si="68"/>
        <v>900</v>
      </c>
      <c r="V1431" s="46"/>
      <c r="W1431" s="46"/>
      <c r="X1431" s="46"/>
    </row>
    <row r="1432" spans="1:24" ht="15.75" customHeight="1" thickBot="1" x14ac:dyDescent="0.35">
      <c r="A1432" s="40"/>
      <c r="B1432" s="68" t="s">
        <v>701</v>
      </c>
      <c r="C1432" s="55"/>
      <c r="D1432" s="41"/>
      <c r="E1432" s="55"/>
      <c r="F1432" s="55"/>
      <c r="G1432" s="55"/>
      <c r="H1432" s="51"/>
      <c r="I1432" s="52"/>
      <c r="J1432" s="74" t="s">
        <v>1724</v>
      </c>
      <c r="K1432" s="57"/>
      <c r="L1432" s="75">
        <v>75</v>
      </c>
      <c r="M1432" s="60">
        <v>12</v>
      </c>
      <c r="N1432" s="76">
        <v>800</v>
      </c>
      <c r="O1432" s="42"/>
      <c r="P1432" s="58" t="s">
        <v>36</v>
      </c>
      <c r="Q1432" s="61"/>
      <c r="R1432" s="62"/>
      <c r="S1432" s="78">
        <f t="shared" si="66"/>
        <v>9600</v>
      </c>
      <c r="T1432" s="44" t="str">
        <f t="shared" si="67"/>
        <v>9600grams</v>
      </c>
      <c r="U1432" s="77">
        <f t="shared" si="68"/>
        <v>900</v>
      </c>
      <c r="V1432" s="46"/>
      <c r="W1432" s="46"/>
      <c r="X1432" s="46"/>
    </row>
    <row r="1433" spans="1:24" ht="15.75" customHeight="1" thickBot="1" x14ac:dyDescent="0.35">
      <c r="A1433" s="40"/>
      <c r="B1433" s="67" t="s">
        <v>701</v>
      </c>
      <c r="C1433" s="55"/>
      <c r="D1433" s="41"/>
      <c r="E1433" s="55"/>
      <c r="F1433" s="55"/>
      <c r="G1433" s="55"/>
      <c r="H1433" s="51"/>
      <c r="I1433" s="52"/>
      <c r="J1433" s="74" t="s">
        <v>1724</v>
      </c>
      <c r="K1433" s="57"/>
      <c r="L1433" s="75">
        <v>80</v>
      </c>
      <c r="M1433" s="60">
        <v>4</v>
      </c>
      <c r="N1433" s="76">
        <v>900</v>
      </c>
      <c r="O1433" s="42"/>
      <c r="P1433" s="58" t="s">
        <v>36</v>
      </c>
      <c r="Q1433" s="61"/>
      <c r="R1433" s="62"/>
      <c r="S1433" s="78">
        <f t="shared" si="66"/>
        <v>3600</v>
      </c>
      <c r="T1433" s="44" t="str">
        <f t="shared" si="67"/>
        <v>3600grams</v>
      </c>
      <c r="U1433" s="77">
        <f t="shared" si="68"/>
        <v>320</v>
      </c>
      <c r="V1433" s="46"/>
      <c r="W1433" s="46"/>
      <c r="X1433" s="46"/>
    </row>
    <row r="1434" spans="1:24" ht="15.75" customHeight="1" thickBot="1" x14ac:dyDescent="0.35">
      <c r="A1434" s="40"/>
      <c r="B1434" s="67" t="s">
        <v>701</v>
      </c>
      <c r="C1434" s="55"/>
      <c r="D1434" s="41"/>
      <c r="E1434" s="55"/>
      <c r="F1434" s="55"/>
      <c r="G1434" s="55"/>
      <c r="H1434" s="51"/>
      <c r="I1434" s="52"/>
      <c r="J1434" s="74" t="s">
        <v>1726</v>
      </c>
      <c r="K1434" s="57"/>
      <c r="L1434" s="75">
        <v>78.56</v>
      </c>
      <c r="M1434" s="60">
        <v>1</v>
      </c>
      <c r="N1434" s="76">
        <v>800</v>
      </c>
      <c r="O1434" s="42"/>
      <c r="P1434" s="58" t="s">
        <v>36</v>
      </c>
      <c r="Q1434" s="61"/>
      <c r="R1434" s="62"/>
      <c r="S1434" s="78">
        <f t="shared" si="66"/>
        <v>800</v>
      </c>
      <c r="T1434" s="44" t="str">
        <f t="shared" si="67"/>
        <v>800grams</v>
      </c>
      <c r="U1434" s="77">
        <f t="shared" si="68"/>
        <v>78.56</v>
      </c>
      <c r="V1434" s="46"/>
      <c r="W1434" s="46"/>
      <c r="X1434" s="46"/>
    </row>
    <row r="1435" spans="1:24" ht="15.75" customHeight="1" thickBot="1" x14ac:dyDescent="0.35">
      <c r="A1435" s="40"/>
      <c r="B1435" s="68" t="s">
        <v>1727</v>
      </c>
      <c r="C1435" s="55"/>
      <c r="D1435" s="41"/>
      <c r="E1435" s="55"/>
      <c r="F1435" s="55"/>
      <c r="G1435" s="55"/>
      <c r="H1435" s="51"/>
      <c r="I1435" s="52"/>
      <c r="J1435" s="74" t="s">
        <v>1728</v>
      </c>
      <c r="K1435" s="57"/>
      <c r="L1435" s="75">
        <v>2.48</v>
      </c>
      <c r="M1435" s="60">
        <v>457</v>
      </c>
      <c r="N1435" s="76">
        <v>1</v>
      </c>
      <c r="O1435" s="42"/>
      <c r="P1435" s="58" t="s">
        <v>38</v>
      </c>
      <c r="Q1435" s="61"/>
      <c r="R1435" s="62"/>
      <c r="S1435" s="78">
        <f t="shared" si="66"/>
        <v>457</v>
      </c>
      <c r="T1435" s="44" t="str">
        <f t="shared" si="67"/>
        <v>457pieces</v>
      </c>
      <c r="U1435" s="77">
        <f t="shared" si="68"/>
        <v>1133.3599999999999</v>
      </c>
      <c r="V1435" s="46"/>
      <c r="W1435" s="46"/>
      <c r="X1435" s="46"/>
    </row>
    <row r="1436" spans="1:24" ht="15.75" customHeight="1" thickBot="1" x14ac:dyDescent="0.35">
      <c r="A1436" s="40"/>
      <c r="B1436" s="67" t="s">
        <v>1727</v>
      </c>
      <c r="C1436" s="55"/>
      <c r="D1436" s="41"/>
      <c r="E1436" s="55"/>
      <c r="F1436" s="55"/>
      <c r="G1436" s="55"/>
      <c r="H1436" s="51"/>
      <c r="I1436" s="52"/>
      <c r="J1436" s="74"/>
      <c r="K1436" s="57"/>
      <c r="L1436" s="75">
        <v>4</v>
      </c>
      <c r="M1436" s="60">
        <v>28</v>
      </c>
      <c r="N1436" s="76">
        <v>1</v>
      </c>
      <c r="O1436" s="42"/>
      <c r="P1436" s="58" t="s">
        <v>38</v>
      </c>
      <c r="Q1436" s="61"/>
      <c r="R1436" s="62"/>
      <c r="S1436" s="78">
        <f t="shared" si="66"/>
        <v>28</v>
      </c>
      <c r="T1436" s="44" t="str">
        <f t="shared" si="67"/>
        <v>28pieces</v>
      </c>
      <c r="U1436" s="77">
        <f t="shared" si="68"/>
        <v>112</v>
      </c>
      <c r="V1436" s="46"/>
      <c r="W1436" s="46"/>
      <c r="X1436" s="46"/>
    </row>
    <row r="1437" spans="1:24" ht="15.75" customHeight="1" thickBot="1" x14ac:dyDescent="0.35">
      <c r="A1437" s="40"/>
      <c r="B1437" s="67" t="s">
        <v>1729</v>
      </c>
      <c r="C1437" s="55"/>
      <c r="D1437" s="41"/>
      <c r="E1437" s="55"/>
      <c r="F1437" s="55"/>
      <c r="G1437" s="55"/>
      <c r="H1437" s="51"/>
      <c r="I1437" s="52"/>
      <c r="J1437" s="74" t="s">
        <v>1203</v>
      </c>
      <c r="K1437" s="57"/>
      <c r="L1437" s="75">
        <v>139.9</v>
      </c>
      <c r="M1437" s="60">
        <v>4</v>
      </c>
      <c r="N1437" s="76">
        <v>1</v>
      </c>
      <c r="O1437" s="42"/>
      <c r="P1437" s="58" t="s">
        <v>88</v>
      </c>
      <c r="Q1437" s="61"/>
      <c r="R1437" s="62"/>
      <c r="S1437" s="78">
        <f t="shared" si="66"/>
        <v>4</v>
      </c>
      <c r="T1437" s="44" t="str">
        <f t="shared" si="67"/>
        <v>4kilos</v>
      </c>
      <c r="U1437" s="77">
        <f t="shared" si="68"/>
        <v>559.6</v>
      </c>
      <c r="V1437" s="46"/>
      <c r="W1437" s="46"/>
      <c r="X1437" s="46"/>
    </row>
    <row r="1438" spans="1:24" ht="15.75" customHeight="1" thickBot="1" x14ac:dyDescent="0.35">
      <c r="A1438" s="40"/>
      <c r="B1438" s="67" t="s">
        <v>1730</v>
      </c>
      <c r="C1438" s="55"/>
      <c r="D1438" s="41"/>
      <c r="E1438" s="55"/>
      <c r="F1438" s="55"/>
      <c r="G1438" s="55"/>
      <c r="H1438" s="51"/>
      <c r="I1438" s="52"/>
      <c r="J1438" s="74" t="s">
        <v>410</v>
      </c>
      <c r="K1438" s="57"/>
      <c r="L1438" s="75">
        <v>99.6</v>
      </c>
      <c r="M1438" s="60">
        <v>11</v>
      </c>
      <c r="N1438" s="76">
        <v>900</v>
      </c>
      <c r="O1438" s="42"/>
      <c r="P1438" s="58" t="s">
        <v>36</v>
      </c>
      <c r="Q1438" s="61"/>
      <c r="R1438" s="62"/>
      <c r="S1438" s="78">
        <f t="shared" si="66"/>
        <v>9900</v>
      </c>
      <c r="T1438" s="44" t="str">
        <f t="shared" si="67"/>
        <v>9900grams</v>
      </c>
      <c r="U1438" s="77">
        <f t="shared" si="68"/>
        <v>1095.5999999999999</v>
      </c>
      <c r="V1438" s="46"/>
      <c r="W1438" s="46"/>
      <c r="X1438" s="46"/>
    </row>
    <row r="1439" spans="1:24" ht="15.75" customHeight="1" thickBot="1" x14ac:dyDescent="0.35">
      <c r="A1439" s="40"/>
      <c r="B1439" s="67" t="s">
        <v>1731</v>
      </c>
      <c r="C1439" s="55"/>
      <c r="D1439" s="41"/>
      <c r="E1439" s="55"/>
      <c r="F1439" s="55"/>
      <c r="G1439" s="55"/>
      <c r="H1439" s="51"/>
      <c r="I1439" s="52"/>
      <c r="J1439" s="74" t="s">
        <v>1732</v>
      </c>
      <c r="K1439" s="57"/>
      <c r="L1439" s="75">
        <v>60</v>
      </c>
      <c r="M1439" s="60">
        <v>1</v>
      </c>
      <c r="N1439" s="76">
        <v>1</v>
      </c>
      <c r="O1439" s="42"/>
      <c r="P1439" s="58" t="s">
        <v>88</v>
      </c>
      <c r="Q1439" s="61"/>
      <c r="R1439" s="62"/>
      <c r="S1439" s="78">
        <f t="shared" si="66"/>
        <v>1</v>
      </c>
      <c r="T1439" s="44" t="str">
        <f t="shared" si="67"/>
        <v>1kilos</v>
      </c>
      <c r="U1439" s="77">
        <f t="shared" si="68"/>
        <v>60</v>
      </c>
      <c r="V1439" s="46"/>
      <c r="W1439" s="46"/>
      <c r="X1439" s="46"/>
    </row>
    <row r="1440" spans="1:24" ht="15.75" customHeight="1" thickBot="1" x14ac:dyDescent="0.35">
      <c r="A1440" s="40"/>
      <c r="B1440" s="67" t="s">
        <v>1733</v>
      </c>
      <c r="C1440" s="55"/>
      <c r="D1440" s="41"/>
      <c r="E1440" s="55"/>
      <c r="F1440" s="55"/>
      <c r="G1440" s="55"/>
      <c r="H1440" s="51"/>
      <c r="I1440" s="52"/>
      <c r="J1440" s="74" t="s">
        <v>816</v>
      </c>
      <c r="K1440" s="57"/>
      <c r="L1440" s="75">
        <v>29.75</v>
      </c>
      <c r="M1440" s="60">
        <v>1</v>
      </c>
      <c r="N1440" s="76">
        <v>34</v>
      </c>
      <c r="O1440" s="42"/>
      <c r="P1440" s="58" t="s">
        <v>36</v>
      </c>
      <c r="Q1440" s="61"/>
      <c r="R1440" s="62"/>
      <c r="S1440" s="78">
        <f t="shared" si="66"/>
        <v>34</v>
      </c>
      <c r="T1440" s="44" t="str">
        <f t="shared" si="67"/>
        <v>34grams</v>
      </c>
      <c r="U1440" s="77">
        <f t="shared" si="68"/>
        <v>29.75</v>
      </c>
      <c r="V1440" s="46"/>
      <c r="W1440" s="46"/>
      <c r="X1440" s="46"/>
    </row>
    <row r="1441" spans="1:24" ht="15.75" customHeight="1" thickBot="1" x14ac:dyDescent="0.35">
      <c r="A1441" s="40"/>
      <c r="B1441" s="67" t="s">
        <v>1733</v>
      </c>
      <c r="C1441" s="55"/>
      <c r="D1441" s="41"/>
      <c r="E1441" s="55"/>
      <c r="F1441" s="55"/>
      <c r="G1441" s="55"/>
      <c r="H1441" s="51"/>
      <c r="I1441" s="52"/>
      <c r="J1441" s="74" t="s">
        <v>816</v>
      </c>
      <c r="K1441" s="57"/>
      <c r="L1441" s="75">
        <v>78</v>
      </c>
      <c r="M1441" s="60">
        <v>3</v>
      </c>
      <c r="N1441" s="76">
        <v>34</v>
      </c>
      <c r="O1441" s="42"/>
      <c r="P1441" s="58" t="s">
        <v>36</v>
      </c>
      <c r="Q1441" s="61"/>
      <c r="R1441" s="62"/>
      <c r="S1441" s="78">
        <f t="shared" si="66"/>
        <v>102</v>
      </c>
      <c r="T1441" s="44" t="str">
        <f t="shared" si="67"/>
        <v>102grams</v>
      </c>
      <c r="U1441" s="77">
        <f t="shared" si="68"/>
        <v>234</v>
      </c>
      <c r="V1441" s="46"/>
      <c r="W1441" s="46"/>
      <c r="X1441" s="46"/>
    </row>
    <row r="1442" spans="1:24" ht="15.75" customHeight="1" thickBot="1" x14ac:dyDescent="0.35">
      <c r="A1442" s="40"/>
      <c r="B1442" s="67" t="s">
        <v>1734</v>
      </c>
      <c r="C1442" s="55"/>
      <c r="D1442" s="41"/>
      <c r="E1442" s="55"/>
      <c r="F1442" s="55"/>
      <c r="G1442" s="55"/>
      <c r="H1442" s="51"/>
      <c r="I1442" s="52"/>
      <c r="J1442" s="74" t="s">
        <v>816</v>
      </c>
      <c r="K1442" s="57"/>
      <c r="L1442" s="75">
        <v>5.8</v>
      </c>
      <c r="M1442" s="60">
        <v>15</v>
      </c>
      <c r="N1442" s="76">
        <v>1</v>
      </c>
      <c r="O1442" s="42"/>
      <c r="P1442" s="58" t="s">
        <v>38</v>
      </c>
      <c r="Q1442" s="61"/>
      <c r="R1442" s="62"/>
      <c r="S1442" s="78">
        <f t="shared" si="66"/>
        <v>15</v>
      </c>
      <c r="T1442" s="44" t="str">
        <f t="shared" si="67"/>
        <v>15pieces</v>
      </c>
      <c r="U1442" s="77">
        <f t="shared" si="68"/>
        <v>87</v>
      </c>
      <c r="V1442" s="46"/>
      <c r="W1442" s="46"/>
      <c r="X1442" s="46"/>
    </row>
    <row r="1443" spans="1:24" ht="15.75" customHeight="1" thickBot="1" x14ac:dyDescent="0.35">
      <c r="A1443" s="40"/>
      <c r="B1443" s="67" t="s">
        <v>1735</v>
      </c>
      <c r="C1443" s="55"/>
      <c r="D1443" s="41"/>
      <c r="E1443" s="55"/>
      <c r="F1443" s="55"/>
      <c r="G1443" s="55"/>
      <c r="H1443" s="51"/>
      <c r="I1443" s="52"/>
      <c r="J1443" s="74" t="s">
        <v>1181</v>
      </c>
      <c r="K1443" s="57"/>
      <c r="L1443" s="75">
        <v>72</v>
      </c>
      <c r="M1443" s="60">
        <v>2</v>
      </c>
      <c r="N1443" s="76">
        <v>500</v>
      </c>
      <c r="O1443" s="42"/>
      <c r="P1443" s="58" t="s">
        <v>36</v>
      </c>
      <c r="Q1443" s="61"/>
      <c r="R1443" s="62"/>
      <c r="S1443" s="78">
        <f t="shared" si="66"/>
        <v>1000</v>
      </c>
      <c r="T1443" s="44" t="str">
        <f t="shared" si="67"/>
        <v>1000grams</v>
      </c>
      <c r="U1443" s="77">
        <f t="shared" si="68"/>
        <v>144</v>
      </c>
      <c r="V1443" s="46"/>
      <c r="W1443" s="46"/>
      <c r="X1443" s="46"/>
    </row>
    <row r="1444" spans="1:24" ht="15.75" customHeight="1" thickBot="1" x14ac:dyDescent="0.35">
      <c r="A1444" s="40"/>
      <c r="B1444" s="67" t="s">
        <v>704</v>
      </c>
      <c r="C1444" s="55"/>
      <c r="D1444" s="41"/>
      <c r="E1444" s="55"/>
      <c r="F1444" s="55"/>
      <c r="G1444" s="55"/>
      <c r="H1444" s="51"/>
      <c r="I1444" s="52"/>
      <c r="J1444" s="74" t="s">
        <v>1736</v>
      </c>
      <c r="K1444" s="57"/>
      <c r="L1444" s="75">
        <v>33</v>
      </c>
      <c r="M1444" s="60">
        <v>14</v>
      </c>
      <c r="N1444" s="76">
        <v>1</v>
      </c>
      <c r="O1444" s="42"/>
      <c r="P1444" s="58" t="s">
        <v>38</v>
      </c>
      <c r="Q1444" s="61"/>
      <c r="R1444" s="62"/>
      <c r="S1444" s="78">
        <f t="shared" si="66"/>
        <v>14</v>
      </c>
      <c r="T1444" s="44" t="str">
        <f t="shared" si="67"/>
        <v>14pieces</v>
      </c>
      <c r="U1444" s="77">
        <f t="shared" si="68"/>
        <v>462</v>
      </c>
      <c r="V1444" s="46"/>
      <c r="W1444" s="46"/>
      <c r="X1444" s="46"/>
    </row>
    <row r="1445" spans="1:24" ht="15.75" customHeight="1" thickBot="1" x14ac:dyDescent="0.35">
      <c r="A1445" s="40"/>
      <c r="B1445" s="67" t="s">
        <v>704</v>
      </c>
      <c r="C1445" s="55"/>
      <c r="D1445" s="41"/>
      <c r="E1445" s="55"/>
      <c r="F1445" s="55"/>
      <c r="G1445" s="55"/>
      <c r="H1445" s="51"/>
      <c r="I1445" s="52"/>
      <c r="J1445" s="74" t="s">
        <v>1736</v>
      </c>
      <c r="K1445" s="57"/>
      <c r="L1445" s="75">
        <v>20</v>
      </c>
      <c r="M1445" s="60">
        <v>2</v>
      </c>
      <c r="N1445" s="76">
        <v>1</v>
      </c>
      <c r="O1445" s="42"/>
      <c r="P1445" s="58" t="s">
        <v>38</v>
      </c>
      <c r="Q1445" s="61"/>
      <c r="R1445" s="62"/>
      <c r="S1445" s="78">
        <f t="shared" si="66"/>
        <v>2</v>
      </c>
      <c r="T1445" s="44" t="str">
        <f t="shared" si="67"/>
        <v>2pieces</v>
      </c>
      <c r="U1445" s="77">
        <f t="shared" si="68"/>
        <v>40</v>
      </c>
      <c r="V1445" s="46"/>
      <c r="W1445" s="46"/>
      <c r="X1445" s="46"/>
    </row>
    <row r="1446" spans="1:24" ht="15.75" customHeight="1" thickBot="1" x14ac:dyDescent="0.35">
      <c r="A1446" s="40"/>
      <c r="B1446" s="67" t="s">
        <v>704</v>
      </c>
      <c r="C1446" s="55"/>
      <c r="D1446" s="41"/>
      <c r="E1446" s="55"/>
      <c r="F1446" s="55"/>
      <c r="G1446" s="55"/>
      <c r="H1446" s="51"/>
      <c r="I1446" s="52"/>
      <c r="J1446" s="74" t="s">
        <v>1737</v>
      </c>
      <c r="K1446" s="57"/>
      <c r="L1446" s="75">
        <v>65</v>
      </c>
      <c r="M1446" s="60">
        <v>2</v>
      </c>
      <c r="N1446" s="76">
        <v>1</v>
      </c>
      <c r="O1446" s="42"/>
      <c r="P1446" s="58" t="s">
        <v>38</v>
      </c>
      <c r="Q1446" s="61"/>
      <c r="R1446" s="62"/>
      <c r="S1446" s="78">
        <f t="shared" si="66"/>
        <v>2</v>
      </c>
      <c r="T1446" s="44" t="str">
        <f t="shared" si="67"/>
        <v>2pieces</v>
      </c>
      <c r="U1446" s="77">
        <f t="shared" si="68"/>
        <v>130</v>
      </c>
      <c r="V1446" s="46"/>
      <c r="W1446" s="46"/>
      <c r="X1446" s="46"/>
    </row>
    <row r="1447" spans="1:24" ht="15.75" customHeight="1" thickBot="1" x14ac:dyDescent="0.35">
      <c r="A1447" s="40"/>
      <c r="B1447" s="67" t="s">
        <v>704</v>
      </c>
      <c r="C1447" s="55"/>
      <c r="D1447" s="41"/>
      <c r="E1447" s="55"/>
      <c r="F1447" s="55"/>
      <c r="G1447" s="55"/>
      <c r="H1447" s="51"/>
      <c r="I1447" s="52"/>
      <c r="J1447" s="74"/>
      <c r="K1447" s="57"/>
      <c r="L1447" s="75">
        <v>19</v>
      </c>
      <c r="M1447" s="60">
        <v>6</v>
      </c>
      <c r="N1447" s="76">
        <v>1</v>
      </c>
      <c r="O1447" s="42"/>
      <c r="P1447" s="58" t="s">
        <v>38</v>
      </c>
      <c r="Q1447" s="61"/>
      <c r="R1447" s="62"/>
      <c r="S1447" s="78">
        <f t="shared" si="66"/>
        <v>6</v>
      </c>
      <c r="T1447" s="44" t="str">
        <f t="shared" si="67"/>
        <v>6pieces</v>
      </c>
      <c r="U1447" s="77">
        <f t="shared" si="68"/>
        <v>114</v>
      </c>
      <c r="V1447" s="46"/>
      <c r="W1447" s="46"/>
      <c r="X1447" s="46"/>
    </row>
    <row r="1448" spans="1:24" ht="15.75" customHeight="1" thickBot="1" x14ac:dyDescent="0.35">
      <c r="A1448" s="40"/>
      <c r="B1448" s="67" t="s">
        <v>704</v>
      </c>
      <c r="C1448" s="55"/>
      <c r="D1448" s="41"/>
      <c r="E1448" s="55"/>
      <c r="F1448" s="55"/>
      <c r="G1448" s="55"/>
      <c r="H1448" s="51"/>
      <c r="I1448" s="52"/>
      <c r="J1448" s="74" t="s">
        <v>1234</v>
      </c>
      <c r="K1448" s="57"/>
      <c r="L1448" s="75">
        <v>49</v>
      </c>
      <c r="M1448" s="60">
        <v>3</v>
      </c>
      <c r="N1448" s="76">
        <v>1</v>
      </c>
      <c r="O1448" s="42"/>
      <c r="P1448" s="58" t="s">
        <v>38</v>
      </c>
      <c r="Q1448" s="61"/>
      <c r="R1448" s="62"/>
      <c r="S1448" s="78">
        <f t="shared" si="66"/>
        <v>3</v>
      </c>
      <c r="T1448" s="44" t="str">
        <f t="shared" si="67"/>
        <v>3pieces</v>
      </c>
      <c r="U1448" s="77">
        <f t="shared" si="68"/>
        <v>147</v>
      </c>
      <c r="V1448" s="46"/>
      <c r="W1448" s="46"/>
      <c r="X1448" s="46"/>
    </row>
    <row r="1449" spans="1:24" ht="15.75" customHeight="1" thickBot="1" x14ac:dyDescent="0.35">
      <c r="A1449" s="40"/>
      <c r="B1449" s="67" t="s">
        <v>704</v>
      </c>
      <c r="C1449" s="55"/>
      <c r="D1449" s="41"/>
      <c r="E1449" s="55"/>
      <c r="F1449" s="55"/>
      <c r="G1449" s="55"/>
      <c r="H1449" s="51"/>
      <c r="I1449" s="52"/>
      <c r="J1449" s="74" t="s">
        <v>1736</v>
      </c>
      <c r="K1449" s="57"/>
      <c r="L1449" s="75">
        <v>27.75</v>
      </c>
      <c r="M1449" s="60">
        <v>1</v>
      </c>
      <c r="N1449" s="76">
        <v>1</v>
      </c>
      <c r="O1449" s="42"/>
      <c r="P1449" s="58" t="s">
        <v>38</v>
      </c>
      <c r="Q1449" s="61"/>
      <c r="R1449" s="62"/>
      <c r="S1449" s="78">
        <f t="shared" si="66"/>
        <v>1</v>
      </c>
      <c r="T1449" s="44" t="str">
        <f t="shared" si="67"/>
        <v>1pieces</v>
      </c>
      <c r="U1449" s="77">
        <f t="shared" si="68"/>
        <v>27.75</v>
      </c>
      <c r="V1449" s="46"/>
      <c r="W1449" s="46"/>
      <c r="X1449" s="46"/>
    </row>
    <row r="1450" spans="1:24" ht="15.75" customHeight="1" thickBot="1" x14ac:dyDescent="0.35">
      <c r="A1450" s="40"/>
      <c r="B1450" s="67" t="s">
        <v>704</v>
      </c>
      <c r="C1450" s="55"/>
      <c r="D1450" s="41"/>
      <c r="E1450" s="55"/>
      <c r="F1450" s="55"/>
      <c r="G1450" s="55"/>
      <c r="H1450" s="51"/>
      <c r="I1450" s="52"/>
      <c r="J1450" s="74" t="s">
        <v>1234</v>
      </c>
      <c r="K1450" s="57"/>
      <c r="L1450" s="75">
        <v>25</v>
      </c>
      <c r="M1450" s="60">
        <v>10</v>
      </c>
      <c r="N1450" s="76">
        <v>1</v>
      </c>
      <c r="O1450" s="42"/>
      <c r="P1450" s="58" t="s">
        <v>38</v>
      </c>
      <c r="Q1450" s="61"/>
      <c r="R1450" s="62"/>
      <c r="S1450" s="78">
        <f t="shared" si="66"/>
        <v>10</v>
      </c>
      <c r="T1450" s="44" t="str">
        <f t="shared" si="67"/>
        <v>10pieces</v>
      </c>
      <c r="U1450" s="77">
        <f t="shared" si="68"/>
        <v>250</v>
      </c>
      <c r="V1450" s="46"/>
      <c r="W1450" s="46"/>
      <c r="X1450" s="46"/>
    </row>
    <row r="1451" spans="1:24" ht="15.75" customHeight="1" thickBot="1" x14ac:dyDescent="0.35">
      <c r="A1451" s="40"/>
      <c r="B1451" s="67" t="s">
        <v>704</v>
      </c>
      <c r="C1451" s="55"/>
      <c r="D1451" s="41"/>
      <c r="E1451" s="55"/>
      <c r="F1451" s="55"/>
      <c r="G1451" s="55"/>
      <c r="H1451" s="51"/>
      <c r="I1451" s="52"/>
      <c r="J1451" s="74" t="s">
        <v>1234</v>
      </c>
      <c r="K1451" s="57"/>
      <c r="L1451" s="75">
        <v>33.76</v>
      </c>
      <c r="M1451" s="60">
        <v>17</v>
      </c>
      <c r="N1451" s="76">
        <v>1</v>
      </c>
      <c r="O1451" s="42"/>
      <c r="P1451" s="58" t="s">
        <v>38</v>
      </c>
      <c r="Q1451" s="61"/>
      <c r="R1451" s="62"/>
      <c r="S1451" s="78">
        <f t="shared" si="66"/>
        <v>17</v>
      </c>
      <c r="T1451" s="44" t="str">
        <f t="shared" si="67"/>
        <v>17pieces</v>
      </c>
      <c r="U1451" s="77">
        <f t="shared" si="68"/>
        <v>573.91999999999996</v>
      </c>
      <c r="V1451" s="46"/>
      <c r="W1451" s="46"/>
      <c r="X1451" s="46"/>
    </row>
    <row r="1452" spans="1:24" ht="15.75" customHeight="1" thickBot="1" x14ac:dyDescent="0.35">
      <c r="A1452" s="40"/>
      <c r="B1452" s="69" t="s">
        <v>706</v>
      </c>
      <c r="C1452" s="55"/>
      <c r="D1452" s="41"/>
      <c r="E1452" s="55"/>
      <c r="F1452" s="55"/>
      <c r="G1452" s="55"/>
      <c r="H1452" s="51"/>
      <c r="I1452" s="52"/>
      <c r="J1452" s="74" t="s">
        <v>1738</v>
      </c>
      <c r="K1452" s="57"/>
      <c r="L1452" s="75">
        <v>12.4</v>
      </c>
      <c r="M1452" s="60">
        <v>2</v>
      </c>
      <c r="N1452" s="76">
        <v>27</v>
      </c>
      <c r="O1452" s="42"/>
      <c r="P1452" s="58" t="s">
        <v>47</v>
      </c>
      <c r="Q1452" s="61"/>
      <c r="R1452" s="62"/>
      <c r="S1452" s="78">
        <f t="shared" si="66"/>
        <v>54</v>
      </c>
      <c r="T1452" s="44" t="str">
        <f t="shared" si="67"/>
        <v>54ml</v>
      </c>
      <c r="U1452" s="77">
        <f t="shared" si="68"/>
        <v>24.8</v>
      </c>
      <c r="V1452" s="46"/>
      <c r="W1452" s="46"/>
      <c r="X1452" s="46"/>
    </row>
    <row r="1453" spans="1:24" ht="15.75" customHeight="1" thickBot="1" x14ac:dyDescent="0.35">
      <c r="A1453" s="40"/>
      <c r="B1453" s="69" t="s">
        <v>706</v>
      </c>
      <c r="C1453" s="55"/>
      <c r="D1453" s="41"/>
      <c r="E1453" s="55"/>
      <c r="F1453" s="55"/>
      <c r="G1453" s="55"/>
      <c r="H1453" s="51"/>
      <c r="I1453" s="52"/>
      <c r="J1453" s="74" t="s">
        <v>1739</v>
      </c>
      <c r="K1453" s="57"/>
      <c r="L1453" s="75">
        <v>12.4</v>
      </c>
      <c r="M1453" s="60">
        <v>6</v>
      </c>
      <c r="N1453" s="76">
        <v>27</v>
      </c>
      <c r="O1453" s="42"/>
      <c r="P1453" s="58" t="s">
        <v>47</v>
      </c>
      <c r="Q1453" s="61"/>
      <c r="R1453" s="62"/>
      <c r="S1453" s="78">
        <f t="shared" si="66"/>
        <v>162</v>
      </c>
      <c r="T1453" s="44" t="str">
        <f t="shared" si="67"/>
        <v>162ml</v>
      </c>
      <c r="U1453" s="77">
        <f t="shared" si="68"/>
        <v>74.400000000000006</v>
      </c>
      <c r="V1453" s="46"/>
      <c r="W1453" s="46"/>
      <c r="X1453" s="46"/>
    </row>
    <row r="1454" spans="1:24" ht="15.75" customHeight="1" thickBot="1" x14ac:dyDescent="0.35">
      <c r="A1454" s="40"/>
      <c r="B1454" s="69" t="s">
        <v>706</v>
      </c>
      <c r="C1454" s="55"/>
      <c r="D1454" s="41"/>
      <c r="E1454" s="55"/>
      <c r="F1454" s="55"/>
      <c r="G1454" s="55"/>
      <c r="H1454" s="51"/>
      <c r="I1454" s="52"/>
      <c r="J1454" s="74" t="s">
        <v>1740</v>
      </c>
      <c r="K1454" s="57"/>
      <c r="L1454" s="75">
        <v>12.4</v>
      </c>
      <c r="M1454" s="60">
        <v>1</v>
      </c>
      <c r="N1454" s="76">
        <v>27</v>
      </c>
      <c r="O1454" s="42"/>
      <c r="P1454" s="58" t="s">
        <v>47</v>
      </c>
      <c r="Q1454" s="61"/>
      <c r="R1454" s="62"/>
      <c r="S1454" s="78">
        <f t="shared" si="66"/>
        <v>27</v>
      </c>
      <c r="T1454" s="44" t="str">
        <f t="shared" si="67"/>
        <v>27ml</v>
      </c>
      <c r="U1454" s="77">
        <f t="shared" si="68"/>
        <v>12.4</v>
      </c>
      <c r="V1454" s="46"/>
      <c r="W1454" s="46"/>
      <c r="X1454" s="46"/>
    </row>
    <row r="1455" spans="1:24" ht="15.75" customHeight="1" thickBot="1" x14ac:dyDescent="0.35">
      <c r="A1455" s="40"/>
      <c r="B1455" s="67" t="s">
        <v>706</v>
      </c>
      <c r="C1455" s="55"/>
      <c r="D1455" s="41"/>
      <c r="E1455" s="55"/>
      <c r="F1455" s="55"/>
      <c r="G1455" s="55"/>
      <c r="H1455" s="51"/>
      <c r="I1455" s="52"/>
      <c r="J1455" s="74" t="s">
        <v>1741</v>
      </c>
      <c r="K1455" s="57"/>
      <c r="L1455" s="75">
        <v>12.2</v>
      </c>
      <c r="M1455" s="60">
        <v>7</v>
      </c>
      <c r="N1455" s="76">
        <v>24</v>
      </c>
      <c r="O1455" s="42"/>
      <c r="P1455" s="58" t="s">
        <v>36</v>
      </c>
      <c r="Q1455" s="61"/>
      <c r="R1455" s="62"/>
      <c r="S1455" s="78">
        <f t="shared" si="66"/>
        <v>168</v>
      </c>
      <c r="T1455" s="44" t="str">
        <f t="shared" si="67"/>
        <v>168grams</v>
      </c>
      <c r="U1455" s="77">
        <f t="shared" si="68"/>
        <v>85.399999999999991</v>
      </c>
      <c r="V1455" s="46"/>
      <c r="W1455" s="46"/>
      <c r="X1455" s="46"/>
    </row>
    <row r="1456" spans="1:24" ht="15.75" customHeight="1" thickBot="1" x14ac:dyDescent="0.35">
      <c r="A1456" s="40"/>
      <c r="B1456" s="67" t="s">
        <v>706</v>
      </c>
      <c r="C1456" s="55"/>
      <c r="D1456" s="41"/>
      <c r="E1456" s="55"/>
      <c r="F1456" s="55"/>
      <c r="G1456" s="55"/>
      <c r="H1456" s="51"/>
      <c r="I1456" s="52"/>
      <c r="J1456" s="74" t="s">
        <v>1742</v>
      </c>
      <c r="K1456" s="57"/>
      <c r="L1456" s="75">
        <v>12.2</v>
      </c>
      <c r="M1456" s="60">
        <v>5</v>
      </c>
      <c r="N1456" s="76">
        <v>24</v>
      </c>
      <c r="O1456" s="42"/>
      <c r="P1456" s="58" t="s">
        <v>36</v>
      </c>
      <c r="Q1456" s="61"/>
      <c r="R1456" s="62"/>
      <c r="S1456" s="78">
        <f t="shared" si="66"/>
        <v>120</v>
      </c>
      <c r="T1456" s="44" t="str">
        <f t="shared" si="67"/>
        <v>120grams</v>
      </c>
      <c r="U1456" s="77">
        <f t="shared" si="68"/>
        <v>61</v>
      </c>
      <c r="V1456" s="46"/>
      <c r="W1456" s="46"/>
      <c r="X1456" s="46"/>
    </row>
    <row r="1457" spans="1:24" ht="15.75" customHeight="1" thickBot="1" x14ac:dyDescent="0.35">
      <c r="A1457" s="40"/>
      <c r="B1457" s="68" t="s">
        <v>1743</v>
      </c>
      <c r="C1457" s="55"/>
      <c r="D1457" s="41"/>
      <c r="E1457" s="55"/>
      <c r="F1457" s="55"/>
      <c r="G1457" s="55"/>
      <c r="H1457" s="51"/>
      <c r="I1457" s="52"/>
      <c r="J1457" s="74" t="s">
        <v>1744</v>
      </c>
      <c r="K1457" s="57"/>
      <c r="L1457" s="75">
        <v>100</v>
      </c>
      <c r="M1457" s="60">
        <v>1</v>
      </c>
      <c r="N1457" s="76">
        <v>1</v>
      </c>
      <c r="O1457" s="42"/>
      <c r="P1457" s="58" t="s">
        <v>77</v>
      </c>
      <c r="Q1457" s="61"/>
      <c r="R1457" s="62"/>
      <c r="S1457" s="78">
        <f t="shared" si="66"/>
        <v>1</v>
      </c>
      <c r="T1457" s="44" t="str">
        <f t="shared" si="67"/>
        <v>1packs</v>
      </c>
      <c r="U1457" s="77">
        <f t="shared" si="68"/>
        <v>100</v>
      </c>
      <c r="V1457" s="46"/>
      <c r="W1457" s="46"/>
      <c r="X1457" s="46"/>
    </row>
    <row r="1458" spans="1:24" ht="15.75" customHeight="1" thickBot="1" x14ac:dyDescent="0.35">
      <c r="A1458" s="40"/>
      <c r="B1458" s="67" t="s">
        <v>1745</v>
      </c>
      <c r="C1458" s="55"/>
      <c r="D1458" s="41"/>
      <c r="E1458" s="55"/>
      <c r="F1458" s="55"/>
      <c r="G1458" s="55"/>
      <c r="H1458" s="51"/>
      <c r="I1458" s="52"/>
      <c r="J1458" s="74" t="s">
        <v>1183</v>
      </c>
      <c r="K1458" s="57"/>
      <c r="L1458" s="75">
        <v>100</v>
      </c>
      <c r="M1458" s="60">
        <v>2</v>
      </c>
      <c r="N1458" s="76">
        <v>250</v>
      </c>
      <c r="O1458" s="42"/>
      <c r="P1458" s="58" t="s">
        <v>36</v>
      </c>
      <c r="Q1458" s="61"/>
      <c r="R1458" s="62"/>
      <c r="S1458" s="78">
        <f t="shared" si="66"/>
        <v>500</v>
      </c>
      <c r="T1458" s="44" t="str">
        <f t="shared" si="67"/>
        <v>500grams</v>
      </c>
      <c r="U1458" s="77">
        <f t="shared" si="68"/>
        <v>200</v>
      </c>
      <c r="V1458" s="46"/>
      <c r="W1458" s="46"/>
      <c r="X1458" s="46"/>
    </row>
    <row r="1459" spans="1:24" ht="15.75" customHeight="1" thickBot="1" x14ac:dyDescent="0.35">
      <c r="A1459" s="40"/>
      <c r="B1459" s="67" t="s">
        <v>1745</v>
      </c>
      <c r="C1459" s="55"/>
      <c r="D1459" s="41"/>
      <c r="E1459" s="55"/>
      <c r="F1459" s="55"/>
      <c r="G1459" s="55"/>
      <c r="H1459" s="51"/>
      <c r="I1459" s="52"/>
      <c r="J1459" s="74" t="s">
        <v>1183</v>
      </c>
      <c r="K1459" s="57"/>
      <c r="L1459" s="75">
        <v>55</v>
      </c>
      <c r="M1459" s="60">
        <v>5</v>
      </c>
      <c r="N1459" s="76">
        <v>500</v>
      </c>
      <c r="O1459" s="42"/>
      <c r="P1459" s="58" t="s">
        <v>36</v>
      </c>
      <c r="Q1459" s="61"/>
      <c r="R1459" s="62"/>
      <c r="S1459" s="78">
        <f t="shared" si="66"/>
        <v>2500</v>
      </c>
      <c r="T1459" s="44" t="str">
        <f t="shared" si="67"/>
        <v>2500grams</v>
      </c>
      <c r="U1459" s="77">
        <f t="shared" si="68"/>
        <v>275</v>
      </c>
      <c r="V1459" s="46"/>
      <c r="W1459" s="46"/>
      <c r="X1459" s="46"/>
    </row>
    <row r="1460" spans="1:24" ht="15.75" customHeight="1" thickBot="1" x14ac:dyDescent="0.35">
      <c r="A1460" s="40"/>
      <c r="B1460" s="67" t="s">
        <v>1745</v>
      </c>
      <c r="C1460" s="55"/>
      <c r="D1460" s="41"/>
      <c r="E1460" s="55"/>
      <c r="F1460" s="55"/>
      <c r="G1460" s="55"/>
      <c r="H1460" s="51"/>
      <c r="I1460" s="52"/>
      <c r="J1460" s="74" t="s">
        <v>1183</v>
      </c>
      <c r="K1460" s="57"/>
      <c r="L1460" s="75">
        <v>120</v>
      </c>
      <c r="M1460" s="60">
        <v>5</v>
      </c>
      <c r="N1460" s="76">
        <v>1</v>
      </c>
      <c r="O1460" s="42"/>
      <c r="P1460" s="58" t="s">
        <v>88</v>
      </c>
      <c r="Q1460" s="61"/>
      <c r="R1460" s="62"/>
      <c r="S1460" s="78">
        <f t="shared" si="66"/>
        <v>5</v>
      </c>
      <c r="T1460" s="44" t="str">
        <f t="shared" si="67"/>
        <v>5kilos</v>
      </c>
      <c r="U1460" s="77">
        <f t="shared" si="68"/>
        <v>600</v>
      </c>
      <c r="V1460" s="46"/>
      <c r="W1460" s="46"/>
      <c r="X1460" s="46"/>
    </row>
    <row r="1461" spans="1:24" ht="15.75" customHeight="1" thickBot="1" x14ac:dyDescent="0.35">
      <c r="A1461" s="40"/>
      <c r="B1461" s="67" t="s">
        <v>1745</v>
      </c>
      <c r="C1461" s="55"/>
      <c r="D1461" s="41"/>
      <c r="E1461" s="55"/>
      <c r="F1461" s="55"/>
      <c r="G1461" s="55"/>
      <c r="H1461" s="51"/>
      <c r="I1461" s="52"/>
      <c r="J1461" s="74" t="s">
        <v>1746</v>
      </c>
      <c r="K1461" s="57"/>
      <c r="L1461" s="75">
        <v>120</v>
      </c>
      <c r="M1461" s="60">
        <v>2</v>
      </c>
      <c r="N1461" s="76">
        <v>1</v>
      </c>
      <c r="O1461" s="42"/>
      <c r="P1461" s="58" t="s">
        <v>88</v>
      </c>
      <c r="Q1461" s="61"/>
      <c r="R1461" s="62"/>
      <c r="S1461" s="78">
        <f t="shared" si="66"/>
        <v>2</v>
      </c>
      <c r="T1461" s="44" t="str">
        <f t="shared" si="67"/>
        <v>2kilos</v>
      </c>
      <c r="U1461" s="77">
        <f t="shared" si="68"/>
        <v>240</v>
      </c>
      <c r="V1461" s="46"/>
      <c r="W1461" s="46"/>
      <c r="X1461" s="46"/>
    </row>
    <row r="1462" spans="1:24" ht="15.75" customHeight="1" thickBot="1" x14ac:dyDescent="0.35">
      <c r="A1462" s="40"/>
      <c r="B1462" s="67" t="s">
        <v>1745</v>
      </c>
      <c r="C1462" s="55"/>
      <c r="D1462" s="41"/>
      <c r="E1462" s="55"/>
      <c r="F1462" s="55"/>
      <c r="G1462" s="55"/>
      <c r="H1462" s="51"/>
      <c r="I1462" s="52"/>
      <c r="J1462" s="74" t="s">
        <v>1060</v>
      </c>
      <c r="K1462" s="57"/>
      <c r="L1462" s="75">
        <v>65</v>
      </c>
      <c r="M1462" s="60">
        <v>3</v>
      </c>
      <c r="N1462" s="76">
        <v>750</v>
      </c>
      <c r="O1462" s="42"/>
      <c r="P1462" s="58" t="s">
        <v>36</v>
      </c>
      <c r="Q1462" s="61"/>
      <c r="R1462" s="62"/>
      <c r="S1462" s="78">
        <f t="shared" ref="S1462:S1525" si="69">M1462*N1462</f>
        <v>2250</v>
      </c>
      <c r="T1462" s="44" t="str">
        <f t="shared" ref="T1462:T1525" si="70">CONCATENATE(S1462,Q1462,P1462)</f>
        <v>2250grams</v>
      </c>
      <c r="U1462" s="77">
        <f t="shared" ref="U1462:U1525" si="71">L1462*M1462</f>
        <v>195</v>
      </c>
      <c r="V1462" s="46"/>
      <c r="W1462" s="46"/>
      <c r="X1462" s="46"/>
    </row>
    <row r="1463" spans="1:24" ht="15.75" customHeight="1" thickBot="1" x14ac:dyDescent="0.35">
      <c r="A1463" s="40"/>
      <c r="B1463" s="67" t="s">
        <v>707</v>
      </c>
      <c r="C1463" s="55"/>
      <c r="D1463" s="41"/>
      <c r="E1463" s="55"/>
      <c r="F1463" s="55"/>
      <c r="G1463" s="55"/>
      <c r="H1463" s="51"/>
      <c r="I1463" s="52"/>
      <c r="J1463" s="74" t="s">
        <v>816</v>
      </c>
      <c r="K1463" s="57"/>
      <c r="L1463" s="75">
        <v>31</v>
      </c>
      <c r="M1463" s="60">
        <v>4</v>
      </c>
      <c r="N1463" s="76">
        <v>20</v>
      </c>
      <c r="O1463" s="42"/>
      <c r="P1463" s="58" t="s">
        <v>36</v>
      </c>
      <c r="Q1463" s="61"/>
      <c r="R1463" s="62"/>
      <c r="S1463" s="78">
        <f t="shared" si="69"/>
        <v>80</v>
      </c>
      <c r="T1463" s="44" t="str">
        <f t="shared" si="70"/>
        <v>80grams</v>
      </c>
      <c r="U1463" s="77">
        <f t="shared" si="71"/>
        <v>124</v>
      </c>
      <c r="V1463" s="46"/>
      <c r="W1463" s="46"/>
      <c r="X1463" s="46"/>
    </row>
    <row r="1464" spans="1:24" ht="15.75" customHeight="1" thickBot="1" x14ac:dyDescent="0.35">
      <c r="A1464" s="40"/>
      <c r="B1464" s="67" t="s">
        <v>707</v>
      </c>
      <c r="C1464" s="55"/>
      <c r="D1464" s="41"/>
      <c r="E1464" s="55"/>
      <c r="F1464" s="55"/>
      <c r="G1464" s="55"/>
      <c r="H1464" s="51"/>
      <c r="I1464" s="52"/>
      <c r="J1464" s="74" t="s">
        <v>924</v>
      </c>
      <c r="K1464" s="57"/>
      <c r="L1464" s="75">
        <v>730</v>
      </c>
      <c r="M1464" s="60">
        <v>2</v>
      </c>
      <c r="N1464" s="76">
        <v>1</v>
      </c>
      <c r="O1464" s="42"/>
      <c r="P1464" s="58" t="s">
        <v>88</v>
      </c>
      <c r="Q1464" s="61"/>
      <c r="R1464" s="62"/>
      <c r="S1464" s="78">
        <f t="shared" si="69"/>
        <v>2</v>
      </c>
      <c r="T1464" s="44" t="str">
        <f t="shared" si="70"/>
        <v>2kilos</v>
      </c>
      <c r="U1464" s="77">
        <f t="shared" si="71"/>
        <v>1460</v>
      </c>
      <c r="V1464" s="46"/>
      <c r="W1464" s="46"/>
      <c r="X1464" s="46"/>
    </row>
    <row r="1465" spans="1:24" ht="15.75" customHeight="1" thickBot="1" x14ac:dyDescent="0.35">
      <c r="A1465" s="40"/>
      <c r="B1465" s="67" t="s">
        <v>707</v>
      </c>
      <c r="C1465" s="55"/>
      <c r="D1465" s="41"/>
      <c r="E1465" s="55"/>
      <c r="F1465" s="55"/>
      <c r="G1465" s="55"/>
      <c r="H1465" s="51"/>
      <c r="I1465" s="52"/>
      <c r="J1465" s="74" t="s">
        <v>813</v>
      </c>
      <c r="K1465" s="57"/>
      <c r="L1465" s="75">
        <v>31</v>
      </c>
      <c r="M1465" s="60">
        <v>1</v>
      </c>
      <c r="N1465" s="76">
        <v>50</v>
      </c>
      <c r="O1465" s="42"/>
      <c r="P1465" s="58" t="s">
        <v>36</v>
      </c>
      <c r="Q1465" s="61"/>
      <c r="R1465" s="62"/>
      <c r="S1465" s="78">
        <f t="shared" si="69"/>
        <v>50</v>
      </c>
      <c r="T1465" s="44" t="str">
        <f t="shared" si="70"/>
        <v>50grams</v>
      </c>
      <c r="U1465" s="77">
        <f t="shared" si="71"/>
        <v>31</v>
      </c>
      <c r="V1465" s="46"/>
      <c r="W1465" s="46"/>
      <c r="X1465" s="46"/>
    </row>
    <row r="1466" spans="1:24" ht="15.75" customHeight="1" thickBot="1" x14ac:dyDescent="0.35">
      <c r="A1466" s="40"/>
      <c r="B1466" s="67" t="s">
        <v>707</v>
      </c>
      <c r="C1466" s="55"/>
      <c r="D1466" s="41"/>
      <c r="E1466" s="55"/>
      <c r="F1466" s="55"/>
      <c r="G1466" s="55"/>
      <c r="H1466" s="51"/>
      <c r="I1466" s="52"/>
      <c r="J1466" s="74" t="s">
        <v>924</v>
      </c>
      <c r="K1466" s="57"/>
      <c r="L1466" s="75">
        <v>800</v>
      </c>
      <c r="M1466" s="60">
        <v>1</v>
      </c>
      <c r="N1466" s="76">
        <v>1</v>
      </c>
      <c r="O1466" s="42"/>
      <c r="P1466" s="58" t="s">
        <v>88</v>
      </c>
      <c r="Q1466" s="61"/>
      <c r="R1466" s="62"/>
      <c r="S1466" s="78">
        <f t="shared" si="69"/>
        <v>1</v>
      </c>
      <c r="T1466" s="44" t="str">
        <f t="shared" si="70"/>
        <v>1kilos</v>
      </c>
      <c r="U1466" s="77">
        <f t="shared" si="71"/>
        <v>800</v>
      </c>
      <c r="V1466" s="46"/>
      <c r="W1466" s="46"/>
      <c r="X1466" s="46"/>
    </row>
    <row r="1467" spans="1:24" ht="15.75" customHeight="1" thickBot="1" x14ac:dyDescent="0.35">
      <c r="A1467" s="40"/>
      <c r="B1467" s="67" t="s">
        <v>1747</v>
      </c>
      <c r="C1467" s="55"/>
      <c r="D1467" s="41"/>
      <c r="E1467" s="55"/>
      <c r="F1467" s="55"/>
      <c r="G1467" s="55"/>
      <c r="H1467" s="51"/>
      <c r="I1467" s="52"/>
      <c r="J1467" s="74" t="s">
        <v>1748</v>
      </c>
      <c r="K1467" s="57"/>
      <c r="L1467" s="75">
        <v>202</v>
      </c>
      <c r="M1467" s="60">
        <v>1</v>
      </c>
      <c r="N1467" s="76">
        <v>142</v>
      </c>
      <c r="O1467" s="42"/>
      <c r="P1467" s="58" t="s">
        <v>36</v>
      </c>
      <c r="Q1467" s="61"/>
      <c r="R1467" s="62"/>
      <c r="S1467" s="78">
        <f t="shared" si="69"/>
        <v>142</v>
      </c>
      <c r="T1467" s="44" t="str">
        <f t="shared" si="70"/>
        <v>142grams</v>
      </c>
      <c r="U1467" s="77">
        <f t="shared" si="71"/>
        <v>202</v>
      </c>
      <c r="V1467" s="46"/>
      <c r="W1467" s="46"/>
      <c r="X1467" s="46"/>
    </row>
    <row r="1468" spans="1:24" ht="15.75" customHeight="1" thickBot="1" x14ac:dyDescent="0.35">
      <c r="A1468" s="40"/>
      <c r="B1468" s="68" t="s">
        <v>1749</v>
      </c>
      <c r="C1468" s="55"/>
      <c r="D1468" s="41"/>
      <c r="E1468" s="55"/>
      <c r="F1468" s="55"/>
      <c r="G1468" s="55"/>
      <c r="H1468" s="51"/>
      <c r="I1468" s="52"/>
      <c r="J1468" s="74" t="s">
        <v>1750</v>
      </c>
      <c r="K1468" s="57"/>
      <c r="L1468" s="75">
        <v>30</v>
      </c>
      <c r="M1468" s="60">
        <v>6</v>
      </c>
      <c r="N1468" s="76">
        <v>1</v>
      </c>
      <c r="O1468" s="42"/>
      <c r="P1468" s="58" t="s">
        <v>38</v>
      </c>
      <c r="Q1468" s="61"/>
      <c r="R1468" s="62"/>
      <c r="S1468" s="78">
        <f t="shared" si="69"/>
        <v>6</v>
      </c>
      <c r="T1468" s="44" t="str">
        <f t="shared" si="70"/>
        <v>6pieces</v>
      </c>
      <c r="U1468" s="77">
        <f t="shared" si="71"/>
        <v>180</v>
      </c>
      <c r="V1468" s="46"/>
      <c r="W1468" s="46"/>
      <c r="X1468" s="46"/>
    </row>
    <row r="1469" spans="1:24" ht="15.75" customHeight="1" thickBot="1" x14ac:dyDescent="0.35">
      <c r="A1469" s="40"/>
      <c r="B1469" s="68" t="s">
        <v>1749</v>
      </c>
      <c r="C1469" s="55"/>
      <c r="D1469" s="41"/>
      <c r="E1469" s="55"/>
      <c r="F1469" s="55"/>
      <c r="G1469" s="55"/>
      <c r="H1469" s="51"/>
      <c r="I1469" s="52"/>
      <c r="J1469" s="74" t="s">
        <v>1234</v>
      </c>
      <c r="K1469" s="57"/>
      <c r="L1469" s="75">
        <v>41</v>
      </c>
      <c r="M1469" s="60">
        <v>5</v>
      </c>
      <c r="N1469" s="76">
        <v>1</v>
      </c>
      <c r="O1469" s="42"/>
      <c r="P1469" s="58" t="s">
        <v>38</v>
      </c>
      <c r="Q1469" s="61"/>
      <c r="R1469" s="62"/>
      <c r="S1469" s="78">
        <f t="shared" si="69"/>
        <v>5</v>
      </c>
      <c r="T1469" s="44" t="str">
        <f t="shared" si="70"/>
        <v>5pieces</v>
      </c>
      <c r="U1469" s="77">
        <f t="shared" si="71"/>
        <v>205</v>
      </c>
      <c r="V1469" s="46"/>
      <c r="W1469" s="46"/>
      <c r="X1469" s="46"/>
    </row>
    <row r="1470" spans="1:24" ht="15.75" customHeight="1" thickBot="1" x14ac:dyDescent="0.35">
      <c r="A1470" s="40"/>
      <c r="B1470" s="67" t="s">
        <v>1751</v>
      </c>
      <c r="C1470" s="55"/>
      <c r="D1470" s="41"/>
      <c r="E1470" s="55"/>
      <c r="F1470" s="55"/>
      <c r="G1470" s="55"/>
      <c r="H1470" s="51"/>
      <c r="I1470" s="52"/>
      <c r="J1470" s="74"/>
      <c r="K1470" s="57"/>
      <c r="L1470" s="75">
        <v>13.25</v>
      </c>
      <c r="M1470" s="60">
        <v>5</v>
      </c>
      <c r="N1470" s="76">
        <v>1</v>
      </c>
      <c r="O1470" s="42"/>
      <c r="P1470" s="58" t="s">
        <v>77</v>
      </c>
      <c r="Q1470" s="61"/>
      <c r="R1470" s="62"/>
      <c r="S1470" s="78">
        <f t="shared" si="69"/>
        <v>5</v>
      </c>
      <c r="T1470" s="44" t="str">
        <f t="shared" si="70"/>
        <v>5packs</v>
      </c>
      <c r="U1470" s="77">
        <f t="shared" si="71"/>
        <v>66.25</v>
      </c>
      <c r="V1470" s="46"/>
      <c r="W1470" s="46"/>
      <c r="X1470" s="46"/>
    </row>
    <row r="1471" spans="1:24" ht="15.75" customHeight="1" thickBot="1" x14ac:dyDescent="0.35">
      <c r="A1471" s="40"/>
      <c r="B1471" s="67" t="s">
        <v>1752</v>
      </c>
      <c r="C1471" s="55"/>
      <c r="D1471" s="41"/>
      <c r="E1471" s="55"/>
      <c r="F1471" s="55"/>
      <c r="G1471" s="55"/>
      <c r="H1471" s="51"/>
      <c r="I1471" s="52"/>
      <c r="J1471" s="74" t="s">
        <v>1449</v>
      </c>
      <c r="K1471" s="57"/>
      <c r="L1471" s="75">
        <v>150</v>
      </c>
      <c r="M1471" s="60">
        <v>1</v>
      </c>
      <c r="N1471" s="76">
        <v>320</v>
      </c>
      <c r="O1471" s="42"/>
      <c r="P1471" s="58" t="s">
        <v>36</v>
      </c>
      <c r="Q1471" s="61"/>
      <c r="R1471" s="62"/>
      <c r="S1471" s="78">
        <f t="shared" si="69"/>
        <v>320</v>
      </c>
      <c r="T1471" s="44" t="str">
        <f t="shared" si="70"/>
        <v>320grams</v>
      </c>
      <c r="U1471" s="77">
        <f t="shared" si="71"/>
        <v>150</v>
      </c>
      <c r="V1471" s="46"/>
      <c r="W1471" s="46"/>
      <c r="X1471" s="46"/>
    </row>
    <row r="1472" spans="1:24" ht="15.75" customHeight="1" thickBot="1" x14ac:dyDescent="0.35">
      <c r="A1472" s="40"/>
      <c r="B1472" s="68" t="s">
        <v>1753</v>
      </c>
      <c r="C1472" s="55"/>
      <c r="D1472" s="41"/>
      <c r="E1472" s="55"/>
      <c r="F1472" s="55"/>
      <c r="G1472" s="55"/>
      <c r="H1472" s="51"/>
      <c r="I1472" s="52"/>
      <c r="J1472" s="74" t="s">
        <v>1754</v>
      </c>
      <c r="K1472" s="57"/>
      <c r="L1472" s="75">
        <v>25</v>
      </c>
      <c r="M1472" s="60">
        <v>3</v>
      </c>
      <c r="N1472" s="76">
        <v>1</v>
      </c>
      <c r="O1472" s="42"/>
      <c r="P1472" s="58" t="s">
        <v>38</v>
      </c>
      <c r="Q1472" s="61"/>
      <c r="R1472" s="62"/>
      <c r="S1472" s="78">
        <f t="shared" si="69"/>
        <v>3</v>
      </c>
      <c r="T1472" s="44" t="str">
        <f t="shared" si="70"/>
        <v>3pieces</v>
      </c>
      <c r="U1472" s="77">
        <f t="shared" si="71"/>
        <v>75</v>
      </c>
      <c r="V1472" s="46"/>
      <c r="W1472" s="46"/>
      <c r="X1472" s="46"/>
    </row>
    <row r="1473" spans="1:24" ht="15.75" customHeight="1" thickBot="1" x14ac:dyDescent="0.35">
      <c r="A1473" s="40"/>
      <c r="B1473" s="67" t="s">
        <v>715</v>
      </c>
      <c r="C1473" s="55"/>
      <c r="D1473" s="41"/>
      <c r="E1473" s="55"/>
      <c r="F1473" s="55"/>
      <c r="G1473" s="55"/>
      <c r="H1473" s="51"/>
      <c r="I1473" s="52"/>
      <c r="J1473" s="74" t="s">
        <v>1755</v>
      </c>
      <c r="K1473" s="57"/>
      <c r="L1473" s="75">
        <v>80.599999999999994</v>
      </c>
      <c r="M1473" s="60">
        <v>1</v>
      </c>
      <c r="N1473" s="76">
        <v>1</v>
      </c>
      <c r="O1473" s="42"/>
      <c r="P1473" s="58" t="s">
        <v>88</v>
      </c>
      <c r="Q1473" s="61"/>
      <c r="R1473" s="62"/>
      <c r="S1473" s="78">
        <f t="shared" si="69"/>
        <v>1</v>
      </c>
      <c r="T1473" s="44" t="str">
        <f t="shared" si="70"/>
        <v>1kilos</v>
      </c>
      <c r="U1473" s="77">
        <f t="shared" si="71"/>
        <v>80.599999999999994</v>
      </c>
      <c r="V1473" s="46"/>
      <c r="W1473" s="46"/>
      <c r="X1473" s="46"/>
    </row>
    <row r="1474" spans="1:24" ht="15.75" customHeight="1" thickBot="1" x14ac:dyDescent="0.35">
      <c r="A1474" s="40"/>
      <c r="B1474" s="67" t="s">
        <v>715</v>
      </c>
      <c r="C1474" s="55"/>
      <c r="D1474" s="41"/>
      <c r="E1474" s="55"/>
      <c r="F1474" s="55"/>
      <c r="G1474" s="55"/>
      <c r="H1474" s="51"/>
      <c r="I1474" s="52"/>
      <c r="J1474" s="74" t="s">
        <v>1755</v>
      </c>
      <c r="K1474" s="57"/>
      <c r="L1474" s="75">
        <v>42.8</v>
      </c>
      <c r="M1474" s="60">
        <v>53</v>
      </c>
      <c r="N1474" s="76">
        <v>500</v>
      </c>
      <c r="O1474" s="42"/>
      <c r="P1474" s="58" t="s">
        <v>36</v>
      </c>
      <c r="Q1474" s="61"/>
      <c r="R1474" s="62"/>
      <c r="S1474" s="78">
        <f t="shared" si="69"/>
        <v>26500</v>
      </c>
      <c r="T1474" s="44" t="str">
        <f t="shared" si="70"/>
        <v>26500grams</v>
      </c>
      <c r="U1474" s="77">
        <f t="shared" si="71"/>
        <v>2268.3999999999996</v>
      </c>
      <c r="V1474" s="46"/>
      <c r="W1474" s="46"/>
      <c r="X1474" s="46"/>
    </row>
    <row r="1475" spans="1:24" ht="15.75" customHeight="1" thickBot="1" x14ac:dyDescent="0.35">
      <c r="A1475" s="40"/>
      <c r="B1475" s="67" t="s">
        <v>715</v>
      </c>
      <c r="C1475" s="55"/>
      <c r="D1475" s="41"/>
      <c r="E1475" s="55"/>
      <c r="F1475" s="55"/>
      <c r="G1475" s="55"/>
      <c r="H1475" s="51"/>
      <c r="I1475" s="52"/>
      <c r="J1475" s="74" t="s">
        <v>1755</v>
      </c>
      <c r="K1475" s="57"/>
      <c r="L1475" s="75">
        <v>82.8</v>
      </c>
      <c r="M1475" s="60">
        <v>21</v>
      </c>
      <c r="N1475" s="76">
        <v>1</v>
      </c>
      <c r="O1475" s="42"/>
      <c r="P1475" s="58" t="s">
        <v>88</v>
      </c>
      <c r="Q1475" s="61"/>
      <c r="R1475" s="62"/>
      <c r="S1475" s="78">
        <f t="shared" si="69"/>
        <v>21</v>
      </c>
      <c r="T1475" s="44" t="str">
        <f t="shared" si="70"/>
        <v>21kilos</v>
      </c>
      <c r="U1475" s="77">
        <f t="shared" si="71"/>
        <v>1738.8</v>
      </c>
      <c r="V1475" s="46"/>
      <c r="W1475" s="46"/>
      <c r="X1475" s="46"/>
    </row>
    <row r="1476" spans="1:24" ht="15.75" customHeight="1" thickBot="1" x14ac:dyDescent="0.35">
      <c r="A1476" s="40"/>
      <c r="B1476" s="67" t="s">
        <v>715</v>
      </c>
      <c r="C1476" s="55"/>
      <c r="D1476" s="41"/>
      <c r="E1476" s="55"/>
      <c r="F1476" s="55"/>
      <c r="G1476" s="55"/>
      <c r="H1476" s="51"/>
      <c r="I1476" s="52"/>
      <c r="J1476" s="74" t="s">
        <v>1755</v>
      </c>
      <c r="K1476" s="57"/>
      <c r="L1476" s="75">
        <v>80.599999999999994</v>
      </c>
      <c r="M1476" s="60">
        <v>12</v>
      </c>
      <c r="N1476" s="76">
        <v>1</v>
      </c>
      <c r="O1476" s="42"/>
      <c r="P1476" s="58" t="s">
        <v>88</v>
      </c>
      <c r="Q1476" s="61"/>
      <c r="R1476" s="62"/>
      <c r="S1476" s="78">
        <f t="shared" si="69"/>
        <v>12</v>
      </c>
      <c r="T1476" s="44" t="str">
        <f t="shared" si="70"/>
        <v>12kilos</v>
      </c>
      <c r="U1476" s="77">
        <f t="shared" si="71"/>
        <v>967.19999999999993</v>
      </c>
      <c r="V1476" s="46"/>
      <c r="W1476" s="46"/>
      <c r="X1476" s="46"/>
    </row>
    <row r="1477" spans="1:24" ht="15.75" customHeight="1" thickBot="1" x14ac:dyDescent="0.35">
      <c r="A1477" s="40"/>
      <c r="B1477" s="67" t="s">
        <v>715</v>
      </c>
      <c r="C1477" s="55"/>
      <c r="D1477" s="41"/>
      <c r="E1477" s="55"/>
      <c r="F1477" s="55"/>
      <c r="G1477" s="55"/>
      <c r="H1477" s="51"/>
      <c r="I1477" s="52"/>
      <c r="J1477" s="74" t="s">
        <v>1756</v>
      </c>
      <c r="K1477" s="57"/>
      <c r="L1477" s="75">
        <v>68</v>
      </c>
      <c r="M1477" s="60">
        <v>36</v>
      </c>
      <c r="N1477" s="76">
        <v>1</v>
      </c>
      <c r="O1477" s="42"/>
      <c r="P1477" s="58" t="s">
        <v>88</v>
      </c>
      <c r="Q1477" s="61"/>
      <c r="R1477" s="62"/>
      <c r="S1477" s="78">
        <f t="shared" si="69"/>
        <v>36</v>
      </c>
      <c r="T1477" s="44" t="str">
        <f t="shared" si="70"/>
        <v>36kilos</v>
      </c>
      <c r="U1477" s="77">
        <f t="shared" si="71"/>
        <v>2448</v>
      </c>
      <c r="V1477" s="46"/>
      <c r="W1477" s="46"/>
      <c r="X1477" s="46"/>
    </row>
    <row r="1478" spans="1:24" ht="15.75" customHeight="1" thickBot="1" x14ac:dyDescent="0.35">
      <c r="A1478" s="40"/>
      <c r="B1478" s="67" t="s">
        <v>715</v>
      </c>
      <c r="C1478" s="55"/>
      <c r="D1478" s="41"/>
      <c r="E1478" s="55"/>
      <c r="F1478" s="55"/>
      <c r="G1478" s="55"/>
      <c r="H1478" s="51"/>
      <c r="I1478" s="52"/>
      <c r="J1478" s="74" t="s">
        <v>1755</v>
      </c>
      <c r="K1478" s="57"/>
      <c r="L1478" s="75">
        <v>86.2</v>
      </c>
      <c r="M1478" s="60">
        <v>25</v>
      </c>
      <c r="N1478" s="76">
        <v>1</v>
      </c>
      <c r="O1478" s="42"/>
      <c r="P1478" s="58" t="s">
        <v>88</v>
      </c>
      <c r="Q1478" s="61"/>
      <c r="R1478" s="62"/>
      <c r="S1478" s="78">
        <f t="shared" si="69"/>
        <v>25</v>
      </c>
      <c r="T1478" s="44" t="str">
        <f t="shared" si="70"/>
        <v>25kilos</v>
      </c>
      <c r="U1478" s="77">
        <f t="shared" si="71"/>
        <v>2155</v>
      </c>
      <c r="V1478" s="46"/>
      <c r="W1478" s="46"/>
      <c r="X1478" s="46"/>
    </row>
    <row r="1479" spans="1:24" ht="15.75" customHeight="1" thickBot="1" x14ac:dyDescent="0.35">
      <c r="A1479" s="40"/>
      <c r="B1479" s="68" t="s">
        <v>715</v>
      </c>
      <c r="C1479" s="55"/>
      <c r="D1479" s="41"/>
      <c r="E1479" s="55"/>
      <c r="F1479" s="55"/>
      <c r="G1479" s="55"/>
      <c r="H1479" s="51"/>
      <c r="I1479" s="52"/>
      <c r="J1479" s="74"/>
      <c r="K1479" s="57"/>
      <c r="L1479" s="75">
        <v>76</v>
      </c>
      <c r="M1479" s="60">
        <v>18</v>
      </c>
      <c r="N1479" s="76">
        <v>1</v>
      </c>
      <c r="O1479" s="42"/>
      <c r="P1479" s="58" t="s">
        <v>88</v>
      </c>
      <c r="Q1479" s="61"/>
      <c r="R1479" s="62"/>
      <c r="S1479" s="78">
        <f t="shared" si="69"/>
        <v>18</v>
      </c>
      <c r="T1479" s="44" t="str">
        <f t="shared" si="70"/>
        <v>18kilos</v>
      </c>
      <c r="U1479" s="77">
        <f t="shared" si="71"/>
        <v>1368</v>
      </c>
      <c r="V1479" s="46"/>
      <c r="W1479" s="46"/>
      <c r="X1479" s="46"/>
    </row>
    <row r="1480" spans="1:24" ht="15.75" customHeight="1" thickBot="1" x14ac:dyDescent="0.35">
      <c r="A1480" s="40"/>
      <c r="B1480" s="67" t="s">
        <v>715</v>
      </c>
      <c r="C1480" s="55"/>
      <c r="D1480" s="41"/>
      <c r="E1480" s="55"/>
      <c r="F1480" s="55"/>
      <c r="G1480" s="55"/>
      <c r="H1480" s="51"/>
      <c r="I1480" s="52"/>
      <c r="J1480" s="74" t="s">
        <v>1755</v>
      </c>
      <c r="K1480" s="57"/>
      <c r="L1480" s="75">
        <v>79.7</v>
      </c>
      <c r="M1480" s="60">
        <v>9</v>
      </c>
      <c r="N1480" s="76">
        <v>1</v>
      </c>
      <c r="O1480" s="42"/>
      <c r="P1480" s="58" t="s">
        <v>88</v>
      </c>
      <c r="Q1480" s="61"/>
      <c r="R1480" s="62"/>
      <c r="S1480" s="78">
        <f t="shared" si="69"/>
        <v>9</v>
      </c>
      <c r="T1480" s="44" t="str">
        <f t="shared" si="70"/>
        <v>9kilos</v>
      </c>
      <c r="U1480" s="77">
        <f t="shared" si="71"/>
        <v>717.30000000000007</v>
      </c>
      <c r="V1480" s="46"/>
      <c r="W1480" s="46"/>
      <c r="X1480" s="46"/>
    </row>
    <row r="1481" spans="1:24" ht="15.75" customHeight="1" thickBot="1" x14ac:dyDescent="0.35">
      <c r="A1481" s="40"/>
      <c r="B1481" s="67" t="s">
        <v>715</v>
      </c>
      <c r="C1481" s="55"/>
      <c r="D1481" s="41"/>
      <c r="E1481" s="55"/>
      <c r="F1481" s="55"/>
      <c r="G1481" s="55"/>
      <c r="H1481" s="51"/>
      <c r="I1481" s="52"/>
      <c r="J1481" s="74" t="s">
        <v>1755</v>
      </c>
      <c r="K1481" s="57"/>
      <c r="L1481" s="75">
        <v>80.599999999999994</v>
      </c>
      <c r="M1481" s="60">
        <v>40</v>
      </c>
      <c r="N1481" s="76">
        <v>1</v>
      </c>
      <c r="O1481" s="42"/>
      <c r="P1481" s="58" t="s">
        <v>88</v>
      </c>
      <c r="Q1481" s="61"/>
      <c r="R1481" s="62"/>
      <c r="S1481" s="78">
        <f t="shared" si="69"/>
        <v>40</v>
      </c>
      <c r="T1481" s="44" t="str">
        <f t="shared" si="70"/>
        <v>40kilos</v>
      </c>
      <c r="U1481" s="77">
        <f t="shared" si="71"/>
        <v>3224</v>
      </c>
      <c r="V1481" s="46"/>
      <c r="W1481" s="46"/>
      <c r="X1481" s="46"/>
    </row>
    <row r="1482" spans="1:24" ht="15.75" customHeight="1" thickBot="1" x14ac:dyDescent="0.35">
      <c r="A1482" s="40"/>
      <c r="B1482" s="67" t="s">
        <v>1757</v>
      </c>
      <c r="C1482" s="55"/>
      <c r="D1482" s="41"/>
      <c r="E1482" s="55"/>
      <c r="F1482" s="55"/>
      <c r="G1482" s="55"/>
      <c r="H1482" s="51"/>
      <c r="I1482" s="52"/>
      <c r="J1482" s="74" t="s">
        <v>1758</v>
      </c>
      <c r="K1482" s="57"/>
      <c r="L1482" s="75">
        <v>22</v>
      </c>
      <c r="M1482" s="60">
        <v>5</v>
      </c>
      <c r="N1482" s="76">
        <v>1</v>
      </c>
      <c r="O1482" s="42"/>
      <c r="P1482" s="58" t="s">
        <v>36</v>
      </c>
      <c r="Q1482" s="61"/>
      <c r="R1482" s="62"/>
      <c r="S1482" s="78">
        <f t="shared" si="69"/>
        <v>5</v>
      </c>
      <c r="T1482" s="44" t="str">
        <f t="shared" si="70"/>
        <v>5grams</v>
      </c>
      <c r="U1482" s="77">
        <f t="shared" si="71"/>
        <v>110</v>
      </c>
      <c r="V1482" s="46"/>
      <c r="W1482" s="46"/>
      <c r="X1482" s="46"/>
    </row>
    <row r="1483" spans="1:24" ht="15.75" customHeight="1" thickBot="1" x14ac:dyDescent="0.35">
      <c r="A1483" s="40"/>
      <c r="B1483" s="67" t="s">
        <v>1757</v>
      </c>
      <c r="C1483" s="55"/>
      <c r="D1483" s="41"/>
      <c r="E1483" s="55"/>
      <c r="F1483" s="55"/>
      <c r="G1483" s="55"/>
      <c r="H1483" s="51"/>
      <c r="I1483" s="52"/>
      <c r="J1483" s="74" t="s">
        <v>1759</v>
      </c>
      <c r="K1483" s="57"/>
      <c r="L1483" s="75">
        <v>75</v>
      </c>
      <c r="M1483" s="60">
        <v>9</v>
      </c>
      <c r="N1483" s="76">
        <v>50</v>
      </c>
      <c r="O1483" s="42"/>
      <c r="P1483" s="58" t="s">
        <v>38</v>
      </c>
      <c r="Q1483" s="61"/>
      <c r="R1483" s="62"/>
      <c r="S1483" s="78">
        <f t="shared" si="69"/>
        <v>450</v>
      </c>
      <c r="T1483" s="44" t="str">
        <f t="shared" si="70"/>
        <v>450pieces</v>
      </c>
      <c r="U1483" s="77">
        <f t="shared" si="71"/>
        <v>675</v>
      </c>
      <c r="V1483" s="46"/>
      <c r="W1483" s="46"/>
      <c r="X1483" s="46"/>
    </row>
    <row r="1484" spans="1:24" ht="15.75" customHeight="1" thickBot="1" x14ac:dyDescent="0.35">
      <c r="A1484" s="40"/>
      <c r="B1484" s="67" t="s">
        <v>1757</v>
      </c>
      <c r="C1484" s="55"/>
      <c r="D1484" s="41"/>
      <c r="E1484" s="55"/>
      <c r="F1484" s="55"/>
      <c r="G1484" s="55"/>
      <c r="H1484" s="51"/>
      <c r="I1484" s="52"/>
      <c r="J1484" s="74" t="s">
        <v>1759</v>
      </c>
      <c r="K1484" s="57"/>
      <c r="L1484" s="75">
        <v>1.5</v>
      </c>
      <c r="M1484" s="60">
        <v>10</v>
      </c>
      <c r="N1484" s="76">
        <v>50</v>
      </c>
      <c r="O1484" s="42"/>
      <c r="P1484" s="58" t="s">
        <v>38</v>
      </c>
      <c r="Q1484" s="61"/>
      <c r="R1484" s="62"/>
      <c r="S1484" s="78">
        <f t="shared" si="69"/>
        <v>500</v>
      </c>
      <c r="T1484" s="44" t="str">
        <f t="shared" si="70"/>
        <v>500pieces</v>
      </c>
      <c r="U1484" s="77">
        <f t="shared" si="71"/>
        <v>15</v>
      </c>
      <c r="V1484" s="46"/>
      <c r="W1484" s="46"/>
      <c r="X1484" s="46"/>
    </row>
    <row r="1485" spans="1:24" ht="15.75" customHeight="1" thickBot="1" x14ac:dyDescent="0.35">
      <c r="A1485" s="40"/>
      <c r="B1485" s="67" t="s">
        <v>1757</v>
      </c>
      <c r="C1485" s="55"/>
      <c r="D1485" s="41"/>
      <c r="E1485" s="55"/>
      <c r="F1485" s="55"/>
      <c r="G1485" s="55"/>
      <c r="H1485" s="51"/>
      <c r="I1485" s="52"/>
      <c r="J1485" s="74" t="s">
        <v>1760</v>
      </c>
      <c r="K1485" s="57"/>
      <c r="L1485" s="75">
        <v>1.65</v>
      </c>
      <c r="M1485" s="60">
        <v>978</v>
      </c>
      <c r="N1485" s="76">
        <v>5</v>
      </c>
      <c r="O1485" s="42"/>
      <c r="P1485" s="58" t="s">
        <v>36</v>
      </c>
      <c r="Q1485" s="61"/>
      <c r="R1485" s="62"/>
      <c r="S1485" s="78">
        <f t="shared" si="69"/>
        <v>4890</v>
      </c>
      <c r="T1485" s="44" t="str">
        <f t="shared" si="70"/>
        <v>4890grams</v>
      </c>
      <c r="U1485" s="77">
        <f t="shared" si="71"/>
        <v>1613.6999999999998</v>
      </c>
      <c r="V1485" s="46"/>
      <c r="W1485" s="46"/>
      <c r="X1485" s="46"/>
    </row>
    <row r="1486" spans="1:24" ht="15.75" customHeight="1" thickBot="1" x14ac:dyDescent="0.35">
      <c r="A1486" s="40"/>
      <c r="B1486" s="67" t="s">
        <v>1757</v>
      </c>
      <c r="C1486" s="55"/>
      <c r="D1486" s="41"/>
      <c r="E1486" s="55"/>
      <c r="F1486" s="55"/>
      <c r="G1486" s="55"/>
      <c r="H1486" s="51"/>
      <c r="I1486" s="52"/>
      <c r="J1486" s="74" t="s">
        <v>1761</v>
      </c>
      <c r="K1486" s="57"/>
      <c r="L1486" s="75">
        <v>1.06</v>
      </c>
      <c r="M1486" s="60">
        <v>1500</v>
      </c>
      <c r="N1486" s="76">
        <v>5</v>
      </c>
      <c r="O1486" s="42"/>
      <c r="P1486" s="58" t="s">
        <v>36</v>
      </c>
      <c r="Q1486" s="61"/>
      <c r="R1486" s="62"/>
      <c r="S1486" s="78">
        <f t="shared" si="69"/>
        <v>7500</v>
      </c>
      <c r="T1486" s="44" t="str">
        <f t="shared" si="70"/>
        <v>7500grams</v>
      </c>
      <c r="U1486" s="77">
        <f t="shared" si="71"/>
        <v>1590</v>
      </c>
      <c r="V1486" s="46"/>
      <c r="W1486" s="46"/>
      <c r="X1486" s="46"/>
    </row>
    <row r="1487" spans="1:24" ht="15.75" customHeight="1" thickBot="1" x14ac:dyDescent="0.35">
      <c r="A1487" s="40"/>
      <c r="B1487" s="68" t="s">
        <v>1757</v>
      </c>
      <c r="C1487" s="55"/>
      <c r="D1487" s="41"/>
      <c r="E1487" s="55"/>
      <c r="F1487" s="55"/>
      <c r="G1487" s="55"/>
      <c r="H1487" s="51"/>
      <c r="I1487" s="52"/>
      <c r="J1487" s="74" t="s">
        <v>1760</v>
      </c>
      <c r="K1487" s="57"/>
      <c r="L1487" s="75">
        <v>1.2</v>
      </c>
      <c r="M1487" s="60">
        <v>23</v>
      </c>
      <c r="N1487" s="76">
        <v>5</v>
      </c>
      <c r="O1487" s="42"/>
      <c r="P1487" s="58" t="s">
        <v>36</v>
      </c>
      <c r="Q1487" s="61"/>
      <c r="R1487" s="62"/>
      <c r="S1487" s="78">
        <f t="shared" si="69"/>
        <v>115</v>
      </c>
      <c r="T1487" s="44" t="str">
        <f t="shared" si="70"/>
        <v>115grams</v>
      </c>
      <c r="U1487" s="77">
        <f t="shared" si="71"/>
        <v>27.599999999999998</v>
      </c>
      <c r="V1487" s="46"/>
      <c r="W1487" s="46"/>
      <c r="X1487" s="46"/>
    </row>
    <row r="1488" spans="1:24" ht="15.75" customHeight="1" thickBot="1" x14ac:dyDescent="0.35">
      <c r="A1488" s="40"/>
      <c r="B1488" s="67" t="s">
        <v>720</v>
      </c>
      <c r="C1488" s="55"/>
      <c r="D1488" s="41"/>
      <c r="E1488" s="55"/>
      <c r="F1488" s="55"/>
      <c r="G1488" s="55"/>
      <c r="H1488" s="51"/>
      <c r="I1488" s="52"/>
      <c r="J1488" s="74" t="s">
        <v>1755</v>
      </c>
      <c r="K1488" s="57"/>
      <c r="L1488" s="75">
        <v>86.2</v>
      </c>
      <c r="M1488" s="60">
        <v>5</v>
      </c>
      <c r="N1488" s="76">
        <v>1</v>
      </c>
      <c r="O1488" s="42"/>
      <c r="P1488" s="58" t="s">
        <v>88</v>
      </c>
      <c r="Q1488" s="61"/>
      <c r="R1488" s="62"/>
      <c r="S1488" s="78">
        <f t="shared" si="69"/>
        <v>5</v>
      </c>
      <c r="T1488" s="44" t="str">
        <f t="shared" si="70"/>
        <v>5kilos</v>
      </c>
      <c r="U1488" s="77">
        <f t="shared" si="71"/>
        <v>431</v>
      </c>
      <c r="V1488" s="46"/>
      <c r="W1488" s="46"/>
      <c r="X1488" s="46"/>
    </row>
    <row r="1489" spans="1:24" ht="15.75" customHeight="1" thickBot="1" x14ac:dyDescent="0.35">
      <c r="A1489" s="40"/>
      <c r="B1489" s="67" t="s">
        <v>720</v>
      </c>
      <c r="C1489" s="55"/>
      <c r="D1489" s="41"/>
      <c r="E1489" s="55"/>
      <c r="F1489" s="55"/>
      <c r="G1489" s="55"/>
      <c r="H1489" s="51"/>
      <c r="I1489" s="52"/>
      <c r="J1489" s="74" t="s">
        <v>953</v>
      </c>
      <c r="K1489" s="57"/>
      <c r="L1489" s="75">
        <v>60</v>
      </c>
      <c r="M1489" s="60">
        <v>24</v>
      </c>
      <c r="N1489" s="76">
        <v>1</v>
      </c>
      <c r="O1489" s="42"/>
      <c r="P1489" s="58" t="s">
        <v>88</v>
      </c>
      <c r="Q1489" s="61"/>
      <c r="R1489" s="62"/>
      <c r="S1489" s="78">
        <f t="shared" si="69"/>
        <v>24</v>
      </c>
      <c r="T1489" s="44" t="str">
        <f t="shared" si="70"/>
        <v>24kilos</v>
      </c>
      <c r="U1489" s="77">
        <f t="shared" si="71"/>
        <v>1440</v>
      </c>
      <c r="V1489" s="46"/>
      <c r="W1489" s="46"/>
      <c r="X1489" s="46"/>
    </row>
    <row r="1490" spans="1:24" ht="15.75" customHeight="1" thickBot="1" x14ac:dyDescent="0.35">
      <c r="A1490" s="40"/>
      <c r="B1490" s="67" t="s">
        <v>721</v>
      </c>
      <c r="C1490" s="55"/>
      <c r="D1490" s="41"/>
      <c r="E1490" s="55"/>
      <c r="F1490" s="55"/>
      <c r="G1490" s="55"/>
      <c r="H1490" s="51"/>
      <c r="I1490" s="52"/>
      <c r="J1490" s="74" t="s">
        <v>1755</v>
      </c>
      <c r="K1490" s="57"/>
      <c r="L1490" s="75">
        <v>89.3</v>
      </c>
      <c r="M1490" s="60">
        <v>12</v>
      </c>
      <c r="N1490" s="76">
        <v>1</v>
      </c>
      <c r="O1490" s="42"/>
      <c r="P1490" s="58" t="s">
        <v>88</v>
      </c>
      <c r="Q1490" s="61"/>
      <c r="R1490" s="62"/>
      <c r="S1490" s="78">
        <f t="shared" si="69"/>
        <v>12</v>
      </c>
      <c r="T1490" s="44" t="str">
        <f t="shared" si="70"/>
        <v>12kilos</v>
      </c>
      <c r="U1490" s="77">
        <f t="shared" si="71"/>
        <v>1071.5999999999999</v>
      </c>
      <c r="V1490" s="46"/>
      <c r="W1490" s="46"/>
      <c r="X1490" s="46"/>
    </row>
    <row r="1491" spans="1:24" ht="15.75" customHeight="1" thickBot="1" x14ac:dyDescent="0.35">
      <c r="A1491" s="40"/>
      <c r="B1491" s="67" t="s">
        <v>721</v>
      </c>
      <c r="C1491" s="55"/>
      <c r="D1491" s="41"/>
      <c r="E1491" s="55"/>
      <c r="F1491" s="55"/>
      <c r="G1491" s="55"/>
      <c r="H1491" s="51"/>
      <c r="I1491" s="52"/>
      <c r="J1491" s="74" t="s">
        <v>1755</v>
      </c>
      <c r="K1491" s="57"/>
      <c r="L1491" s="75">
        <v>85.5</v>
      </c>
      <c r="M1491" s="60">
        <v>15</v>
      </c>
      <c r="N1491" s="76">
        <v>1</v>
      </c>
      <c r="O1491" s="42"/>
      <c r="P1491" s="58" t="s">
        <v>88</v>
      </c>
      <c r="Q1491" s="61"/>
      <c r="R1491" s="62"/>
      <c r="S1491" s="78">
        <f t="shared" si="69"/>
        <v>15</v>
      </c>
      <c r="T1491" s="44" t="str">
        <f t="shared" si="70"/>
        <v>15kilos</v>
      </c>
      <c r="U1491" s="77">
        <f t="shared" si="71"/>
        <v>1282.5</v>
      </c>
      <c r="V1491" s="46"/>
      <c r="W1491" s="46"/>
      <c r="X1491" s="46"/>
    </row>
    <row r="1492" spans="1:24" ht="15.75" customHeight="1" thickBot="1" x14ac:dyDescent="0.35">
      <c r="A1492" s="40"/>
      <c r="B1492" s="67" t="s">
        <v>721</v>
      </c>
      <c r="C1492" s="55"/>
      <c r="D1492" s="41"/>
      <c r="E1492" s="55"/>
      <c r="F1492" s="55"/>
      <c r="G1492" s="55"/>
      <c r="H1492" s="51"/>
      <c r="I1492" s="52"/>
      <c r="J1492" s="74" t="s">
        <v>1762</v>
      </c>
      <c r="K1492" s="57"/>
      <c r="L1492" s="75">
        <v>90</v>
      </c>
      <c r="M1492" s="60">
        <v>16</v>
      </c>
      <c r="N1492" s="76">
        <v>1</v>
      </c>
      <c r="O1492" s="42"/>
      <c r="P1492" s="58" t="s">
        <v>88</v>
      </c>
      <c r="Q1492" s="61"/>
      <c r="R1492" s="62"/>
      <c r="S1492" s="78">
        <f t="shared" si="69"/>
        <v>16</v>
      </c>
      <c r="T1492" s="44" t="str">
        <f t="shared" si="70"/>
        <v>16kilos</v>
      </c>
      <c r="U1492" s="77">
        <f t="shared" si="71"/>
        <v>1440</v>
      </c>
      <c r="V1492" s="46"/>
      <c r="W1492" s="46"/>
      <c r="X1492" s="46"/>
    </row>
    <row r="1493" spans="1:24" ht="15.75" customHeight="1" thickBot="1" x14ac:dyDescent="0.35">
      <c r="A1493" s="40"/>
      <c r="B1493" s="67" t="s">
        <v>721</v>
      </c>
      <c r="C1493" s="55"/>
      <c r="D1493" s="41"/>
      <c r="E1493" s="55"/>
      <c r="F1493" s="55"/>
      <c r="G1493" s="55"/>
      <c r="H1493" s="51"/>
      <c r="I1493" s="52"/>
      <c r="J1493" s="74" t="s">
        <v>1755</v>
      </c>
      <c r="K1493" s="57"/>
      <c r="L1493" s="75">
        <v>98</v>
      </c>
      <c r="M1493" s="60">
        <v>23</v>
      </c>
      <c r="N1493" s="76">
        <v>1</v>
      </c>
      <c r="O1493" s="42"/>
      <c r="P1493" s="58" t="s">
        <v>88</v>
      </c>
      <c r="Q1493" s="61"/>
      <c r="R1493" s="62"/>
      <c r="S1493" s="78">
        <f t="shared" si="69"/>
        <v>23</v>
      </c>
      <c r="T1493" s="44" t="str">
        <f t="shared" si="70"/>
        <v>23kilos</v>
      </c>
      <c r="U1493" s="77">
        <f t="shared" si="71"/>
        <v>2254</v>
      </c>
      <c r="V1493" s="46"/>
      <c r="W1493" s="46"/>
      <c r="X1493" s="46"/>
    </row>
    <row r="1494" spans="1:24" ht="15.75" customHeight="1" thickBot="1" x14ac:dyDescent="0.35">
      <c r="A1494" s="40"/>
      <c r="B1494" s="67" t="s">
        <v>721</v>
      </c>
      <c r="C1494" s="55"/>
      <c r="D1494" s="41"/>
      <c r="E1494" s="55"/>
      <c r="F1494" s="55"/>
      <c r="G1494" s="55"/>
      <c r="H1494" s="51"/>
      <c r="I1494" s="52"/>
      <c r="J1494" s="74" t="s">
        <v>953</v>
      </c>
      <c r="K1494" s="57"/>
      <c r="L1494" s="75">
        <v>68</v>
      </c>
      <c r="M1494" s="60">
        <v>22</v>
      </c>
      <c r="N1494" s="76">
        <v>1</v>
      </c>
      <c r="O1494" s="42"/>
      <c r="P1494" s="58" t="s">
        <v>88</v>
      </c>
      <c r="Q1494" s="61"/>
      <c r="R1494" s="62"/>
      <c r="S1494" s="78">
        <f t="shared" si="69"/>
        <v>22</v>
      </c>
      <c r="T1494" s="44" t="str">
        <f t="shared" si="70"/>
        <v>22kilos</v>
      </c>
      <c r="U1494" s="77">
        <f t="shared" si="71"/>
        <v>1496</v>
      </c>
      <c r="V1494" s="46"/>
      <c r="W1494" s="46"/>
      <c r="X1494" s="46"/>
    </row>
    <row r="1495" spans="1:24" ht="15.75" customHeight="1" thickBot="1" x14ac:dyDescent="0.35">
      <c r="A1495" s="40"/>
      <c r="B1495" s="68" t="s">
        <v>721</v>
      </c>
      <c r="C1495" s="55"/>
      <c r="D1495" s="41"/>
      <c r="E1495" s="55"/>
      <c r="F1495" s="55"/>
      <c r="G1495" s="55"/>
      <c r="H1495" s="51"/>
      <c r="I1495" s="52"/>
      <c r="J1495" s="74" t="s">
        <v>820</v>
      </c>
      <c r="K1495" s="57"/>
      <c r="L1495" s="75">
        <v>1.32</v>
      </c>
      <c r="M1495" s="60">
        <v>200</v>
      </c>
      <c r="N1495" s="76">
        <v>1</v>
      </c>
      <c r="O1495" s="42"/>
      <c r="P1495" s="58" t="s">
        <v>36</v>
      </c>
      <c r="Q1495" s="61"/>
      <c r="R1495" s="62"/>
      <c r="S1495" s="78">
        <f t="shared" si="69"/>
        <v>200</v>
      </c>
      <c r="T1495" s="44" t="str">
        <f t="shared" si="70"/>
        <v>200grams</v>
      </c>
      <c r="U1495" s="77">
        <f t="shared" si="71"/>
        <v>264</v>
      </c>
      <c r="V1495" s="46"/>
      <c r="W1495" s="46"/>
      <c r="X1495" s="46"/>
    </row>
    <row r="1496" spans="1:24" ht="15.75" customHeight="1" thickBot="1" x14ac:dyDescent="0.35">
      <c r="A1496" s="40"/>
      <c r="B1496" s="67" t="s">
        <v>721</v>
      </c>
      <c r="C1496" s="55"/>
      <c r="D1496" s="41"/>
      <c r="E1496" s="55"/>
      <c r="F1496" s="55"/>
      <c r="G1496" s="55"/>
      <c r="H1496" s="51"/>
      <c r="I1496" s="52"/>
      <c r="J1496" s="74" t="s">
        <v>1755</v>
      </c>
      <c r="K1496" s="57"/>
      <c r="L1496" s="75">
        <v>82</v>
      </c>
      <c r="M1496" s="60">
        <v>4</v>
      </c>
      <c r="N1496" s="76">
        <v>1</v>
      </c>
      <c r="O1496" s="42"/>
      <c r="P1496" s="58" t="s">
        <v>88</v>
      </c>
      <c r="Q1496" s="61"/>
      <c r="R1496" s="62"/>
      <c r="S1496" s="78">
        <f t="shared" si="69"/>
        <v>4</v>
      </c>
      <c r="T1496" s="44" t="str">
        <f t="shared" si="70"/>
        <v>4kilos</v>
      </c>
      <c r="U1496" s="77">
        <f t="shared" si="71"/>
        <v>328</v>
      </c>
      <c r="V1496" s="46"/>
      <c r="W1496" s="46"/>
      <c r="X1496" s="46"/>
    </row>
    <row r="1497" spans="1:24" ht="15.75" customHeight="1" thickBot="1" x14ac:dyDescent="0.35">
      <c r="A1497" s="40"/>
      <c r="B1497" s="68" t="s">
        <v>721</v>
      </c>
      <c r="C1497" s="55"/>
      <c r="D1497" s="41"/>
      <c r="E1497" s="55"/>
      <c r="F1497" s="55"/>
      <c r="G1497" s="55"/>
      <c r="H1497" s="51"/>
      <c r="I1497" s="52"/>
      <c r="J1497" s="74"/>
      <c r="K1497" s="57"/>
      <c r="L1497" s="75">
        <v>78</v>
      </c>
      <c r="M1497" s="60">
        <v>18</v>
      </c>
      <c r="N1497" s="76">
        <v>1</v>
      </c>
      <c r="O1497" s="42"/>
      <c r="P1497" s="58" t="s">
        <v>88</v>
      </c>
      <c r="Q1497" s="61"/>
      <c r="R1497" s="62"/>
      <c r="S1497" s="78">
        <f t="shared" si="69"/>
        <v>18</v>
      </c>
      <c r="T1497" s="44" t="str">
        <f t="shared" si="70"/>
        <v>18kilos</v>
      </c>
      <c r="U1497" s="77">
        <f t="shared" si="71"/>
        <v>1404</v>
      </c>
      <c r="V1497" s="46"/>
      <c r="W1497" s="46"/>
      <c r="X1497" s="46"/>
    </row>
    <row r="1498" spans="1:24" ht="15.75" customHeight="1" thickBot="1" x14ac:dyDescent="0.35">
      <c r="A1498" s="40"/>
      <c r="B1498" s="67" t="s">
        <v>1763</v>
      </c>
      <c r="C1498" s="55"/>
      <c r="D1498" s="41"/>
      <c r="E1498" s="55"/>
      <c r="F1498" s="55"/>
      <c r="G1498" s="55"/>
      <c r="H1498" s="51"/>
      <c r="I1498" s="52"/>
      <c r="J1498" s="74" t="s">
        <v>842</v>
      </c>
      <c r="K1498" s="57"/>
      <c r="L1498" s="75">
        <v>179</v>
      </c>
      <c r="M1498" s="60">
        <v>1</v>
      </c>
      <c r="N1498" s="76">
        <v>190</v>
      </c>
      <c r="O1498" s="42"/>
      <c r="P1498" s="58" t="s">
        <v>36</v>
      </c>
      <c r="Q1498" s="61"/>
      <c r="R1498" s="62"/>
      <c r="S1498" s="78">
        <f t="shared" si="69"/>
        <v>190</v>
      </c>
      <c r="T1498" s="44" t="str">
        <f t="shared" si="70"/>
        <v>190grams</v>
      </c>
      <c r="U1498" s="77">
        <f t="shared" si="71"/>
        <v>179</v>
      </c>
      <c r="V1498" s="46"/>
      <c r="W1498" s="46"/>
      <c r="X1498" s="46"/>
    </row>
    <row r="1499" spans="1:24" ht="15.75" customHeight="1" thickBot="1" x14ac:dyDescent="0.35">
      <c r="A1499" s="40"/>
      <c r="B1499" s="68" t="s">
        <v>1764</v>
      </c>
      <c r="C1499" s="55"/>
      <c r="D1499" s="41"/>
      <c r="E1499" s="55"/>
      <c r="F1499" s="55"/>
      <c r="G1499" s="55"/>
      <c r="H1499" s="51"/>
      <c r="I1499" s="52"/>
      <c r="J1499" s="74" t="s">
        <v>1146</v>
      </c>
      <c r="K1499" s="57"/>
      <c r="L1499" s="75">
        <v>40</v>
      </c>
      <c r="M1499" s="60">
        <v>2</v>
      </c>
      <c r="N1499" s="76">
        <v>340</v>
      </c>
      <c r="O1499" s="42"/>
      <c r="P1499" s="58" t="s">
        <v>36</v>
      </c>
      <c r="Q1499" s="61"/>
      <c r="R1499" s="62"/>
      <c r="S1499" s="78">
        <f t="shared" si="69"/>
        <v>680</v>
      </c>
      <c r="T1499" s="44" t="str">
        <f t="shared" si="70"/>
        <v>680grams</v>
      </c>
      <c r="U1499" s="77">
        <f t="shared" si="71"/>
        <v>80</v>
      </c>
      <c r="V1499" s="46"/>
      <c r="W1499" s="46"/>
      <c r="X1499" s="46"/>
    </row>
    <row r="1500" spans="1:24" ht="15.75" customHeight="1" thickBot="1" x14ac:dyDescent="0.35">
      <c r="A1500" s="40"/>
      <c r="B1500" s="67" t="s">
        <v>1765</v>
      </c>
      <c r="C1500" s="55"/>
      <c r="D1500" s="41"/>
      <c r="E1500" s="55"/>
      <c r="F1500" s="55"/>
      <c r="G1500" s="55"/>
      <c r="H1500" s="51"/>
      <c r="I1500" s="52"/>
      <c r="J1500" s="74" t="s">
        <v>831</v>
      </c>
      <c r="K1500" s="57"/>
      <c r="L1500" s="75">
        <v>48.45</v>
      </c>
      <c r="M1500" s="60">
        <v>2</v>
      </c>
      <c r="N1500" s="76">
        <v>250</v>
      </c>
      <c r="O1500" s="42"/>
      <c r="P1500" s="58" t="s">
        <v>36</v>
      </c>
      <c r="Q1500" s="61"/>
      <c r="R1500" s="62"/>
      <c r="S1500" s="78">
        <f t="shared" si="69"/>
        <v>500</v>
      </c>
      <c r="T1500" s="44" t="str">
        <f t="shared" si="70"/>
        <v>500grams</v>
      </c>
      <c r="U1500" s="77">
        <f t="shared" si="71"/>
        <v>96.9</v>
      </c>
      <c r="V1500" s="46"/>
      <c r="W1500" s="46"/>
      <c r="X1500" s="46"/>
    </row>
    <row r="1501" spans="1:24" ht="15.75" customHeight="1" thickBot="1" x14ac:dyDescent="0.35">
      <c r="A1501" s="40"/>
      <c r="B1501" s="68" t="s">
        <v>1765</v>
      </c>
      <c r="C1501" s="55"/>
      <c r="D1501" s="41"/>
      <c r="E1501" s="55"/>
      <c r="F1501" s="55"/>
      <c r="G1501" s="55"/>
      <c r="H1501" s="51"/>
      <c r="I1501" s="52"/>
      <c r="J1501" s="74" t="s">
        <v>831</v>
      </c>
      <c r="K1501" s="57"/>
      <c r="L1501" s="75">
        <v>65</v>
      </c>
      <c r="M1501" s="60">
        <v>0</v>
      </c>
      <c r="N1501" s="76">
        <v>250</v>
      </c>
      <c r="O1501" s="42"/>
      <c r="P1501" s="58" t="s">
        <v>36</v>
      </c>
      <c r="Q1501" s="61"/>
      <c r="R1501" s="62"/>
      <c r="S1501" s="78">
        <f t="shared" si="69"/>
        <v>0</v>
      </c>
      <c r="T1501" s="44" t="str">
        <f t="shared" si="70"/>
        <v>0grams</v>
      </c>
      <c r="U1501" s="77">
        <f t="shared" si="71"/>
        <v>0</v>
      </c>
      <c r="V1501" s="46"/>
      <c r="W1501" s="46"/>
      <c r="X1501" s="46"/>
    </row>
    <row r="1502" spans="1:24" ht="15.75" customHeight="1" thickBot="1" x14ac:dyDescent="0.35">
      <c r="A1502" s="40"/>
      <c r="B1502" s="67" t="s">
        <v>1766</v>
      </c>
      <c r="C1502" s="55"/>
      <c r="D1502" s="41"/>
      <c r="E1502" s="55"/>
      <c r="F1502" s="55"/>
      <c r="G1502" s="55"/>
      <c r="H1502" s="51"/>
      <c r="I1502" s="52"/>
      <c r="J1502" s="74" t="s">
        <v>1767</v>
      </c>
      <c r="K1502" s="57"/>
      <c r="L1502" s="75">
        <v>90</v>
      </c>
      <c r="M1502" s="60">
        <v>1</v>
      </c>
      <c r="N1502" s="76">
        <v>1</v>
      </c>
      <c r="O1502" s="42"/>
      <c r="P1502" s="58" t="s">
        <v>77</v>
      </c>
      <c r="Q1502" s="61"/>
      <c r="R1502" s="62"/>
      <c r="S1502" s="78">
        <f t="shared" si="69"/>
        <v>1</v>
      </c>
      <c r="T1502" s="44" t="str">
        <f t="shared" si="70"/>
        <v>1packs</v>
      </c>
      <c r="U1502" s="77">
        <f t="shared" si="71"/>
        <v>90</v>
      </c>
      <c r="V1502" s="46"/>
      <c r="W1502" s="46"/>
      <c r="X1502" s="46"/>
    </row>
    <row r="1503" spans="1:24" ht="15.75" customHeight="1" thickBot="1" x14ac:dyDescent="0.35">
      <c r="A1503" s="40"/>
      <c r="B1503" s="67" t="s">
        <v>1766</v>
      </c>
      <c r="C1503" s="55"/>
      <c r="D1503" s="41"/>
      <c r="E1503" s="55"/>
      <c r="F1503" s="55"/>
      <c r="G1503" s="55"/>
      <c r="H1503" s="51"/>
      <c r="I1503" s="52"/>
      <c r="J1503" s="74" t="s">
        <v>820</v>
      </c>
      <c r="K1503" s="57"/>
      <c r="L1503" s="75">
        <v>53.6</v>
      </c>
      <c r="M1503" s="60">
        <v>4</v>
      </c>
      <c r="N1503" s="76">
        <v>1</v>
      </c>
      <c r="O1503" s="42"/>
      <c r="P1503" s="58" t="s">
        <v>77</v>
      </c>
      <c r="Q1503" s="61"/>
      <c r="R1503" s="62"/>
      <c r="S1503" s="78">
        <f t="shared" si="69"/>
        <v>4</v>
      </c>
      <c r="T1503" s="44" t="str">
        <f t="shared" si="70"/>
        <v>4packs</v>
      </c>
      <c r="U1503" s="77">
        <f t="shared" si="71"/>
        <v>214.4</v>
      </c>
      <c r="V1503" s="46"/>
      <c r="W1503" s="46"/>
      <c r="X1503" s="46"/>
    </row>
    <row r="1504" spans="1:24" ht="15.75" customHeight="1" thickBot="1" x14ac:dyDescent="0.35">
      <c r="A1504" s="40"/>
      <c r="B1504" s="67" t="s">
        <v>1768</v>
      </c>
      <c r="C1504" s="55"/>
      <c r="D1504" s="41"/>
      <c r="E1504" s="55"/>
      <c r="F1504" s="55"/>
      <c r="G1504" s="55"/>
      <c r="H1504" s="51"/>
      <c r="I1504" s="52"/>
      <c r="J1504" s="74" t="s">
        <v>1769</v>
      </c>
      <c r="K1504" s="57"/>
      <c r="L1504" s="75">
        <v>154.5</v>
      </c>
      <c r="M1504" s="60">
        <v>1</v>
      </c>
      <c r="N1504" s="76">
        <v>100</v>
      </c>
      <c r="O1504" s="42"/>
      <c r="P1504" s="58" t="s">
        <v>36</v>
      </c>
      <c r="Q1504" s="61"/>
      <c r="R1504" s="62"/>
      <c r="S1504" s="78">
        <f t="shared" si="69"/>
        <v>100</v>
      </c>
      <c r="T1504" s="44" t="str">
        <f t="shared" si="70"/>
        <v>100grams</v>
      </c>
      <c r="U1504" s="77">
        <f t="shared" si="71"/>
        <v>154.5</v>
      </c>
      <c r="V1504" s="46"/>
      <c r="W1504" s="46"/>
      <c r="X1504" s="46"/>
    </row>
    <row r="1505" spans="1:24" ht="15.75" customHeight="1" thickBot="1" x14ac:dyDescent="0.35">
      <c r="A1505" s="40"/>
      <c r="B1505" s="67" t="s">
        <v>1770</v>
      </c>
      <c r="C1505" s="55"/>
      <c r="D1505" s="41"/>
      <c r="E1505" s="55"/>
      <c r="F1505" s="55"/>
      <c r="G1505" s="55"/>
      <c r="H1505" s="51"/>
      <c r="I1505" s="52"/>
      <c r="J1505" s="74" t="s">
        <v>816</v>
      </c>
      <c r="K1505" s="57"/>
      <c r="L1505" s="75">
        <v>71.25</v>
      </c>
      <c r="M1505" s="60">
        <v>2</v>
      </c>
      <c r="N1505" s="76">
        <v>40</v>
      </c>
      <c r="O1505" s="42"/>
      <c r="P1505" s="58" t="s">
        <v>36</v>
      </c>
      <c r="Q1505" s="61"/>
      <c r="R1505" s="62"/>
      <c r="S1505" s="78">
        <f t="shared" si="69"/>
        <v>80</v>
      </c>
      <c r="T1505" s="44" t="str">
        <f t="shared" si="70"/>
        <v>80grams</v>
      </c>
      <c r="U1505" s="77">
        <f t="shared" si="71"/>
        <v>142.5</v>
      </c>
      <c r="V1505" s="46"/>
      <c r="W1505" s="46"/>
      <c r="X1505" s="46"/>
    </row>
    <row r="1506" spans="1:24" ht="15.75" customHeight="1" thickBot="1" x14ac:dyDescent="0.35">
      <c r="A1506" s="40"/>
      <c r="B1506" s="67" t="s">
        <v>1771</v>
      </c>
      <c r="C1506" s="55"/>
      <c r="D1506" s="41"/>
      <c r="E1506" s="55"/>
      <c r="F1506" s="55"/>
      <c r="G1506" s="55"/>
      <c r="H1506" s="51"/>
      <c r="I1506" s="52"/>
      <c r="J1506" s="74"/>
      <c r="K1506" s="57"/>
      <c r="L1506" s="75">
        <v>70</v>
      </c>
      <c r="M1506" s="60">
        <v>3</v>
      </c>
      <c r="N1506" s="76">
        <v>1</v>
      </c>
      <c r="O1506" s="42"/>
      <c r="P1506" s="58" t="s">
        <v>88</v>
      </c>
      <c r="Q1506" s="61"/>
      <c r="R1506" s="62"/>
      <c r="S1506" s="78">
        <f t="shared" si="69"/>
        <v>3</v>
      </c>
      <c r="T1506" s="44" t="str">
        <f t="shared" si="70"/>
        <v>3kilos</v>
      </c>
      <c r="U1506" s="77">
        <f t="shared" si="71"/>
        <v>210</v>
      </c>
      <c r="V1506" s="46"/>
      <c r="W1506" s="46"/>
      <c r="X1506" s="46"/>
    </row>
    <row r="1507" spans="1:24" ht="15.75" customHeight="1" thickBot="1" x14ac:dyDescent="0.35">
      <c r="A1507" s="40"/>
      <c r="B1507" s="67" t="s">
        <v>1771</v>
      </c>
      <c r="C1507" s="55"/>
      <c r="D1507" s="41"/>
      <c r="E1507" s="55"/>
      <c r="F1507" s="55"/>
      <c r="G1507" s="55"/>
      <c r="H1507" s="51"/>
      <c r="I1507" s="52"/>
      <c r="J1507" s="74"/>
      <c r="K1507" s="57"/>
      <c r="L1507" s="75">
        <v>40</v>
      </c>
      <c r="M1507" s="60">
        <v>4</v>
      </c>
      <c r="N1507" s="76">
        <v>1</v>
      </c>
      <c r="O1507" s="42"/>
      <c r="P1507" s="58" t="s">
        <v>88</v>
      </c>
      <c r="Q1507" s="61"/>
      <c r="R1507" s="62"/>
      <c r="S1507" s="78">
        <f t="shared" si="69"/>
        <v>4</v>
      </c>
      <c r="T1507" s="44" t="str">
        <f t="shared" si="70"/>
        <v>4kilos</v>
      </c>
      <c r="U1507" s="77">
        <f t="shared" si="71"/>
        <v>160</v>
      </c>
      <c r="V1507" s="46"/>
      <c r="W1507" s="46"/>
      <c r="X1507" s="46"/>
    </row>
    <row r="1508" spans="1:24" ht="15.75" customHeight="1" thickBot="1" x14ac:dyDescent="0.35">
      <c r="A1508" s="40"/>
      <c r="B1508" s="67" t="s">
        <v>1771</v>
      </c>
      <c r="C1508" s="55"/>
      <c r="D1508" s="41"/>
      <c r="E1508" s="55"/>
      <c r="F1508" s="55"/>
      <c r="G1508" s="55"/>
      <c r="H1508" s="51"/>
      <c r="I1508" s="52"/>
      <c r="J1508" s="74"/>
      <c r="K1508" s="57"/>
      <c r="L1508" s="75">
        <v>140</v>
      </c>
      <c r="M1508" s="60">
        <v>2</v>
      </c>
      <c r="N1508" s="76">
        <v>1</v>
      </c>
      <c r="O1508" s="42"/>
      <c r="P1508" s="58" t="s">
        <v>88</v>
      </c>
      <c r="Q1508" s="61"/>
      <c r="R1508" s="62"/>
      <c r="S1508" s="78">
        <f t="shared" si="69"/>
        <v>2</v>
      </c>
      <c r="T1508" s="44" t="str">
        <f t="shared" si="70"/>
        <v>2kilos</v>
      </c>
      <c r="U1508" s="77">
        <f t="shared" si="71"/>
        <v>280</v>
      </c>
      <c r="V1508" s="46"/>
      <c r="W1508" s="46"/>
      <c r="X1508" s="46"/>
    </row>
    <row r="1509" spans="1:24" ht="15.75" customHeight="1" thickBot="1" x14ac:dyDescent="0.35">
      <c r="A1509" s="40"/>
      <c r="B1509" s="67" t="s">
        <v>1772</v>
      </c>
      <c r="C1509" s="55"/>
      <c r="D1509" s="41"/>
      <c r="E1509" s="55"/>
      <c r="F1509" s="55"/>
      <c r="G1509" s="55"/>
      <c r="H1509" s="51"/>
      <c r="I1509" s="52"/>
      <c r="J1509" s="74"/>
      <c r="K1509" s="57"/>
      <c r="L1509" s="75">
        <v>270</v>
      </c>
      <c r="M1509" s="60">
        <v>1</v>
      </c>
      <c r="N1509" s="76">
        <v>1</v>
      </c>
      <c r="O1509" s="42"/>
      <c r="P1509" s="58" t="s">
        <v>88</v>
      </c>
      <c r="Q1509" s="61"/>
      <c r="R1509" s="62"/>
      <c r="S1509" s="78">
        <f t="shared" si="69"/>
        <v>1</v>
      </c>
      <c r="T1509" s="44" t="str">
        <f t="shared" si="70"/>
        <v>1kilos</v>
      </c>
      <c r="U1509" s="77">
        <f t="shared" si="71"/>
        <v>270</v>
      </c>
      <c r="V1509" s="46"/>
      <c r="W1509" s="46"/>
      <c r="X1509" s="46"/>
    </row>
    <row r="1510" spans="1:24" ht="15.75" customHeight="1" thickBot="1" x14ac:dyDescent="0.35">
      <c r="A1510" s="40"/>
      <c r="B1510" s="67" t="s">
        <v>1773</v>
      </c>
      <c r="C1510" s="55"/>
      <c r="D1510" s="41"/>
      <c r="E1510" s="55"/>
      <c r="F1510" s="55"/>
      <c r="G1510" s="55"/>
      <c r="H1510" s="51"/>
      <c r="I1510" s="52"/>
      <c r="J1510" s="74"/>
      <c r="K1510" s="57"/>
      <c r="L1510" s="75">
        <v>100</v>
      </c>
      <c r="M1510" s="60">
        <v>0</v>
      </c>
      <c r="N1510" s="76">
        <v>1</v>
      </c>
      <c r="O1510" s="42"/>
      <c r="P1510" s="58" t="s">
        <v>88</v>
      </c>
      <c r="Q1510" s="61"/>
      <c r="R1510" s="62"/>
      <c r="S1510" s="78">
        <f t="shared" si="69"/>
        <v>0</v>
      </c>
      <c r="T1510" s="44" t="str">
        <f t="shared" si="70"/>
        <v>0kilos</v>
      </c>
      <c r="U1510" s="77">
        <f t="shared" si="71"/>
        <v>0</v>
      </c>
      <c r="V1510" s="46"/>
      <c r="W1510" s="46"/>
      <c r="X1510" s="46"/>
    </row>
    <row r="1511" spans="1:24" ht="15.75" customHeight="1" thickBot="1" x14ac:dyDescent="0.35">
      <c r="A1511" s="40"/>
      <c r="B1511" s="67" t="s">
        <v>1773</v>
      </c>
      <c r="C1511" s="55"/>
      <c r="D1511" s="41"/>
      <c r="E1511" s="55"/>
      <c r="F1511" s="55"/>
      <c r="G1511" s="55"/>
      <c r="H1511" s="51"/>
      <c r="I1511" s="52"/>
      <c r="J1511" s="74"/>
      <c r="K1511" s="57"/>
      <c r="L1511" s="75">
        <v>7.5</v>
      </c>
      <c r="M1511" s="60">
        <v>11</v>
      </c>
      <c r="N1511" s="76">
        <v>1</v>
      </c>
      <c r="O1511" s="42"/>
      <c r="P1511" s="58" t="s">
        <v>88</v>
      </c>
      <c r="Q1511" s="61"/>
      <c r="R1511" s="62"/>
      <c r="S1511" s="78">
        <f t="shared" si="69"/>
        <v>11</v>
      </c>
      <c r="T1511" s="44" t="str">
        <f t="shared" si="70"/>
        <v>11kilos</v>
      </c>
      <c r="U1511" s="77">
        <f t="shared" si="71"/>
        <v>82.5</v>
      </c>
      <c r="V1511" s="46"/>
      <c r="W1511" s="46"/>
      <c r="X1511" s="46"/>
    </row>
    <row r="1512" spans="1:24" ht="15.75" customHeight="1" thickBot="1" x14ac:dyDescent="0.35">
      <c r="A1512" s="40"/>
      <c r="B1512" s="67" t="s">
        <v>1773</v>
      </c>
      <c r="C1512" s="55"/>
      <c r="D1512" s="41"/>
      <c r="E1512" s="55"/>
      <c r="F1512" s="55"/>
      <c r="G1512" s="55"/>
      <c r="H1512" s="51"/>
      <c r="I1512" s="52"/>
      <c r="J1512" s="74"/>
      <c r="K1512" s="57"/>
      <c r="L1512" s="75">
        <v>60</v>
      </c>
      <c r="M1512" s="60">
        <v>0</v>
      </c>
      <c r="N1512" s="76">
        <v>1</v>
      </c>
      <c r="O1512" s="42"/>
      <c r="P1512" s="58" t="s">
        <v>1293</v>
      </c>
      <c r="Q1512" s="61"/>
      <c r="R1512" s="62"/>
      <c r="S1512" s="78">
        <f t="shared" si="69"/>
        <v>0</v>
      </c>
      <c r="T1512" s="44" t="str">
        <f t="shared" si="70"/>
        <v>0bundle</v>
      </c>
      <c r="U1512" s="77">
        <f t="shared" si="71"/>
        <v>0</v>
      </c>
      <c r="V1512" s="46"/>
      <c r="W1512" s="46"/>
      <c r="X1512" s="46"/>
    </row>
    <row r="1513" spans="1:24" ht="15.75" customHeight="1" thickBot="1" x14ac:dyDescent="0.35">
      <c r="A1513" s="40"/>
      <c r="B1513" s="67" t="s">
        <v>1773</v>
      </c>
      <c r="C1513" s="55"/>
      <c r="D1513" s="41"/>
      <c r="E1513" s="55"/>
      <c r="F1513" s="55"/>
      <c r="G1513" s="55"/>
      <c r="H1513" s="51"/>
      <c r="I1513" s="52"/>
      <c r="J1513" s="74" t="s">
        <v>874</v>
      </c>
      <c r="K1513" s="57"/>
      <c r="L1513" s="75">
        <v>160</v>
      </c>
      <c r="M1513" s="60">
        <v>1</v>
      </c>
      <c r="N1513" s="76">
        <v>1</v>
      </c>
      <c r="O1513" s="42"/>
      <c r="P1513" s="58" t="s">
        <v>88</v>
      </c>
      <c r="Q1513" s="61"/>
      <c r="R1513" s="62"/>
      <c r="S1513" s="78">
        <f t="shared" si="69"/>
        <v>1</v>
      </c>
      <c r="T1513" s="44" t="str">
        <f t="shared" si="70"/>
        <v>1kilos</v>
      </c>
      <c r="U1513" s="77">
        <f t="shared" si="71"/>
        <v>160</v>
      </c>
      <c r="V1513" s="46"/>
      <c r="W1513" s="46"/>
      <c r="X1513" s="46"/>
    </row>
    <row r="1514" spans="1:24" ht="15.75" customHeight="1" thickBot="1" x14ac:dyDescent="0.35">
      <c r="A1514" s="40"/>
      <c r="B1514" s="67" t="s">
        <v>726</v>
      </c>
      <c r="C1514" s="55"/>
      <c r="D1514" s="41"/>
      <c r="E1514" s="55"/>
      <c r="F1514" s="55"/>
      <c r="G1514" s="55"/>
      <c r="H1514" s="51"/>
      <c r="I1514" s="52"/>
      <c r="J1514" s="74"/>
      <c r="K1514" s="57"/>
      <c r="L1514" s="75">
        <v>420</v>
      </c>
      <c r="M1514" s="60">
        <v>3</v>
      </c>
      <c r="N1514" s="76">
        <v>1</v>
      </c>
      <c r="O1514" s="42"/>
      <c r="P1514" s="58" t="s">
        <v>88</v>
      </c>
      <c r="Q1514" s="61"/>
      <c r="R1514" s="62"/>
      <c r="S1514" s="78">
        <f t="shared" si="69"/>
        <v>3</v>
      </c>
      <c r="T1514" s="44" t="str">
        <f t="shared" si="70"/>
        <v>3kilos</v>
      </c>
      <c r="U1514" s="77">
        <f t="shared" si="71"/>
        <v>1260</v>
      </c>
      <c r="V1514" s="46"/>
      <c r="W1514" s="46"/>
      <c r="X1514" s="46"/>
    </row>
    <row r="1515" spans="1:24" ht="15.75" customHeight="1" thickBot="1" x14ac:dyDescent="0.35">
      <c r="A1515" s="40"/>
      <c r="B1515" s="67" t="s">
        <v>1774</v>
      </c>
      <c r="C1515" s="55"/>
      <c r="D1515" s="41"/>
      <c r="E1515" s="55"/>
      <c r="F1515" s="55"/>
      <c r="G1515" s="55"/>
      <c r="H1515" s="51"/>
      <c r="I1515" s="52"/>
      <c r="J1515" s="74" t="s">
        <v>816</v>
      </c>
      <c r="K1515" s="57"/>
      <c r="L1515" s="75">
        <v>83</v>
      </c>
      <c r="M1515" s="60">
        <v>1</v>
      </c>
      <c r="N1515" s="76">
        <v>5</v>
      </c>
      <c r="O1515" s="42"/>
      <c r="P1515" s="58" t="s">
        <v>36</v>
      </c>
      <c r="Q1515" s="61"/>
      <c r="R1515" s="62"/>
      <c r="S1515" s="78">
        <f t="shared" si="69"/>
        <v>5</v>
      </c>
      <c r="T1515" s="44" t="str">
        <f t="shared" si="70"/>
        <v>5grams</v>
      </c>
      <c r="U1515" s="77">
        <f t="shared" si="71"/>
        <v>83</v>
      </c>
      <c r="V1515" s="46"/>
      <c r="W1515" s="46"/>
      <c r="X1515" s="46"/>
    </row>
    <row r="1516" spans="1:24" ht="15.75" customHeight="1" thickBot="1" x14ac:dyDescent="0.35">
      <c r="A1516" s="40"/>
      <c r="B1516" s="67" t="s">
        <v>1774</v>
      </c>
      <c r="C1516" s="55"/>
      <c r="D1516" s="41"/>
      <c r="E1516" s="55"/>
      <c r="F1516" s="55"/>
      <c r="G1516" s="55"/>
      <c r="H1516" s="51"/>
      <c r="I1516" s="52"/>
      <c r="J1516" s="74" t="s">
        <v>816</v>
      </c>
      <c r="K1516" s="57"/>
      <c r="L1516" s="75">
        <v>37</v>
      </c>
      <c r="M1516" s="60">
        <v>1</v>
      </c>
      <c r="N1516" s="76">
        <v>5</v>
      </c>
      <c r="O1516" s="42"/>
      <c r="P1516" s="58" t="s">
        <v>36</v>
      </c>
      <c r="Q1516" s="61"/>
      <c r="R1516" s="62"/>
      <c r="S1516" s="78">
        <f t="shared" si="69"/>
        <v>5</v>
      </c>
      <c r="T1516" s="44" t="str">
        <f t="shared" si="70"/>
        <v>5grams</v>
      </c>
      <c r="U1516" s="77">
        <f t="shared" si="71"/>
        <v>37</v>
      </c>
      <c r="V1516" s="46"/>
      <c r="W1516" s="46"/>
      <c r="X1516" s="46"/>
    </row>
    <row r="1517" spans="1:24" ht="15.75" customHeight="1" thickBot="1" x14ac:dyDescent="0.35">
      <c r="A1517" s="40"/>
      <c r="B1517" s="67" t="s">
        <v>1775</v>
      </c>
      <c r="C1517" s="55"/>
      <c r="D1517" s="41"/>
      <c r="E1517" s="55"/>
      <c r="F1517" s="55"/>
      <c r="G1517" s="55"/>
      <c r="H1517" s="51"/>
      <c r="I1517" s="52"/>
      <c r="J1517" s="74" t="s">
        <v>1776</v>
      </c>
      <c r="K1517" s="57"/>
      <c r="L1517" s="75">
        <v>15</v>
      </c>
      <c r="M1517" s="60">
        <v>21</v>
      </c>
      <c r="N1517" s="76">
        <v>1</v>
      </c>
      <c r="O1517" s="42"/>
      <c r="P1517" s="58" t="s">
        <v>38</v>
      </c>
      <c r="Q1517" s="61"/>
      <c r="R1517" s="62"/>
      <c r="S1517" s="78">
        <f t="shared" si="69"/>
        <v>21</v>
      </c>
      <c r="T1517" s="44" t="str">
        <f t="shared" si="70"/>
        <v>21pieces</v>
      </c>
      <c r="U1517" s="77">
        <f t="shared" si="71"/>
        <v>315</v>
      </c>
      <c r="V1517" s="46"/>
      <c r="W1517" s="46"/>
      <c r="X1517" s="46"/>
    </row>
    <row r="1518" spans="1:24" ht="15.75" customHeight="1" thickBot="1" x14ac:dyDescent="0.35">
      <c r="A1518" s="40"/>
      <c r="B1518" s="67" t="s">
        <v>1775</v>
      </c>
      <c r="C1518" s="55"/>
      <c r="D1518" s="41"/>
      <c r="E1518" s="55"/>
      <c r="F1518" s="55"/>
      <c r="G1518" s="55"/>
      <c r="H1518" s="51"/>
      <c r="I1518" s="52"/>
      <c r="J1518" s="74" t="s">
        <v>1777</v>
      </c>
      <c r="K1518" s="57"/>
      <c r="L1518" s="75">
        <v>15</v>
      </c>
      <c r="M1518" s="60">
        <v>6</v>
      </c>
      <c r="N1518" s="76">
        <v>1</v>
      </c>
      <c r="O1518" s="42"/>
      <c r="P1518" s="58" t="s">
        <v>38</v>
      </c>
      <c r="Q1518" s="61"/>
      <c r="R1518" s="62"/>
      <c r="S1518" s="78">
        <f t="shared" si="69"/>
        <v>6</v>
      </c>
      <c r="T1518" s="44" t="str">
        <f t="shared" si="70"/>
        <v>6pieces</v>
      </c>
      <c r="U1518" s="77">
        <f t="shared" si="71"/>
        <v>90</v>
      </c>
      <c r="V1518" s="46"/>
      <c r="W1518" s="46"/>
      <c r="X1518" s="46"/>
    </row>
    <row r="1519" spans="1:24" ht="15.75" customHeight="1" thickBot="1" x14ac:dyDescent="0.35">
      <c r="A1519" s="40"/>
      <c r="B1519" s="67" t="s">
        <v>1778</v>
      </c>
      <c r="C1519" s="55"/>
      <c r="D1519" s="41"/>
      <c r="E1519" s="55"/>
      <c r="F1519" s="55"/>
      <c r="G1519" s="55"/>
      <c r="H1519" s="51"/>
      <c r="I1519" s="52"/>
      <c r="J1519" s="74" t="s">
        <v>1779</v>
      </c>
      <c r="K1519" s="57"/>
      <c r="L1519" s="75">
        <v>8.59</v>
      </c>
      <c r="M1519" s="60">
        <v>15</v>
      </c>
      <c r="N1519" s="76">
        <v>2</v>
      </c>
      <c r="O1519" s="42"/>
      <c r="P1519" s="58" t="s">
        <v>36</v>
      </c>
      <c r="Q1519" s="61"/>
      <c r="R1519" s="62"/>
      <c r="S1519" s="78">
        <f t="shared" si="69"/>
        <v>30</v>
      </c>
      <c r="T1519" s="44" t="str">
        <f t="shared" si="70"/>
        <v>30grams</v>
      </c>
      <c r="U1519" s="77">
        <f t="shared" si="71"/>
        <v>128.85</v>
      </c>
      <c r="V1519" s="46"/>
      <c r="W1519" s="46"/>
      <c r="X1519" s="46"/>
    </row>
    <row r="1520" spans="1:24" ht="15.75" customHeight="1" thickBot="1" x14ac:dyDescent="0.35">
      <c r="A1520" s="40"/>
      <c r="B1520" s="67" t="s">
        <v>1778</v>
      </c>
      <c r="C1520" s="55"/>
      <c r="D1520" s="41"/>
      <c r="E1520" s="55"/>
      <c r="F1520" s="55"/>
      <c r="G1520" s="55"/>
      <c r="H1520" s="51"/>
      <c r="I1520" s="52"/>
      <c r="J1520" s="74" t="s">
        <v>1779</v>
      </c>
      <c r="K1520" s="57"/>
      <c r="L1520" s="75">
        <v>5.44</v>
      </c>
      <c r="M1520" s="60">
        <v>150</v>
      </c>
      <c r="N1520" s="76">
        <v>1.5</v>
      </c>
      <c r="O1520" s="42"/>
      <c r="P1520" s="58" t="s">
        <v>36</v>
      </c>
      <c r="Q1520" s="61"/>
      <c r="R1520" s="62"/>
      <c r="S1520" s="78">
        <f t="shared" si="69"/>
        <v>225</v>
      </c>
      <c r="T1520" s="44" t="str">
        <f t="shared" si="70"/>
        <v>225grams</v>
      </c>
      <c r="U1520" s="77">
        <f t="shared" si="71"/>
        <v>816.00000000000011</v>
      </c>
      <c r="V1520" s="46"/>
      <c r="W1520" s="46"/>
      <c r="X1520" s="46"/>
    </row>
    <row r="1521" spans="1:24" ht="15.75" customHeight="1" thickBot="1" x14ac:dyDescent="0.35">
      <c r="A1521" s="40"/>
      <c r="B1521" s="67" t="s">
        <v>1778</v>
      </c>
      <c r="C1521" s="55"/>
      <c r="D1521" s="41"/>
      <c r="E1521" s="55"/>
      <c r="F1521" s="55"/>
      <c r="G1521" s="55"/>
      <c r="H1521" s="51"/>
      <c r="I1521" s="52"/>
      <c r="J1521" s="74" t="s">
        <v>1779</v>
      </c>
      <c r="K1521" s="57"/>
      <c r="L1521" s="75">
        <v>8.59</v>
      </c>
      <c r="M1521" s="60">
        <v>6</v>
      </c>
      <c r="N1521" s="76">
        <v>2</v>
      </c>
      <c r="O1521" s="42"/>
      <c r="P1521" s="58" t="s">
        <v>36</v>
      </c>
      <c r="Q1521" s="61"/>
      <c r="R1521" s="62"/>
      <c r="S1521" s="78">
        <f t="shared" si="69"/>
        <v>12</v>
      </c>
      <c r="T1521" s="44" t="str">
        <f t="shared" si="70"/>
        <v>12grams</v>
      </c>
      <c r="U1521" s="77">
        <f t="shared" si="71"/>
        <v>51.54</v>
      </c>
      <c r="V1521" s="46"/>
      <c r="W1521" s="46"/>
      <c r="X1521" s="46"/>
    </row>
    <row r="1522" spans="1:24" ht="15.75" customHeight="1" thickBot="1" x14ac:dyDescent="0.35">
      <c r="A1522" s="40"/>
      <c r="B1522" s="67" t="s">
        <v>1778</v>
      </c>
      <c r="C1522" s="55"/>
      <c r="D1522" s="41"/>
      <c r="E1522" s="55"/>
      <c r="F1522" s="55"/>
      <c r="G1522" s="55"/>
      <c r="H1522" s="51"/>
      <c r="I1522" s="52"/>
      <c r="J1522" s="74" t="s">
        <v>1779</v>
      </c>
      <c r="K1522" s="57"/>
      <c r="L1522" s="75">
        <v>9.99</v>
      </c>
      <c r="M1522" s="60">
        <v>2</v>
      </c>
      <c r="N1522" s="76">
        <v>1.5</v>
      </c>
      <c r="O1522" s="42"/>
      <c r="P1522" s="58" t="s">
        <v>36</v>
      </c>
      <c r="Q1522" s="61"/>
      <c r="R1522" s="62"/>
      <c r="S1522" s="78">
        <f t="shared" si="69"/>
        <v>3</v>
      </c>
      <c r="T1522" s="44" t="str">
        <f t="shared" si="70"/>
        <v>3grams</v>
      </c>
      <c r="U1522" s="77">
        <f t="shared" si="71"/>
        <v>19.98</v>
      </c>
      <c r="V1522" s="46"/>
      <c r="W1522" s="46"/>
      <c r="X1522" s="46"/>
    </row>
    <row r="1523" spans="1:24" ht="15.75" customHeight="1" thickBot="1" x14ac:dyDescent="0.35">
      <c r="A1523" s="40"/>
      <c r="B1523" s="67" t="s">
        <v>1780</v>
      </c>
      <c r="C1523" s="55"/>
      <c r="D1523" s="41"/>
      <c r="E1523" s="55"/>
      <c r="F1523" s="55"/>
      <c r="G1523" s="55"/>
      <c r="H1523" s="51"/>
      <c r="I1523" s="52"/>
      <c r="J1523" s="74" t="s">
        <v>1779</v>
      </c>
      <c r="K1523" s="57"/>
      <c r="L1523" s="75">
        <v>4.8600000000000003</v>
      </c>
      <c r="M1523" s="60">
        <v>46</v>
      </c>
      <c r="N1523" s="76">
        <v>2</v>
      </c>
      <c r="O1523" s="42"/>
      <c r="P1523" s="58" t="s">
        <v>36</v>
      </c>
      <c r="Q1523" s="61"/>
      <c r="R1523" s="62"/>
      <c r="S1523" s="78">
        <f t="shared" si="69"/>
        <v>92</v>
      </c>
      <c r="T1523" s="44" t="str">
        <f t="shared" si="70"/>
        <v>92grams</v>
      </c>
      <c r="U1523" s="77">
        <f t="shared" si="71"/>
        <v>223.56</v>
      </c>
      <c r="V1523" s="46"/>
      <c r="W1523" s="46"/>
      <c r="X1523" s="46"/>
    </row>
    <row r="1524" spans="1:24" ht="15.75" customHeight="1" thickBot="1" x14ac:dyDescent="0.35">
      <c r="A1524" s="40"/>
      <c r="B1524" s="67" t="s">
        <v>1780</v>
      </c>
      <c r="C1524" s="55"/>
      <c r="D1524" s="41"/>
      <c r="E1524" s="55"/>
      <c r="F1524" s="55"/>
      <c r="G1524" s="55"/>
      <c r="H1524" s="51"/>
      <c r="I1524" s="52"/>
      <c r="J1524" s="74" t="s">
        <v>1779</v>
      </c>
      <c r="K1524" s="57"/>
      <c r="L1524" s="75">
        <v>10.09</v>
      </c>
      <c r="M1524" s="60">
        <v>217</v>
      </c>
      <c r="N1524" s="76">
        <v>2</v>
      </c>
      <c r="O1524" s="42"/>
      <c r="P1524" s="58" t="s">
        <v>36</v>
      </c>
      <c r="Q1524" s="61"/>
      <c r="R1524" s="62"/>
      <c r="S1524" s="78">
        <f t="shared" si="69"/>
        <v>434</v>
      </c>
      <c r="T1524" s="44" t="str">
        <f t="shared" si="70"/>
        <v>434grams</v>
      </c>
      <c r="U1524" s="77">
        <f t="shared" si="71"/>
        <v>2189.5299999999997</v>
      </c>
      <c r="V1524" s="46"/>
      <c r="W1524" s="46"/>
      <c r="X1524" s="46"/>
    </row>
    <row r="1525" spans="1:24" ht="15.75" customHeight="1" thickBot="1" x14ac:dyDescent="0.35">
      <c r="A1525" s="40"/>
      <c r="B1525" s="67" t="s">
        <v>1780</v>
      </c>
      <c r="C1525" s="55"/>
      <c r="D1525" s="41"/>
      <c r="E1525" s="55"/>
      <c r="F1525" s="55"/>
      <c r="G1525" s="55"/>
      <c r="H1525" s="51"/>
      <c r="I1525" s="52"/>
      <c r="J1525" s="74" t="s">
        <v>1779</v>
      </c>
      <c r="K1525" s="57"/>
      <c r="L1525" s="75">
        <v>4.79</v>
      </c>
      <c r="M1525" s="60">
        <v>62</v>
      </c>
      <c r="N1525" s="76">
        <v>2</v>
      </c>
      <c r="O1525" s="42"/>
      <c r="P1525" s="58" t="s">
        <v>36</v>
      </c>
      <c r="Q1525" s="61"/>
      <c r="R1525" s="62"/>
      <c r="S1525" s="78">
        <f t="shared" si="69"/>
        <v>124</v>
      </c>
      <c r="T1525" s="44" t="str">
        <f t="shared" si="70"/>
        <v>124grams</v>
      </c>
      <c r="U1525" s="77">
        <f t="shared" si="71"/>
        <v>296.98</v>
      </c>
      <c r="V1525" s="46"/>
      <c r="W1525" s="46"/>
      <c r="X1525" s="46"/>
    </row>
    <row r="1526" spans="1:24" ht="15.75" customHeight="1" thickBot="1" x14ac:dyDescent="0.35">
      <c r="A1526" s="40"/>
      <c r="B1526" s="68" t="s">
        <v>1781</v>
      </c>
      <c r="C1526" s="55"/>
      <c r="D1526" s="41"/>
      <c r="E1526" s="55"/>
      <c r="F1526" s="55"/>
      <c r="G1526" s="55"/>
      <c r="H1526" s="51"/>
      <c r="I1526" s="52"/>
      <c r="J1526" s="74" t="s">
        <v>1782</v>
      </c>
      <c r="K1526" s="57"/>
      <c r="L1526" s="75">
        <v>220</v>
      </c>
      <c r="M1526" s="60">
        <v>1</v>
      </c>
      <c r="N1526" s="76">
        <v>700</v>
      </c>
      <c r="O1526" s="42"/>
      <c r="P1526" s="58" t="s">
        <v>36</v>
      </c>
      <c r="Q1526" s="61"/>
      <c r="R1526" s="62"/>
      <c r="S1526" s="78">
        <f t="shared" ref="S1526:S1589" si="72">M1526*N1526</f>
        <v>700</v>
      </c>
      <c r="T1526" s="44" t="str">
        <f t="shared" ref="T1526:T1589" si="73">CONCATENATE(S1526,Q1526,P1526)</f>
        <v>700grams</v>
      </c>
      <c r="U1526" s="77">
        <f t="shared" ref="U1526:U1589" si="74">L1526*M1526</f>
        <v>220</v>
      </c>
      <c r="V1526" s="46"/>
      <c r="W1526" s="46"/>
      <c r="X1526" s="46"/>
    </row>
    <row r="1527" spans="1:24" ht="15.75" customHeight="1" thickBot="1" x14ac:dyDescent="0.35">
      <c r="A1527" s="40"/>
      <c r="B1527" s="67" t="s">
        <v>731</v>
      </c>
      <c r="C1527" s="55"/>
      <c r="D1527" s="41"/>
      <c r="E1527" s="55"/>
      <c r="F1527" s="55"/>
      <c r="G1527" s="55"/>
      <c r="H1527" s="51"/>
      <c r="I1527" s="52"/>
      <c r="J1527" s="74" t="s">
        <v>829</v>
      </c>
      <c r="K1527" s="57"/>
      <c r="L1527" s="75">
        <v>80</v>
      </c>
      <c r="M1527" s="60">
        <v>2</v>
      </c>
      <c r="N1527" s="76">
        <v>500</v>
      </c>
      <c r="O1527" s="42"/>
      <c r="P1527" s="58" t="s">
        <v>36</v>
      </c>
      <c r="Q1527" s="61"/>
      <c r="R1527" s="62"/>
      <c r="S1527" s="78">
        <f t="shared" si="72"/>
        <v>1000</v>
      </c>
      <c r="T1527" s="44" t="str">
        <f t="shared" si="73"/>
        <v>1000grams</v>
      </c>
      <c r="U1527" s="77">
        <f t="shared" si="74"/>
        <v>160</v>
      </c>
      <c r="V1527" s="46"/>
      <c r="W1527" s="46"/>
      <c r="X1527" s="46"/>
    </row>
    <row r="1528" spans="1:24" ht="15.75" customHeight="1" thickBot="1" x14ac:dyDescent="0.35">
      <c r="A1528" s="40"/>
      <c r="B1528" s="67" t="s">
        <v>1783</v>
      </c>
      <c r="C1528" s="55"/>
      <c r="D1528" s="41"/>
      <c r="E1528" s="55"/>
      <c r="F1528" s="55"/>
      <c r="G1528" s="55"/>
      <c r="H1528" s="51"/>
      <c r="I1528" s="52"/>
      <c r="J1528" s="74" t="s">
        <v>1321</v>
      </c>
      <c r="K1528" s="57"/>
      <c r="L1528" s="75">
        <v>289</v>
      </c>
      <c r="M1528" s="60">
        <v>1</v>
      </c>
      <c r="N1528" s="76">
        <v>1</v>
      </c>
      <c r="O1528" s="42"/>
      <c r="P1528" s="58" t="s">
        <v>685</v>
      </c>
      <c r="Q1528" s="61"/>
      <c r="R1528" s="62"/>
      <c r="S1528" s="78">
        <f t="shared" si="72"/>
        <v>1</v>
      </c>
      <c r="T1528" s="44" t="str">
        <f t="shared" si="73"/>
        <v>1liters</v>
      </c>
      <c r="U1528" s="77">
        <f t="shared" si="74"/>
        <v>289</v>
      </c>
      <c r="V1528" s="46"/>
      <c r="W1528" s="46"/>
      <c r="X1528" s="46"/>
    </row>
    <row r="1529" spans="1:24" ht="15.75" customHeight="1" thickBot="1" x14ac:dyDescent="0.35">
      <c r="A1529" s="40"/>
      <c r="B1529" s="68" t="s">
        <v>1783</v>
      </c>
      <c r="C1529" s="55"/>
      <c r="D1529" s="41"/>
      <c r="E1529" s="55"/>
      <c r="F1529" s="55"/>
      <c r="G1529" s="55"/>
      <c r="H1529" s="51"/>
      <c r="I1529" s="52"/>
      <c r="J1529" s="74" t="s">
        <v>1321</v>
      </c>
      <c r="K1529" s="57"/>
      <c r="L1529" s="75">
        <v>315</v>
      </c>
      <c r="M1529" s="60">
        <v>1</v>
      </c>
      <c r="N1529" s="76">
        <v>1</v>
      </c>
      <c r="O1529" s="42"/>
      <c r="P1529" s="58" t="s">
        <v>685</v>
      </c>
      <c r="Q1529" s="61"/>
      <c r="R1529" s="62"/>
      <c r="S1529" s="78">
        <f t="shared" si="72"/>
        <v>1</v>
      </c>
      <c r="T1529" s="44" t="str">
        <f t="shared" si="73"/>
        <v>1liters</v>
      </c>
      <c r="U1529" s="77">
        <f t="shared" si="74"/>
        <v>315</v>
      </c>
      <c r="V1529" s="46"/>
      <c r="W1529" s="46"/>
      <c r="X1529" s="46"/>
    </row>
    <row r="1530" spans="1:24" ht="15.75" customHeight="1" thickBot="1" x14ac:dyDescent="0.35">
      <c r="A1530" s="40"/>
      <c r="B1530" s="67" t="s">
        <v>1784</v>
      </c>
      <c r="C1530" s="55"/>
      <c r="D1530" s="41"/>
      <c r="E1530" s="55"/>
      <c r="F1530" s="55"/>
      <c r="G1530" s="55"/>
      <c r="H1530" s="51"/>
      <c r="I1530" s="52"/>
      <c r="J1530" s="74" t="s">
        <v>1785</v>
      </c>
      <c r="K1530" s="57"/>
      <c r="L1530" s="75">
        <v>8.86</v>
      </c>
      <c r="M1530" s="60">
        <v>20</v>
      </c>
      <c r="N1530" s="76">
        <v>250</v>
      </c>
      <c r="O1530" s="42"/>
      <c r="P1530" s="58" t="s">
        <v>47</v>
      </c>
      <c r="Q1530" s="61"/>
      <c r="R1530" s="62"/>
      <c r="S1530" s="78">
        <f t="shared" si="72"/>
        <v>5000</v>
      </c>
      <c r="T1530" s="44" t="str">
        <f t="shared" si="73"/>
        <v>5000ml</v>
      </c>
      <c r="U1530" s="77">
        <f t="shared" si="74"/>
        <v>177.2</v>
      </c>
      <c r="V1530" s="46"/>
      <c r="W1530" s="46"/>
      <c r="X1530" s="46"/>
    </row>
    <row r="1531" spans="1:24" ht="15.75" customHeight="1" thickBot="1" x14ac:dyDescent="0.35">
      <c r="A1531" s="40"/>
      <c r="B1531" s="67" t="s">
        <v>1786</v>
      </c>
      <c r="C1531" s="55"/>
      <c r="D1531" s="41"/>
      <c r="E1531" s="55"/>
      <c r="F1531" s="55"/>
      <c r="G1531" s="55"/>
      <c r="H1531" s="51"/>
      <c r="I1531" s="52"/>
      <c r="J1531" s="74" t="s">
        <v>1785</v>
      </c>
      <c r="K1531" s="57"/>
      <c r="L1531" s="75">
        <v>9.74</v>
      </c>
      <c r="M1531" s="60">
        <v>20</v>
      </c>
      <c r="N1531" s="76">
        <v>250</v>
      </c>
      <c r="O1531" s="42"/>
      <c r="P1531" s="58" t="s">
        <v>47</v>
      </c>
      <c r="Q1531" s="61"/>
      <c r="R1531" s="62"/>
      <c r="S1531" s="78">
        <f t="shared" si="72"/>
        <v>5000</v>
      </c>
      <c r="T1531" s="44" t="str">
        <f t="shared" si="73"/>
        <v>5000ml</v>
      </c>
      <c r="U1531" s="77">
        <f t="shared" si="74"/>
        <v>194.8</v>
      </c>
      <c r="V1531" s="46"/>
      <c r="W1531" s="46"/>
      <c r="X1531" s="46"/>
    </row>
    <row r="1532" spans="1:24" ht="15.75" customHeight="1" thickBot="1" x14ac:dyDescent="0.35">
      <c r="A1532" s="40"/>
      <c r="B1532" s="67" t="s">
        <v>1787</v>
      </c>
      <c r="C1532" s="55"/>
      <c r="D1532" s="41"/>
      <c r="E1532" s="55"/>
      <c r="F1532" s="55"/>
      <c r="G1532" s="55"/>
      <c r="H1532" s="51"/>
      <c r="I1532" s="52"/>
      <c r="J1532" s="74" t="s">
        <v>1785</v>
      </c>
      <c r="K1532" s="57"/>
      <c r="L1532" s="75">
        <v>8.86</v>
      </c>
      <c r="M1532" s="60">
        <v>20</v>
      </c>
      <c r="N1532" s="76">
        <v>250</v>
      </c>
      <c r="O1532" s="42"/>
      <c r="P1532" s="58" t="s">
        <v>47</v>
      </c>
      <c r="Q1532" s="61"/>
      <c r="R1532" s="62"/>
      <c r="S1532" s="78">
        <f t="shared" si="72"/>
        <v>5000</v>
      </c>
      <c r="T1532" s="44" t="str">
        <f t="shared" si="73"/>
        <v>5000ml</v>
      </c>
      <c r="U1532" s="77">
        <f t="shared" si="74"/>
        <v>177.2</v>
      </c>
      <c r="V1532" s="46"/>
      <c r="W1532" s="46"/>
      <c r="X1532" s="46"/>
    </row>
    <row r="1533" spans="1:24" ht="15.75" customHeight="1" thickBot="1" x14ac:dyDescent="0.35">
      <c r="A1533" s="40"/>
      <c r="B1533" s="67" t="s">
        <v>1788</v>
      </c>
      <c r="C1533" s="55"/>
      <c r="D1533" s="41"/>
      <c r="E1533" s="55"/>
      <c r="F1533" s="55"/>
      <c r="G1533" s="55"/>
      <c r="H1533" s="51"/>
      <c r="I1533" s="52"/>
      <c r="J1533" s="74" t="s">
        <v>816</v>
      </c>
      <c r="K1533" s="57"/>
      <c r="L1533" s="75">
        <v>66</v>
      </c>
      <c r="M1533" s="60">
        <v>1</v>
      </c>
      <c r="N1533" s="76">
        <v>14</v>
      </c>
      <c r="O1533" s="42"/>
      <c r="P1533" s="58" t="s">
        <v>36</v>
      </c>
      <c r="Q1533" s="61"/>
      <c r="R1533" s="62"/>
      <c r="S1533" s="78">
        <f t="shared" si="72"/>
        <v>14</v>
      </c>
      <c r="T1533" s="44" t="str">
        <f t="shared" si="73"/>
        <v>14grams</v>
      </c>
      <c r="U1533" s="77">
        <f t="shared" si="74"/>
        <v>66</v>
      </c>
      <c r="V1533" s="46"/>
      <c r="W1533" s="46"/>
      <c r="X1533" s="46"/>
    </row>
    <row r="1534" spans="1:24" ht="15.75" customHeight="1" thickBot="1" x14ac:dyDescent="0.35">
      <c r="A1534" s="40"/>
      <c r="B1534" s="68" t="s">
        <v>1788</v>
      </c>
      <c r="C1534" s="55"/>
      <c r="D1534" s="41"/>
      <c r="E1534" s="55"/>
      <c r="F1534" s="55"/>
      <c r="G1534" s="55"/>
      <c r="H1534" s="51"/>
      <c r="I1534" s="52"/>
      <c r="J1534" s="74" t="s">
        <v>816</v>
      </c>
      <c r="K1534" s="57"/>
      <c r="L1534" s="75">
        <v>57</v>
      </c>
      <c r="M1534" s="60">
        <v>1</v>
      </c>
      <c r="N1534" s="76">
        <v>14</v>
      </c>
      <c r="O1534" s="42"/>
      <c r="P1534" s="58" t="s">
        <v>36</v>
      </c>
      <c r="Q1534" s="61"/>
      <c r="R1534" s="62"/>
      <c r="S1534" s="78">
        <f t="shared" si="72"/>
        <v>14</v>
      </c>
      <c r="T1534" s="44" t="str">
        <f t="shared" si="73"/>
        <v>14grams</v>
      </c>
      <c r="U1534" s="77">
        <f t="shared" si="74"/>
        <v>57</v>
      </c>
      <c r="V1534" s="46"/>
      <c r="W1534" s="46"/>
      <c r="X1534" s="46"/>
    </row>
    <row r="1535" spans="1:24" ht="15.75" customHeight="1" thickBot="1" x14ac:dyDescent="0.35">
      <c r="A1535" s="40"/>
      <c r="B1535" s="67" t="s">
        <v>1788</v>
      </c>
      <c r="C1535" s="55"/>
      <c r="D1535" s="41"/>
      <c r="E1535" s="55"/>
      <c r="F1535" s="55"/>
      <c r="G1535" s="55"/>
      <c r="H1535" s="51"/>
      <c r="I1535" s="52"/>
      <c r="J1535" s="74" t="s">
        <v>816</v>
      </c>
      <c r="K1535" s="57"/>
      <c r="L1535" s="75">
        <v>66.5</v>
      </c>
      <c r="M1535" s="60">
        <v>0</v>
      </c>
      <c r="N1535" s="76">
        <v>14</v>
      </c>
      <c r="O1535" s="42"/>
      <c r="P1535" s="58" t="s">
        <v>36</v>
      </c>
      <c r="Q1535" s="61"/>
      <c r="R1535" s="62"/>
      <c r="S1535" s="78">
        <f t="shared" si="72"/>
        <v>0</v>
      </c>
      <c r="T1535" s="44" t="str">
        <f t="shared" si="73"/>
        <v>0grams</v>
      </c>
      <c r="U1535" s="77">
        <f t="shared" si="74"/>
        <v>0</v>
      </c>
      <c r="V1535" s="46"/>
      <c r="W1535" s="46"/>
      <c r="X1535" s="46"/>
    </row>
    <row r="1536" spans="1:24" ht="15.75" customHeight="1" thickBot="1" x14ac:dyDescent="0.35">
      <c r="A1536" s="40"/>
      <c r="B1536" s="67" t="s">
        <v>1788</v>
      </c>
      <c r="C1536" s="55"/>
      <c r="D1536" s="41"/>
      <c r="E1536" s="55"/>
      <c r="F1536" s="55"/>
      <c r="G1536" s="55"/>
      <c r="H1536" s="51"/>
      <c r="I1536" s="52"/>
      <c r="J1536" s="74" t="s">
        <v>816</v>
      </c>
      <c r="K1536" s="57"/>
      <c r="L1536" s="75">
        <v>67</v>
      </c>
      <c r="M1536" s="60">
        <v>1</v>
      </c>
      <c r="N1536" s="76">
        <v>14</v>
      </c>
      <c r="O1536" s="42"/>
      <c r="P1536" s="58" t="s">
        <v>36</v>
      </c>
      <c r="Q1536" s="61"/>
      <c r="R1536" s="62"/>
      <c r="S1536" s="78">
        <f t="shared" si="72"/>
        <v>14</v>
      </c>
      <c r="T1536" s="44" t="str">
        <f t="shared" si="73"/>
        <v>14grams</v>
      </c>
      <c r="U1536" s="77">
        <f t="shared" si="74"/>
        <v>67</v>
      </c>
      <c r="V1536" s="46"/>
      <c r="W1536" s="46"/>
      <c r="X1536" s="46"/>
    </row>
    <row r="1537" spans="1:24" ht="15.75" customHeight="1" thickBot="1" x14ac:dyDescent="0.35">
      <c r="A1537" s="40"/>
      <c r="B1537" s="68" t="s">
        <v>1788</v>
      </c>
      <c r="C1537" s="55"/>
      <c r="D1537" s="41"/>
      <c r="E1537" s="55"/>
      <c r="F1537" s="55"/>
      <c r="G1537" s="55"/>
      <c r="H1537" s="51"/>
      <c r="I1537" s="52"/>
      <c r="J1537" s="74" t="s">
        <v>1036</v>
      </c>
      <c r="K1537" s="57"/>
      <c r="L1537" s="75">
        <v>9.6999999999999993</v>
      </c>
      <c r="M1537" s="60">
        <v>3</v>
      </c>
      <c r="N1537" s="76">
        <v>10</v>
      </c>
      <c r="O1537" s="42"/>
      <c r="P1537" s="58" t="s">
        <v>36</v>
      </c>
      <c r="Q1537" s="61"/>
      <c r="R1537" s="62"/>
      <c r="S1537" s="78">
        <f t="shared" si="72"/>
        <v>30</v>
      </c>
      <c r="T1537" s="44" t="str">
        <f t="shared" si="73"/>
        <v>30grams</v>
      </c>
      <c r="U1537" s="77">
        <f t="shared" si="74"/>
        <v>29.099999999999998</v>
      </c>
      <c r="V1537" s="46"/>
      <c r="W1537" s="46"/>
      <c r="X1537" s="46"/>
    </row>
    <row r="1538" spans="1:24" ht="15.75" customHeight="1" thickBot="1" x14ac:dyDescent="0.35">
      <c r="A1538" s="40"/>
      <c r="B1538" s="67" t="s">
        <v>732</v>
      </c>
      <c r="C1538" s="55"/>
      <c r="D1538" s="41"/>
      <c r="E1538" s="55"/>
      <c r="F1538" s="55"/>
      <c r="G1538" s="55"/>
      <c r="H1538" s="51"/>
      <c r="I1538" s="52"/>
      <c r="J1538" s="74"/>
      <c r="K1538" s="57"/>
      <c r="L1538" s="75">
        <v>150</v>
      </c>
      <c r="M1538" s="60">
        <v>2</v>
      </c>
      <c r="N1538" s="76">
        <v>1</v>
      </c>
      <c r="O1538" s="42"/>
      <c r="P1538" s="58" t="s">
        <v>88</v>
      </c>
      <c r="Q1538" s="61"/>
      <c r="R1538" s="62"/>
      <c r="S1538" s="78">
        <f t="shared" si="72"/>
        <v>2</v>
      </c>
      <c r="T1538" s="44" t="str">
        <f t="shared" si="73"/>
        <v>2kilos</v>
      </c>
      <c r="U1538" s="77">
        <f t="shared" si="74"/>
        <v>300</v>
      </c>
      <c r="V1538" s="46"/>
      <c r="W1538" s="46"/>
      <c r="X1538" s="46"/>
    </row>
    <row r="1539" spans="1:24" ht="15.75" customHeight="1" thickBot="1" x14ac:dyDescent="0.35">
      <c r="A1539" s="40"/>
      <c r="B1539" s="67" t="s">
        <v>732</v>
      </c>
      <c r="C1539" s="55"/>
      <c r="D1539" s="41"/>
      <c r="E1539" s="55"/>
      <c r="F1539" s="55"/>
      <c r="G1539" s="55"/>
      <c r="H1539" s="51"/>
      <c r="I1539" s="52"/>
      <c r="J1539" s="74"/>
      <c r="K1539" s="57"/>
      <c r="L1539" s="75">
        <v>150</v>
      </c>
      <c r="M1539" s="60">
        <v>4</v>
      </c>
      <c r="N1539" s="76">
        <v>1</v>
      </c>
      <c r="O1539" s="42"/>
      <c r="P1539" s="58" t="s">
        <v>88</v>
      </c>
      <c r="Q1539" s="61"/>
      <c r="R1539" s="62"/>
      <c r="S1539" s="78">
        <f t="shared" si="72"/>
        <v>4</v>
      </c>
      <c r="T1539" s="44" t="str">
        <f t="shared" si="73"/>
        <v>4kilos</v>
      </c>
      <c r="U1539" s="77">
        <f t="shared" si="74"/>
        <v>600</v>
      </c>
      <c r="V1539" s="46"/>
      <c r="W1539" s="46"/>
      <c r="X1539" s="46"/>
    </row>
    <row r="1540" spans="1:24" ht="15.75" customHeight="1" thickBot="1" x14ac:dyDescent="0.35">
      <c r="A1540" s="40"/>
      <c r="B1540" s="67" t="s">
        <v>732</v>
      </c>
      <c r="C1540" s="55"/>
      <c r="D1540" s="41"/>
      <c r="E1540" s="55"/>
      <c r="F1540" s="55"/>
      <c r="G1540" s="55"/>
      <c r="H1540" s="51"/>
      <c r="I1540" s="52"/>
      <c r="J1540" s="74"/>
      <c r="K1540" s="57"/>
      <c r="L1540" s="75">
        <v>160</v>
      </c>
      <c r="M1540" s="60">
        <v>16</v>
      </c>
      <c r="N1540" s="76">
        <v>1</v>
      </c>
      <c r="O1540" s="42"/>
      <c r="P1540" s="58" t="s">
        <v>88</v>
      </c>
      <c r="Q1540" s="61"/>
      <c r="R1540" s="62"/>
      <c r="S1540" s="78">
        <f t="shared" si="72"/>
        <v>16</v>
      </c>
      <c r="T1540" s="44" t="str">
        <f t="shared" si="73"/>
        <v>16kilos</v>
      </c>
      <c r="U1540" s="77">
        <f t="shared" si="74"/>
        <v>2560</v>
      </c>
      <c r="V1540" s="46"/>
      <c r="W1540" s="46"/>
      <c r="X1540" s="46"/>
    </row>
    <row r="1541" spans="1:24" ht="15.75" customHeight="1" thickBot="1" x14ac:dyDescent="0.35">
      <c r="A1541" s="40"/>
      <c r="B1541" s="67" t="s">
        <v>734</v>
      </c>
      <c r="C1541" s="55"/>
      <c r="D1541" s="41"/>
      <c r="E1541" s="55"/>
      <c r="F1541" s="55"/>
      <c r="G1541" s="55"/>
      <c r="H1541" s="51"/>
      <c r="I1541" s="52"/>
      <c r="J1541" s="74"/>
      <c r="K1541" s="57"/>
      <c r="L1541" s="75">
        <v>120</v>
      </c>
      <c r="M1541" s="60">
        <v>1</v>
      </c>
      <c r="N1541" s="76">
        <v>500</v>
      </c>
      <c r="O1541" s="42"/>
      <c r="P1541" s="58" t="s">
        <v>36</v>
      </c>
      <c r="Q1541" s="61"/>
      <c r="R1541" s="62"/>
      <c r="S1541" s="78">
        <f t="shared" si="72"/>
        <v>500</v>
      </c>
      <c r="T1541" s="44" t="str">
        <f t="shared" si="73"/>
        <v>500grams</v>
      </c>
      <c r="U1541" s="77">
        <f t="shared" si="74"/>
        <v>120</v>
      </c>
      <c r="V1541" s="46"/>
      <c r="W1541" s="46"/>
      <c r="X1541" s="46"/>
    </row>
    <row r="1542" spans="1:24" ht="15.75" customHeight="1" thickBot="1" x14ac:dyDescent="0.35">
      <c r="A1542" s="40"/>
      <c r="B1542" s="67" t="s">
        <v>735</v>
      </c>
      <c r="C1542" s="55"/>
      <c r="D1542" s="41"/>
      <c r="E1542" s="55"/>
      <c r="F1542" s="55"/>
      <c r="G1542" s="55"/>
      <c r="H1542" s="51"/>
      <c r="I1542" s="52"/>
      <c r="J1542" s="74" t="s">
        <v>829</v>
      </c>
      <c r="K1542" s="57"/>
      <c r="L1542" s="75">
        <v>12.36</v>
      </c>
      <c r="M1542" s="60">
        <v>32</v>
      </c>
      <c r="N1542" s="76">
        <v>1</v>
      </c>
      <c r="O1542" s="42"/>
      <c r="P1542" s="58" t="s">
        <v>77</v>
      </c>
      <c r="Q1542" s="61"/>
      <c r="R1542" s="62"/>
      <c r="S1542" s="78">
        <f t="shared" si="72"/>
        <v>32</v>
      </c>
      <c r="T1542" s="44" t="str">
        <f t="shared" si="73"/>
        <v>32packs</v>
      </c>
      <c r="U1542" s="77">
        <f t="shared" si="74"/>
        <v>395.52</v>
      </c>
      <c r="V1542" s="46"/>
      <c r="W1542" s="46"/>
      <c r="X1542" s="46"/>
    </row>
    <row r="1543" spans="1:24" ht="15.75" customHeight="1" thickBot="1" x14ac:dyDescent="0.35">
      <c r="A1543" s="40"/>
      <c r="B1543" s="68" t="s">
        <v>735</v>
      </c>
      <c r="C1543" s="55"/>
      <c r="D1543" s="41"/>
      <c r="E1543" s="55"/>
      <c r="F1543" s="55"/>
      <c r="G1543" s="55"/>
      <c r="H1543" s="51"/>
      <c r="I1543" s="52"/>
      <c r="J1543" s="74" t="s">
        <v>1789</v>
      </c>
      <c r="K1543" s="57"/>
      <c r="L1543" s="75">
        <v>60</v>
      </c>
      <c r="M1543" s="60">
        <v>3</v>
      </c>
      <c r="N1543" s="76">
        <v>3</v>
      </c>
      <c r="O1543" s="42"/>
      <c r="P1543" s="58" t="s">
        <v>77</v>
      </c>
      <c r="Q1543" s="61"/>
      <c r="R1543" s="62"/>
      <c r="S1543" s="78">
        <f t="shared" si="72"/>
        <v>9</v>
      </c>
      <c r="T1543" s="44" t="str">
        <f t="shared" si="73"/>
        <v>9packs</v>
      </c>
      <c r="U1543" s="77">
        <f t="shared" si="74"/>
        <v>180</v>
      </c>
      <c r="V1543" s="46"/>
      <c r="W1543" s="46"/>
      <c r="X1543" s="46"/>
    </row>
    <row r="1544" spans="1:24" ht="15.75" customHeight="1" thickBot="1" x14ac:dyDescent="0.35">
      <c r="A1544" s="40"/>
      <c r="B1544" s="67" t="s">
        <v>735</v>
      </c>
      <c r="C1544" s="55"/>
      <c r="D1544" s="41"/>
      <c r="E1544" s="55"/>
      <c r="F1544" s="55"/>
      <c r="G1544" s="55"/>
      <c r="H1544" s="51"/>
      <c r="I1544" s="52"/>
      <c r="J1544" s="74" t="s">
        <v>736</v>
      </c>
      <c r="K1544" s="57"/>
      <c r="L1544" s="75">
        <v>15.2</v>
      </c>
      <c r="M1544" s="60">
        <v>4</v>
      </c>
      <c r="N1544" s="76">
        <v>1</v>
      </c>
      <c r="O1544" s="42"/>
      <c r="P1544" s="58" t="s">
        <v>77</v>
      </c>
      <c r="Q1544" s="61"/>
      <c r="R1544" s="62"/>
      <c r="S1544" s="78">
        <f t="shared" si="72"/>
        <v>4</v>
      </c>
      <c r="T1544" s="44" t="str">
        <f t="shared" si="73"/>
        <v>4packs</v>
      </c>
      <c r="U1544" s="77">
        <f t="shared" si="74"/>
        <v>60.8</v>
      </c>
      <c r="V1544" s="46"/>
      <c r="W1544" s="46"/>
      <c r="X1544" s="46"/>
    </row>
    <row r="1545" spans="1:24" ht="15.75" customHeight="1" thickBot="1" x14ac:dyDescent="0.35">
      <c r="A1545" s="40"/>
      <c r="B1545" s="68" t="s">
        <v>1790</v>
      </c>
      <c r="C1545" s="55"/>
      <c r="D1545" s="41"/>
      <c r="E1545" s="55"/>
      <c r="F1545" s="55"/>
      <c r="G1545" s="55"/>
      <c r="H1545" s="51"/>
      <c r="I1545" s="52"/>
      <c r="J1545" s="74"/>
      <c r="K1545" s="57"/>
      <c r="L1545" s="75">
        <v>100</v>
      </c>
      <c r="M1545" s="60">
        <v>1</v>
      </c>
      <c r="N1545" s="76">
        <v>1</v>
      </c>
      <c r="O1545" s="42"/>
      <c r="P1545" s="58" t="s">
        <v>77</v>
      </c>
      <c r="Q1545" s="61"/>
      <c r="R1545" s="62"/>
      <c r="S1545" s="78">
        <f t="shared" si="72"/>
        <v>1</v>
      </c>
      <c r="T1545" s="44" t="str">
        <f t="shared" si="73"/>
        <v>1packs</v>
      </c>
      <c r="U1545" s="77">
        <f t="shared" si="74"/>
        <v>100</v>
      </c>
      <c r="V1545" s="46"/>
      <c r="W1545" s="46"/>
      <c r="X1545" s="46"/>
    </row>
    <row r="1546" spans="1:24" ht="15.75" customHeight="1" thickBot="1" x14ac:dyDescent="0.35">
      <c r="A1546" s="40"/>
      <c r="B1546" s="67" t="s">
        <v>1791</v>
      </c>
      <c r="C1546" s="55"/>
      <c r="D1546" s="41"/>
      <c r="E1546" s="55"/>
      <c r="F1546" s="55"/>
      <c r="G1546" s="55"/>
      <c r="H1546" s="51"/>
      <c r="I1546" s="52"/>
      <c r="J1546" s="74" t="s">
        <v>1330</v>
      </c>
      <c r="K1546" s="57"/>
      <c r="L1546" s="75">
        <v>75</v>
      </c>
      <c r="M1546" s="60">
        <v>2</v>
      </c>
      <c r="N1546" s="76">
        <v>225</v>
      </c>
      <c r="O1546" s="42"/>
      <c r="P1546" s="58" t="s">
        <v>36</v>
      </c>
      <c r="Q1546" s="61"/>
      <c r="R1546" s="62"/>
      <c r="S1546" s="78">
        <f t="shared" si="72"/>
        <v>450</v>
      </c>
      <c r="T1546" s="44" t="str">
        <f t="shared" si="73"/>
        <v>450grams</v>
      </c>
      <c r="U1546" s="77">
        <f t="shared" si="74"/>
        <v>150</v>
      </c>
      <c r="V1546" s="46"/>
      <c r="W1546" s="46"/>
      <c r="X1546" s="46"/>
    </row>
    <row r="1547" spans="1:24" ht="15.75" customHeight="1" thickBot="1" x14ac:dyDescent="0.35">
      <c r="A1547" s="40"/>
      <c r="B1547" s="67" t="s">
        <v>1792</v>
      </c>
      <c r="C1547" s="55"/>
      <c r="D1547" s="41"/>
      <c r="E1547" s="55"/>
      <c r="F1547" s="55"/>
      <c r="G1547" s="55"/>
      <c r="H1547" s="51"/>
      <c r="I1547" s="52"/>
      <c r="J1547" s="74" t="s">
        <v>1330</v>
      </c>
      <c r="K1547" s="57"/>
      <c r="L1547" s="75">
        <v>126.9</v>
      </c>
      <c r="M1547" s="60">
        <v>1</v>
      </c>
      <c r="N1547" s="76">
        <v>450</v>
      </c>
      <c r="O1547" s="42"/>
      <c r="P1547" s="58" t="s">
        <v>36</v>
      </c>
      <c r="Q1547" s="61"/>
      <c r="R1547" s="62"/>
      <c r="S1547" s="78">
        <f t="shared" si="72"/>
        <v>450</v>
      </c>
      <c r="T1547" s="44" t="str">
        <f t="shared" si="73"/>
        <v>450grams</v>
      </c>
      <c r="U1547" s="77">
        <f t="shared" si="74"/>
        <v>126.9</v>
      </c>
      <c r="V1547" s="46"/>
      <c r="W1547" s="46"/>
      <c r="X1547" s="46"/>
    </row>
    <row r="1548" spans="1:24" ht="15.75" customHeight="1" thickBot="1" x14ac:dyDescent="0.35">
      <c r="A1548" s="40"/>
      <c r="B1548" s="67" t="s">
        <v>1792</v>
      </c>
      <c r="C1548" s="55"/>
      <c r="D1548" s="41"/>
      <c r="E1548" s="55"/>
      <c r="F1548" s="55"/>
      <c r="G1548" s="55"/>
      <c r="H1548" s="51"/>
      <c r="I1548" s="52"/>
      <c r="J1548" s="74" t="s">
        <v>1793</v>
      </c>
      <c r="K1548" s="57"/>
      <c r="L1548" s="75">
        <v>240</v>
      </c>
      <c r="M1548" s="60">
        <v>1</v>
      </c>
      <c r="N1548" s="76">
        <v>1</v>
      </c>
      <c r="O1548" s="42"/>
      <c r="P1548" s="58" t="s">
        <v>88</v>
      </c>
      <c r="Q1548" s="61"/>
      <c r="R1548" s="62"/>
      <c r="S1548" s="78">
        <f t="shared" si="72"/>
        <v>1</v>
      </c>
      <c r="T1548" s="44" t="str">
        <f t="shared" si="73"/>
        <v>1kilos</v>
      </c>
      <c r="U1548" s="77">
        <f t="shared" si="74"/>
        <v>240</v>
      </c>
      <c r="V1548" s="46"/>
      <c r="W1548" s="46"/>
      <c r="X1548" s="46"/>
    </row>
    <row r="1549" spans="1:24" ht="15.75" customHeight="1" thickBot="1" x14ac:dyDescent="0.35">
      <c r="A1549" s="40"/>
      <c r="B1549" s="67" t="s">
        <v>1792</v>
      </c>
      <c r="C1549" s="55"/>
      <c r="D1549" s="41"/>
      <c r="E1549" s="55"/>
      <c r="F1549" s="55"/>
      <c r="G1549" s="55"/>
      <c r="H1549" s="51"/>
      <c r="I1549" s="52"/>
      <c r="J1549" s="74" t="s">
        <v>1330</v>
      </c>
      <c r="K1549" s="57"/>
      <c r="L1549" s="75">
        <v>125</v>
      </c>
      <c r="M1549" s="60">
        <v>2</v>
      </c>
      <c r="N1549" s="76">
        <v>225</v>
      </c>
      <c r="O1549" s="42"/>
      <c r="P1549" s="58" t="s">
        <v>36</v>
      </c>
      <c r="Q1549" s="61"/>
      <c r="R1549" s="62"/>
      <c r="S1549" s="78">
        <f t="shared" si="72"/>
        <v>450</v>
      </c>
      <c r="T1549" s="44" t="str">
        <f t="shared" si="73"/>
        <v>450grams</v>
      </c>
      <c r="U1549" s="77">
        <f t="shared" si="74"/>
        <v>250</v>
      </c>
      <c r="V1549" s="46"/>
      <c r="W1549" s="46"/>
      <c r="X1549" s="46"/>
    </row>
    <row r="1550" spans="1:24" ht="15.75" customHeight="1" thickBot="1" x14ac:dyDescent="0.35">
      <c r="A1550" s="40"/>
      <c r="B1550" s="67" t="s">
        <v>1792</v>
      </c>
      <c r="C1550" s="55"/>
      <c r="D1550" s="41"/>
      <c r="E1550" s="55"/>
      <c r="F1550" s="55"/>
      <c r="G1550" s="55"/>
      <c r="H1550" s="51"/>
      <c r="I1550" s="52"/>
      <c r="J1550" s="74" t="s">
        <v>1330</v>
      </c>
      <c r="K1550" s="57"/>
      <c r="L1550" s="75">
        <v>125</v>
      </c>
      <c r="M1550" s="60">
        <v>2</v>
      </c>
      <c r="N1550" s="76">
        <v>450</v>
      </c>
      <c r="O1550" s="42"/>
      <c r="P1550" s="58" t="s">
        <v>36</v>
      </c>
      <c r="Q1550" s="61"/>
      <c r="R1550" s="62"/>
      <c r="S1550" s="78">
        <f t="shared" si="72"/>
        <v>900</v>
      </c>
      <c r="T1550" s="44" t="str">
        <f t="shared" si="73"/>
        <v>900grams</v>
      </c>
      <c r="U1550" s="77">
        <f t="shared" si="74"/>
        <v>250</v>
      </c>
      <c r="V1550" s="46"/>
      <c r="W1550" s="46"/>
      <c r="X1550" s="46"/>
    </row>
    <row r="1551" spans="1:24" ht="15.75" customHeight="1" thickBot="1" x14ac:dyDescent="0.35">
      <c r="A1551" s="40"/>
      <c r="B1551" s="67" t="s">
        <v>1792</v>
      </c>
      <c r="C1551" s="55"/>
      <c r="D1551" s="41"/>
      <c r="E1551" s="55"/>
      <c r="F1551" s="55"/>
      <c r="G1551" s="55"/>
      <c r="H1551" s="51"/>
      <c r="I1551" s="52"/>
      <c r="J1551" s="74" t="s">
        <v>1330</v>
      </c>
      <c r="K1551" s="57"/>
      <c r="L1551" s="75">
        <v>96.25</v>
      </c>
      <c r="M1551" s="60">
        <v>3</v>
      </c>
      <c r="N1551" s="76">
        <v>225</v>
      </c>
      <c r="O1551" s="42"/>
      <c r="P1551" s="58" t="s">
        <v>36</v>
      </c>
      <c r="Q1551" s="61"/>
      <c r="R1551" s="62"/>
      <c r="S1551" s="78">
        <f t="shared" si="72"/>
        <v>675</v>
      </c>
      <c r="T1551" s="44" t="str">
        <f t="shared" si="73"/>
        <v>675grams</v>
      </c>
      <c r="U1551" s="77">
        <f t="shared" si="74"/>
        <v>288.75</v>
      </c>
      <c r="V1551" s="46"/>
      <c r="W1551" s="46"/>
      <c r="X1551" s="46"/>
    </row>
    <row r="1552" spans="1:24" ht="15.75" customHeight="1" thickBot="1" x14ac:dyDescent="0.35">
      <c r="A1552" s="40"/>
      <c r="B1552" s="67" t="s">
        <v>1792</v>
      </c>
      <c r="C1552" s="55"/>
      <c r="D1552" s="41"/>
      <c r="E1552" s="55"/>
      <c r="F1552" s="55"/>
      <c r="G1552" s="55"/>
      <c r="H1552" s="51"/>
      <c r="I1552" s="52"/>
      <c r="J1552" s="74" t="s">
        <v>1330</v>
      </c>
      <c r="K1552" s="57"/>
      <c r="L1552" s="75">
        <v>126.9</v>
      </c>
      <c r="M1552" s="60">
        <v>12</v>
      </c>
      <c r="N1552" s="76">
        <v>450</v>
      </c>
      <c r="O1552" s="42"/>
      <c r="P1552" s="58" t="s">
        <v>36</v>
      </c>
      <c r="Q1552" s="61"/>
      <c r="R1552" s="62"/>
      <c r="S1552" s="78">
        <f t="shared" si="72"/>
        <v>5400</v>
      </c>
      <c r="T1552" s="44" t="str">
        <f t="shared" si="73"/>
        <v>5400grams</v>
      </c>
      <c r="U1552" s="77">
        <f t="shared" si="74"/>
        <v>1522.8000000000002</v>
      </c>
      <c r="V1552" s="46"/>
      <c r="W1552" s="46"/>
      <c r="X1552" s="46"/>
    </row>
    <row r="1553" spans="1:24" ht="15.75" customHeight="1" thickBot="1" x14ac:dyDescent="0.35">
      <c r="A1553" s="40"/>
      <c r="B1553" s="67" t="s">
        <v>1794</v>
      </c>
      <c r="C1553" s="55"/>
      <c r="D1553" s="41"/>
      <c r="E1553" s="55"/>
      <c r="F1553" s="55"/>
      <c r="G1553" s="55"/>
      <c r="H1553" s="51"/>
      <c r="I1553" s="52"/>
      <c r="J1553" s="74"/>
      <c r="K1553" s="57"/>
      <c r="L1553" s="75">
        <v>45</v>
      </c>
      <c r="M1553" s="60">
        <v>8</v>
      </c>
      <c r="N1553" s="76">
        <v>1</v>
      </c>
      <c r="O1553" s="42"/>
      <c r="P1553" s="58" t="s">
        <v>38</v>
      </c>
      <c r="Q1553" s="61"/>
      <c r="R1553" s="62"/>
      <c r="S1553" s="78">
        <f t="shared" si="72"/>
        <v>8</v>
      </c>
      <c r="T1553" s="44" t="str">
        <f t="shared" si="73"/>
        <v>8pieces</v>
      </c>
      <c r="U1553" s="77">
        <f t="shared" si="74"/>
        <v>360</v>
      </c>
      <c r="V1553" s="46"/>
      <c r="W1553" s="46"/>
      <c r="X1553" s="46"/>
    </row>
    <row r="1554" spans="1:24" ht="15.75" customHeight="1" thickBot="1" x14ac:dyDescent="0.35">
      <c r="A1554" s="40"/>
      <c r="B1554" s="67" t="s">
        <v>1794</v>
      </c>
      <c r="C1554" s="55"/>
      <c r="D1554" s="41"/>
      <c r="E1554" s="55"/>
      <c r="F1554" s="55"/>
      <c r="G1554" s="55"/>
      <c r="H1554" s="51"/>
      <c r="I1554" s="52"/>
      <c r="J1554" s="74" t="s">
        <v>1795</v>
      </c>
      <c r="K1554" s="57"/>
      <c r="L1554" s="75">
        <v>50</v>
      </c>
      <c r="M1554" s="60">
        <v>1</v>
      </c>
      <c r="N1554" s="76">
        <v>500</v>
      </c>
      <c r="O1554" s="42"/>
      <c r="P1554" s="58" t="s">
        <v>36</v>
      </c>
      <c r="Q1554" s="61"/>
      <c r="R1554" s="62"/>
      <c r="S1554" s="78">
        <f t="shared" si="72"/>
        <v>500</v>
      </c>
      <c r="T1554" s="44" t="str">
        <f t="shared" si="73"/>
        <v>500grams</v>
      </c>
      <c r="U1554" s="77">
        <f t="shared" si="74"/>
        <v>50</v>
      </c>
      <c r="V1554" s="46"/>
      <c r="W1554" s="46"/>
      <c r="X1554" s="46"/>
    </row>
    <row r="1555" spans="1:24" ht="15.75" customHeight="1" thickBot="1" x14ac:dyDescent="0.35">
      <c r="A1555" s="40"/>
      <c r="B1555" s="67" t="s">
        <v>1796</v>
      </c>
      <c r="C1555" s="55"/>
      <c r="D1555" s="41"/>
      <c r="E1555" s="55"/>
      <c r="F1555" s="55"/>
      <c r="G1555" s="55"/>
      <c r="H1555" s="51"/>
      <c r="I1555" s="52"/>
      <c r="J1555" s="74"/>
      <c r="K1555" s="57"/>
      <c r="L1555" s="75">
        <v>40</v>
      </c>
      <c r="M1555" s="60">
        <v>1</v>
      </c>
      <c r="N1555" s="76">
        <v>1</v>
      </c>
      <c r="O1555" s="42"/>
      <c r="P1555" s="58" t="s">
        <v>88</v>
      </c>
      <c r="Q1555" s="61"/>
      <c r="R1555" s="62"/>
      <c r="S1555" s="78">
        <f t="shared" si="72"/>
        <v>1</v>
      </c>
      <c r="T1555" s="44" t="str">
        <f t="shared" si="73"/>
        <v>1kilos</v>
      </c>
      <c r="U1555" s="77">
        <f t="shared" si="74"/>
        <v>40</v>
      </c>
      <c r="V1555" s="46"/>
      <c r="W1555" s="46"/>
      <c r="X1555" s="46"/>
    </row>
    <row r="1556" spans="1:24" ht="15.75" customHeight="1" thickBot="1" x14ac:dyDescent="0.35">
      <c r="A1556" s="40"/>
      <c r="B1556" s="67" t="s">
        <v>1797</v>
      </c>
      <c r="C1556" s="55"/>
      <c r="D1556" s="41"/>
      <c r="E1556" s="55"/>
      <c r="F1556" s="55"/>
      <c r="G1556" s="55"/>
      <c r="H1556" s="51"/>
      <c r="I1556" s="52"/>
      <c r="J1556" s="74"/>
      <c r="K1556" s="57"/>
      <c r="L1556" s="75">
        <v>180</v>
      </c>
      <c r="M1556" s="60">
        <v>5</v>
      </c>
      <c r="N1556" s="76">
        <v>1000</v>
      </c>
      <c r="O1556" s="42"/>
      <c r="P1556" s="58" t="s">
        <v>36</v>
      </c>
      <c r="Q1556" s="61"/>
      <c r="R1556" s="62"/>
      <c r="S1556" s="78">
        <f t="shared" si="72"/>
        <v>5000</v>
      </c>
      <c r="T1556" s="44" t="str">
        <f t="shared" si="73"/>
        <v>5000grams</v>
      </c>
      <c r="U1556" s="77">
        <f t="shared" si="74"/>
        <v>900</v>
      </c>
      <c r="V1556" s="46"/>
      <c r="W1556" s="46"/>
      <c r="X1556" s="46"/>
    </row>
    <row r="1557" spans="1:24" ht="15.75" customHeight="1" thickBot="1" x14ac:dyDescent="0.35">
      <c r="A1557" s="40"/>
      <c r="B1557" s="68" t="s">
        <v>1798</v>
      </c>
      <c r="C1557" s="55"/>
      <c r="D1557" s="41"/>
      <c r="E1557" s="55"/>
      <c r="F1557" s="55"/>
      <c r="G1557" s="55"/>
      <c r="H1557" s="51"/>
      <c r="I1557" s="52"/>
      <c r="J1557" s="74" t="s">
        <v>1146</v>
      </c>
      <c r="K1557" s="57"/>
      <c r="L1557" s="75">
        <v>3.45</v>
      </c>
      <c r="M1557" s="60">
        <v>87</v>
      </c>
      <c r="N1557" s="76">
        <v>25</v>
      </c>
      <c r="O1557" s="42"/>
      <c r="P1557" s="58" t="s">
        <v>36</v>
      </c>
      <c r="Q1557" s="61"/>
      <c r="R1557" s="62"/>
      <c r="S1557" s="78">
        <f t="shared" si="72"/>
        <v>2175</v>
      </c>
      <c r="T1557" s="44" t="str">
        <f t="shared" si="73"/>
        <v>2175grams</v>
      </c>
      <c r="U1557" s="77">
        <f t="shared" si="74"/>
        <v>300.15000000000003</v>
      </c>
      <c r="V1557" s="46"/>
      <c r="W1557" s="46"/>
      <c r="X1557" s="46"/>
    </row>
    <row r="1558" spans="1:24" ht="15.75" customHeight="1" thickBot="1" x14ac:dyDescent="0.35">
      <c r="A1558" s="40"/>
      <c r="B1558" s="67" t="s">
        <v>742</v>
      </c>
      <c r="C1558" s="55"/>
      <c r="D1558" s="41"/>
      <c r="E1558" s="55"/>
      <c r="F1558" s="55"/>
      <c r="G1558" s="55"/>
      <c r="H1558" s="51"/>
      <c r="I1558" s="52"/>
      <c r="J1558" s="74" t="s">
        <v>1203</v>
      </c>
      <c r="K1558" s="57"/>
      <c r="L1558" s="75">
        <v>31.2</v>
      </c>
      <c r="M1558" s="60">
        <v>7</v>
      </c>
      <c r="N1558" s="76">
        <v>150</v>
      </c>
      <c r="O1558" s="42"/>
      <c r="P1558" s="58" t="s">
        <v>36</v>
      </c>
      <c r="Q1558" s="61"/>
      <c r="R1558" s="62"/>
      <c r="S1558" s="78">
        <f t="shared" si="72"/>
        <v>1050</v>
      </c>
      <c r="T1558" s="44" t="str">
        <f t="shared" si="73"/>
        <v>1050grams</v>
      </c>
      <c r="U1558" s="77">
        <f t="shared" si="74"/>
        <v>218.4</v>
      </c>
      <c r="V1558" s="46"/>
      <c r="W1558" s="46"/>
      <c r="X1558" s="46"/>
    </row>
    <row r="1559" spans="1:24" ht="15.75" customHeight="1" thickBot="1" x14ac:dyDescent="0.35">
      <c r="A1559" s="40"/>
      <c r="B1559" s="67" t="s">
        <v>742</v>
      </c>
      <c r="C1559" s="55"/>
      <c r="D1559" s="41"/>
      <c r="E1559" s="55"/>
      <c r="F1559" s="55"/>
      <c r="G1559" s="55"/>
      <c r="H1559" s="51"/>
      <c r="I1559" s="52"/>
      <c r="J1559" s="74" t="s">
        <v>1203</v>
      </c>
      <c r="K1559" s="57"/>
      <c r="L1559" s="75">
        <v>18.190000000000001</v>
      </c>
      <c r="M1559" s="60">
        <v>62</v>
      </c>
      <c r="N1559" s="76">
        <v>70</v>
      </c>
      <c r="O1559" s="42"/>
      <c r="P1559" s="58" t="s">
        <v>36</v>
      </c>
      <c r="Q1559" s="61"/>
      <c r="R1559" s="62"/>
      <c r="S1559" s="78">
        <f t="shared" si="72"/>
        <v>4340</v>
      </c>
      <c r="T1559" s="44" t="str">
        <f t="shared" si="73"/>
        <v>4340grams</v>
      </c>
      <c r="U1559" s="77">
        <f t="shared" si="74"/>
        <v>1127.78</v>
      </c>
      <c r="V1559" s="46"/>
      <c r="W1559" s="46"/>
      <c r="X1559" s="46"/>
    </row>
    <row r="1560" spans="1:24" ht="15.75" customHeight="1" thickBot="1" x14ac:dyDescent="0.35">
      <c r="A1560" s="40"/>
      <c r="B1560" s="67" t="s">
        <v>742</v>
      </c>
      <c r="C1560" s="55"/>
      <c r="D1560" s="41"/>
      <c r="E1560" s="55"/>
      <c r="F1560" s="55"/>
      <c r="G1560" s="55"/>
      <c r="H1560" s="51"/>
      <c r="I1560" s="52"/>
      <c r="J1560" s="74" t="s">
        <v>1203</v>
      </c>
      <c r="K1560" s="57"/>
      <c r="L1560" s="75">
        <v>31.2</v>
      </c>
      <c r="M1560" s="60">
        <v>15</v>
      </c>
      <c r="N1560" s="76">
        <v>150</v>
      </c>
      <c r="O1560" s="42"/>
      <c r="P1560" s="58" t="s">
        <v>36</v>
      </c>
      <c r="Q1560" s="61"/>
      <c r="R1560" s="62"/>
      <c r="S1560" s="78">
        <f t="shared" si="72"/>
        <v>2250</v>
      </c>
      <c r="T1560" s="44" t="str">
        <f t="shared" si="73"/>
        <v>2250grams</v>
      </c>
      <c r="U1560" s="77">
        <f t="shared" si="74"/>
        <v>468</v>
      </c>
      <c r="V1560" s="46"/>
      <c r="W1560" s="46"/>
      <c r="X1560" s="46"/>
    </row>
    <row r="1561" spans="1:24" ht="15.75" customHeight="1" thickBot="1" x14ac:dyDescent="0.35">
      <c r="A1561" s="40"/>
      <c r="B1561" s="67" t="s">
        <v>742</v>
      </c>
      <c r="C1561" s="55"/>
      <c r="D1561" s="41"/>
      <c r="E1561" s="55"/>
      <c r="F1561" s="55"/>
      <c r="G1561" s="55"/>
      <c r="H1561" s="51"/>
      <c r="I1561" s="52"/>
      <c r="J1561" s="74" t="s">
        <v>1203</v>
      </c>
      <c r="K1561" s="57"/>
      <c r="L1561" s="75">
        <v>32</v>
      </c>
      <c r="M1561" s="60">
        <v>11</v>
      </c>
      <c r="N1561" s="76">
        <v>150</v>
      </c>
      <c r="O1561" s="42"/>
      <c r="P1561" s="58" t="s">
        <v>36</v>
      </c>
      <c r="Q1561" s="61"/>
      <c r="R1561" s="62"/>
      <c r="S1561" s="78">
        <f t="shared" si="72"/>
        <v>1650</v>
      </c>
      <c r="T1561" s="44" t="str">
        <f t="shared" si="73"/>
        <v>1650grams</v>
      </c>
      <c r="U1561" s="77">
        <f t="shared" si="74"/>
        <v>352</v>
      </c>
      <c r="V1561" s="46"/>
      <c r="W1561" s="46"/>
      <c r="X1561" s="46"/>
    </row>
    <row r="1562" spans="1:24" ht="15.75" customHeight="1" thickBot="1" x14ac:dyDescent="0.35">
      <c r="A1562" s="40"/>
      <c r="B1562" s="68" t="s">
        <v>742</v>
      </c>
      <c r="C1562" s="55"/>
      <c r="D1562" s="41"/>
      <c r="E1562" s="55"/>
      <c r="F1562" s="55"/>
      <c r="G1562" s="55"/>
      <c r="H1562" s="51"/>
      <c r="I1562" s="52"/>
      <c r="J1562" s="74" t="s">
        <v>1203</v>
      </c>
      <c r="K1562" s="57"/>
      <c r="L1562" s="75">
        <v>33</v>
      </c>
      <c r="M1562" s="60">
        <v>2</v>
      </c>
      <c r="N1562" s="76">
        <v>150</v>
      </c>
      <c r="O1562" s="42"/>
      <c r="P1562" s="58" t="s">
        <v>36</v>
      </c>
      <c r="Q1562" s="61"/>
      <c r="R1562" s="62"/>
      <c r="S1562" s="78">
        <f t="shared" si="72"/>
        <v>300</v>
      </c>
      <c r="T1562" s="44" t="str">
        <f t="shared" si="73"/>
        <v>300grams</v>
      </c>
      <c r="U1562" s="77">
        <f t="shared" si="74"/>
        <v>66</v>
      </c>
      <c r="V1562" s="46"/>
      <c r="W1562" s="46"/>
      <c r="X1562" s="46"/>
    </row>
    <row r="1563" spans="1:24" ht="15.75" customHeight="1" thickBot="1" x14ac:dyDescent="0.35">
      <c r="A1563" s="40"/>
      <c r="B1563" s="67" t="s">
        <v>742</v>
      </c>
      <c r="C1563" s="55"/>
      <c r="D1563" s="41"/>
      <c r="E1563" s="55"/>
      <c r="F1563" s="55"/>
      <c r="G1563" s="55"/>
      <c r="H1563" s="51"/>
      <c r="I1563" s="52"/>
      <c r="J1563" s="74" t="s">
        <v>1203</v>
      </c>
      <c r="K1563" s="57"/>
      <c r="L1563" s="75">
        <v>31.2</v>
      </c>
      <c r="M1563" s="60">
        <v>3</v>
      </c>
      <c r="N1563" s="76">
        <v>150</v>
      </c>
      <c r="O1563" s="42"/>
      <c r="P1563" s="58" t="s">
        <v>36</v>
      </c>
      <c r="Q1563" s="61"/>
      <c r="R1563" s="62"/>
      <c r="S1563" s="78">
        <f t="shared" si="72"/>
        <v>450</v>
      </c>
      <c r="T1563" s="44" t="str">
        <f t="shared" si="73"/>
        <v>450grams</v>
      </c>
      <c r="U1563" s="77">
        <f t="shared" si="74"/>
        <v>93.6</v>
      </c>
      <c r="V1563" s="46"/>
      <c r="W1563" s="46"/>
      <c r="X1563" s="46"/>
    </row>
    <row r="1564" spans="1:24" ht="15.75" customHeight="1" thickBot="1" x14ac:dyDescent="0.35">
      <c r="A1564" s="40"/>
      <c r="B1564" s="67" t="s">
        <v>744</v>
      </c>
      <c r="C1564" s="55"/>
      <c r="D1564" s="41"/>
      <c r="E1564" s="55"/>
      <c r="F1564" s="55"/>
      <c r="G1564" s="55"/>
      <c r="H1564" s="51"/>
      <c r="I1564" s="52"/>
      <c r="J1564" s="74" t="s">
        <v>1031</v>
      </c>
      <c r="K1564" s="57"/>
      <c r="L1564" s="75">
        <v>135</v>
      </c>
      <c r="M1564" s="60">
        <v>3</v>
      </c>
      <c r="N1564" s="76">
        <v>3500</v>
      </c>
      <c r="O1564" s="42"/>
      <c r="P1564" s="58" t="s">
        <v>47</v>
      </c>
      <c r="Q1564" s="61"/>
      <c r="R1564" s="62"/>
      <c r="S1564" s="78">
        <f t="shared" si="72"/>
        <v>10500</v>
      </c>
      <c r="T1564" s="44" t="str">
        <f t="shared" si="73"/>
        <v>10500ml</v>
      </c>
      <c r="U1564" s="77">
        <f t="shared" si="74"/>
        <v>405</v>
      </c>
      <c r="V1564" s="46"/>
      <c r="W1564" s="46"/>
      <c r="X1564" s="46"/>
    </row>
    <row r="1565" spans="1:24" ht="15.75" customHeight="1" thickBot="1" x14ac:dyDescent="0.35">
      <c r="A1565" s="40"/>
      <c r="B1565" s="67" t="s">
        <v>744</v>
      </c>
      <c r="C1565" s="55"/>
      <c r="D1565" s="41"/>
      <c r="E1565" s="55"/>
      <c r="F1565" s="55"/>
      <c r="G1565" s="55"/>
      <c r="H1565" s="51"/>
      <c r="I1565" s="52"/>
      <c r="J1565" s="74" t="s">
        <v>1031</v>
      </c>
      <c r="K1565" s="57"/>
      <c r="L1565" s="75">
        <v>135</v>
      </c>
      <c r="M1565" s="60">
        <v>11</v>
      </c>
      <c r="N1565" s="76">
        <v>3500</v>
      </c>
      <c r="O1565" s="42"/>
      <c r="P1565" s="58" t="s">
        <v>47</v>
      </c>
      <c r="Q1565" s="61"/>
      <c r="R1565" s="62"/>
      <c r="S1565" s="78">
        <f t="shared" si="72"/>
        <v>38500</v>
      </c>
      <c r="T1565" s="44" t="str">
        <f t="shared" si="73"/>
        <v>38500ml</v>
      </c>
      <c r="U1565" s="77">
        <f t="shared" si="74"/>
        <v>1485</v>
      </c>
      <c r="V1565" s="46"/>
      <c r="W1565" s="46"/>
      <c r="X1565" s="46"/>
    </row>
    <row r="1566" spans="1:24" ht="15.75" customHeight="1" thickBot="1" x14ac:dyDescent="0.35">
      <c r="A1566" s="40"/>
      <c r="B1566" s="67" t="s">
        <v>744</v>
      </c>
      <c r="C1566" s="55"/>
      <c r="D1566" s="41"/>
      <c r="E1566" s="55"/>
      <c r="F1566" s="55"/>
      <c r="G1566" s="55"/>
      <c r="H1566" s="51"/>
      <c r="I1566" s="52"/>
      <c r="J1566" s="74" t="s">
        <v>1031</v>
      </c>
      <c r="K1566" s="57"/>
      <c r="L1566" s="75">
        <v>135</v>
      </c>
      <c r="M1566" s="60">
        <v>1</v>
      </c>
      <c r="N1566" s="76">
        <v>3</v>
      </c>
      <c r="O1566" s="42"/>
      <c r="P1566" s="58" t="s">
        <v>88</v>
      </c>
      <c r="Q1566" s="61"/>
      <c r="R1566" s="62"/>
      <c r="S1566" s="78">
        <f t="shared" si="72"/>
        <v>3</v>
      </c>
      <c r="T1566" s="44" t="str">
        <f t="shared" si="73"/>
        <v>3kilos</v>
      </c>
      <c r="U1566" s="77">
        <f t="shared" si="74"/>
        <v>135</v>
      </c>
      <c r="V1566" s="46"/>
      <c r="W1566" s="46"/>
      <c r="X1566" s="46"/>
    </row>
    <row r="1567" spans="1:24" ht="15.75" customHeight="1" thickBot="1" x14ac:dyDescent="0.35">
      <c r="A1567" s="40"/>
      <c r="B1567" s="67" t="s">
        <v>1799</v>
      </c>
      <c r="C1567" s="55"/>
      <c r="D1567" s="41"/>
      <c r="E1567" s="55"/>
      <c r="F1567" s="55"/>
      <c r="G1567" s="55"/>
      <c r="H1567" s="51"/>
      <c r="I1567" s="52"/>
      <c r="J1567" s="74" t="s">
        <v>1203</v>
      </c>
      <c r="K1567" s="57"/>
      <c r="L1567" s="75">
        <v>84.2</v>
      </c>
      <c r="M1567" s="60">
        <v>1</v>
      </c>
      <c r="N1567" s="76">
        <v>900</v>
      </c>
      <c r="O1567" s="42"/>
      <c r="P1567" s="58" t="s">
        <v>36</v>
      </c>
      <c r="Q1567" s="61"/>
      <c r="R1567" s="62"/>
      <c r="S1567" s="78">
        <f t="shared" si="72"/>
        <v>900</v>
      </c>
      <c r="T1567" s="44" t="str">
        <f t="shared" si="73"/>
        <v>900grams</v>
      </c>
      <c r="U1567" s="77">
        <f t="shared" si="74"/>
        <v>84.2</v>
      </c>
      <c r="V1567" s="46"/>
      <c r="W1567" s="46"/>
      <c r="X1567" s="46"/>
    </row>
    <row r="1568" spans="1:24" ht="15.75" customHeight="1" thickBot="1" x14ac:dyDescent="0.35">
      <c r="A1568" s="40"/>
      <c r="B1568" s="67" t="s">
        <v>1800</v>
      </c>
      <c r="C1568" s="55"/>
      <c r="D1568" s="41"/>
      <c r="E1568" s="55"/>
      <c r="F1568" s="55"/>
      <c r="G1568" s="55"/>
      <c r="H1568" s="51"/>
      <c r="I1568" s="52"/>
      <c r="J1568" s="74" t="s">
        <v>1203</v>
      </c>
      <c r="K1568" s="57"/>
      <c r="L1568" s="75">
        <v>82.8</v>
      </c>
      <c r="M1568" s="60">
        <v>5</v>
      </c>
      <c r="N1568" s="76">
        <v>900</v>
      </c>
      <c r="O1568" s="42"/>
      <c r="P1568" s="58" t="s">
        <v>36</v>
      </c>
      <c r="Q1568" s="61"/>
      <c r="R1568" s="62"/>
      <c r="S1568" s="78">
        <f t="shared" si="72"/>
        <v>4500</v>
      </c>
      <c r="T1568" s="44" t="str">
        <f t="shared" si="73"/>
        <v>4500grams</v>
      </c>
      <c r="U1568" s="77">
        <f t="shared" si="74"/>
        <v>414</v>
      </c>
      <c r="V1568" s="46"/>
      <c r="W1568" s="46"/>
      <c r="X1568" s="46"/>
    </row>
    <row r="1569" spans="1:24" ht="15.75" customHeight="1" thickBot="1" x14ac:dyDescent="0.35">
      <c r="A1569" s="40"/>
      <c r="B1569" s="67" t="s">
        <v>747</v>
      </c>
      <c r="C1569" s="55"/>
      <c r="D1569" s="41"/>
      <c r="E1569" s="55"/>
      <c r="F1569" s="55"/>
      <c r="G1569" s="55"/>
      <c r="H1569" s="51"/>
      <c r="I1569" s="52"/>
      <c r="J1569" s="74" t="s">
        <v>1801</v>
      </c>
      <c r="K1569" s="57"/>
      <c r="L1569" s="75">
        <v>13</v>
      </c>
      <c r="M1569" s="60">
        <v>3</v>
      </c>
      <c r="N1569" s="76">
        <v>1</v>
      </c>
      <c r="O1569" s="42"/>
      <c r="P1569" s="58" t="s">
        <v>38</v>
      </c>
      <c r="Q1569" s="61"/>
      <c r="R1569" s="62"/>
      <c r="S1569" s="78">
        <f t="shared" si="72"/>
        <v>3</v>
      </c>
      <c r="T1569" s="44" t="str">
        <f t="shared" si="73"/>
        <v>3pieces</v>
      </c>
      <c r="U1569" s="77">
        <f t="shared" si="74"/>
        <v>39</v>
      </c>
      <c r="V1569" s="46"/>
      <c r="W1569" s="46"/>
      <c r="X1569" s="46"/>
    </row>
    <row r="1570" spans="1:24" ht="15.75" customHeight="1" thickBot="1" x14ac:dyDescent="0.35">
      <c r="A1570" s="40"/>
      <c r="B1570" s="67" t="s">
        <v>747</v>
      </c>
      <c r="C1570" s="55"/>
      <c r="D1570" s="41"/>
      <c r="E1570" s="55"/>
      <c r="F1570" s="55"/>
      <c r="G1570" s="55"/>
      <c r="H1570" s="51"/>
      <c r="I1570" s="52"/>
      <c r="J1570" s="74" t="s">
        <v>1801</v>
      </c>
      <c r="K1570" s="57"/>
      <c r="L1570" s="75">
        <v>27.75</v>
      </c>
      <c r="M1570" s="60">
        <v>4</v>
      </c>
      <c r="N1570" s="76">
        <v>1</v>
      </c>
      <c r="O1570" s="42"/>
      <c r="P1570" s="58" t="s">
        <v>38</v>
      </c>
      <c r="Q1570" s="61"/>
      <c r="R1570" s="62"/>
      <c r="S1570" s="78">
        <f t="shared" si="72"/>
        <v>4</v>
      </c>
      <c r="T1570" s="44" t="str">
        <f t="shared" si="73"/>
        <v>4pieces</v>
      </c>
      <c r="U1570" s="77">
        <f t="shared" si="74"/>
        <v>111</v>
      </c>
      <c r="V1570" s="46"/>
      <c r="W1570" s="46"/>
      <c r="X1570" s="46"/>
    </row>
    <row r="1571" spans="1:24" ht="15.75" customHeight="1" thickBot="1" x14ac:dyDescent="0.35">
      <c r="A1571" s="40"/>
      <c r="B1571" s="67" t="s">
        <v>747</v>
      </c>
      <c r="C1571" s="55"/>
      <c r="D1571" s="41"/>
      <c r="E1571" s="55"/>
      <c r="F1571" s="55"/>
      <c r="G1571" s="55"/>
      <c r="H1571" s="51"/>
      <c r="I1571" s="52"/>
      <c r="J1571" s="74" t="s">
        <v>1801</v>
      </c>
      <c r="K1571" s="57"/>
      <c r="L1571" s="75">
        <v>25</v>
      </c>
      <c r="M1571" s="60">
        <v>19</v>
      </c>
      <c r="N1571" s="76">
        <v>1</v>
      </c>
      <c r="O1571" s="42"/>
      <c r="P1571" s="58" t="s">
        <v>38</v>
      </c>
      <c r="Q1571" s="61"/>
      <c r="R1571" s="62"/>
      <c r="S1571" s="78">
        <f t="shared" si="72"/>
        <v>19</v>
      </c>
      <c r="T1571" s="44" t="str">
        <f t="shared" si="73"/>
        <v>19pieces</v>
      </c>
      <c r="U1571" s="77">
        <f t="shared" si="74"/>
        <v>475</v>
      </c>
      <c r="V1571" s="46"/>
      <c r="W1571" s="46"/>
      <c r="X1571" s="46"/>
    </row>
    <row r="1572" spans="1:24" ht="15.75" customHeight="1" thickBot="1" x14ac:dyDescent="0.35">
      <c r="A1572" s="40"/>
      <c r="B1572" s="67" t="s">
        <v>747</v>
      </c>
      <c r="C1572" s="55"/>
      <c r="D1572" s="41"/>
      <c r="E1572" s="55"/>
      <c r="F1572" s="55"/>
      <c r="G1572" s="55"/>
      <c r="H1572" s="51"/>
      <c r="I1572" s="52"/>
      <c r="J1572" s="74" t="s">
        <v>1801</v>
      </c>
      <c r="K1572" s="57"/>
      <c r="L1572" s="75">
        <v>12.56</v>
      </c>
      <c r="M1572" s="60">
        <v>8</v>
      </c>
      <c r="N1572" s="76">
        <v>1</v>
      </c>
      <c r="O1572" s="42"/>
      <c r="P1572" s="58" t="s">
        <v>38</v>
      </c>
      <c r="Q1572" s="61"/>
      <c r="R1572" s="62"/>
      <c r="S1572" s="78">
        <f t="shared" si="72"/>
        <v>8</v>
      </c>
      <c r="T1572" s="44" t="str">
        <f t="shared" si="73"/>
        <v>8pieces</v>
      </c>
      <c r="U1572" s="77">
        <f t="shared" si="74"/>
        <v>100.48</v>
      </c>
      <c r="V1572" s="46"/>
      <c r="W1572" s="46"/>
      <c r="X1572" s="46"/>
    </row>
    <row r="1573" spans="1:24" ht="15.75" customHeight="1" thickBot="1" x14ac:dyDescent="0.35">
      <c r="A1573" s="40"/>
      <c r="B1573" s="67" t="s">
        <v>750</v>
      </c>
      <c r="C1573" s="55"/>
      <c r="D1573" s="41"/>
      <c r="E1573" s="55"/>
      <c r="F1573" s="55"/>
      <c r="G1573" s="55"/>
      <c r="H1573" s="51"/>
      <c r="I1573" s="52"/>
      <c r="J1573" s="74" t="s">
        <v>1801</v>
      </c>
      <c r="K1573" s="57"/>
      <c r="L1573" s="75">
        <v>9</v>
      </c>
      <c r="M1573" s="60">
        <v>24</v>
      </c>
      <c r="N1573" s="76">
        <v>25</v>
      </c>
      <c r="O1573" s="42"/>
      <c r="P1573" s="58" t="s">
        <v>47</v>
      </c>
      <c r="Q1573" s="61"/>
      <c r="R1573" s="62"/>
      <c r="S1573" s="78">
        <f t="shared" si="72"/>
        <v>600</v>
      </c>
      <c r="T1573" s="44" t="str">
        <f t="shared" si="73"/>
        <v>600ml</v>
      </c>
      <c r="U1573" s="77">
        <f t="shared" si="74"/>
        <v>216</v>
      </c>
      <c r="V1573" s="46"/>
      <c r="W1573" s="46"/>
      <c r="X1573" s="46"/>
    </row>
    <row r="1574" spans="1:24" ht="15.75" customHeight="1" thickBot="1" x14ac:dyDescent="0.35">
      <c r="A1574" s="40"/>
      <c r="B1574" s="67" t="s">
        <v>750</v>
      </c>
      <c r="C1574" s="55"/>
      <c r="D1574" s="41"/>
      <c r="E1574" s="55"/>
      <c r="F1574" s="55"/>
      <c r="G1574" s="55"/>
      <c r="H1574" s="51"/>
      <c r="I1574" s="52"/>
      <c r="J1574" s="74" t="s">
        <v>1802</v>
      </c>
      <c r="K1574" s="57"/>
      <c r="L1574" s="75">
        <v>8</v>
      </c>
      <c r="M1574" s="60">
        <v>2</v>
      </c>
      <c r="N1574" s="76">
        <v>20</v>
      </c>
      <c r="O1574" s="42"/>
      <c r="P1574" s="58" t="s">
        <v>47</v>
      </c>
      <c r="Q1574" s="61"/>
      <c r="R1574" s="62"/>
      <c r="S1574" s="78">
        <f t="shared" si="72"/>
        <v>40</v>
      </c>
      <c r="T1574" s="44" t="str">
        <f t="shared" si="73"/>
        <v>40ml</v>
      </c>
      <c r="U1574" s="77">
        <f t="shared" si="74"/>
        <v>16</v>
      </c>
      <c r="V1574" s="46"/>
      <c r="W1574" s="46"/>
      <c r="X1574" s="46"/>
    </row>
    <row r="1575" spans="1:24" ht="15.75" customHeight="1" thickBot="1" x14ac:dyDescent="0.35">
      <c r="A1575" s="40"/>
      <c r="B1575" s="68" t="s">
        <v>750</v>
      </c>
      <c r="C1575" s="55"/>
      <c r="D1575" s="41"/>
      <c r="E1575" s="55"/>
      <c r="F1575" s="55"/>
      <c r="G1575" s="55"/>
      <c r="H1575" s="51"/>
      <c r="I1575" s="52"/>
      <c r="J1575" s="74" t="s">
        <v>1801</v>
      </c>
      <c r="K1575" s="57"/>
      <c r="L1575" s="75">
        <v>8</v>
      </c>
      <c r="M1575" s="60">
        <v>9</v>
      </c>
      <c r="N1575" s="76">
        <v>1</v>
      </c>
      <c r="O1575" s="42"/>
      <c r="P1575" s="58" t="s">
        <v>38</v>
      </c>
      <c r="Q1575" s="61"/>
      <c r="R1575" s="62"/>
      <c r="S1575" s="78">
        <f t="shared" si="72"/>
        <v>9</v>
      </c>
      <c r="T1575" s="44" t="str">
        <f t="shared" si="73"/>
        <v>9pieces</v>
      </c>
      <c r="U1575" s="77">
        <f t="shared" si="74"/>
        <v>72</v>
      </c>
      <c r="V1575" s="46"/>
      <c r="W1575" s="46"/>
      <c r="X1575" s="46"/>
    </row>
    <row r="1576" spans="1:24" ht="15.75" customHeight="1" thickBot="1" x14ac:dyDescent="0.35">
      <c r="A1576" s="40"/>
      <c r="B1576" s="67" t="s">
        <v>750</v>
      </c>
      <c r="C1576" s="55"/>
      <c r="D1576" s="41"/>
      <c r="E1576" s="55"/>
      <c r="F1576" s="55"/>
      <c r="G1576" s="55"/>
      <c r="H1576" s="51"/>
      <c r="I1576" s="52"/>
      <c r="J1576" s="74" t="s">
        <v>1803</v>
      </c>
      <c r="K1576" s="57"/>
      <c r="L1576" s="75">
        <v>8</v>
      </c>
      <c r="M1576" s="60">
        <v>12</v>
      </c>
      <c r="N1576" s="76">
        <v>1</v>
      </c>
      <c r="O1576" s="42"/>
      <c r="P1576" s="58" t="s">
        <v>38</v>
      </c>
      <c r="Q1576" s="61"/>
      <c r="R1576" s="62"/>
      <c r="S1576" s="78">
        <f t="shared" si="72"/>
        <v>12</v>
      </c>
      <c r="T1576" s="44" t="str">
        <f t="shared" si="73"/>
        <v>12pieces</v>
      </c>
      <c r="U1576" s="77">
        <f t="shared" si="74"/>
        <v>96</v>
      </c>
      <c r="V1576" s="46"/>
      <c r="W1576" s="46"/>
      <c r="X1576" s="46"/>
    </row>
    <row r="1577" spans="1:24" ht="15.75" customHeight="1" thickBot="1" x14ac:dyDescent="0.35">
      <c r="A1577" s="40"/>
      <c r="B1577" s="67" t="s">
        <v>754</v>
      </c>
      <c r="C1577" s="55"/>
      <c r="D1577" s="41"/>
      <c r="E1577" s="55"/>
      <c r="F1577" s="55"/>
      <c r="G1577" s="55"/>
      <c r="H1577" s="51"/>
      <c r="I1577" s="52"/>
      <c r="J1577" s="74"/>
      <c r="K1577" s="57"/>
      <c r="L1577" s="75">
        <v>25</v>
      </c>
      <c r="M1577" s="60">
        <v>3</v>
      </c>
      <c r="N1577" s="76">
        <v>1</v>
      </c>
      <c r="O1577" s="42"/>
      <c r="P1577" s="58" t="s">
        <v>77</v>
      </c>
      <c r="Q1577" s="61"/>
      <c r="R1577" s="62"/>
      <c r="S1577" s="78">
        <f t="shared" si="72"/>
        <v>3</v>
      </c>
      <c r="T1577" s="44" t="str">
        <f t="shared" si="73"/>
        <v>3packs</v>
      </c>
      <c r="U1577" s="77">
        <f t="shared" si="74"/>
        <v>75</v>
      </c>
      <c r="V1577" s="46"/>
      <c r="W1577" s="46"/>
      <c r="X1577" s="46"/>
    </row>
    <row r="1578" spans="1:24" ht="15.75" customHeight="1" thickBot="1" x14ac:dyDescent="0.35">
      <c r="A1578" s="40"/>
      <c r="B1578" s="67" t="s">
        <v>754</v>
      </c>
      <c r="C1578" s="55"/>
      <c r="D1578" s="41"/>
      <c r="E1578" s="55"/>
      <c r="F1578" s="55"/>
      <c r="G1578" s="55"/>
      <c r="H1578" s="51"/>
      <c r="I1578" s="52"/>
      <c r="J1578" s="74" t="s">
        <v>1804</v>
      </c>
      <c r="K1578" s="57"/>
      <c r="L1578" s="75">
        <v>15</v>
      </c>
      <c r="M1578" s="60">
        <v>31</v>
      </c>
      <c r="N1578" s="76">
        <v>1</v>
      </c>
      <c r="O1578" s="42"/>
      <c r="P1578" s="58" t="s">
        <v>1601</v>
      </c>
      <c r="Q1578" s="61"/>
      <c r="R1578" s="62"/>
      <c r="S1578" s="78">
        <f t="shared" si="72"/>
        <v>31</v>
      </c>
      <c r="T1578" s="44" t="str">
        <f t="shared" si="73"/>
        <v>31box</v>
      </c>
      <c r="U1578" s="77">
        <f t="shared" si="74"/>
        <v>465</v>
      </c>
      <c r="V1578" s="46"/>
      <c r="W1578" s="46"/>
      <c r="X1578" s="46"/>
    </row>
    <row r="1579" spans="1:24" ht="15.75" customHeight="1" thickBot="1" x14ac:dyDescent="0.35">
      <c r="A1579" s="40"/>
      <c r="B1579" s="67" t="s">
        <v>754</v>
      </c>
      <c r="C1579" s="55"/>
      <c r="D1579" s="41"/>
      <c r="E1579" s="55"/>
      <c r="F1579" s="55"/>
      <c r="G1579" s="55"/>
      <c r="H1579" s="51"/>
      <c r="I1579" s="52"/>
      <c r="J1579" s="74" t="s">
        <v>862</v>
      </c>
      <c r="K1579" s="57"/>
      <c r="L1579" s="75">
        <v>15</v>
      </c>
      <c r="M1579" s="60">
        <v>3</v>
      </c>
      <c r="N1579" s="76">
        <v>1</v>
      </c>
      <c r="O1579" s="42"/>
      <c r="P1579" s="58" t="s">
        <v>77</v>
      </c>
      <c r="Q1579" s="61"/>
      <c r="R1579" s="62"/>
      <c r="S1579" s="78">
        <f t="shared" si="72"/>
        <v>3</v>
      </c>
      <c r="T1579" s="44" t="str">
        <f t="shared" si="73"/>
        <v>3packs</v>
      </c>
      <c r="U1579" s="77">
        <f t="shared" si="74"/>
        <v>45</v>
      </c>
      <c r="V1579" s="46"/>
      <c r="W1579" s="46"/>
      <c r="X1579" s="46"/>
    </row>
    <row r="1580" spans="1:24" ht="15.75" customHeight="1" thickBot="1" x14ac:dyDescent="0.35">
      <c r="A1580" s="40"/>
      <c r="B1580" s="67" t="s">
        <v>1805</v>
      </c>
      <c r="C1580" s="55"/>
      <c r="D1580" s="41"/>
      <c r="E1580" s="55"/>
      <c r="F1580" s="55"/>
      <c r="G1580" s="55"/>
      <c r="H1580" s="51"/>
      <c r="I1580" s="52"/>
      <c r="J1580" s="74" t="s">
        <v>820</v>
      </c>
      <c r="K1580" s="57"/>
      <c r="L1580" s="75">
        <v>50.8</v>
      </c>
      <c r="M1580" s="60">
        <v>7</v>
      </c>
      <c r="N1580" s="76">
        <v>1</v>
      </c>
      <c r="O1580" s="42"/>
      <c r="P1580" s="58" t="s">
        <v>38</v>
      </c>
      <c r="Q1580" s="61"/>
      <c r="R1580" s="62"/>
      <c r="S1580" s="78">
        <f t="shared" si="72"/>
        <v>7</v>
      </c>
      <c r="T1580" s="44" t="str">
        <f t="shared" si="73"/>
        <v>7pieces</v>
      </c>
      <c r="U1580" s="77">
        <f t="shared" si="74"/>
        <v>355.59999999999997</v>
      </c>
      <c r="V1580" s="46"/>
      <c r="W1580" s="46"/>
      <c r="X1580" s="46"/>
    </row>
    <row r="1581" spans="1:24" ht="15.75" customHeight="1" thickBot="1" x14ac:dyDescent="0.35">
      <c r="A1581" s="40"/>
      <c r="B1581" s="68" t="s">
        <v>762</v>
      </c>
      <c r="C1581" s="55"/>
      <c r="D1581" s="41"/>
      <c r="E1581" s="55"/>
      <c r="F1581" s="55"/>
      <c r="G1581" s="55"/>
      <c r="H1581" s="51"/>
      <c r="I1581" s="52"/>
      <c r="J1581" s="74" t="s">
        <v>1806</v>
      </c>
      <c r="K1581" s="57"/>
      <c r="L1581" s="75">
        <v>6</v>
      </c>
      <c r="M1581" s="60">
        <v>100</v>
      </c>
      <c r="N1581" s="76">
        <v>1</v>
      </c>
      <c r="O1581" s="42"/>
      <c r="P1581" s="58" t="s">
        <v>38</v>
      </c>
      <c r="Q1581" s="61"/>
      <c r="R1581" s="62"/>
      <c r="S1581" s="78">
        <f t="shared" si="72"/>
        <v>100</v>
      </c>
      <c r="T1581" s="44" t="str">
        <f t="shared" si="73"/>
        <v>100pieces</v>
      </c>
      <c r="U1581" s="77">
        <f t="shared" si="74"/>
        <v>600</v>
      </c>
      <c r="V1581" s="46"/>
      <c r="W1581" s="46"/>
      <c r="X1581" s="46"/>
    </row>
    <row r="1582" spans="1:24" ht="15.75" customHeight="1" thickBot="1" x14ac:dyDescent="0.35">
      <c r="A1582" s="40"/>
      <c r="B1582" s="67" t="s">
        <v>762</v>
      </c>
      <c r="C1582" s="55"/>
      <c r="D1582" s="41"/>
      <c r="E1582" s="55"/>
      <c r="F1582" s="55"/>
      <c r="G1582" s="55"/>
      <c r="H1582" s="51"/>
      <c r="I1582" s="52"/>
      <c r="J1582" s="74" t="s">
        <v>820</v>
      </c>
      <c r="K1582" s="57"/>
      <c r="L1582" s="75">
        <v>62.97</v>
      </c>
      <c r="M1582" s="60">
        <v>16</v>
      </c>
      <c r="N1582" s="76">
        <v>1</v>
      </c>
      <c r="O1582" s="42"/>
      <c r="P1582" s="58" t="s">
        <v>764</v>
      </c>
      <c r="Q1582" s="61"/>
      <c r="R1582" s="62"/>
      <c r="S1582" s="78">
        <f t="shared" si="72"/>
        <v>16</v>
      </c>
      <c r="T1582" s="44" t="str">
        <f t="shared" si="73"/>
        <v>16roll</v>
      </c>
      <c r="U1582" s="77">
        <f t="shared" si="74"/>
        <v>1007.52</v>
      </c>
      <c r="V1582" s="46"/>
      <c r="W1582" s="46"/>
      <c r="X1582" s="46"/>
    </row>
    <row r="1583" spans="1:24" ht="15.75" customHeight="1" thickBot="1" x14ac:dyDescent="0.35">
      <c r="A1583" s="40"/>
      <c r="B1583" s="68" t="s">
        <v>1807</v>
      </c>
      <c r="C1583" s="55"/>
      <c r="D1583" s="41"/>
      <c r="E1583" s="55"/>
      <c r="F1583" s="55"/>
      <c r="G1583" s="55"/>
      <c r="H1583" s="51"/>
      <c r="I1583" s="52"/>
      <c r="J1583" s="74" t="s">
        <v>1463</v>
      </c>
      <c r="K1583" s="57"/>
      <c r="L1583" s="75">
        <v>6</v>
      </c>
      <c r="M1583" s="60">
        <v>113</v>
      </c>
      <c r="N1583" s="76">
        <v>1</v>
      </c>
      <c r="O1583" s="42"/>
      <c r="P1583" s="58" t="s">
        <v>38</v>
      </c>
      <c r="Q1583" s="61"/>
      <c r="R1583" s="62"/>
      <c r="S1583" s="78">
        <f t="shared" si="72"/>
        <v>113</v>
      </c>
      <c r="T1583" s="44" t="str">
        <f t="shared" si="73"/>
        <v>113pieces</v>
      </c>
      <c r="U1583" s="77">
        <f t="shared" si="74"/>
        <v>678</v>
      </c>
      <c r="V1583" s="46"/>
      <c r="W1583" s="46"/>
      <c r="X1583" s="46"/>
    </row>
    <row r="1584" spans="1:24" ht="15.75" customHeight="1" thickBot="1" x14ac:dyDescent="0.35">
      <c r="A1584" s="40"/>
      <c r="B1584" s="68" t="s">
        <v>1807</v>
      </c>
      <c r="C1584" s="55"/>
      <c r="D1584" s="41"/>
      <c r="E1584" s="55"/>
      <c r="F1584" s="55"/>
      <c r="G1584" s="55"/>
      <c r="H1584" s="51"/>
      <c r="I1584" s="52"/>
      <c r="J1584" s="74"/>
      <c r="K1584" s="57"/>
      <c r="L1584" s="75">
        <v>7</v>
      </c>
      <c r="M1584" s="60">
        <v>41</v>
      </c>
      <c r="N1584" s="76">
        <v>1</v>
      </c>
      <c r="O1584" s="42"/>
      <c r="P1584" s="58" t="s">
        <v>38</v>
      </c>
      <c r="Q1584" s="61"/>
      <c r="R1584" s="62"/>
      <c r="S1584" s="78">
        <f t="shared" si="72"/>
        <v>41</v>
      </c>
      <c r="T1584" s="44" t="str">
        <f t="shared" si="73"/>
        <v>41pieces</v>
      </c>
      <c r="U1584" s="77">
        <f t="shared" si="74"/>
        <v>287</v>
      </c>
      <c r="V1584" s="46"/>
      <c r="W1584" s="46"/>
      <c r="X1584" s="46"/>
    </row>
    <row r="1585" spans="1:24" ht="15.75" customHeight="1" thickBot="1" x14ac:dyDescent="0.35">
      <c r="A1585" s="40"/>
      <c r="B1585" s="67" t="s">
        <v>1808</v>
      </c>
      <c r="C1585" s="55"/>
      <c r="D1585" s="41"/>
      <c r="E1585" s="55"/>
      <c r="F1585" s="55"/>
      <c r="G1585" s="55"/>
      <c r="H1585" s="51"/>
      <c r="I1585" s="52"/>
      <c r="J1585" s="74" t="s">
        <v>820</v>
      </c>
      <c r="K1585" s="57"/>
      <c r="L1585" s="75">
        <v>50.81</v>
      </c>
      <c r="M1585" s="60">
        <v>30</v>
      </c>
      <c r="N1585" s="76">
        <v>1</v>
      </c>
      <c r="O1585" s="42"/>
      <c r="P1585" s="58" t="s">
        <v>764</v>
      </c>
      <c r="Q1585" s="61"/>
      <c r="R1585" s="62"/>
      <c r="S1585" s="78">
        <f t="shared" si="72"/>
        <v>30</v>
      </c>
      <c r="T1585" s="44" t="str">
        <f t="shared" si="73"/>
        <v>30roll</v>
      </c>
      <c r="U1585" s="77">
        <f t="shared" si="74"/>
        <v>1524.3000000000002</v>
      </c>
      <c r="V1585" s="46"/>
      <c r="W1585" s="46"/>
      <c r="X1585" s="46"/>
    </row>
    <row r="1586" spans="1:24" ht="15.75" customHeight="1" thickBot="1" x14ac:dyDescent="0.35">
      <c r="A1586" s="40"/>
      <c r="B1586" s="67" t="s">
        <v>1809</v>
      </c>
      <c r="C1586" s="55"/>
      <c r="D1586" s="41"/>
      <c r="E1586" s="55"/>
      <c r="F1586" s="55"/>
      <c r="G1586" s="55"/>
      <c r="H1586" s="51"/>
      <c r="I1586" s="52"/>
      <c r="J1586" s="74"/>
      <c r="K1586" s="57"/>
      <c r="L1586" s="75">
        <v>450</v>
      </c>
      <c r="M1586" s="60">
        <v>2</v>
      </c>
      <c r="N1586" s="76">
        <v>1</v>
      </c>
      <c r="O1586" s="42"/>
      <c r="P1586" s="58" t="s">
        <v>88</v>
      </c>
      <c r="Q1586" s="61"/>
      <c r="R1586" s="62"/>
      <c r="S1586" s="78">
        <f t="shared" si="72"/>
        <v>2</v>
      </c>
      <c r="T1586" s="44" t="str">
        <f t="shared" si="73"/>
        <v>2kilos</v>
      </c>
      <c r="U1586" s="77">
        <f t="shared" si="74"/>
        <v>900</v>
      </c>
      <c r="V1586" s="46"/>
      <c r="W1586" s="46"/>
      <c r="X1586" s="46"/>
    </row>
    <row r="1587" spans="1:24" ht="15.75" customHeight="1" thickBot="1" x14ac:dyDescent="0.35">
      <c r="A1587" s="40"/>
      <c r="B1587" s="67" t="s">
        <v>1809</v>
      </c>
      <c r="C1587" s="55"/>
      <c r="D1587" s="41"/>
      <c r="E1587" s="55"/>
      <c r="F1587" s="55"/>
      <c r="G1587" s="55"/>
      <c r="H1587" s="51"/>
      <c r="I1587" s="52"/>
      <c r="J1587" s="74" t="s">
        <v>1810</v>
      </c>
      <c r="K1587" s="57"/>
      <c r="L1587" s="75">
        <v>460</v>
      </c>
      <c r="M1587" s="60">
        <v>2</v>
      </c>
      <c r="N1587" s="76">
        <v>1</v>
      </c>
      <c r="O1587" s="42"/>
      <c r="P1587" s="58" t="s">
        <v>88</v>
      </c>
      <c r="Q1587" s="61"/>
      <c r="R1587" s="62"/>
      <c r="S1587" s="78">
        <f t="shared" si="72"/>
        <v>2</v>
      </c>
      <c r="T1587" s="44" t="str">
        <f t="shared" si="73"/>
        <v>2kilos</v>
      </c>
      <c r="U1587" s="77">
        <f t="shared" si="74"/>
        <v>920</v>
      </c>
      <c r="V1587" s="46"/>
      <c r="W1587" s="46"/>
      <c r="X1587" s="46"/>
    </row>
    <row r="1588" spans="1:24" ht="15.75" customHeight="1" thickBot="1" x14ac:dyDescent="0.35">
      <c r="A1588" s="40"/>
      <c r="B1588" s="68" t="s">
        <v>1811</v>
      </c>
      <c r="C1588" s="55"/>
      <c r="D1588" s="41"/>
      <c r="E1588" s="55"/>
      <c r="F1588" s="55"/>
      <c r="G1588" s="55"/>
      <c r="H1588" s="51"/>
      <c r="I1588" s="52"/>
      <c r="J1588" s="74" t="s">
        <v>816</v>
      </c>
      <c r="K1588" s="57"/>
      <c r="L1588" s="75">
        <v>78</v>
      </c>
      <c r="M1588" s="60">
        <v>1</v>
      </c>
      <c r="N1588" s="76">
        <v>31</v>
      </c>
      <c r="O1588" s="42"/>
      <c r="P1588" s="58" t="s">
        <v>36</v>
      </c>
      <c r="Q1588" s="61"/>
      <c r="R1588" s="62"/>
      <c r="S1588" s="78">
        <f t="shared" si="72"/>
        <v>31</v>
      </c>
      <c r="T1588" s="44" t="str">
        <f t="shared" si="73"/>
        <v>31grams</v>
      </c>
      <c r="U1588" s="77">
        <f t="shared" si="74"/>
        <v>78</v>
      </c>
      <c r="V1588" s="46"/>
      <c r="W1588" s="46"/>
      <c r="X1588" s="46"/>
    </row>
    <row r="1589" spans="1:24" ht="15.75" customHeight="1" thickBot="1" x14ac:dyDescent="0.35">
      <c r="A1589" s="40"/>
      <c r="B1589" s="68" t="s">
        <v>1811</v>
      </c>
      <c r="C1589" s="55"/>
      <c r="D1589" s="41"/>
      <c r="E1589" s="55"/>
      <c r="F1589" s="55"/>
      <c r="G1589" s="55"/>
      <c r="H1589" s="51"/>
      <c r="I1589" s="52"/>
      <c r="J1589" s="74" t="s">
        <v>1036</v>
      </c>
      <c r="K1589" s="57"/>
      <c r="L1589" s="75">
        <v>12.95</v>
      </c>
      <c r="M1589" s="60">
        <v>5</v>
      </c>
      <c r="N1589" s="76">
        <v>30</v>
      </c>
      <c r="O1589" s="42"/>
      <c r="P1589" s="58" t="s">
        <v>36</v>
      </c>
      <c r="Q1589" s="61"/>
      <c r="R1589" s="62"/>
      <c r="S1589" s="78">
        <f t="shared" si="72"/>
        <v>150</v>
      </c>
      <c r="T1589" s="44" t="str">
        <f t="shared" si="73"/>
        <v>150grams</v>
      </c>
      <c r="U1589" s="77">
        <f t="shared" si="74"/>
        <v>64.75</v>
      </c>
      <c r="V1589" s="46"/>
      <c r="W1589" s="46"/>
      <c r="X1589" s="46"/>
    </row>
    <row r="1590" spans="1:24" ht="15.75" customHeight="1" thickBot="1" x14ac:dyDescent="0.35">
      <c r="A1590" s="40"/>
      <c r="B1590" s="67" t="s">
        <v>1812</v>
      </c>
      <c r="C1590" s="55"/>
      <c r="D1590" s="41"/>
      <c r="E1590" s="55"/>
      <c r="F1590" s="55"/>
      <c r="G1590" s="55"/>
      <c r="H1590" s="51"/>
      <c r="I1590" s="52"/>
      <c r="J1590" s="74"/>
      <c r="K1590" s="57"/>
      <c r="L1590" s="75">
        <v>240</v>
      </c>
      <c r="M1590" s="60">
        <v>1</v>
      </c>
      <c r="N1590" s="76">
        <v>1</v>
      </c>
      <c r="O1590" s="42"/>
      <c r="P1590" s="58" t="s">
        <v>88</v>
      </c>
      <c r="Q1590" s="61"/>
      <c r="R1590" s="62"/>
      <c r="S1590" s="78">
        <f t="shared" ref="S1590:S1621" si="75">M1590*N1590</f>
        <v>1</v>
      </c>
      <c r="T1590" s="44" t="str">
        <f t="shared" ref="T1590:T1621" si="76">CONCATENATE(S1590,Q1590,P1590)</f>
        <v>1kilos</v>
      </c>
      <c r="U1590" s="77">
        <f t="shared" ref="U1590:U1621" si="77">L1590*M1590</f>
        <v>240</v>
      </c>
      <c r="V1590" s="46"/>
      <c r="W1590" s="46"/>
      <c r="X1590" s="46"/>
    </row>
    <row r="1591" spans="1:24" ht="15.75" customHeight="1" thickBot="1" x14ac:dyDescent="0.35">
      <c r="A1591" s="40"/>
      <c r="B1591" s="67" t="s">
        <v>1813</v>
      </c>
      <c r="C1591" s="55"/>
      <c r="D1591" s="41"/>
      <c r="E1591" s="55"/>
      <c r="F1591" s="55"/>
      <c r="G1591" s="55"/>
      <c r="H1591" s="51"/>
      <c r="I1591" s="52"/>
      <c r="J1591" s="74" t="s">
        <v>816</v>
      </c>
      <c r="K1591" s="57"/>
      <c r="L1591" s="75">
        <v>44</v>
      </c>
      <c r="M1591" s="60">
        <v>1</v>
      </c>
      <c r="N1591" s="76">
        <v>20</v>
      </c>
      <c r="O1591" s="42"/>
      <c r="P1591" s="58" t="s">
        <v>47</v>
      </c>
      <c r="Q1591" s="61"/>
      <c r="R1591" s="62"/>
      <c r="S1591" s="78">
        <f t="shared" si="75"/>
        <v>20</v>
      </c>
      <c r="T1591" s="44" t="str">
        <f t="shared" si="76"/>
        <v>20ml</v>
      </c>
      <c r="U1591" s="77">
        <f t="shared" si="77"/>
        <v>44</v>
      </c>
      <c r="V1591" s="46"/>
      <c r="W1591" s="46"/>
      <c r="X1591" s="46"/>
    </row>
    <row r="1592" spans="1:24" ht="15.75" customHeight="1" thickBot="1" x14ac:dyDescent="0.35">
      <c r="A1592" s="40"/>
      <c r="B1592" s="67" t="s">
        <v>1813</v>
      </c>
      <c r="C1592" s="55"/>
      <c r="D1592" s="41"/>
      <c r="E1592" s="55"/>
      <c r="F1592" s="55"/>
      <c r="G1592" s="55"/>
      <c r="H1592" s="51"/>
      <c r="I1592" s="52"/>
      <c r="J1592" s="74" t="s">
        <v>1189</v>
      </c>
      <c r="K1592" s="57"/>
      <c r="L1592" s="75">
        <v>46</v>
      </c>
      <c r="M1592" s="60">
        <v>2</v>
      </c>
      <c r="N1592" s="76">
        <v>375</v>
      </c>
      <c r="O1592" s="42"/>
      <c r="P1592" s="58" t="s">
        <v>47</v>
      </c>
      <c r="Q1592" s="61"/>
      <c r="R1592" s="62"/>
      <c r="S1592" s="78">
        <f t="shared" si="75"/>
        <v>750</v>
      </c>
      <c r="T1592" s="44" t="str">
        <f t="shared" si="76"/>
        <v>750ml</v>
      </c>
      <c r="U1592" s="77">
        <f t="shared" si="77"/>
        <v>92</v>
      </c>
      <c r="V1592" s="46"/>
      <c r="W1592" s="46"/>
      <c r="X1592" s="46"/>
    </row>
    <row r="1593" spans="1:24" ht="15.75" customHeight="1" thickBot="1" x14ac:dyDescent="0.35">
      <c r="A1593" s="40"/>
      <c r="B1593" s="67" t="s">
        <v>1813</v>
      </c>
      <c r="C1593" s="55"/>
      <c r="D1593" s="41"/>
      <c r="E1593" s="55"/>
      <c r="F1593" s="55"/>
      <c r="G1593" s="55"/>
      <c r="H1593" s="51"/>
      <c r="I1593" s="52"/>
      <c r="J1593" s="74" t="s">
        <v>1814</v>
      </c>
      <c r="K1593" s="57"/>
      <c r="L1593" s="75">
        <v>55</v>
      </c>
      <c r="M1593" s="60">
        <v>1</v>
      </c>
      <c r="N1593" s="76">
        <v>350</v>
      </c>
      <c r="O1593" s="42"/>
      <c r="P1593" s="58" t="s">
        <v>47</v>
      </c>
      <c r="Q1593" s="61"/>
      <c r="R1593" s="62"/>
      <c r="S1593" s="78">
        <f t="shared" si="75"/>
        <v>350</v>
      </c>
      <c r="T1593" s="44" t="str">
        <f t="shared" si="76"/>
        <v>350ml</v>
      </c>
      <c r="U1593" s="77">
        <f t="shared" si="77"/>
        <v>55</v>
      </c>
      <c r="V1593" s="46"/>
      <c r="W1593" s="46"/>
      <c r="X1593" s="46"/>
    </row>
    <row r="1594" spans="1:24" ht="15.75" customHeight="1" thickBot="1" x14ac:dyDescent="0.35">
      <c r="A1594" s="40"/>
      <c r="B1594" s="68" t="s">
        <v>775</v>
      </c>
      <c r="C1594" s="55"/>
      <c r="D1594" s="41"/>
      <c r="E1594" s="55"/>
      <c r="F1594" s="55"/>
      <c r="G1594" s="55"/>
      <c r="H1594" s="51"/>
      <c r="I1594" s="52"/>
      <c r="J1594" s="74" t="s">
        <v>872</v>
      </c>
      <c r="K1594" s="57"/>
      <c r="L1594" s="75">
        <v>51</v>
      </c>
      <c r="M1594" s="60">
        <v>7</v>
      </c>
      <c r="N1594" s="76">
        <v>260</v>
      </c>
      <c r="O1594" s="42"/>
      <c r="P1594" s="58" t="s">
        <v>36</v>
      </c>
      <c r="Q1594" s="61"/>
      <c r="R1594" s="62"/>
      <c r="S1594" s="78">
        <f t="shared" si="75"/>
        <v>1820</v>
      </c>
      <c r="T1594" s="44" t="str">
        <f t="shared" si="76"/>
        <v>1820grams</v>
      </c>
      <c r="U1594" s="77">
        <f t="shared" si="77"/>
        <v>357</v>
      </c>
      <c r="V1594" s="46"/>
      <c r="W1594" s="46"/>
      <c r="X1594" s="46"/>
    </row>
    <row r="1595" spans="1:24" ht="15.75" customHeight="1" thickBot="1" x14ac:dyDescent="0.35">
      <c r="A1595" s="40"/>
      <c r="B1595" s="68" t="s">
        <v>775</v>
      </c>
      <c r="C1595" s="55"/>
      <c r="D1595" s="41"/>
      <c r="E1595" s="55"/>
      <c r="F1595" s="55"/>
      <c r="G1595" s="55"/>
      <c r="H1595" s="51"/>
      <c r="I1595" s="52"/>
      <c r="J1595" s="74" t="s">
        <v>832</v>
      </c>
      <c r="K1595" s="57"/>
      <c r="L1595" s="75">
        <v>56.75</v>
      </c>
      <c r="M1595" s="60">
        <v>2</v>
      </c>
      <c r="N1595" s="76">
        <v>130</v>
      </c>
      <c r="O1595" s="42"/>
      <c r="P1595" s="58" t="s">
        <v>36</v>
      </c>
      <c r="Q1595" s="61"/>
      <c r="R1595" s="62"/>
      <c r="S1595" s="78">
        <f t="shared" si="75"/>
        <v>260</v>
      </c>
      <c r="T1595" s="44" t="str">
        <f t="shared" si="76"/>
        <v>260grams</v>
      </c>
      <c r="U1595" s="77">
        <f t="shared" si="77"/>
        <v>113.5</v>
      </c>
      <c r="V1595" s="46"/>
      <c r="W1595" s="46"/>
      <c r="X1595" s="46"/>
    </row>
    <row r="1596" spans="1:24" ht="15.75" customHeight="1" thickBot="1" x14ac:dyDescent="0.35">
      <c r="A1596" s="40"/>
      <c r="B1596" s="67" t="s">
        <v>777</v>
      </c>
      <c r="C1596" s="55"/>
      <c r="D1596" s="41"/>
      <c r="E1596" s="55"/>
      <c r="F1596" s="55"/>
      <c r="G1596" s="55"/>
      <c r="H1596" s="51"/>
      <c r="I1596" s="52"/>
      <c r="J1596" s="74" t="s">
        <v>1031</v>
      </c>
      <c r="K1596" s="57"/>
      <c r="L1596" s="75">
        <v>70</v>
      </c>
      <c r="M1596" s="60">
        <v>4</v>
      </c>
      <c r="N1596" s="76">
        <v>3500</v>
      </c>
      <c r="O1596" s="42"/>
      <c r="P1596" s="58" t="s">
        <v>47</v>
      </c>
      <c r="Q1596" s="61"/>
      <c r="R1596" s="62"/>
      <c r="S1596" s="78">
        <f t="shared" si="75"/>
        <v>14000</v>
      </c>
      <c r="T1596" s="44" t="str">
        <f t="shared" si="76"/>
        <v>14000ml</v>
      </c>
      <c r="U1596" s="77">
        <f t="shared" si="77"/>
        <v>280</v>
      </c>
      <c r="V1596" s="46"/>
      <c r="W1596" s="46"/>
      <c r="X1596" s="46"/>
    </row>
    <row r="1597" spans="1:24" ht="15.75" customHeight="1" thickBot="1" x14ac:dyDescent="0.35">
      <c r="A1597" s="40"/>
      <c r="B1597" s="67" t="s">
        <v>777</v>
      </c>
      <c r="C1597" s="55"/>
      <c r="D1597" s="41"/>
      <c r="E1597" s="55"/>
      <c r="F1597" s="55"/>
      <c r="G1597" s="55"/>
      <c r="H1597" s="51"/>
      <c r="I1597" s="52"/>
      <c r="J1597" s="74" t="s">
        <v>1031</v>
      </c>
      <c r="K1597" s="57"/>
      <c r="L1597" s="75">
        <v>70</v>
      </c>
      <c r="M1597" s="60">
        <v>10</v>
      </c>
      <c r="N1597" s="76">
        <v>3500</v>
      </c>
      <c r="O1597" s="42"/>
      <c r="P1597" s="58" t="s">
        <v>47</v>
      </c>
      <c r="Q1597" s="61"/>
      <c r="R1597" s="62"/>
      <c r="S1597" s="78">
        <f t="shared" si="75"/>
        <v>35000</v>
      </c>
      <c r="T1597" s="44" t="str">
        <f t="shared" si="76"/>
        <v>35000ml</v>
      </c>
      <c r="U1597" s="77">
        <f t="shared" si="77"/>
        <v>700</v>
      </c>
      <c r="V1597" s="46"/>
      <c r="W1597" s="46"/>
      <c r="X1597" s="46"/>
    </row>
    <row r="1598" spans="1:24" ht="15.75" customHeight="1" thickBot="1" x14ac:dyDescent="0.35">
      <c r="A1598" s="40"/>
      <c r="B1598" s="67" t="s">
        <v>777</v>
      </c>
      <c r="C1598" s="55"/>
      <c r="D1598" s="41"/>
      <c r="E1598" s="55"/>
      <c r="F1598" s="55"/>
      <c r="G1598" s="55"/>
      <c r="H1598" s="51"/>
      <c r="I1598" s="52"/>
      <c r="J1598" s="74" t="s">
        <v>1031</v>
      </c>
      <c r="K1598" s="57"/>
      <c r="L1598" s="75">
        <v>70</v>
      </c>
      <c r="M1598" s="60">
        <v>1</v>
      </c>
      <c r="N1598" s="76">
        <v>3</v>
      </c>
      <c r="O1598" s="42"/>
      <c r="P1598" s="58" t="s">
        <v>685</v>
      </c>
      <c r="Q1598" s="61"/>
      <c r="R1598" s="62"/>
      <c r="S1598" s="78">
        <f t="shared" si="75"/>
        <v>3</v>
      </c>
      <c r="T1598" s="44" t="str">
        <f t="shared" si="76"/>
        <v>3liters</v>
      </c>
      <c r="U1598" s="77">
        <f t="shared" si="77"/>
        <v>70</v>
      </c>
      <c r="V1598" s="46"/>
      <c r="W1598" s="46"/>
      <c r="X1598" s="46"/>
    </row>
    <row r="1599" spans="1:24" ht="15.75" customHeight="1" thickBot="1" x14ac:dyDescent="0.35">
      <c r="A1599" s="40"/>
      <c r="B1599" s="67" t="s">
        <v>777</v>
      </c>
      <c r="C1599" s="55"/>
      <c r="D1599" s="41"/>
      <c r="E1599" s="55"/>
      <c r="F1599" s="55"/>
      <c r="G1599" s="55"/>
      <c r="H1599" s="51"/>
      <c r="I1599" s="52"/>
      <c r="J1599" s="74" t="s">
        <v>1031</v>
      </c>
      <c r="K1599" s="57"/>
      <c r="L1599" s="75">
        <v>70</v>
      </c>
      <c r="M1599" s="60">
        <v>1</v>
      </c>
      <c r="N1599" s="76">
        <v>3500</v>
      </c>
      <c r="O1599" s="42"/>
      <c r="P1599" s="58" t="s">
        <v>47</v>
      </c>
      <c r="Q1599" s="61"/>
      <c r="R1599" s="62"/>
      <c r="S1599" s="78">
        <f t="shared" si="75"/>
        <v>3500</v>
      </c>
      <c r="T1599" s="44" t="str">
        <f t="shared" si="76"/>
        <v>3500ml</v>
      </c>
      <c r="U1599" s="77">
        <f t="shared" si="77"/>
        <v>70</v>
      </c>
      <c r="V1599" s="46"/>
      <c r="W1599" s="46"/>
      <c r="X1599" s="46"/>
    </row>
    <row r="1600" spans="1:24" ht="15.75" customHeight="1" thickBot="1" x14ac:dyDescent="0.35">
      <c r="A1600" s="40"/>
      <c r="B1600" s="67" t="s">
        <v>777</v>
      </c>
      <c r="C1600" s="55"/>
      <c r="D1600" s="41"/>
      <c r="E1600" s="55"/>
      <c r="F1600" s="55"/>
      <c r="G1600" s="55"/>
      <c r="H1600" s="51"/>
      <c r="I1600" s="52"/>
      <c r="J1600" s="74" t="s">
        <v>1815</v>
      </c>
      <c r="K1600" s="57"/>
      <c r="L1600" s="75">
        <v>155.69999999999999</v>
      </c>
      <c r="M1600" s="60">
        <v>8</v>
      </c>
      <c r="N1600" s="76">
        <v>1</v>
      </c>
      <c r="O1600" s="42"/>
      <c r="P1600" s="58" t="s">
        <v>53</v>
      </c>
      <c r="Q1600" s="61"/>
      <c r="R1600" s="62"/>
      <c r="S1600" s="78">
        <f t="shared" si="75"/>
        <v>8</v>
      </c>
      <c r="T1600" s="44" t="str">
        <f t="shared" si="76"/>
        <v>8gal</v>
      </c>
      <c r="U1600" s="77">
        <f t="shared" si="77"/>
        <v>1245.5999999999999</v>
      </c>
      <c r="V1600" s="46"/>
      <c r="W1600" s="46"/>
      <c r="X1600" s="46"/>
    </row>
    <row r="1601" spans="1:24" ht="15.75" customHeight="1" thickBot="1" x14ac:dyDescent="0.35">
      <c r="A1601" s="40"/>
      <c r="B1601" s="67" t="s">
        <v>777</v>
      </c>
      <c r="C1601" s="55"/>
      <c r="D1601" s="41"/>
      <c r="E1601" s="55"/>
      <c r="F1601" s="55"/>
      <c r="G1601" s="55"/>
      <c r="H1601" s="51"/>
      <c r="I1601" s="52"/>
      <c r="J1601" s="74" t="s">
        <v>1031</v>
      </c>
      <c r="K1601" s="57"/>
      <c r="L1601" s="75">
        <v>70</v>
      </c>
      <c r="M1601" s="60">
        <v>19</v>
      </c>
      <c r="N1601" s="76">
        <v>3500</v>
      </c>
      <c r="O1601" s="42"/>
      <c r="P1601" s="58" t="s">
        <v>47</v>
      </c>
      <c r="Q1601" s="61"/>
      <c r="R1601" s="62"/>
      <c r="S1601" s="78">
        <f t="shared" si="75"/>
        <v>66500</v>
      </c>
      <c r="T1601" s="44" t="str">
        <f t="shared" si="76"/>
        <v>66500ml</v>
      </c>
      <c r="U1601" s="77">
        <f t="shared" si="77"/>
        <v>1330</v>
      </c>
      <c r="V1601" s="46"/>
      <c r="W1601" s="46"/>
      <c r="X1601" s="46"/>
    </row>
    <row r="1602" spans="1:24" ht="15.75" customHeight="1" thickBot="1" x14ac:dyDescent="0.35">
      <c r="A1602" s="40"/>
      <c r="B1602" s="67" t="s">
        <v>777</v>
      </c>
      <c r="C1602" s="55"/>
      <c r="D1602" s="41"/>
      <c r="E1602" s="55"/>
      <c r="F1602" s="55"/>
      <c r="G1602" s="55"/>
      <c r="H1602" s="51"/>
      <c r="I1602" s="52"/>
      <c r="J1602" s="74" t="s">
        <v>1033</v>
      </c>
      <c r="K1602" s="57"/>
      <c r="L1602" s="75">
        <v>65</v>
      </c>
      <c r="M1602" s="60">
        <v>7</v>
      </c>
      <c r="N1602" s="76">
        <v>1</v>
      </c>
      <c r="O1602" s="42"/>
      <c r="P1602" s="58" t="s">
        <v>53</v>
      </c>
      <c r="Q1602" s="61"/>
      <c r="R1602" s="62"/>
      <c r="S1602" s="78">
        <f t="shared" si="75"/>
        <v>7</v>
      </c>
      <c r="T1602" s="44" t="str">
        <f t="shared" si="76"/>
        <v>7gal</v>
      </c>
      <c r="U1602" s="77">
        <f t="shared" si="77"/>
        <v>455</v>
      </c>
      <c r="V1602" s="46"/>
      <c r="W1602" s="46"/>
      <c r="X1602" s="46"/>
    </row>
    <row r="1603" spans="1:24" ht="15.75" customHeight="1" thickBot="1" x14ac:dyDescent="0.35">
      <c r="A1603" s="40"/>
      <c r="B1603" s="68" t="s">
        <v>777</v>
      </c>
      <c r="C1603" s="55"/>
      <c r="D1603" s="41"/>
      <c r="E1603" s="55"/>
      <c r="F1603" s="55"/>
      <c r="G1603" s="55"/>
      <c r="H1603" s="51"/>
      <c r="I1603" s="52"/>
      <c r="J1603" s="74" t="s">
        <v>1031</v>
      </c>
      <c r="K1603" s="57"/>
      <c r="L1603" s="75">
        <v>65</v>
      </c>
      <c r="M1603" s="60">
        <v>10</v>
      </c>
      <c r="N1603" s="76">
        <v>3500</v>
      </c>
      <c r="O1603" s="42"/>
      <c r="P1603" s="58" t="s">
        <v>47</v>
      </c>
      <c r="Q1603" s="61"/>
      <c r="R1603" s="62"/>
      <c r="S1603" s="78">
        <f t="shared" si="75"/>
        <v>35000</v>
      </c>
      <c r="T1603" s="44" t="str">
        <f t="shared" si="76"/>
        <v>35000ml</v>
      </c>
      <c r="U1603" s="77">
        <f t="shared" si="77"/>
        <v>650</v>
      </c>
      <c r="V1603" s="46"/>
      <c r="W1603" s="46"/>
      <c r="X1603" s="46"/>
    </row>
    <row r="1604" spans="1:24" ht="15.75" customHeight="1" thickBot="1" x14ac:dyDescent="0.35">
      <c r="A1604" s="40"/>
      <c r="B1604" s="68" t="s">
        <v>777</v>
      </c>
      <c r="C1604" s="55"/>
      <c r="D1604" s="41"/>
      <c r="E1604" s="55"/>
      <c r="F1604" s="55"/>
      <c r="G1604" s="55"/>
      <c r="H1604" s="51"/>
      <c r="I1604" s="52"/>
      <c r="J1604" s="74" t="s">
        <v>1816</v>
      </c>
      <c r="K1604" s="57"/>
      <c r="L1604" s="75">
        <v>41.5</v>
      </c>
      <c r="M1604" s="60">
        <v>1</v>
      </c>
      <c r="N1604" s="76">
        <v>1</v>
      </c>
      <c r="O1604" s="42"/>
      <c r="P1604" s="58" t="s">
        <v>685</v>
      </c>
      <c r="Q1604" s="61"/>
      <c r="R1604" s="62"/>
      <c r="S1604" s="78">
        <f t="shared" si="75"/>
        <v>1</v>
      </c>
      <c r="T1604" s="44" t="str">
        <f t="shared" si="76"/>
        <v>1liters</v>
      </c>
      <c r="U1604" s="77">
        <f t="shared" si="77"/>
        <v>41.5</v>
      </c>
      <c r="V1604" s="46"/>
      <c r="W1604" s="46"/>
      <c r="X1604" s="46"/>
    </row>
    <row r="1605" spans="1:24" ht="15.75" customHeight="1" thickBot="1" x14ac:dyDescent="0.35">
      <c r="A1605" s="40"/>
      <c r="B1605" s="68" t="s">
        <v>777</v>
      </c>
      <c r="C1605" s="55"/>
      <c r="D1605" s="41"/>
      <c r="E1605" s="55"/>
      <c r="F1605" s="55"/>
      <c r="G1605" s="55"/>
      <c r="H1605" s="51"/>
      <c r="I1605" s="52"/>
      <c r="J1605" s="74" t="s">
        <v>1815</v>
      </c>
      <c r="K1605" s="57"/>
      <c r="L1605" s="75">
        <v>41.5</v>
      </c>
      <c r="M1605" s="60">
        <v>1</v>
      </c>
      <c r="N1605" s="76">
        <v>1</v>
      </c>
      <c r="O1605" s="42"/>
      <c r="P1605" s="58" t="s">
        <v>685</v>
      </c>
      <c r="Q1605" s="61"/>
      <c r="R1605" s="62"/>
      <c r="S1605" s="78">
        <f t="shared" si="75"/>
        <v>1</v>
      </c>
      <c r="T1605" s="44" t="str">
        <f t="shared" si="76"/>
        <v>1liters</v>
      </c>
      <c r="U1605" s="77">
        <f t="shared" si="77"/>
        <v>41.5</v>
      </c>
      <c r="V1605" s="46"/>
      <c r="W1605" s="46"/>
      <c r="X1605" s="46"/>
    </row>
    <row r="1606" spans="1:24" ht="15.75" customHeight="1" thickBot="1" x14ac:dyDescent="0.35">
      <c r="A1606" s="40"/>
      <c r="B1606" s="67" t="s">
        <v>1817</v>
      </c>
      <c r="C1606" s="55"/>
      <c r="D1606" s="41"/>
      <c r="E1606" s="55"/>
      <c r="F1606" s="55"/>
      <c r="G1606" s="55"/>
      <c r="H1606" s="51"/>
      <c r="I1606" s="52"/>
      <c r="J1606" s="74" t="s">
        <v>1086</v>
      </c>
      <c r="K1606" s="57"/>
      <c r="L1606" s="75">
        <v>31.55</v>
      </c>
      <c r="M1606" s="60">
        <v>15</v>
      </c>
      <c r="N1606" s="76">
        <v>50</v>
      </c>
      <c r="O1606" s="42"/>
      <c r="P1606" s="58" t="s">
        <v>36</v>
      </c>
      <c r="Q1606" s="61"/>
      <c r="R1606" s="62"/>
      <c r="S1606" s="78">
        <f t="shared" si="75"/>
        <v>750</v>
      </c>
      <c r="T1606" s="44" t="str">
        <f t="shared" si="76"/>
        <v>750grams</v>
      </c>
      <c r="U1606" s="77">
        <f t="shared" si="77"/>
        <v>473.25</v>
      </c>
      <c r="V1606" s="46"/>
      <c r="W1606" s="46"/>
      <c r="X1606" s="46"/>
    </row>
    <row r="1607" spans="1:24" ht="15.75" customHeight="1" thickBot="1" x14ac:dyDescent="0.35">
      <c r="A1607" s="40"/>
      <c r="B1607" s="69" t="s">
        <v>1818</v>
      </c>
      <c r="C1607" s="55"/>
      <c r="D1607" s="41"/>
      <c r="E1607" s="55"/>
      <c r="F1607" s="55"/>
      <c r="G1607" s="55"/>
      <c r="H1607" s="51"/>
      <c r="I1607" s="52"/>
      <c r="J1607" s="74" t="s">
        <v>1819</v>
      </c>
      <c r="K1607" s="57"/>
      <c r="L1607" s="75">
        <v>10.8</v>
      </c>
      <c r="M1607" s="60">
        <v>24</v>
      </c>
      <c r="N1607" s="76">
        <v>48</v>
      </c>
      <c r="O1607" s="42"/>
      <c r="P1607" s="58" t="s">
        <v>36</v>
      </c>
      <c r="Q1607" s="61"/>
      <c r="R1607" s="62"/>
      <c r="S1607" s="78">
        <f t="shared" si="75"/>
        <v>1152</v>
      </c>
      <c r="T1607" s="44" t="str">
        <f t="shared" si="76"/>
        <v>1152grams</v>
      </c>
      <c r="U1607" s="77">
        <f t="shared" si="77"/>
        <v>259.20000000000005</v>
      </c>
      <c r="V1607" s="46"/>
      <c r="W1607" s="46"/>
      <c r="X1607" s="46"/>
    </row>
    <row r="1608" spans="1:24" ht="15.75" customHeight="1" thickBot="1" x14ac:dyDescent="0.35">
      <c r="A1608" s="40"/>
      <c r="B1608" s="67" t="s">
        <v>1818</v>
      </c>
      <c r="C1608" s="55"/>
      <c r="D1608" s="41"/>
      <c r="E1608" s="55"/>
      <c r="F1608" s="55"/>
      <c r="G1608" s="55"/>
      <c r="H1608" s="51"/>
      <c r="I1608" s="52"/>
      <c r="J1608" s="74" t="s">
        <v>1820</v>
      </c>
      <c r="K1608" s="57"/>
      <c r="L1608" s="75">
        <v>15.88</v>
      </c>
      <c r="M1608" s="60">
        <v>24</v>
      </c>
      <c r="N1608" s="76">
        <v>48</v>
      </c>
      <c r="O1608" s="42"/>
      <c r="P1608" s="58" t="s">
        <v>36</v>
      </c>
      <c r="Q1608" s="61"/>
      <c r="R1608" s="62"/>
      <c r="S1608" s="78">
        <f t="shared" si="75"/>
        <v>1152</v>
      </c>
      <c r="T1608" s="44" t="str">
        <f t="shared" si="76"/>
        <v>1152grams</v>
      </c>
      <c r="U1608" s="77">
        <f t="shared" si="77"/>
        <v>381.12</v>
      </c>
      <c r="V1608" s="46"/>
      <c r="W1608" s="46"/>
      <c r="X1608" s="46"/>
    </row>
    <row r="1609" spans="1:24" ht="15.75" customHeight="1" thickBot="1" x14ac:dyDescent="0.35">
      <c r="A1609" s="40"/>
      <c r="B1609" s="67" t="s">
        <v>1818</v>
      </c>
      <c r="C1609" s="55"/>
      <c r="D1609" s="41"/>
      <c r="E1609" s="55"/>
      <c r="F1609" s="55"/>
      <c r="G1609" s="55"/>
      <c r="H1609" s="51"/>
      <c r="I1609" s="52"/>
      <c r="J1609" s="74" t="s">
        <v>1821</v>
      </c>
      <c r="K1609" s="57"/>
      <c r="L1609" s="75">
        <v>6.5</v>
      </c>
      <c r="M1609" s="60">
        <v>32</v>
      </c>
      <c r="N1609" s="76">
        <v>20</v>
      </c>
      <c r="O1609" s="42"/>
      <c r="P1609" s="58" t="s">
        <v>36</v>
      </c>
      <c r="Q1609" s="61"/>
      <c r="R1609" s="62"/>
      <c r="S1609" s="78">
        <f t="shared" si="75"/>
        <v>640</v>
      </c>
      <c r="T1609" s="44" t="str">
        <f t="shared" si="76"/>
        <v>640grams</v>
      </c>
      <c r="U1609" s="77">
        <f t="shared" si="77"/>
        <v>208</v>
      </c>
      <c r="V1609" s="46"/>
      <c r="W1609" s="46"/>
      <c r="X1609" s="46"/>
    </row>
    <row r="1610" spans="1:24" ht="15.75" customHeight="1" thickBot="1" x14ac:dyDescent="0.35">
      <c r="A1610" s="40"/>
      <c r="B1610" s="67" t="s">
        <v>1818</v>
      </c>
      <c r="C1610" s="55"/>
      <c r="D1610" s="41"/>
      <c r="E1610" s="55"/>
      <c r="F1610" s="55"/>
      <c r="G1610" s="55"/>
      <c r="H1610" s="51"/>
      <c r="I1610" s="52"/>
      <c r="J1610" s="74" t="s">
        <v>1822</v>
      </c>
      <c r="K1610" s="57"/>
      <c r="L1610" s="75">
        <v>13</v>
      </c>
      <c r="M1610" s="60">
        <v>24</v>
      </c>
      <c r="N1610" s="76">
        <v>55</v>
      </c>
      <c r="O1610" s="42"/>
      <c r="P1610" s="58" t="s">
        <v>36</v>
      </c>
      <c r="Q1610" s="61"/>
      <c r="R1610" s="62"/>
      <c r="S1610" s="78">
        <f t="shared" si="75"/>
        <v>1320</v>
      </c>
      <c r="T1610" s="44" t="str">
        <f t="shared" si="76"/>
        <v>1320grams</v>
      </c>
      <c r="U1610" s="77">
        <f t="shared" si="77"/>
        <v>312</v>
      </c>
      <c r="V1610" s="46"/>
      <c r="W1610" s="46"/>
      <c r="X1610" s="46"/>
    </row>
    <row r="1611" spans="1:24" ht="15.75" customHeight="1" thickBot="1" x14ac:dyDescent="0.35">
      <c r="A1611" s="40"/>
      <c r="B1611" s="68" t="s">
        <v>1823</v>
      </c>
      <c r="C1611" s="55"/>
      <c r="D1611" s="41"/>
      <c r="E1611" s="55"/>
      <c r="F1611" s="55"/>
      <c r="G1611" s="55"/>
      <c r="H1611" s="51"/>
      <c r="I1611" s="52"/>
      <c r="J1611" s="74" t="s">
        <v>1824</v>
      </c>
      <c r="K1611" s="57"/>
      <c r="L1611" s="75">
        <v>165</v>
      </c>
      <c r="M1611" s="60">
        <v>1</v>
      </c>
      <c r="N1611" s="76">
        <v>150</v>
      </c>
      <c r="O1611" s="42"/>
      <c r="P1611" s="58" t="s">
        <v>36</v>
      </c>
      <c r="Q1611" s="61"/>
      <c r="R1611" s="62"/>
      <c r="S1611" s="78">
        <f t="shared" si="75"/>
        <v>150</v>
      </c>
      <c r="T1611" s="44" t="str">
        <f t="shared" si="76"/>
        <v>150grams</v>
      </c>
      <c r="U1611" s="77">
        <f t="shared" si="77"/>
        <v>165</v>
      </c>
      <c r="V1611" s="46"/>
      <c r="W1611" s="46"/>
      <c r="X1611" s="46"/>
    </row>
    <row r="1612" spans="1:24" ht="15.75" customHeight="1" thickBot="1" x14ac:dyDescent="0.35">
      <c r="A1612" s="40"/>
      <c r="B1612" s="68" t="s">
        <v>1825</v>
      </c>
      <c r="C1612" s="55"/>
      <c r="D1612" s="41"/>
      <c r="E1612" s="55"/>
      <c r="F1612" s="55"/>
      <c r="G1612" s="55"/>
      <c r="H1612" s="51"/>
      <c r="I1612" s="52"/>
      <c r="J1612" s="74" t="s">
        <v>1004</v>
      </c>
      <c r="K1612" s="57"/>
      <c r="L1612" s="75">
        <v>93.6</v>
      </c>
      <c r="M1612" s="60">
        <v>1</v>
      </c>
      <c r="N1612" s="76">
        <v>304</v>
      </c>
      <c r="O1612" s="42"/>
      <c r="P1612" s="58" t="s">
        <v>36</v>
      </c>
      <c r="Q1612" s="61"/>
      <c r="R1612" s="62"/>
      <c r="S1612" s="78">
        <f t="shared" si="75"/>
        <v>304</v>
      </c>
      <c r="T1612" s="44" t="str">
        <f t="shared" si="76"/>
        <v>304grams</v>
      </c>
      <c r="U1612" s="77">
        <f t="shared" si="77"/>
        <v>93.6</v>
      </c>
      <c r="V1612" s="46"/>
      <c r="W1612" s="46"/>
      <c r="X1612" s="46"/>
    </row>
    <row r="1613" spans="1:24" ht="15.75" customHeight="1" thickBot="1" x14ac:dyDescent="0.35">
      <c r="A1613" s="40"/>
      <c r="B1613" s="68" t="s">
        <v>1826</v>
      </c>
      <c r="C1613" s="55"/>
      <c r="D1613" s="41"/>
      <c r="E1613" s="55"/>
      <c r="F1613" s="55"/>
      <c r="G1613" s="55"/>
      <c r="H1613" s="51"/>
      <c r="I1613" s="52"/>
      <c r="J1613" s="74" t="s">
        <v>1827</v>
      </c>
      <c r="K1613" s="57"/>
      <c r="L1613" s="75">
        <v>732</v>
      </c>
      <c r="M1613" s="60">
        <v>1</v>
      </c>
      <c r="N1613" s="76">
        <v>1</v>
      </c>
      <c r="O1613" s="42"/>
      <c r="P1613" s="58" t="s">
        <v>1828</v>
      </c>
      <c r="Q1613" s="61"/>
      <c r="R1613" s="62"/>
      <c r="S1613" s="78">
        <f t="shared" si="75"/>
        <v>1</v>
      </c>
      <c r="T1613" s="44" t="str">
        <f t="shared" si="76"/>
        <v>1tin</v>
      </c>
      <c r="U1613" s="77">
        <f t="shared" si="77"/>
        <v>732</v>
      </c>
      <c r="V1613" s="46"/>
      <c r="W1613" s="46"/>
      <c r="X1613" s="46"/>
    </row>
    <row r="1614" spans="1:24" ht="15.75" customHeight="1" thickBot="1" x14ac:dyDescent="0.35">
      <c r="A1614" s="40"/>
      <c r="B1614" s="67" t="s">
        <v>1829</v>
      </c>
      <c r="C1614" s="55"/>
      <c r="D1614" s="41"/>
      <c r="E1614" s="55"/>
      <c r="F1614" s="55"/>
      <c r="G1614" s="55"/>
      <c r="H1614" s="51"/>
      <c r="I1614" s="52"/>
      <c r="J1614" s="74" t="s">
        <v>1077</v>
      </c>
      <c r="K1614" s="57"/>
      <c r="L1614" s="75">
        <v>520</v>
      </c>
      <c r="M1614" s="60">
        <v>1</v>
      </c>
      <c r="N1614" s="76">
        <v>1</v>
      </c>
      <c r="O1614" s="42"/>
      <c r="P1614" s="58" t="s">
        <v>764</v>
      </c>
      <c r="Q1614" s="61"/>
      <c r="R1614" s="62"/>
      <c r="S1614" s="78">
        <f t="shared" si="75"/>
        <v>1</v>
      </c>
      <c r="T1614" s="44" t="str">
        <f t="shared" si="76"/>
        <v>1roll</v>
      </c>
      <c r="U1614" s="77">
        <f t="shared" si="77"/>
        <v>520</v>
      </c>
      <c r="V1614" s="46"/>
      <c r="W1614" s="46"/>
      <c r="X1614" s="46"/>
    </row>
    <row r="1615" spans="1:24" ht="15.75" customHeight="1" thickBot="1" x14ac:dyDescent="0.35">
      <c r="A1615" s="40"/>
      <c r="B1615" s="67" t="s">
        <v>1830</v>
      </c>
      <c r="C1615" s="55"/>
      <c r="D1615" s="41"/>
      <c r="E1615" s="55"/>
      <c r="F1615" s="55"/>
      <c r="G1615" s="55"/>
      <c r="H1615" s="51"/>
      <c r="I1615" s="52"/>
      <c r="J1615" s="74" t="s">
        <v>1831</v>
      </c>
      <c r="K1615" s="57"/>
      <c r="L1615" s="75">
        <v>85</v>
      </c>
      <c r="M1615" s="60">
        <v>3</v>
      </c>
      <c r="N1615" s="76">
        <v>600</v>
      </c>
      <c r="O1615" s="42"/>
      <c r="P1615" s="58" t="s">
        <v>36</v>
      </c>
      <c r="Q1615" s="61"/>
      <c r="R1615" s="62"/>
      <c r="S1615" s="78">
        <f t="shared" si="75"/>
        <v>1800</v>
      </c>
      <c r="T1615" s="44" t="str">
        <f t="shared" si="76"/>
        <v>1800grams</v>
      </c>
      <c r="U1615" s="77">
        <f t="shared" si="77"/>
        <v>255</v>
      </c>
      <c r="V1615" s="46"/>
      <c r="W1615" s="46"/>
      <c r="X1615" s="46"/>
    </row>
    <row r="1616" spans="1:24" ht="15.75" customHeight="1" thickBot="1" x14ac:dyDescent="0.35">
      <c r="A1616" s="40"/>
      <c r="B1616" s="68" t="s">
        <v>1830</v>
      </c>
      <c r="C1616" s="55"/>
      <c r="D1616" s="41"/>
      <c r="E1616" s="55"/>
      <c r="F1616" s="55"/>
      <c r="G1616" s="55"/>
      <c r="H1616" s="51"/>
      <c r="I1616" s="52"/>
      <c r="J1616" s="74" t="s">
        <v>1831</v>
      </c>
      <c r="K1616" s="57"/>
      <c r="L1616" s="75">
        <v>85</v>
      </c>
      <c r="M1616" s="60">
        <v>1</v>
      </c>
      <c r="N1616" s="76">
        <v>600</v>
      </c>
      <c r="O1616" s="42"/>
      <c r="P1616" s="58" t="s">
        <v>36</v>
      </c>
      <c r="Q1616" s="61"/>
      <c r="R1616" s="62"/>
      <c r="S1616" s="78">
        <f t="shared" si="75"/>
        <v>600</v>
      </c>
      <c r="T1616" s="44" t="str">
        <f t="shared" si="76"/>
        <v>600grams</v>
      </c>
      <c r="U1616" s="77">
        <f t="shared" si="77"/>
        <v>85</v>
      </c>
      <c r="V1616" s="46"/>
      <c r="W1616" s="46"/>
      <c r="X1616" s="46"/>
    </row>
    <row r="1617" spans="1:24" ht="15.75" customHeight="1" thickBot="1" x14ac:dyDescent="0.35">
      <c r="A1617" s="40"/>
      <c r="B1617" s="67" t="s">
        <v>1832</v>
      </c>
      <c r="C1617" s="55"/>
      <c r="D1617" s="41"/>
      <c r="E1617" s="55"/>
      <c r="F1617" s="55"/>
      <c r="G1617" s="55"/>
      <c r="H1617" s="51"/>
      <c r="I1617" s="52"/>
      <c r="J1617" s="74" t="s">
        <v>953</v>
      </c>
      <c r="K1617" s="57"/>
      <c r="L1617" s="75">
        <v>2.68</v>
      </c>
      <c r="M1617" s="60">
        <v>33</v>
      </c>
      <c r="N1617" s="76">
        <v>100</v>
      </c>
      <c r="O1617" s="42"/>
      <c r="P1617" s="58" t="s">
        <v>38</v>
      </c>
      <c r="Q1617" s="61"/>
      <c r="R1617" s="62"/>
      <c r="S1617" s="78">
        <f t="shared" si="75"/>
        <v>3300</v>
      </c>
      <c r="T1617" s="44" t="str">
        <f t="shared" si="76"/>
        <v>3300pieces</v>
      </c>
      <c r="U1617" s="77">
        <f t="shared" si="77"/>
        <v>88.440000000000012</v>
      </c>
      <c r="V1617" s="46"/>
      <c r="W1617" s="46"/>
      <c r="X1617" s="46"/>
    </row>
    <row r="1618" spans="1:24" ht="15.75" customHeight="1" thickBot="1" x14ac:dyDescent="0.35">
      <c r="A1618" s="40"/>
      <c r="B1618" s="67" t="s">
        <v>1833</v>
      </c>
      <c r="C1618" s="55"/>
      <c r="D1618" s="41"/>
      <c r="E1618" s="55"/>
      <c r="F1618" s="55"/>
      <c r="G1618" s="55"/>
      <c r="H1618" s="51"/>
      <c r="I1618" s="52"/>
      <c r="J1618" s="74" t="s">
        <v>827</v>
      </c>
      <c r="K1618" s="57"/>
      <c r="L1618" s="75">
        <v>43.9</v>
      </c>
      <c r="M1618" s="60">
        <v>10</v>
      </c>
      <c r="N1618" s="76">
        <v>250</v>
      </c>
      <c r="O1618" s="42"/>
      <c r="P1618" s="58" t="s">
        <v>138</v>
      </c>
      <c r="Q1618" s="61"/>
      <c r="R1618" s="62"/>
      <c r="S1618" s="78">
        <f t="shared" si="75"/>
        <v>2500</v>
      </c>
      <c r="T1618" s="44" t="str">
        <f t="shared" si="76"/>
        <v>2500drained weight grams</v>
      </c>
      <c r="U1618" s="77">
        <f t="shared" si="77"/>
        <v>439</v>
      </c>
      <c r="V1618" s="46"/>
      <c r="W1618" s="46"/>
      <c r="X1618" s="46"/>
    </row>
    <row r="1619" spans="1:24" ht="15.75" customHeight="1" thickBot="1" x14ac:dyDescent="0.35">
      <c r="A1619" s="40"/>
      <c r="B1619" s="67" t="s">
        <v>1833</v>
      </c>
      <c r="C1619" s="55"/>
      <c r="D1619" s="41"/>
      <c r="E1619" s="55"/>
      <c r="F1619" s="55"/>
      <c r="G1619" s="55"/>
      <c r="H1619" s="51"/>
      <c r="I1619" s="52"/>
      <c r="J1619" s="74" t="s">
        <v>827</v>
      </c>
      <c r="K1619" s="57"/>
      <c r="L1619" s="75">
        <v>42.3</v>
      </c>
      <c r="M1619" s="60">
        <v>6</v>
      </c>
      <c r="N1619" s="76">
        <v>425</v>
      </c>
      <c r="O1619" s="42"/>
      <c r="P1619" s="58" t="s">
        <v>36</v>
      </c>
      <c r="Q1619" s="61"/>
      <c r="R1619" s="62"/>
      <c r="S1619" s="78">
        <f t="shared" si="75"/>
        <v>2550</v>
      </c>
      <c r="T1619" s="44" t="str">
        <f t="shared" si="76"/>
        <v>2550grams</v>
      </c>
      <c r="U1619" s="77">
        <f t="shared" si="77"/>
        <v>253.79999999999998</v>
      </c>
      <c r="V1619" s="46"/>
      <c r="W1619" s="46"/>
      <c r="X1619" s="46"/>
    </row>
    <row r="1620" spans="1:24" ht="15.75" customHeight="1" thickBot="1" x14ac:dyDescent="0.35">
      <c r="A1620" s="40"/>
      <c r="B1620" s="67" t="s">
        <v>1834</v>
      </c>
      <c r="C1620" s="55"/>
      <c r="D1620" s="41"/>
      <c r="E1620" s="55"/>
      <c r="F1620" s="55"/>
      <c r="G1620" s="55"/>
      <c r="H1620" s="51"/>
      <c r="I1620" s="52"/>
      <c r="J1620" s="74" t="s">
        <v>827</v>
      </c>
      <c r="K1620" s="57"/>
      <c r="L1620" s="75">
        <v>60.8</v>
      </c>
      <c r="M1620" s="60">
        <v>5</v>
      </c>
      <c r="N1620" s="76">
        <v>400</v>
      </c>
      <c r="O1620" s="42"/>
      <c r="P1620" s="58" t="s">
        <v>36</v>
      </c>
      <c r="Q1620" s="61"/>
      <c r="R1620" s="62"/>
      <c r="S1620" s="78">
        <f t="shared" si="75"/>
        <v>2000</v>
      </c>
      <c r="T1620" s="44" t="str">
        <f t="shared" si="76"/>
        <v>2000grams</v>
      </c>
      <c r="U1620" s="77">
        <f t="shared" si="77"/>
        <v>304</v>
      </c>
      <c r="V1620" s="46"/>
      <c r="W1620" s="46"/>
      <c r="X1620" s="46"/>
    </row>
    <row r="1621" spans="1:24" ht="15.75" customHeight="1" thickBot="1" x14ac:dyDescent="0.35">
      <c r="A1621" s="40"/>
      <c r="B1621" s="67" t="s">
        <v>1835</v>
      </c>
      <c r="C1621" s="55"/>
      <c r="D1621" s="41"/>
      <c r="E1621" s="55"/>
      <c r="F1621" s="55"/>
      <c r="G1621" s="55"/>
      <c r="H1621" s="51"/>
      <c r="I1621" s="52"/>
      <c r="J1621" s="74" t="s">
        <v>1836</v>
      </c>
      <c r="K1621" s="57"/>
      <c r="L1621" s="75">
        <v>68</v>
      </c>
      <c r="M1621" s="60">
        <v>14</v>
      </c>
      <c r="N1621" s="76">
        <v>225</v>
      </c>
      <c r="O1621" s="42"/>
      <c r="P1621" s="58" t="s">
        <v>138</v>
      </c>
      <c r="Q1621" s="61"/>
      <c r="R1621" s="62"/>
      <c r="S1621" s="78">
        <f t="shared" si="75"/>
        <v>3150</v>
      </c>
      <c r="T1621" s="44" t="str">
        <f t="shared" si="76"/>
        <v>3150drained weight grams</v>
      </c>
      <c r="U1621" s="77">
        <f t="shared" si="77"/>
        <v>952</v>
      </c>
      <c r="V1621" s="46"/>
      <c r="W1621" s="46"/>
      <c r="X1621" s="46"/>
    </row>
    <row r="1622" spans="1:24" ht="15.75" customHeight="1" thickBot="1" x14ac:dyDescent="0.35">
      <c r="A1622" s="40"/>
      <c r="B1622" s="67" t="s">
        <v>786</v>
      </c>
      <c r="C1622" s="55"/>
      <c r="D1622" s="41"/>
      <c r="E1622" s="55"/>
      <c r="F1622" s="55"/>
      <c r="G1622" s="55"/>
      <c r="H1622" s="51"/>
      <c r="I1622" s="52"/>
      <c r="J1622" s="74"/>
      <c r="K1622" s="57"/>
      <c r="L1622" s="75">
        <v>27</v>
      </c>
      <c r="M1622" s="60">
        <v>0</v>
      </c>
      <c r="N1622" s="76">
        <v>25</v>
      </c>
      <c r="O1622" s="42"/>
      <c r="P1622" s="58" t="s">
        <v>38</v>
      </c>
      <c r="Q1622" s="61"/>
      <c r="R1622" s="62"/>
      <c r="S1622" s="78">
        <f t="shared" ref="S1622:S1643" si="78">M1622*N1622</f>
        <v>0</v>
      </c>
      <c r="T1622" s="44" t="str">
        <f t="shared" ref="T1622:T1653" si="79">CONCATENATE(S1622,Q1622,P1622)</f>
        <v>0pieces</v>
      </c>
      <c r="U1622" s="77">
        <f t="shared" ref="U1622:U1643" si="80">L1622*M1622</f>
        <v>0</v>
      </c>
      <c r="V1622" s="46"/>
      <c r="W1622" s="46"/>
      <c r="X1622" s="46"/>
    </row>
    <row r="1623" spans="1:24" ht="15.75" customHeight="1" thickBot="1" x14ac:dyDescent="0.35">
      <c r="A1623" s="40"/>
      <c r="B1623" s="67" t="s">
        <v>786</v>
      </c>
      <c r="C1623" s="55"/>
      <c r="D1623" s="41"/>
      <c r="E1623" s="55"/>
      <c r="F1623" s="55"/>
      <c r="G1623" s="55"/>
      <c r="H1623" s="51"/>
      <c r="I1623" s="52"/>
      <c r="J1623" s="74" t="s">
        <v>1837</v>
      </c>
      <c r="K1623" s="57"/>
      <c r="L1623" s="75">
        <v>22</v>
      </c>
      <c r="M1623" s="60">
        <v>3</v>
      </c>
      <c r="N1623" s="76">
        <v>1</v>
      </c>
      <c r="O1623" s="42"/>
      <c r="P1623" s="58" t="s">
        <v>77</v>
      </c>
      <c r="Q1623" s="61"/>
      <c r="R1623" s="62"/>
      <c r="S1623" s="78">
        <f t="shared" si="78"/>
        <v>3</v>
      </c>
      <c r="T1623" s="44" t="str">
        <f t="shared" si="79"/>
        <v>3packs</v>
      </c>
      <c r="U1623" s="77">
        <f t="shared" si="80"/>
        <v>66</v>
      </c>
      <c r="V1623" s="46"/>
      <c r="W1623" s="46"/>
      <c r="X1623" s="46"/>
    </row>
    <row r="1624" spans="1:24" ht="15.75" customHeight="1" thickBot="1" x14ac:dyDescent="0.35">
      <c r="A1624" s="40"/>
      <c r="B1624" s="67" t="s">
        <v>786</v>
      </c>
      <c r="C1624" s="55"/>
      <c r="D1624" s="41"/>
      <c r="E1624" s="55"/>
      <c r="F1624" s="55"/>
      <c r="G1624" s="55"/>
      <c r="H1624" s="51"/>
      <c r="I1624" s="52"/>
      <c r="J1624" s="74" t="s">
        <v>1838</v>
      </c>
      <c r="K1624" s="57"/>
      <c r="L1624" s="75">
        <v>22</v>
      </c>
      <c r="M1624" s="60">
        <v>3</v>
      </c>
      <c r="N1624" s="76">
        <v>1</v>
      </c>
      <c r="O1624" s="42"/>
      <c r="P1624" s="58" t="s">
        <v>77</v>
      </c>
      <c r="Q1624" s="61"/>
      <c r="R1624" s="62"/>
      <c r="S1624" s="78">
        <f t="shared" si="78"/>
        <v>3</v>
      </c>
      <c r="T1624" s="44" t="str">
        <f t="shared" si="79"/>
        <v>3packs</v>
      </c>
      <c r="U1624" s="77">
        <f t="shared" si="80"/>
        <v>66</v>
      </c>
      <c r="V1624" s="46"/>
      <c r="W1624" s="46"/>
      <c r="X1624" s="46"/>
    </row>
    <row r="1625" spans="1:24" ht="15.75" customHeight="1" thickBot="1" x14ac:dyDescent="0.35">
      <c r="A1625" s="40"/>
      <c r="B1625" s="67" t="s">
        <v>786</v>
      </c>
      <c r="C1625" s="55"/>
      <c r="D1625" s="41"/>
      <c r="E1625" s="55"/>
      <c r="F1625" s="55"/>
      <c r="G1625" s="55"/>
      <c r="H1625" s="51"/>
      <c r="I1625" s="52"/>
      <c r="J1625" s="74" t="s">
        <v>953</v>
      </c>
      <c r="K1625" s="57"/>
      <c r="L1625" s="75">
        <v>22</v>
      </c>
      <c r="M1625" s="60">
        <v>6</v>
      </c>
      <c r="N1625" s="76">
        <v>1</v>
      </c>
      <c r="O1625" s="42"/>
      <c r="P1625" s="58" t="s">
        <v>77</v>
      </c>
      <c r="Q1625" s="61"/>
      <c r="R1625" s="62"/>
      <c r="S1625" s="78">
        <f t="shared" si="78"/>
        <v>6</v>
      </c>
      <c r="T1625" s="44" t="str">
        <f t="shared" si="79"/>
        <v>6packs</v>
      </c>
      <c r="U1625" s="77">
        <f t="shared" si="80"/>
        <v>132</v>
      </c>
      <c r="V1625" s="46"/>
      <c r="W1625" s="46"/>
      <c r="X1625" s="46"/>
    </row>
    <row r="1626" spans="1:24" ht="15.75" customHeight="1" thickBot="1" x14ac:dyDescent="0.35">
      <c r="A1626" s="40"/>
      <c r="B1626" s="68" t="s">
        <v>786</v>
      </c>
      <c r="C1626" s="55"/>
      <c r="D1626" s="41"/>
      <c r="E1626" s="55"/>
      <c r="F1626" s="55"/>
      <c r="G1626" s="55"/>
      <c r="H1626" s="51"/>
      <c r="I1626" s="52"/>
      <c r="J1626" s="74"/>
      <c r="K1626" s="57"/>
      <c r="L1626" s="75">
        <v>1</v>
      </c>
      <c r="M1626" s="60">
        <v>100</v>
      </c>
      <c r="N1626" s="76">
        <v>1</v>
      </c>
      <c r="O1626" s="42"/>
      <c r="P1626" s="58" t="s">
        <v>77</v>
      </c>
      <c r="Q1626" s="61"/>
      <c r="R1626" s="62"/>
      <c r="S1626" s="78">
        <f t="shared" si="78"/>
        <v>100</v>
      </c>
      <c r="T1626" s="44" t="str">
        <f t="shared" si="79"/>
        <v>100packs</v>
      </c>
      <c r="U1626" s="77">
        <f t="shared" si="80"/>
        <v>100</v>
      </c>
      <c r="V1626" s="46"/>
      <c r="W1626" s="46"/>
      <c r="X1626" s="46"/>
    </row>
    <row r="1627" spans="1:24" ht="15.75" customHeight="1" thickBot="1" x14ac:dyDescent="0.35">
      <c r="A1627" s="40"/>
      <c r="B1627" s="68" t="s">
        <v>786</v>
      </c>
      <c r="C1627" s="55"/>
      <c r="D1627" s="41"/>
      <c r="E1627" s="55"/>
      <c r="F1627" s="55"/>
      <c r="G1627" s="55"/>
      <c r="H1627" s="51"/>
      <c r="I1627" s="52"/>
      <c r="J1627" s="74"/>
      <c r="K1627" s="57"/>
      <c r="L1627" s="75">
        <v>2.08</v>
      </c>
      <c r="M1627" s="60">
        <v>2577</v>
      </c>
      <c r="N1627" s="76">
        <v>1</v>
      </c>
      <c r="O1627" s="42"/>
      <c r="P1627" s="58" t="s">
        <v>38</v>
      </c>
      <c r="Q1627" s="61"/>
      <c r="R1627" s="62"/>
      <c r="S1627" s="78">
        <f t="shared" si="78"/>
        <v>2577</v>
      </c>
      <c r="T1627" s="44" t="str">
        <f t="shared" si="79"/>
        <v>2577pieces</v>
      </c>
      <c r="U1627" s="77">
        <f t="shared" si="80"/>
        <v>5360.16</v>
      </c>
      <c r="V1627" s="46"/>
      <c r="W1627" s="46"/>
      <c r="X1627" s="46"/>
    </row>
    <row r="1628" spans="1:24" ht="15.75" customHeight="1" thickBot="1" x14ac:dyDescent="0.35">
      <c r="A1628" s="40"/>
      <c r="B1628" s="67" t="s">
        <v>1839</v>
      </c>
      <c r="C1628" s="55"/>
      <c r="D1628" s="41"/>
      <c r="E1628" s="55"/>
      <c r="F1628" s="55"/>
      <c r="G1628" s="55"/>
      <c r="H1628" s="51"/>
      <c r="I1628" s="52"/>
      <c r="J1628" s="74"/>
      <c r="K1628" s="57"/>
      <c r="L1628" s="75">
        <v>50</v>
      </c>
      <c r="M1628" s="60">
        <v>2</v>
      </c>
      <c r="N1628" s="76">
        <v>100</v>
      </c>
      <c r="O1628" s="42"/>
      <c r="P1628" s="58" t="s">
        <v>38</v>
      </c>
      <c r="Q1628" s="61"/>
      <c r="R1628" s="62"/>
      <c r="S1628" s="78">
        <f t="shared" si="78"/>
        <v>200</v>
      </c>
      <c r="T1628" s="44" t="str">
        <f t="shared" si="79"/>
        <v>200pieces</v>
      </c>
      <c r="U1628" s="77">
        <f t="shared" si="80"/>
        <v>100</v>
      </c>
      <c r="V1628" s="46"/>
      <c r="W1628" s="46"/>
      <c r="X1628" s="46"/>
    </row>
    <row r="1629" spans="1:24" ht="15.75" customHeight="1" thickBot="1" x14ac:dyDescent="0.35">
      <c r="A1629" s="40"/>
      <c r="B1629" s="67" t="s">
        <v>1840</v>
      </c>
      <c r="C1629" s="55"/>
      <c r="D1629" s="41"/>
      <c r="E1629" s="55"/>
      <c r="F1629" s="55"/>
      <c r="G1629" s="55"/>
      <c r="H1629" s="51"/>
      <c r="I1629" s="52"/>
      <c r="J1629" s="74"/>
      <c r="K1629" s="57"/>
      <c r="L1629" s="75">
        <v>27</v>
      </c>
      <c r="M1629" s="60">
        <v>1</v>
      </c>
      <c r="N1629" s="76">
        <v>25</v>
      </c>
      <c r="O1629" s="42"/>
      <c r="P1629" s="58" t="s">
        <v>38</v>
      </c>
      <c r="Q1629" s="61"/>
      <c r="R1629" s="62"/>
      <c r="S1629" s="78">
        <f t="shared" si="78"/>
        <v>25</v>
      </c>
      <c r="T1629" s="44" t="str">
        <f t="shared" si="79"/>
        <v>25pieces</v>
      </c>
      <c r="U1629" s="77">
        <f t="shared" si="80"/>
        <v>27</v>
      </c>
      <c r="V1629" s="46"/>
      <c r="W1629" s="46"/>
      <c r="X1629" s="46"/>
    </row>
    <row r="1630" spans="1:24" ht="15.75" customHeight="1" thickBot="1" x14ac:dyDescent="0.35">
      <c r="A1630" s="40"/>
      <c r="B1630" s="67" t="s">
        <v>788</v>
      </c>
      <c r="C1630" s="55"/>
      <c r="D1630" s="41"/>
      <c r="E1630" s="55"/>
      <c r="F1630" s="55"/>
      <c r="G1630" s="55"/>
      <c r="H1630" s="51"/>
      <c r="I1630" s="52"/>
      <c r="J1630" s="74" t="s">
        <v>1841</v>
      </c>
      <c r="K1630" s="57"/>
      <c r="L1630" s="75">
        <v>30</v>
      </c>
      <c r="M1630" s="60">
        <v>3</v>
      </c>
      <c r="N1630" s="76">
        <v>1</v>
      </c>
      <c r="O1630" s="42"/>
      <c r="P1630" s="58" t="s">
        <v>77</v>
      </c>
      <c r="Q1630" s="61"/>
      <c r="R1630" s="62"/>
      <c r="S1630" s="78">
        <f t="shared" si="78"/>
        <v>3</v>
      </c>
      <c r="T1630" s="44" t="str">
        <f t="shared" si="79"/>
        <v>3packs</v>
      </c>
      <c r="U1630" s="77">
        <f t="shared" si="80"/>
        <v>90</v>
      </c>
      <c r="V1630" s="46"/>
      <c r="W1630" s="46"/>
      <c r="X1630" s="46"/>
    </row>
    <row r="1631" spans="1:24" ht="15.75" customHeight="1" thickBot="1" x14ac:dyDescent="0.35">
      <c r="A1631" s="40"/>
      <c r="B1631" s="67" t="s">
        <v>788</v>
      </c>
      <c r="C1631" s="55"/>
      <c r="D1631" s="41"/>
      <c r="E1631" s="55"/>
      <c r="F1631" s="55"/>
      <c r="G1631" s="55"/>
      <c r="H1631" s="51"/>
      <c r="I1631" s="52"/>
      <c r="J1631" s="74"/>
      <c r="K1631" s="57"/>
      <c r="L1631" s="75">
        <v>27</v>
      </c>
      <c r="M1631" s="60">
        <v>5</v>
      </c>
      <c r="N1631" s="76">
        <v>25</v>
      </c>
      <c r="O1631" s="42"/>
      <c r="P1631" s="58" t="s">
        <v>38</v>
      </c>
      <c r="Q1631" s="61"/>
      <c r="R1631" s="62"/>
      <c r="S1631" s="78">
        <f t="shared" si="78"/>
        <v>125</v>
      </c>
      <c r="T1631" s="44" t="str">
        <f t="shared" si="79"/>
        <v>125pieces</v>
      </c>
      <c r="U1631" s="77">
        <f t="shared" si="80"/>
        <v>135</v>
      </c>
      <c r="V1631" s="46"/>
      <c r="W1631" s="46"/>
      <c r="X1631" s="46"/>
    </row>
    <row r="1632" spans="1:24" ht="15.75" customHeight="1" thickBot="1" x14ac:dyDescent="0.35">
      <c r="A1632" s="40"/>
      <c r="B1632" s="67" t="s">
        <v>788</v>
      </c>
      <c r="C1632" s="55"/>
      <c r="D1632" s="41"/>
      <c r="E1632" s="55"/>
      <c r="F1632" s="55"/>
      <c r="G1632" s="55"/>
      <c r="H1632" s="51"/>
      <c r="I1632" s="52"/>
      <c r="J1632" s="74" t="s">
        <v>1837</v>
      </c>
      <c r="K1632" s="57"/>
      <c r="L1632" s="75">
        <v>22</v>
      </c>
      <c r="M1632" s="60">
        <v>3</v>
      </c>
      <c r="N1632" s="76">
        <v>1</v>
      </c>
      <c r="O1632" s="42"/>
      <c r="P1632" s="58" t="s">
        <v>77</v>
      </c>
      <c r="Q1632" s="61"/>
      <c r="R1632" s="62"/>
      <c r="S1632" s="78">
        <f t="shared" si="78"/>
        <v>3</v>
      </c>
      <c r="T1632" s="44" t="str">
        <f t="shared" si="79"/>
        <v>3packs</v>
      </c>
      <c r="U1632" s="77">
        <f t="shared" si="80"/>
        <v>66</v>
      </c>
      <c r="V1632" s="46"/>
      <c r="W1632" s="46"/>
      <c r="X1632" s="46"/>
    </row>
    <row r="1633" spans="1:24" ht="15.75" customHeight="1" thickBot="1" x14ac:dyDescent="0.35">
      <c r="A1633" s="40"/>
      <c r="B1633" s="67" t="s">
        <v>788</v>
      </c>
      <c r="C1633" s="55"/>
      <c r="D1633" s="41"/>
      <c r="E1633" s="55"/>
      <c r="F1633" s="55"/>
      <c r="G1633" s="55"/>
      <c r="H1633" s="51"/>
      <c r="I1633" s="52"/>
      <c r="J1633" s="74" t="s">
        <v>1837</v>
      </c>
      <c r="K1633" s="57"/>
      <c r="L1633" s="75">
        <v>22</v>
      </c>
      <c r="M1633" s="60">
        <v>5</v>
      </c>
      <c r="N1633" s="76">
        <v>1</v>
      </c>
      <c r="O1633" s="42"/>
      <c r="P1633" s="58" t="s">
        <v>77</v>
      </c>
      <c r="Q1633" s="61"/>
      <c r="R1633" s="62"/>
      <c r="S1633" s="78">
        <f t="shared" si="78"/>
        <v>5</v>
      </c>
      <c r="T1633" s="44" t="str">
        <f t="shared" si="79"/>
        <v>5packs</v>
      </c>
      <c r="U1633" s="77">
        <f t="shared" si="80"/>
        <v>110</v>
      </c>
      <c r="V1633" s="46"/>
      <c r="W1633" s="46"/>
      <c r="X1633" s="46"/>
    </row>
    <row r="1634" spans="1:24" ht="15.75" customHeight="1" thickBot="1" x14ac:dyDescent="0.35">
      <c r="A1634" s="40"/>
      <c r="B1634" s="67" t="s">
        <v>788</v>
      </c>
      <c r="C1634" s="55"/>
      <c r="D1634" s="41"/>
      <c r="E1634" s="55"/>
      <c r="F1634" s="55"/>
      <c r="G1634" s="55"/>
      <c r="H1634" s="51"/>
      <c r="I1634" s="52"/>
      <c r="J1634" s="74" t="s">
        <v>953</v>
      </c>
      <c r="K1634" s="57"/>
      <c r="L1634" s="75">
        <v>22</v>
      </c>
      <c r="M1634" s="60">
        <v>25</v>
      </c>
      <c r="N1634" s="76">
        <v>1</v>
      </c>
      <c r="O1634" s="42"/>
      <c r="P1634" s="58" t="s">
        <v>77</v>
      </c>
      <c r="Q1634" s="61"/>
      <c r="R1634" s="62"/>
      <c r="S1634" s="78">
        <f t="shared" si="78"/>
        <v>25</v>
      </c>
      <c r="T1634" s="44" t="str">
        <f t="shared" si="79"/>
        <v>25packs</v>
      </c>
      <c r="U1634" s="77">
        <f t="shared" si="80"/>
        <v>550</v>
      </c>
      <c r="V1634" s="46"/>
      <c r="W1634" s="46"/>
      <c r="X1634" s="46"/>
    </row>
    <row r="1635" spans="1:24" ht="15.75" customHeight="1" thickBot="1" x14ac:dyDescent="0.35">
      <c r="A1635" s="40"/>
      <c r="B1635" s="68" t="s">
        <v>788</v>
      </c>
      <c r="C1635" s="55"/>
      <c r="D1635" s="41"/>
      <c r="E1635" s="55"/>
      <c r="F1635" s="55"/>
      <c r="G1635" s="55"/>
      <c r="H1635" s="51"/>
      <c r="I1635" s="52"/>
      <c r="J1635" s="74"/>
      <c r="K1635" s="57"/>
      <c r="L1635" s="75">
        <v>1</v>
      </c>
      <c r="M1635" s="60">
        <v>183</v>
      </c>
      <c r="N1635" s="76">
        <v>1</v>
      </c>
      <c r="O1635" s="42"/>
      <c r="P1635" s="58" t="s">
        <v>38</v>
      </c>
      <c r="Q1635" s="61"/>
      <c r="R1635" s="62"/>
      <c r="S1635" s="78">
        <f t="shared" si="78"/>
        <v>183</v>
      </c>
      <c r="T1635" s="44" t="str">
        <f t="shared" si="79"/>
        <v>183pieces</v>
      </c>
      <c r="U1635" s="77">
        <f t="shared" si="80"/>
        <v>183</v>
      </c>
      <c r="V1635" s="46"/>
      <c r="W1635" s="46"/>
      <c r="X1635" s="46"/>
    </row>
    <row r="1636" spans="1:24" ht="15.75" customHeight="1" thickBot="1" x14ac:dyDescent="0.35">
      <c r="A1636" s="40"/>
      <c r="B1636" s="68" t="s">
        <v>788</v>
      </c>
      <c r="C1636" s="55"/>
      <c r="D1636" s="41"/>
      <c r="E1636" s="55"/>
      <c r="F1636" s="55"/>
      <c r="G1636" s="55"/>
      <c r="H1636" s="51"/>
      <c r="I1636" s="52"/>
      <c r="J1636" s="74"/>
      <c r="K1636" s="57"/>
      <c r="L1636" s="75">
        <v>2.08</v>
      </c>
      <c r="M1636" s="60">
        <v>2536</v>
      </c>
      <c r="N1636" s="76">
        <v>1</v>
      </c>
      <c r="O1636" s="42"/>
      <c r="P1636" s="58" t="s">
        <v>38</v>
      </c>
      <c r="Q1636" s="61"/>
      <c r="R1636" s="62"/>
      <c r="S1636" s="78">
        <f t="shared" si="78"/>
        <v>2536</v>
      </c>
      <c r="T1636" s="44" t="str">
        <f t="shared" si="79"/>
        <v>2536pieces</v>
      </c>
      <c r="U1636" s="77">
        <f t="shared" si="80"/>
        <v>5274.88</v>
      </c>
      <c r="V1636" s="46"/>
      <c r="W1636" s="46"/>
      <c r="X1636" s="46"/>
    </row>
    <row r="1637" spans="1:24" ht="15.75" customHeight="1" thickBot="1" x14ac:dyDescent="0.35">
      <c r="A1637" s="40"/>
      <c r="B1637" s="68" t="s">
        <v>788</v>
      </c>
      <c r="C1637" s="55"/>
      <c r="D1637" s="41"/>
      <c r="E1637" s="55"/>
      <c r="F1637" s="55"/>
      <c r="G1637" s="55"/>
      <c r="H1637" s="51"/>
      <c r="I1637" s="52"/>
      <c r="J1637" s="74"/>
      <c r="K1637" s="57"/>
      <c r="L1637" s="75">
        <v>1</v>
      </c>
      <c r="M1637" s="60">
        <v>14</v>
      </c>
      <c r="N1637" s="76">
        <v>1</v>
      </c>
      <c r="O1637" s="42"/>
      <c r="P1637" s="58" t="s">
        <v>77</v>
      </c>
      <c r="Q1637" s="61"/>
      <c r="R1637" s="62"/>
      <c r="S1637" s="78">
        <f t="shared" si="78"/>
        <v>14</v>
      </c>
      <c r="T1637" s="44" t="str">
        <f t="shared" si="79"/>
        <v>14packs</v>
      </c>
      <c r="U1637" s="77">
        <f t="shared" si="80"/>
        <v>14</v>
      </c>
      <c r="V1637" s="46"/>
      <c r="W1637" s="46"/>
      <c r="X1637" s="46"/>
    </row>
    <row r="1638" spans="1:24" ht="15.75" customHeight="1" thickBot="1" x14ac:dyDescent="0.35">
      <c r="A1638" s="40"/>
      <c r="B1638" s="68" t="s">
        <v>1842</v>
      </c>
      <c r="C1638" s="55"/>
      <c r="D1638" s="41"/>
      <c r="E1638" s="55"/>
      <c r="F1638" s="55"/>
      <c r="G1638" s="55"/>
      <c r="H1638" s="51"/>
      <c r="I1638" s="52"/>
      <c r="J1638" s="74" t="s">
        <v>1843</v>
      </c>
      <c r="K1638" s="57"/>
      <c r="L1638" s="75">
        <v>25</v>
      </c>
      <c r="M1638" s="60">
        <v>4</v>
      </c>
      <c r="N1638" s="76">
        <v>1</v>
      </c>
      <c r="O1638" s="42"/>
      <c r="P1638" s="58" t="s">
        <v>77</v>
      </c>
      <c r="Q1638" s="61"/>
      <c r="R1638" s="62"/>
      <c r="S1638" s="78">
        <f t="shared" si="78"/>
        <v>4</v>
      </c>
      <c r="T1638" s="44" t="str">
        <f t="shared" si="79"/>
        <v>4packs</v>
      </c>
      <c r="U1638" s="77">
        <f t="shared" si="80"/>
        <v>100</v>
      </c>
      <c r="V1638" s="46"/>
      <c r="W1638" s="46"/>
      <c r="X1638" s="46"/>
    </row>
    <row r="1639" spans="1:24" ht="15.75" customHeight="1" thickBot="1" x14ac:dyDescent="0.35">
      <c r="A1639" s="40"/>
      <c r="B1639" s="67" t="s">
        <v>1844</v>
      </c>
      <c r="C1639" s="55"/>
      <c r="D1639" s="41"/>
      <c r="E1639" s="55"/>
      <c r="F1639" s="55"/>
      <c r="G1639" s="55"/>
      <c r="H1639" s="51"/>
      <c r="I1639" s="52"/>
      <c r="J1639" s="74" t="s">
        <v>1845</v>
      </c>
      <c r="K1639" s="57"/>
      <c r="L1639" s="75">
        <v>98</v>
      </c>
      <c r="M1639" s="60">
        <v>1</v>
      </c>
      <c r="N1639" s="76">
        <v>150</v>
      </c>
      <c r="O1639" s="42"/>
      <c r="P1639" s="58" t="s">
        <v>36</v>
      </c>
      <c r="Q1639" s="61"/>
      <c r="R1639" s="62"/>
      <c r="S1639" s="78">
        <f t="shared" si="78"/>
        <v>150</v>
      </c>
      <c r="T1639" s="44" t="str">
        <f t="shared" si="79"/>
        <v>150grams</v>
      </c>
      <c r="U1639" s="77">
        <f t="shared" si="80"/>
        <v>98</v>
      </c>
      <c r="V1639" s="46"/>
      <c r="W1639" s="46"/>
      <c r="X1639" s="46"/>
    </row>
    <row r="1640" spans="1:24" ht="15.75" customHeight="1" thickBot="1" x14ac:dyDescent="0.35">
      <c r="A1640" s="40"/>
      <c r="B1640" s="67" t="s">
        <v>1844</v>
      </c>
      <c r="C1640" s="55"/>
      <c r="D1640" s="41"/>
      <c r="E1640" s="55"/>
      <c r="F1640" s="55"/>
      <c r="G1640" s="55"/>
      <c r="H1640" s="51"/>
      <c r="I1640" s="52"/>
      <c r="J1640" s="74" t="s">
        <v>1845</v>
      </c>
      <c r="K1640" s="57"/>
      <c r="L1640" s="75">
        <v>239.5</v>
      </c>
      <c r="M1640" s="60">
        <v>1</v>
      </c>
      <c r="N1640" s="76">
        <v>290</v>
      </c>
      <c r="O1640" s="42"/>
      <c r="P1640" s="58" t="s">
        <v>36</v>
      </c>
      <c r="Q1640" s="61"/>
      <c r="R1640" s="62"/>
      <c r="S1640" s="78">
        <f t="shared" si="78"/>
        <v>290</v>
      </c>
      <c r="T1640" s="44" t="str">
        <f t="shared" si="79"/>
        <v>290grams</v>
      </c>
      <c r="U1640" s="77">
        <f t="shared" si="80"/>
        <v>239.5</v>
      </c>
      <c r="V1640" s="46"/>
      <c r="W1640" s="46"/>
      <c r="X1640" s="46"/>
    </row>
    <row r="1641" spans="1:24" ht="15.75" customHeight="1" thickBot="1" x14ac:dyDescent="0.35">
      <c r="A1641" s="40"/>
      <c r="B1641" s="67" t="s">
        <v>789</v>
      </c>
      <c r="C1641" s="55"/>
      <c r="D1641" s="41"/>
      <c r="E1641" s="55"/>
      <c r="F1641" s="55"/>
      <c r="G1641" s="55"/>
      <c r="H1641" s="51"/>
      <c r="I1641" s="52"/>
      <c r="J1641" s="74" t="s">
        <v>1845</v>
      </c>
      <c r="K1641" s="57"/>
      <c r="L1641" s="75">
        <v>76</v>
      </c>
      <c r="M1641" s="60">
        <v>1</v>
      </c>
      <c r="N1641" s="76">
        <v>340</v>
      </c>
      <c r="O1641" s="42"/>
      <c r="P1641" s="58" t="s">
        <v>36</v>
      </c>
      <c r="Q1641" s="61"/>
      <c r="R1641" s="62"/>
      <c r="S1641" s="78">
        <f t="shared" si="78"/>
        <v>340</v>
      </c>
      <c r="T1641" s="44" t="str">
        <f t="shared" si="79"/>
        <v>340grams</v>
      </c>
      <c r="U1641" s="77">
        <f t="shared" si="80"/>
        <v>76</v>
      </c>
      <c r="V1641" s="46"/>
      <c r="W1641" s="46"/>
      <c r="X1641" s="46"/>
    </row>
    <row r="1642" spans="1:24" ht="15.75" customHeight="1" thickBot="1" x14ac:dyDescent="0.35">
      <c r="A1642" s="40"/>
      <c r="B1642" s="68" t="s">
        <v>1846</v>
      </c>
      <c r="C1642" s="55"/>
      <c r="D1642" s="41"/>
      <c r="E1642" s="55"/>
      <c r="F1642" s="55"/>
      <c r="G1642" s="55"/>
      <c r="H1642" s="51"/>
      <c r="I1642" s="52"/>
      <c r="J1642" s="74"/>
      <c r="K1642" s="57"/>
      <c r="L1642" s="75">
        <v>120</v>
      </c>
      <c r="M1642" s="60">
        <v>1</v>
      </c>
      <c r="N1642" s="76">
        <v>1</v>
      </c>
      <c r="O1642" s="42"/>
      <c r="P1642" s="58" t="s">
        <v>38</v>
      </c>
      <c r="Q1642" s="61"/>
      <c r="R1642" s="62"/>
      <c r="S1642" s="78">
        <f t="shared" si="78"/>
        <v>1</v>
      </c>
      <c r="T1642" s="44" t="str">
        <f t="shared" si="79"/>
        <v>1pieces</v>
      </c>
      <c r="U1642" s="77">
        <f t="shared" si="80"/>
        <v>120</v>
      </c>
      <c r="V1642" s="46"/>
      <c r="W1642" s="46"/>
      <c r="X1642" s="46"/>
    </row>
    <row r="1643" spans="1:24" ht="15.75" customHeight="1" thickBot="1" x14ac:dyDescent="0.35">
      <c r="A1643" s="40"/>
      <c r="B1643" s="67" t="s">
        <v>1847</v>
      </c>
      <c r="C1643" s="55"/>
      <c r="D1643" s="41"/>
      <c r="E1643" s="55"/>
      <c r="F1643" s="55"/>
      <c r="G1643" s="55"/>
      <c r="H1643" s="51"/>
      <c r="I1643" s="52"/>
      <c r="J1643" s="74" t="s">
        <v>966</v>
      </c>
      <c r="K1643" s="57"/>
      <c r="L1643" s="75">
        <v>5</v>
      </c>
      <c r="M1643" s="60">
        <v>21</v>
      </c>
      <c r="N1643" s="76">
        <v>1</v>
      </c>
      <c r="O1643" s="42"/>
      <c r="P1643" s="58" t="s">
        <v>38</v>
      </c>
      <c r="Q1643" s="61"/>
      <c r="R1643" s="62"/>
      <c r="S1643" s="78">
        <f t="shared" si="78"/>
        <v>21</v>
      </c>
      <c r="T1643" s="44" t="str">
        <f t="shared" si="79"/>
        <v>21pieces</v>
      </c>
      <c r="U1643" s="77">
        <f t="shared" si="80"/>
        <v>105</v>
      </c>
      <c r="V1643" s="46"/>
      <c r="W1643" s="46"/>
      <c r="X1643" s="46"/>
    </row>
    <row r="1644" spans="1:24" ht="15.75" customHeight="1" thickBot="1" x14ac:dyDescent="0.35">
      <c r="A1644" s="40"/>
      <c r="V1644" s="46"/>
      <c r="W1644" s="46"/>
      <c r="X1644" s="46"/>
    </row>
    <row r="1645" spans="1:24" ht="15.75" customHeight="1" thickBot="1" x14ac:dyDescent="0.35">
      <c r="A1645" s="40"/>
      <c r="V1645" s="46"/>
      <c r="W1645" s="46"/>
      <c r="X1645" s="46"/>
    </row>
    <row r="1646" spans="1:24" ht="15.75" customHeight="1" thickBot="1" x14ac:dyDescent="0.35">
      <c r="A1646" s="40"/>
      <c r="V1646" s="46"/>
      <c r="W1646" s="46"/>
      <c r="X1646" s="46"/>
    </row>
    <row r="1647" spans="1:24" ht="15.75" customHeight="1" thickBot="1" x14ac:dyDescent="0.35">
      <c r="A1647" s="40"/>
      <c r="V1647" s="46"/>
      <c r="W1647" s="46"/>
      <c r="X1647" s="46"/>
    </row>
    <row r="1648" spans="1:24" ht="15.75" customHeight="1" thickBot="1" x14ac:dyDescent="0.35">
      <c r="A1648" s="40"/>
      <c r="V1648" s="46"/>
      <c r="W1648" s="46"/>
      <c r="X1648" s="46"/>
    </row>
    <row r="1649" spans="1:24" ht="15.75" customHeight="1" thickBot="1" x14ac:dyDescent="0.35">
      <c r="A1649" s="40"/>
      <c r="V1649" s="46"/>
      <c r="W1649" s="46"/>
      <c r="X1649" s="46"/>
    </row>
    <row r="1650" spans="1:24" ht="15.75" customHeight="1" thickBot="1" x14ac:dyDescent="0.35">
      <c r="A1650" s="40"/>
      <c r="V1650" s="46"/>
      <c r="W1650" s="46"/>
      <c r="X1650" s="46"/>
    </row>
    <row r="1651" spans="1:24" ht="15.75" customHeight="1" thickBot="1" x14ac:dyDescent="0.35">
      <c r="A1651" s="40"/>
      <c r="V1651" s="46"/>
      <c r="W1651" s="46"/>
      <c r="X1651" s="46"/>
    </row>
    <row r="1652" spans="1:24" ht="15.75" customHeight="1" thickBot="1" x14ac:dyDescent="0.35">
      <c r="A1652" s="40"/>
      <c r="V1652" s="46"/>
      <c r="W1652" s="46"/>
      <c r="X1652" s="46"/>
    </row>
    <row r="1653" spans="1:24" ht="15.75" customHeight="1" thickBot="1" x14ac:dyDescent="0.35">
      <c r="A1653" s="40"/>
      <c r="V1653" s="46"/>
      <c r="W1653" s="46"/>
      <c r="X1653" s="46"/>
    </row>
    <row r="1654" spans="1:24" ht="15.75" customHeight="1" thickBot="1" x14ac:dyDescent="0.35">
      <c r="A1654" s="40"/>
      <c r="V1654" s="46"/>
      <c r="W1654" s="46"/>
      <c r="X1654" s="46"/>
    </row>
    <row r="1655" spans="1:24" ht="15.75" customHeight="1" thickBot="1" x14ac:dyDescent="0.35">
      <c r="A1655" s="40"/>
      <c r="V1655" s="46"/>
      <c r="W1655" s="46"/>
      <c r="X1655" s="46"/>
    </row>
    <row r="1656" spans="1:24" ht="15.75" customHeight="1" thickBot="1" x14ac:dyDescent="0.35">
      <c r="A1656" s="40"/>
      <c r="V1656" s="46"/>
      <c r="W1656" s="46"/>
      <c r="X1656" s="46"/>
    </row>
    <row r="1657" spans="1:24" ht="15.75" customHeight="1" thickBot="1" x14ac:dyDescent="0.35">
      <c r="A1657" s="40"/>
      <c r="V1657" s="46"/>
      <c r="W1657" s="46"/>
      <c r="X1657" s="46"/>
    </row>
    <row r="1658" spans="1:24" ht="15.75" customHeight="1" thickBot="1" x14ac:dyDescent="0.35">
      <c r="A1658" s="40"/>
      <c r="V1658" s="46"/>
      <c r="W1658" s="46"/>
      <c r="X1658" s="46"/>
    </row>
    <row r="1659" spans="1:24" ht="15.75" customHeight="1" thickBot="1" x14ac:dyDescent="0.35">
      <c r="A1659" s="40"/>
      <c r="V1659" s="46"/>
      <c r="W1659" s="46"/>
      <c r="X1659" s="46"/>
    </row>
    <row r="1660" spans="1:24" ht="15.75" customHeight="1" thickBot="1" x14ac:dyDescent="0.35">
      <c r="A1660" s="40"/>
      <c r="V1660" s="46"/>
      <c r="W1660" s="46"/>
      <c r="X1660" s="46"/>
    </row>
    <row r="1661" spans="1:24" ht="15.75" customHeight="1" thickBot="1" x14ac:dyDescent="0.35">
      <c r="A1661" s="40"/>
      <c r="V1661" s="46"/>
      <c r="W1661" s="46"/>
      <c r="X1661" s="46"/>
    </row>
    <row r="1662" spans="1:24" ht="15.75" customHeight="1" thickBot="1" x14ac:dyDescent="0.35">
      <c r="A1662" s="40"/>
      <c r="V1662" s="46"/>
      <c r="W1662" s="46"/>
      <c r="X1662" s="46"/>
    </row>
    <row r="1663" spans="1:24" ht="15.75" customHeight="1" thickBot="1" x14ac:dyDescent="0.35">
      <c r="A1663" s="40"/>
      <c r="V1663" s="46"/>
      <c r="W1663" s="46"/>
      <c r="X1663" s="46"/>
    </row>
    <row r="1664" spans="1:24" ht="15.75" customHeight="1" thickBot="1" x14ac:dyDescent="0.35">
      <c r="A1664" s="40"/>
      <c r="V1664" s="46"/>
      <c r="W1664" s="46"/>
      <c r="X1664" s="46"/>
    </row>
    <row r="1665" spans="1:24" ht="15.75" customHeight="1" thickBot="1" x14ac:dyDescent="0.35">
      <c r="A1665" s="40"/>
      <c r="V1665" s="46"/>
      <c r="W1665" s="46"/>
      <c r="X1665" s="46"/>
    </row>
    <row r="1666" spans="1:24" ht="15.75" customHeight="1" thickBot="1" x14ac:dyDescent="0.35">
      <c r="A1666" s="40"/>
      <c r="V1666" s="46"/>
      <c r="W1666" s="46"/>
      <c r="X1666" s="46"/>
    </row>
    <row r="1667" spans="1:24" ht="15.75" customHeight="1" thickBot="1" x14ac:dyDescent="0.35">
      <c r="A1667" s="40"/>
      <c r="V1667" s="46"/>
      <c r="W1667" s="46"/>
      <c r="X1667" s="46"/>
    </row>
    <row r="1668" spans="1:24" ht="15.75" customHeight="1" thickBot="1" x14ac:dyDescent="0.35">
      <c r="A1668" s="40"/>
      <c r="V1668" s="46"/>
      <c r="W1668" s="46"/>
      <c r="X1668" s="46"/>
    </row>
    <row r="1669" spans="1:24" ht="15.75" customHeight="1" thickBot="1" x14ac:dyDescent="0.35">
      <c r="A1669" s="40"/>
      <c r="V1669" s="46"/>
      <c r="W1669" s="46"/>
      <c r="X1669" s="46"/>
    </row>
    <row r="1670" spans="1:24" ht="15.75" customHeight="1" thickBot="1" x14ac:dyDescent="0.35">
      <c r="A1670" s="40"/>
      <c r="V1670" s="46"/>
      <c r="W1670" s="46"/>
      <c r="X1670" s="46"/>
    </row>
    <row r="1671" spans="1:24" ht="15.75" customHeight="1" thickBot="1" x14ac:dyDescent="0.35">
      <c r="A1671" s="40"/>
      <c r="V1671" s="46"/>
      <c r="W1671" s="46"/>
      <c r="X1671" s="46"/>
    </row>
    <row r="1672" spans="1:24" ht="15.75" customHeight="1" thickBot="1" x14ac:dyDescent="0.35">
      <c r="A1672" s="40"/>
      <c r="V1672" s="46"/>
      <c r="W1672" s="46"/>
      <c r="X1672" s="46"/>
    </row>
    <row r="1673" spans="1:24" ht="15.75" customHeight="1" thickBot="1" x14ac:dyDescent="0.35">
      <c r="A1673" s="40"/>
      <c r="V1673" s="46"/>
      <c r="W1673" s="46"/>
      <c r="X1673" s="46"/>
    </row>
    <row r="1674" spans="1:24" ht="15.75" customHeight="1" thickBot="1" x14ac:dyDescent="0.35">
      <c r="A1674" s="40"/>
      <c r="V1674" s="46"/>
      <c r="W1674" s="46"/>
      <c r="X1674" s="46"/>
    </row>
    <row r="1675" spans="1:24" ht="15.75" customHeight="1" thickBot="1" x14ac:dyDescent="0.35">
      <c r="A1675" s="40"/>
      <c r="V1675" s="46"/>
      <c r="W1675" s="46"/>
      <c r="X1675" s="46"/>
    </row>
    <row r="1676" spans="1:24" ht="15.75" customHeight="1" thickBot="1" x14ac:dyDescent="0.35">
      <c r="A1676" s="40"/>
      <c r="V1676" s="46"/>
      <c r="W1676" s="46"/>
      <c r="X1676" s="46"/>
    </row>
    <row r="1677" spans="1:24" ht="15.75" customHeight="1" thickBot="1" x14ac:dyDescent="0.35">
      <c r="A1677" s="40"/>
      <c r="V1677" s="46"/>
      <c r="W1677" s="46"/>
      <c r="X1677" s="46"/>
    </row>
    <row r="1678" spans="1:24" ht="15.75" customHeight="1" thickBot="1" x14ac:dyDescent="0.35">
      <c r="A1678" s="40"/>
      <c r="V1678" s="46"/>
      <c r="W1678" s="46"/>
      <c r="X1678" s="46"/>
    </row>
    <row r="1679" spans="1:24" ht="15.75" customHeight="1" thickBot="1" x14ac:dyDescent="0.35">
      <c r="A1679" s="40"/>
      <c r="V1679" s="46"/>
      <c r="W1679" s="46"/>
      <c r="X1679" s="46"/>
    </row>
    <row r="1680" spans="1:24" ht="15.75" customHeight="1" thickBot="1" x14ac:dyDescent="0.35">
      <c r="A1680" s="40"/>
      <c r="V1680" s="46"/>
      <c r="W1680" s="46"/>
      <c r="X1680" s="46"/>
    </row>
    <row r="1681" spans="1:24" ht="15.75" customHeight="1" thickBot="1" x14ac:dyDescent="0.35">
      <c r="A1681" s="40"/>
      <c r="V1681" s="46"/>
      <c r="W1681" s="46"/>
      <c r="X1681" s="46"/>
    </row>
    <row r="1682" spans="1:24" ht="15.75" customHeight="1" thickBot="1" x14ac:dyDescent="0.35">
      <c r="A1682" s="40"/>
      <c r="V1682" s="46"/>
      <c r="W1682" s="46"/>
      <c r="X1682" s="46"/>
    </row>
    <row r="1683" spans="1:24" ht="15.75" customHeight="1" thickBot="1" x14ac:dyDescent="0.35">
      <c r="A1683" s="40"/>
      <c r="V1683" s="46"/>
      <c r="W1683" s="46"/>
      <c r="X1683" s="46"/>
    </row>
    <row r="1684" spans="1:24" ht="15.75" customHeight="1" thickBot="1" x14ac:dyDescent="0.35">
      <c r="A1684" s="40"/>
      <c r="V1684" s="46"/>
      <c r="W1684" s="46"/>
      <c r="X1684" s="46"/>
    </row>
    <row r="1685" spans="1:24" ht="15.75" customHeight="1" thickBot="1" x14ac:dyDescent="0.35">
      <c r="A1685" s="40"/>
      <c r="V1685" s="46"/>
      <c r="W1685" s="46"/>
      <c r="X1685" s="46"/>
    </row>
    <row r="1686" spans="1:24" ht="15.75" customHeight="1" thickBot="1" x14ac:dyDescent="0.35">
      <c r="A1686" s="40"/>
      <c r="V1686" s="46"/>
      <c r="W1686" s="46"/>
      <c r="X1686" s="46"/>
    </row>
    <row r="1687" spans="1:24" ht="15.75" customHeight="1" thickBot="1" x14ac:dyDescent="0.35">
      <c r="A1687" s="40"/>
      <c r="V1687" s="46"/>
      <c r="W1687" s="46"/>
      <c r="X1687" s="46"/>
    </row>
    <row r="1688" spans="1:24" ht="15.75" customHeight="1" thickBot="1" x14ac:dyDescent="0.35">
      <c r="A1688" s="40"/>
      <c r="V1688" s="46"/>
      <c r="W1688" s="46"/>
      <c r="X1688" s="46"/>
    </row>
    <row r="1689" spans="1:24" ht="15.75" customHeight="1" thickBot="1" x14ac:dyDescent="0.35">
      <c r="A1689" s="40"/>
      <c r="V1689" s="46"/>
      <c r="W1689" s="46"/>
      <c r="X1689" s="46"/>
    </row>
    <row r="1690" spans="1:24" ht="15.75" customHeight="1" thickBot="1" x14ac:dyDescent="0.35">
      <c r="A1690" s="40"/>
      <c r="V1690" s="46"/>
      <c r="W1690" s="46"/>
      <c r="X1690" s="46"/>
    </row>
    <row r="1691" spans="1:24" ht="15.75" customHeight="1" thickBot="1" x14ac:dyDescent="0.35">
      <c r="A1691" s="40"/>
      <c r="V1691" s="46"/>
      <c r="W1691" s="46"/>
      <c r="X1691" s="46"/>
    </row>
    <row r="1692" spans="1:24" ht="15.75" customHeight="1" thickBot="1" x14ac:dyDescent="0.35">
      <c r="A1692" s="40"/>
      <c r="V1692" s="46"/>
      <c r="W1692" s="46"/>
      <c r="X1692" s="46"/>
    </row>
    <row r="1693" spans="1:24" ht="15.75" customHeight="1" thickBot="1" x14ac:dyDescent="0.35">
      <c r="A1693" s="40"/>
      <c r="V1693" s="46"/>
      <c r="W1693" s="46"/>
      <c r="X1693" s="46"/>
    </row>
    <row r="1694" spans="1:24" ht="15.75" customHeight="1" thickBot="1" x14ac:dyDescent="0.35">
      <c r="A1694" s="40"/>
      <c r="V1694" s="46"/>
      <c r="W1694" s="46"/>
      <c r="X1694" s="46"/>
    </row>
    <row r="1695" spans="1:24" ht="15.75" customHeight="1" thickBot="1" x14ac:dyDescent="0.35">
      <c r="A1695" s="40"/>
      <c r="V1695" s="46"/>
      <c r="W1695" s="46"/>
      <c r="X1695" s="46"/>
    </row>
    <row r="1696" spans="1:24" ht="15.75" customHeight="1" thickBot="1" x14ac:dyDescent="0.35">
      <c r="A1696" s="40"/>
      <c r="V1696" s="46"/>
      <c r="W1696" s="46"/>
      <c r="X1696" s="46"/>
    </row>
    <row r="1697" spans="1:24" ht="15.75" customHeight="1" thickBot="1" x14ac:dyDescent="0.35">
      <c r="A1697" s="40"/>
      <c r="V1697" s="46"/>
      <c r="W1697" s="46"/>
      <c r="X1697" s="46"/>
    </row>
    <row r="1698" spans="1:24" ht="15.75" customHeight="1" thickBot="1" x14ac:dyDescent="0.35">
      <c r="A1698" s="40"/>
      <c r="V1698" s="46"/>
      <c r="W1698" s="46"/>
      <c r="X1698" s="46"/>
    </row>
    <row r="1699" spans="1:24" ht="15.75" customHeight="1" thickBot="1" x14ac:dyDescent="0.35">
      <c r="A1699" s="40"/>
      <c r="V1699" s="46"/>
      <c r="W1699" s="46"/>
      <c r="X1699" s="46"/>
    </row>
    <row r="1700" spans="1:24" ht="15.75" customHeight="1" thickBot="1" x14ac:dyDescent="0.35">
      <c r="A1700" s="40"/>
      <c r="V1700" s="46"/>
      <c r="W1700" s="46"/>
      <c r="X1700" s="46"/>
    </row>
    <row r="1701" spans="1:24" ht="15.75" customHeight="1" thickBot="1" x14ac:dyDescent="0.35">
      <c r="A1701" s="40"/>
      <c r="V1701" s="46"/>
      <c r="W1701" s="46"/>
      <c r="X1701" s="46"/>
    </row>
    <row r="1702" spans="1:24" ht="15.75" customHeight="1" thickBot="1" x14ac:dyDescent="0.35">
      <c r="A1702" s="40"/>
      <c r="V1702" s="46"/>
      <c r="W1702" s="46"/>
      <c r="X1702" s="46"/>
    </row>
    <row r="1703" spans="1:24" ht="15.75" customHeight="1" thickBot="1" x14ac:dyDescent="0.35">
      <c r="A1703" s="40"/>
      <c r="V1703" s="46"/>
      <c r="W1703" s="46"/>
      <c r="X1703" s="46"/>
    </row>
    <row r="1704" spans="1:24" ht="15.75" customHeight="1" thickBot="1" x14ac:dyDescent="0.35">
      <c r="A1704" s="40"/>
      <c r="V1704" s="46"/>
      <c r="W1704" s="46"/>
      <c r="X1704" s="46"/>
    </row>
    <row r="1705" spans="1:24" ht="15.75" customHeight="1" thickBot="1" x14ac:dyDescent="0.35">
      <c r="A1705" s="40"/>
      <c r="V1705" s="46"/>
      <c r="W1705" s="46"/>
      <c r="X1705" s="46"/>
    </row>
    <row r="1706" spans="1:24" ht="15.75" customHeight="1" thickBot="1" x14ac:dyDescent="0.35">
      <c r="A1706" s="40"/>
      <c r="V1706" s="46"/>
      <c r="W1706" s="46"/>
      <c r="X1706" s="46"/>
    </row>
    <row r="1707" spans="1:24" ht="15.75" customHeight="1" thickBot="1" x14ac:dyDescent="0.35">
      <c r="A1707" s="40"/>
      <c r="V1707" s="46"/>
      <c r="W1707" s="46"/>
      <c r="X1707" s="46"/>
    </row>
    <row r="1708" spans="1:24" ht="15.75" customHeight="1" thickBot="1" x14ac:dyDescent="0.35">
      <c r="A1708" s="40"/>
      <c r="V1708" s="46"/>
      <c r="W1708" s="46"/>
      <c r="X1708" s="46"/>
    </row>
    <row r="1709" spans="1:24" ht="15.75" customHeight="1" thickBot="1" x14ac:dyDescent="0.35">
      <c r="A1709" s="40"/>
      <c r="V1709" s="46"/>
      <c r="W1709" s="46"/>
      <c r="X1709" s="46"/>
    </row>
    <row r="1710" spans="1:24" ht="15.75" customHeight="1" thickBot="1" x14ac:dyDescent="0.35">
      <c r="A1710" s="40"/>
      <c r="V1710" s="46"/>
      <c r="W1710" s="46"/>
      <c r="X1710" s="46"/>
    </row>
    <row r="1711" spans="1:24" ht="15.75" customHeight="1" thickBot="1" x14ac:dyDescent="0.35">
      <c r="A1711" s="40"/>
      <c r="V1711" s="46"/>
      <c r="W1711" s="46"/>
      <c r="X1711" s="46"/>
    </row>
    <row r="1712" spans="1:24" ht="15.75" customHeight="1" thickBot="1" x14ac:dyDescent="0.35">
      <c r="A1712" s="40"/>
      <c r="V1712" s="46"/>
      <c r="W1712" s="46"/>
      <c r="X1712" s="46"/>
    </row>
    <row r="1713" spans="1:24" ht="15.75" customHeight="1" thickBot="1" x14ac:dyDescent="0.35">
      <c r="A1713" s="40"/>
      <c r="V1713" s="46"/>
      <c r="W1713" s="46"/>
      <c r="X1713" s="46"/>
    </row>
    <row r="1714" spans="1:24" ht="15.75" customHeight="1" thickBot="1" x14ac:dyDescent="0.35">
      <c r="A1714" s="40"/>
      <c r="V1714" s="46"/>
      <c r="W1714" s="46"/>
      <c r="X1714" s="46"/>
    </row>
    <row r="1715" spans="1:24" ht="15.75" customHeight="1" thickBot="1" x14ac:dyDescent="0.35">
      <c r="A1715" s="40"/>
      <c r="V1715" s="46"/>
      <c r="W1715" s="46"/>
      <c r="X1715" s="46"/>
    </row>
    <row r="1716" spans="1:24" ht="15.75" customHeight="1" thickBot="1" x14ac:dyDescent="0.35">
      <c r="A1716" s="40"/>
      <c r="V1716" s="46"/>
      <c r="W1716" s="46"/>
      <c r="X1716" s="46"/>
    </row>
    <row r="1717" spans="1:24" ht="15.75" customHeight="1" thickBot="1" x14ac:dyDescent="0.35">
      <c r="A1717" s="40"/>
      <c r="V1717" s="46"/>
      <c r="W1717" s="46"/>
      <c r="X1717" s="46"/>
    </row>
    <row r="1718" spans="1:24" ht="15.75" customHeight="1" thickBot="1" x14ac:dyDescent="0.35">
      <c r="A1718" s="40"/>
      <c r="V1718" s="46"/>
      <c r="W1718" s="46"/>
      <c r="X1718" s="46"/>
    </row>
    <row r="1719" spans="1:24" ht="15.75" customHeight="1" thickBot="1" x14ac:dyDescent="0.35">
      <c r="A1719" s="40"/>
      <c r="V1719" s="46"/>
      <c r="W1719" s="46"/>
      <c r="X1719" s="46"/>
    </row>
    <row r="1720" spans="1:24" ht="15.75" customHeight="1" thickBot="1" x14ac:dyDescent="0.35">
      <c r="A1720" s="40"/>
      <c r="V1720" s="46"/>
      <c r="W1720" s="46"/>
      <c r="X1720" s="46"/>
    </row>
    <row r="1721" spans="1:24" ht="15.75" customHeight="1" thickBot="1" x14ac:dyDescent="0.35">
      <c r="A1721" s="40"/>
      <c r="V1721" s="46"/>
      <c r="W1721" s="46"/>
      <c r="X1721" s="46"/>
    </row>
    <row r="1722" spans="1:24" ht="15.75" customHeight="1" thickBot="1" x14ac:dyDescent="0.35">
      <c r="A1722" s="40"/>
      <c r="V1722" s="46"/>
      <c r="W1722" s="46"/>
      <c r="X1722" s="46"/>
    </row>
    <row r="1723" spans="1:24" ht="15.75" customHeight="1" thickBot="1" x14ac:dyDescent="0.35">
      <c r="A1723" s="40"/>
      <c r="V1723" s="46"/>
      <c r="W1723" s="46"/>
      <c r="X1723" s="46"/>
    </row>
    <row r="1724" spans="1:24" ht="15.75" customHeight="1" thickBot="1" x14ac:dyDescent="0.35">
      <c r="A1724" s="40"/>
      <c r="V1724" s="46"/>
      <c r="W1724" s="46"/>
      <c r="X1724" s="46"/>
    </row>
    <row r="1725" spans="1:24" ht="15.75" customHeight="1" thickBot="1" x14ac:dyDescent="0.35">
      <c r="A1725" s="40"/>
      <c r="V1725" s="46"/>
      <c r="W1725" s="46"/>
      <c r="X1725" s="46"/>
    </row>
    <row r="1726" spans="1:24" ht="15.75" customHeight="1" thickBot="1" x14ac:dyDescent="0.35">
      <c r="A1726" s="40"/>
      <c r="V1726" s="46"/>
      <c r="W1726" s="46"/>
      <c r="X1726" s="46"/>
    </row>
    <row r="1727" spans="1:24" ht="15.75" customHeight="1" thickBot="1" x14ac:dyDescent="0.35">
      <c r="A1727" s="40"/>
      <c r="V1727" s="46"/>
      <c r="W1727" s="46"/>
      <c r="X1727" s="46"/>
    </row>
    <row r="1728" spans="1:24" ht="15.75" customHeight="1" thickBot="1" x14ac:dyDescent="0.35">
      <c r="A1728" s="40"/>
      <c r="V1728" s="46"/>
      <c r="W1728" s="46"/>
      <c r="X1728" s="46"/>
    </row>
    <row r="1729" spans="1:24" ht="15.75" customHeight="1" thickBot="1" x14ac:dyDescent="0.35">
      <c r="A1729" s="40"/>
      <c r="V1729" s="46"/>
      <c r="W1729" s="46"/>
      <c r="X1729" s="46"/>
    </row>
    <row r="1730" spans="1:24" ht="15.75" customHeight="1" thickBot="1" x14ac:dyDescent="0.35">
      <c r="A1730" s="40"/>
      <c r="V1730" s="46"/>
      <c r="W1730" s="46"/>
      <c r="X1730" s="46"/>
    </row>
    <row r="1731" spans="1:24" ht="15.75" customHeight="1" thickBot="1" x14ac:dyDescent="0.35">
      <c r="A1731" s="40"/>
      <c r="V1731" s="46"/>
      <c r="W1731" s="46"/>
      <c r="X1731" s="46"/>
    </row>
    <row r="1732" spans="1:24" ht="15.75" customHeight="1" thickBot="1" x14ac:dyDescent="0.35">
      <c r="A1732" s="40"/>
      <c r="V1732" s="46"/>
      <c r="W1732" s="46"/>
      <c r="X1732" s="46"/>
    </row>
    <row r="1733" spans="1:24" ht="15.75" customHeight="1" thickBot="1" x14ac:dyDescent="0.35">
      <c r="A1733" s="40"/>
      <c r="V1733" s="46"/>
      <c r="W1733" s="46"/>
      <c r="X1733" s="46"/>
    </row>
    <row r="1734" spans="1:24" ht="15.75" customHeight="1" thickBot="1" x14ac:dyDescent="0.35">
      <c r="A1734" s="40"/>
      <c r="V1734" s="46"/>
      <c r="W1734" s="46"/>
      <c r="X1734" s="46"/>
    </row>
    <row r="1735" spans="1:24" ht="15.75" customHeight="1" thickBot="1" x14ac:dyDescent="0.35">
      <c r="A1735" s="40"/>
      <c r="V1735" s="46"/>
      <c r="W1735" s="46"/>
      <c r="X1735" s="46"/>
    </row>
    <row r="1736" spans="1:24" ht="15.75" customHeight="1" thickBot="1" x14ac:dyDescent="0.35">
      <c r="A1736" s="40"/>
      <c r="V1736" s="46"/>
      <c r="W1736" s="46"/>
      <c r="X1736" s="46"/>
    </row>
    <row r="1737" spans="1:24" ht="15.75" customHeight="1" thickBot="1" x14ac:dyDescent="0.35">
      <c r="A1737" s="40"/>
      <c r="V1737" s="46"/>
      <c r="W1737" s="46"/>
      <c r="X1737" s="46"/>
    </row>
    <row r="1738" spans="1:24" ht="15.75" customHeight="1" thickBot="1" x14ac:dyDescent="0.35">
      <c r="A1738" s="40"/>
      <c r="V1738" s="46"/>
      <c r="W1738" s="46"/>
      <c r="X1738" s="46"/>
    </row>
    <row r="1739" spans="1:24" ht="15.75" customHeight="1" thickBot="1" x14ac:dyDescent="0.35">
      <c r="A1739" s="40"/>
      <c r="V1739" s="46"/>
      <c r="W1739" s="46"/>
      <c r="X1739" s="46"/>
    </row>
    <row r="1740" spans="1:24" ht="15.75" customHeight="1" thickBot="1" x14ac:dyDescent="0.35">
      <c r="A1740" s="40"/>
      <c r="V1740" s="46"/>
      <c r="W1740" s="46"/>
      <c r="X1740" s="46"/>
    </row>
    <row r="1741" spans="1:24" ht="15.75" customHeight="1" thickBot="1" x14ac:dyDescent="0.35">
      <c r="A1741" s="40"/>
      <c r="V1741" s="46"/>
      <c r="W1741" s="46"/>
      <c r="X1741" s="46"/>
    </row>
    <row r="1742" spans="1:24" ht="15.75" customHeight="1" thickBot="1" x14ac:dyDescent="0.35">
      <c r="A1742" s="40"/>
      <c r="V1742" s="46"/>
      <c r="W1742" s="46"/>
      <c r="X1742" s="46"/>
    </row>
    <row r="1743" spans="1:24" ht="15.75" customHeight="1" thickBot="1" x14ac:dyDescent="0.35">
      <c r="A1743" s="40"/>
      <c r="V1743" s="46"/>
      <c r="W1743" s="46"/>
      <c r="X1743" s="46"/>
    </row>
    <row r="1744" spans="1:24" ht="15.75" customHeight="1" thickBot="1" x14ac:dyDescent="0.35">
      <c r="A1744" s="40"/>
      <c r="V1744" s="46"/>
      <c r="W1744" s="46"/>
      <c r="X1744" s="46"/>
    </row>
    <row r="1745" spans="1:24" ht="15.75" customHeight="1" thickBot="1" x14ac:dyDescent="0.35">
      <c r="A1745" s="40"/>
      <c r="V1745" s="46"/>
      <c r="W1745" s="46"/>
      <c r="X1745" s="46"/>
    </row>
    <row r="1746" spans="1:24" ht="15.75" customHeight="1" thickBot="1" x14ac:dyDescent="0.35">
      <c r="A1746" s="40"/>
      <c r="V1746" s="46"/>
      <c r="W1746" s="46"/>
      <c r="X1746" s="46"/>
    </row>
    <row r="1747" spans="1:24" ht="15.75" customHeight="1" thickBot="1" x14ac:dyDescent="0.35">
      <c r="A1747" s="40"/>
      <c r="V1747" s="46"/>
      <c r="W1747" s="46"/>
      <c r="X1747" s="46"/>
    </row>
    <row r="1748" spans="1:24" ht="15.75" customHeight="1" thickBot="1" x14ac:dyDescent="0.35">
      <c r="A1748" s="40"/>
      <c r="V1748" s="46"/>
      <c r="W1748" s="46"/>
      <c r="X1748" s="46"/>
    </row>
    <row r="1749" spans="1:24" ht="15.75" customHeight="1" thickBot="1" x14ac:dyDescent="0.35">
      <c r="A1749" s="40"/>
      <c r="V1749" s="46"/>
      <c r="W1749" s="46"/>
      <c r="X1749" s="46"/>
    </row>
    <row r="1750" spans="1:24" ht="15.75" customHeight="1" thickBot="1" x14ac:dyDescent="0.35">
      <c r="A1750" s="40"/>
      <c r="V1750" s="46"/>
      <c r="W1750" s="46"/>
      <c r="X1750" s="46"/>
    </row>
    <row r="1751" spans="1:24" ht="15.75" customHeight="1" thickBot="1" x14ac:dyDescent="0.35">
      <c r="A1751" s="40"/>
      <c r="V1751" s="46"/>
      <c r="W1751" s="46"/>
      <c r="X1751" s="46"/>
    </row>
    <row r="1752" spans="1:24" ht="15.75" customHeight="1" thickBot="1" x14ac:dyDescent="0.35">
      <c r="A1752" s="40"/>
      <c r="V1752" s="46"/>
      <c r="W1752" s="46"/>
      <c r="X1752" s="46"/>
    </row>
    <row r="1753" spans="1:24" ht="15.75" customHeight="1" thickBot="1" x14ac:dyDescent="0.35">
      <c r="A1753" s="40"/>
      <c r="V1753" s="46"/>
      <c r="W1753" s="46"/>
      <c r="X1753" s="46"/>
    </row>
    <row r="1754" spans="1:24" ht="15.75" customHeight="1" thickBot="1" x14ac:dyDescent="0.35">
      <c r="A1754" s="40"/>
      <c r="V1754" s="46"/>
      <c r="W1754" s="46"/>
      <c r="X1754" s="46"/>
    </row>
    <row r="1755" spans="1:24" ht="15.75" customHeight="1" thickBot="1" x14ac:dyDescent="0.35">
      <c r="A1755" s="40"/>
      <c r="V1755" s="46"/>
      <c r="W1755" s="46"/>
      <c r="X1755" s="46"/>
    </row>
    <row r="1756" spans="1:24" ht="15.75" customHeight="1" thickBot="1" x14ac:dyDescent="0.35">
      <c r="A1756" s="40"/>
      <c r="V1756" s="46"/>
      <c r="W1756" s="46"/>
      <c r="X1756" s="46"/>
    </row>
    <row r="1757" spans="1:24" ht="15.75" customHeight="1" thickBot="1" x14ac:dyDescent="0.35">
      <c r="A1757" s="40"/>
      <c r="V1757" s="46"/>
      <c r="W1757" s="46"/>
      <c r="X1757" s="46"/>
    </row>
    <row r="1758" spans="1:24" ht="15.75" customHeight="1" thickBot="1" x14ac:dyDescent="0.35">
      <c r="A1758" s="40"/>
      <c r="V1758" s="46"/>
      <c r="W1758" s="46"/>
      <c r="X1758" s="46"/>
    </row>
    <row r="1759" spans="1:24" ht="15.75" customHeight="1" thickBot="1" x14ac:dyDescent="0.35">
      <c r="A1759" s="40"/>
      <c r="V1759" s="46"/>
      <c r="W1759" s="46"/>
      <c r="X1759" s="46"/>
    </row>
    <row r="1760" spans="1:24" ht="15.75" customHeight="1" thickBot="1" x14ac:dyDescent="0.35">
      <c r="A1760" s="40"/>
      <c r="V1760" s="46"/>
      <c r="W1760" s="46"/>
      <c r="X1760" s="46"/>
    </row>
    <row r="1761" spans="1:24" ht="15.75" customHeight="1" thickBot="1" x14ac:dyDescent="0.35">
      <c r="A1761" s="40"/>
      <c r="V1761" s="46"/>
      <c r="W1761" s="46"/>
      <c r="X1761" s="46"/>
    </row>
    <row r="1762" spans="1:24" ht="15.75" customHeight="1" thickBot="1" x14ac:dyDescent="0.35">
      <c r="A1762" s="40"/>
      <c r="V1762" s="46"/>
      <c r="W1762" s="46"/>
      <c r="X1762" s="46"/>
    </row>
    <row r="1763" spans="1:24" ht="15.75" customHeight="1" thickBot="1" x14ac:dyDescent="0.35">
      <c r="A1763" s="40"/>
      <c r="V1763" s="46"/>
      <c r="W1763" s="46"/>
      <c r="X1763" s="46"/>
    </row>
    <row r="1764" spans="1:24" ht="15.75" customHeight="1" thickBot="1" x14ac:dyDescent="0.35">
      <c r="A1764" s="40"/>
      <c r="V1764" s="46"/>
      <c r="W1764" s="46"/>
      <c r="X1764" s="46"/>
    </row>
    <row r="1765" spans="1:24" ht="15.75" customHeight="1" thickBot="1" x14ac:dyDescent="0.35">
      <c r="A1765" s="40"/>
      <c r="V1765" s="46"/>
      <c r="W1765" s="46"/>
      <c r="X1765" s="46"/>
    </row>
    <row r="1766" spans="1:24" ht="15.75" customHeight="1" thickBot="1" x14ac:dyDescent="0.35">
      <c r="A1766" s="40"/>
      <c r="V1766" s="46"/>
      <c r="W1766" s="46"/>
      <c r="X1766" s="46"/>
    </row>
    <row r="1767" spans="1:24" ht="15.75" customHeight="1" thickBot="1" x14ac:dyDescent="0.35">
      <c r="A1767" s="40"/>
      <c r="V1767" s="46"/>
      <c r="W1767" s="46"/>
      <c r="X1767" s="46"/>
    </row>
    <row r="1768" spans="1:24" ht="15.75" customHeight="1" thickBot="1" x14ac:dyDescent="0.35">
      <c r="A1768" s="40"/>
      <c r="V1768" s="46"/>
      <c r="W1768" s="46"/>
      <c r="X1768" s="46"/>
    </row>
    <row r="1769" spans="1:24" ht="15.75" customHeight="1" thickBot="1" x14ac:dyDescent="0.35">
      <c r="A1769" s="40"/>
      <c r="V1769" s="46"/>
      <c r="W1769" s="46"/>
      <c r="X1769" s="46"/>
    </row>
    <row r="1770" spans="1:24" ht="15.75" customHeight="1" thickBot="1" x14ac:dyDescent="0.35">
      <c r="A1770" s="40"/>
      <c r="V1770" s="46"/>
      <c r="W1770" s="46"/>
      <c r="X1770" s="46"/>
    </row>
    <row r="1771" spans="1:24" ht="15.75" customHeight="1" thickBot="1" x14ac:dyDescent="0.35">
      <c r="A1771" s="40"/>
      <c r="V1771" s="46"/>
      <c r="W1771" s="46"/>
      <c r="X1771" s="46"/>
    </row>
    <row r="1772" spans="1:24" ht="15.75" customHeight="1" thickBot="1" x14ac:dyDescent="0.35">
      <c r="A1772" s="40"/>
      <c r="V1772" s="46"/>
      <c r="W1772" s="46"/>
      <c r="X1772" s="46"/>
    </row>
    <row r="1773" spans="1:24" ht="15.75" customHeight="1" thickBot="1" x14ac:dyDescent="0.35">
      <c r="A1773" s="40"/>
      <c r="V1773" s="46"/>
      <c r="W1773" s="46"/>
      <c r="X1773" s="46"/>
    </row>
    <row r="1774" spans="1:24" ht="15.75" customHeight="1" thickBot="1" x14ac:dyDescent="0.35">
      <c r="A1774" s="40"/>
      <c r="V1774" s="46"/>
      <c r="W1774" s="46"/>
      <c r="X1774" s="46"/>
    </row>
    <row r="1775" spans="1:24" ht="15.75" customHeight="1" thickBot="1" x14ac:dyDescent="0.35">
      <c r="A1775" s="40"/>
      <c r="V1775" s="46"/>
      <c r="W1775" s="46"/>
      <c r="X1775" s="46"/>
    </row>
    <row r="1776" spans="1:24" ht="15.75" customHeight="1" thickBot="1" x14ac:dyDescent="0.35">
      <c r="A1776" s="40"/>
      <c r="V1776" s="46"/>
      <c r="W1776" s="46"/>
      <c r="X1776" s="46"/>
    </row>
    <row r="1777" spans="1:24" ht="15.75" customHeight="1" thickBot="1" x14ac:dyDescent="0.35">
      <c r="A1777" s="40"/>
      <c r="V1777" s="46"/>
      <c r="W1777" s="46"/>
      <c r="X1777" s="46"/>
    </row>
    <row r="1778" spans="1:24" ht="15.75" customHeight="1" thickBot="1" x14ac:dyDescent="0.35">
      <c r="A1778" s="40"/>
      <c r="V1778" s="46"/>
      <c r="W1778" s="46"/>
      <c r="X1778" s="46"/>
    </row>
    <row r="1779" spans="1:24" ht="15.75" customHeight="1" thickBot="1" x14ac:dyDescent="0.35">
      <c r="A1779" s="40"/>
      <c r="V1779" s="46"/>
      <c r="W1779" s="46"/>
      <c r="X1779" s="46"/>
    </row>
    <row r="1780" spans="1:24" ht="15.75" customHeight="1" thickBot="1" x14ac:dyDescent="0.35">
      <c r="A1780" s="40"/>
      <c r="V1780" s="46"/>
      <c r="W1780" s="46"/>
      <c r="X1780" s="46"/>
    </row>
    <row r="1781" spans="1:24" ht="15.75" customHeight="1" thickBot="1" x14ac:dyDescent="0.35">
      <c r="A1781" s="40"/>
      <c r="V1781" s="46"/>
      <c r="W1781" s="46"/>
      <c r="X1781" s="46"/>
    </row>
    <row r="1782" spans="1:24" ht="15.75" customHeight="1" thickBot="1" x14ac:dyDescent="0.35">
      <c r="A1782" s="40"/>
      <c r="V1782" s="46"/>
      <c r="W1782" s="46"/>
      <c r="X1782" s="46"/>
    </row>
    <row r="1783" spans="1:24" ht="15.75" customHeight="1" thickBot="1" x14ac:dyDescent="0.35">
      <c r="A1783" s="40"/>
      <c r="V1783" s="46"/>
      <c r="W1783" s="46"/>
      <c r="X1783" s="46"/>
    </row>
    <row r="1784" spans="1:24" ht="15.75" customHeight="1" thickBot="1" x14ac:dyDescent="0.35">
      <c r="A1784" s="40"/>
      <c r="V1784" s="46"/>
      <c r="W1784" s="46"/>
      <c r="X1784" s="46"/>
    </row>
    <row r="1785" spans="1:24" ht="15.75" customHeight="1" thickBot="1" x14ac:dyDescent="0.35">
      <c r="A1785" s="40"/>
      <c r="V1785" s="46"/>
      <c r="W1785" s="46"/>
      <c r="X1785" s="46"/>
    </row>
    <row r="1786" spans="1:24" ht="15.75" customHeight="1" thickBot="1" x14ac:dyDescent="0.35">
      <c r="A1786" s="40"/>
      <c r="V1786" s="46"/>
      <c r="W1786" s="46"/>
      <c r="X1786" s="46"/>
    </row>
    <row r="1787" spans="1:24" ht="15.75" customHeight="1" thickBot="1" x14ac:dyDescent="0.35">
      <c r="A1787" s="40"/>
      <c r="V1787" s="46"/>
      <c r="W1787" s="46"/>
      <c r="X1787" s="46"/>
    </row>
    <row r="1788" spans="1:24" ht="15.75" customHeight="1" thickBot="1" x14ac:dyDescent="0.35">
      <c r="A1788" s="40"/>
      <c r="V1788" s="46"/>
      <c r="W1788" s="46"/>
      <c r="X1788" s="46"/>
    </row>
    <row r="1789" spans="1:24" ht="15.75" customHeight="1" thickBot="1" x14ac:dyDescent="0.35">
      <c r="A1789" s="40"/>
      <c r="V1789" s="46"/>
      <c r="W1789" s="46"/>
      <c r="X1789" s="46"/>
    </row>
    <row r="1790" spans="1:24" ht="15.75" customHeight="1" thickBot="1" x14ac:dyDescent="0.35">
      <c r="A1790" s="40"/>
      <c r="V1790" s="46"/>
      <c r="W1790" s="46"/>
      <c r="X1790" s="46"/>
    </row>
    <row r="1791" spans="1:24" ht="15.75" customHeight="1" thickBot="1" x14ac:dyDescent="0.35">
      <c r="A1791" s="40"/>
      <c r="V1791" s="46"/>
      <c r="W1791" s="46"/>
      <c r="X1791" s="46"/>
    </row>
    <row r="1792" spans="1:24" ht="15.75" customHeight="1" thickBot="1" x14ac:dyDescent="0.35">
      <c r="A1792" s="40"/>
      <c r="V1792" s="46"/>
      <c r="W1792" s="46"/>
      <c r="X1792" s="46"/>
    </row>
    <row r="1793" spans="1:24" ht="15.75" customHeight="1" thickBot="1" x14ac:dyDescent="0.35">
      <c r="A1793" s="40"/>
      <c r="V1793" s="46"/>
      <c r="W1793" s="46"/>
      <c r="X1793" s="46"/>
    </row>
    <row r="1794" spans="1:24" ht="15.75" customHeight="1" thickBot="1" x14ac:dyDescent="0.35">
      <c r="A1794" s="40"/>
      <c r="V1794" s="46"/>
      <c r="W1794" s="46"/>
      <c r="X1794" s="46"/>
    </row>
    <row r="1795" spans="1:24" ht="15.75" customHeight="1" thickBot="1" x14ac:dyDescent="0.35">
      <c r="A1795" s="40"/>
      <c r="V1795" s="46"/>
      <c r="W1795" s="46"/>
      <c r="X1795" s="46"/>
    </row>
    <row r="1796" spans="1:24" ht="15.75" customHeight="1" thickBot="1" x14ac:dyDescent="0.35">
      <c r="A1796" s="40"/>
      <c r="V1796" s="46"/>
      <c r="W1796" s="46"/>
      <c r="X1796" s="46"/>
    </row>
    <row r="1797" spans="1:24" ht="15.75" customHeight="1" thickBot="1" x14ac:dyDescent="0.35">
      <c r="A1797" s="40"/>
      <c r="V1797" s="46"/>
      <c r="W1797" s="46"/>
      <c r="X1797" s="46"/>
    </row>
    <row r="1798" spans="1:24" ht="15.75" customHeight="1" thickBot="1" x14ac:dyDescent="0.35">
      <c r="A1798" s="40"/>
      <c r="V1798" s="46"/>
      <c r="W1798" s="46"/>
      <c r="X1798" s="46"/>
    </row>
    <row r="1799" spans="1:24" ht="15.75" customHeight="1" thickBot="1" x14ac:dyDescent="0.35">
      <c r="A1799" s="40"/>
      <c r="V1799" s="46"/>
      <c r="W1799" s="46"/>
      <c r="X1799" s="46"/>
    </row>
    <row r="1800" spans="1:24" ht="15.75" customHeight="1" thickBot="1" x14ac:dyDescent="0.35">
      <c r="A1800" s="40"/>
      <c r="V1800" s="46"/>
      <c r="W1800" s="46"/>
      <c r="X1800" s="46"/>
    </row>
    <row r="1801" spans="1:24" ht="15.75" customHeight="1" thickBot="1" x14ac:dyDescent="0.35">
      <c r="A1801" s="40"/>
      <c r="V1801" s="46"/>
      <c r="W1801" s="46"/>
      <c r="X1801" s="46"/>
    </row>
    <row r="1802" spans="1:24" ht="15.75" customHeight="1" thickBot="1" x14ac:dyDescent="0.35">
      <c r="A1802" s="40"/>
      <c r="V1802" s="46"/>
      <c r="W1802" s="46"/>
      <c r="X1802" s="46"/>
    </row>
    <row r="1803" spans="1:24" ht="15.75" customHeight="1" thickBot="1" x14ac:dyDescent="0.35">
      <c r="A1803" s="40"/>
      <c r="V1803" s="46"/>
      <c r="W1803" s="46"/>
      <c r="X1803" s="46"/>
    </row>
    <row r="1804" spans="1:24" ht="15.75" customHeight="1" thickBot="1" x14ac:dyDescent="0.35">
      <c r="A1804" s="40"/>
      <c r="V1804" s="46"/>
      <c r="W1804" s="46"/>
      <c r="X1804" s="46"/>
    </row>
    <row r="1805" spans="1:24" ht="15.75" customHeight="1" thickBot="1" x14ac:dyDescent="0.35">
      <c r="A1805" s="40"/>
      <c r="V1805" s="46"/>
      <c r="W1805" s="46"/>
      <c r="X1805" s="46"/>
    </row>
    <row r="1806" spans="1:24" ht="15.75" customHeight="1" thickBot="1" x14ac:dyDescent="0.35">
      <c r="A1806" s="40"/>
      <c r="V1806" s="46"/>
      <c r="W1806" s="46"/>
      <c r="X1806" s="46"/>
    </row>
    <row r="1807" spans="1:24" ht="15.75" customHeight="1" thickBot="1" x14ac:dyDescent="0.35">
      <c r="A1807" s="40"/>
      <c r="V1807" s="46"/>
      <c r="W1807" s="46"/>
      <c r="X1807" s="46"/>
    </row>
    <row r="1808" spans="1:24" ht="15.75" customHeight="1" thickBot="1" x14ac:dyDescent="0.35">
      <c r="A1808" s="40"/>
      <c r="V1808" s="46"/>
      <c r="W1808" s="46"/>
      <c r="X1808" s="46"/>
    </row>
    <row r="1809" spans="1:24" ht="15.75" customHeight="1" thickBot="1" x14ac:dyDescent="0.35">
      <c r="A1809" s="40"/>
      <c r="V1809" s="46"/>
      <c r="W1809" s="46"/>
      <c r="X1809" s="46"/>
    </row>
    <row r="1810" spans="1:24" ht="15.75" customHeight="1" thickBot="1" x14ac:dyDescent="0.35">
      <c r="A1810" s="40"/>
      <c r="V1810" s="46"/>
      <c r="W1810" s="46"/>
      <c r="X1810" s="46"/>
    </row>
    <row r="1811" spans="1:24" ht="15.75" customHeight="1" thickBot="1" x14ac:dyDescent="0.35">
      <c r="A1811" s="40"/>
      <c r="V1811" s="46"/>
      <c r="W1811" s="46"/>
      <c r="X1811" s="46"/>
    </row>
    <row r="1812" spans="1:24" ht="15.75" customHeight="1" thickBot="1" x14ac:dyDescent="0.35">
      <c r="A1812" s="40"/>
      <c r="V1812" s="46"/>
      <c r="W1812" s="46"/>
      <c r="X1812" s="46"/>
    </row>
    <row r="1813" spans="1:24" ht="15.75" customHeight="1" thickBot="1" x14ac:dyDescent="0.35">
      <c r="A1813" s="40"/>
      <c r="V1813" s="46"/>
      <c r="W1813" s="46"/>
      <c r="X1813" s="46"/>
    </row>
    <row r="1814" spans="1:24" ht="15.75" customHeight="1" thickBot="1" x14ac:dyDescent="0.35">
      <c r="A1814" s="40"/>
      <c r="V1814" s="46"/>
      <c r="W1814" s="46"/>
      <c r="X1814" s="46"/>
    </row>
    <row r="1815" spans="1:24" ht="15.75" customHeight="1" thickBot="1" x14ac:dyDescent="0.35">
      <c r="A1815" s="40"/>
      <c r="V1815" s="46"/>
      <c r="W1815" s="46"/>
      <c r="X1815" s="46"/>
    </row>
    <row r="1816" spans="1:24" ht="15.75" customHeight="1" thickBot="1" x14ac:dyDescent="0.35">
      <c r="A1816" s="40"/>
      <c r="V1816" s="46"/>
      <c r="W1816" s="46"/>
      <c r="X1816" s="46"/>
    </row>
    <row r="1817" spans="1:24" ht="15.75" customHeight="1" thickBot="1" x14ac:dyDescent="0.35">
      <c r="A1817" s="40"/>
      <c r="V1817" s="46"/>
      <c r="W1817" s="46"/>
      <c r="X1817" s="46"/>
    </row>
    <row r="1818" spans="1:24" ht="15.75" customHeight="1" thickBot="1" x14ac:dyDescent="0.35">
      <c r="A1818" s="40"/>
      <c r="V1818" s="46"/>
      <c r="W1818" s="46"/>
      <c r="X1818" s="46"/>
    </row>
    <row r="1819" spans="1:24" ht="15.75" customHeight="1" thickBot="1" x14ac:dyDescent="0.35">
      <c r="A1819" s="40"/>
      <c r="V1819" s="46"/>
      <c r="W1819" s="46"/>
      <c r="X1819" s="46"/>
    </row>
    <row r="1820" spans="1:24" ht="15.75" customHeight="1" thickBot="1" x14ac:dyDescent="0.35">
      <c r="A1820" s="40"/>
      <c r="V1820" s="46"/>
      <c r="W1820" s="46"/>
      <c r="X1820" s="46"/>
    </row>
    <row r="1821" spans="1:24" ht="15.75" customHeight="1" thickBot="1" x14ac:dyDescent="0.35">
      <c r="A1821" s="40"/>
      <c r="V1821" s="46"/>
      <c r="W1821" s="46"/>
      <c r="X1821" s="46"/>
    </row>
    <row r="1822" spans="1:24" ht="15.75" customHeight="1" thickBot="1" x14ac:dyDescent="0.35">
      <c r="A1822" s="40"/>
      <c r="V1822" s="46"/>
      <c r="W1822" s="46"/>
      <c r="X1822" s="46"/>
    </row>
    <row r="1823" spans="1:24" ht="15.75" customHeight="1" thickBot="1" x14ac:dyDescent="0.35">
      <c r="A1823" s="40"/>
      <c r="V1823" s="46"/>
      <c r="W1823" s="46"/>
      <c r="X1823" s="46"/>
    </row>
    <row r="1824" spans="1:24" ht="15.75" customHeight="1" thickBot="1" x14ac:dyDescent="0.35">
      <c r="A1824" s="40"/>
      <c r="V1824" s="46"/>
      <c r="W1824" s="46"/>
      <c r="X1824" s="46"/>
    </row>
    <row r="1825" spans="1:24" ht="15.75" customHeight="1" thickBot="1" x14ac:dyDescent="0.35">
      <c r="A1825" s="40"/>
      <c r="V1825" s="46"/>
      <c r="W1825" s="46"/>
      <c r="X1825" s="46"/>
    </row>
    <row r="1826" spans="1:24" ht="15.75" customHeight="1" thickBot="1" x14ac:dyDescent="0.35">
      <c r="A1826" s="40"/>
      <c r="V1826" s="46"/>
      <c r="W1826" s="46"/>
      <c r="X1826" s="46"/>
    </row>
    <row r="1827" spans="1:24" ht="15.75" customHeight="1" thickBot="1" x14ac:dyDescent="0.35">
      <c r="A1827" s="40"/>
      <c r="V1827" s="46"/>
      <c r="W1827" s="46"/>
      <c r="X1827" s="46"/>
    </row>
    <row r="1828" spans="1:24" ht="15.75" customHeight="1" thickBot="1" x14ac:dyDescent="0.35">
      <c r="A1828" s="40"/>
      <c r="V1828" s="46"/>
      <c r="W1828" s="46"/>
      <c r="X1828" s="46"/>
    </row>
    <row r="1829" spans="1:24" ht="15.75" customHeight="1" thickBot="1" x14ac:dyDescent="0.35">
      <c r="A1829" s="40"/>
      <c r="V1829" s="46"/>
      <c r="W1829" s="46"/>
      <c r="X1829" s="46"/>
    </row>
    <row r="1830" spans="1:24" ht="15.75" customHeight="1" thickBot="1" x14ac:dyDescent="0.35">
      <c r="A1830" s="40"/>
      <c r="V1830" s="46"/>
      <c r="W1830" s="46"/>
      <c r="X1830" s="46"/>
    </row>
    <row r="1831" spans="1:24" ht="15.75" customHeight="1" thickBot="1" x14ac:dyDescent="0.35">
      <c r="A1831" s="40"/>
      <c r="V1831" s="46"/>
      <c r="W1831" s="46"/>
      <c r="X1831" s="46"/>
    </row>
    <row r="1832" spans="1:24" ht="15.75" customHeight="1" thickBot="1" x14ac:dyDescent="0.35">
      <c r="A1832" s="40"/>
      <c r="V1832" s="46"/>
      <c r="W1832" s="46"/>
      <c r="X1832" s="46"/>
    </row>
    <row r="1833" spans="1:24" ht="15.75" customHeight="1" thickBot="1" x14ac:dyDescent="0.35">
      <c r="A1833" s="40"/>
      <c r="V1833" s="46"/>
      <c r="W1833" s="46"/>
      <c r="X1833" s="46"/>
    </row>
    <row r="1834" spans="1:24" ht="15.75" customHeight="1" thickBot="1" x14ac:dyDescent="0.35">
      <c r="A1834" s="40"/>
      <c r="V1834" s="46"/>
      <c r="W1834" s="46"/>
      <c r="X1834" s="46"/>
    </row>
    <row r="1835" spans="1:24" ht="15.75" customHeight="1" thickBot="1" x14ac:dyDescent="0.35">
      <c r="A1835" s="40"/>
      <c r="V1835" s="46"/>
      <c r="W1835" s="46"/>
      <c r="X1835" s="46"/>
    </row>
    <row r="1836" spans="1:24" ht="15.75" customHeight="1" thickBot="1" x14ac:dyDescent="0.35">
      <c r="A1836" s="40"/>
      <c r="V1836" s="46"/>
      <c r="W1836" s="46"/>
      <c r="X1836" s="46"/>
    </row>
    <row r="1837" spans="1:24" ht="15.75" customHeight="1" thickBot="1" x14ac:dyDescent="0.35">
      <c r="A1837" s="40"/>
      <c r="V1837" s="46"/>
      <c r="W1837" s="46"/>
      <c r="X1837" s="46"/>
    </row>
    <row r="1838" spans="1:24" ht="15.75" customHeight="1" thickBot="1" x14ac:dyDescent="0.35">
      <c r="A1838" s="40"/>
      <c r="V1838" s="46"/>
      <c r="W1838" s="46"/>
      <c r="X1838" s="46"/>
    </row>
    <row r="1839" spans="1:24" ht="15.75" customHeight="1" thickBot="1" x14ac:dyDescent="0.35">
      <c r="A1839" s="40"/>
      <c r="V1839" s="46"/>
      <c r="W1839" s="46"/>
      <c r="X1839" s="46"/>
    </row>
    <row r="1840" spans="1:24" ht="15.75" customHeight="1" thickBot="1" x14ac:dyDescent="0.35">
      <c r="A1840" s="40"/>
      <c r="V1840" s="46"/>
      <c r="W1840" s="46"/>
      <c r="X1840" s="46"/>
    </row>
    <row r="1841" spans="1:24" ht="15.75" customHeight="1" thickBot="1" x14ac:dyDescent="0.35">
      <c r="A1841" s="40"/>
      <c r="V1841" s="46"/>
      <c r="W1841" s="46"/>
      <c r="X1841" s="46"/>
    </row>
    <row r="1842" spans="1:24" ht="15.75" customHeight="1" thickBot="1" x14ac:dyDescent="0.35">
      <c r="A1842" s="40"/>
      <c r="V1842" s="46"/>
      <c r="W1842" s="46"/>
      <c r="X1842" s="46"/>
    </row>
    <row r="1843" spans="1:24" ht="15.75" customHeight="1" thickBot="1" x14ac:dyDescent="0.35">
      <c r="A1843" s="40"/>
      <c r="V1843" s="46"/>
      <c r="W1843" s="46"/>
      <c r="X1843" s="46"/>
    </row>
    <row r="1844" spans="1:24" ht="15.75" customHeight="1" thickBot="1" x14ac:dyDescent="0.35">
      <c r="A1844" s="40"/>
      <c r="V1844" s="46"/>
      <c r="W1844" s="46"/>
      <c r="X1844" s="46"/>
    </row>
    <row r="1845" spans="1:24" ht="15.75" customHeight="1" thickBot="1" x14ac:dyDescent="0.35">
      <c r="A1845" s="40"/>
      <c r="V1845" s="46"/>
      <c r="W1845" s="46"/>
      <c r="X1845" s="46"/>
    </row>
    <row r="1846" spans="1:24" ht="15.75" customHeight="1" thickBot="1" x14ac:dyDescent="0.35">
      <c r="A1846" s="40"/>
      <c r="V1846" s="46"/>
      <c r="W1846" s="46"/>
      <c r="X1846" s="46"/>
    </row>
    <row r="1847" spans="1:24" ht="15.75" customHeight="1" thickBot="1" x14ac:dyDescent="0.35">
      <c r="A1847" s="40"/>
      <c r="V1847" s="46"/>
      <c r="W1847" s="46"/>
      <c r="X1847" s="46"/>
    </row>
    <row r="1848" spans="1:24" ht="15.75" customHeight="1" thickBot="1" x14ac:dyDescent="0.35">
      <c r="A1848" s="40"/>
      <c r="V1848" s="46"/>
      <c r="W1848" s="46"/>
      <c r="X1848" s="46"/>
    </row>
    <row r="1849" spans="1:24" ht="15.75" customHeight="1" thickBot="1" x14ac:dyDescent="0.35">
      <c r="A1849" s="40"/>
      <c r="V1849" s="46"/>
      <c r="W1849" s="46"/>
      <c r="X1849" s="46"/>
    </row>
    <row r="1850" spans="1:24" ht="15.75" customHeight="1" thickBot="1" x14ac:dyDescent="0.35">
      <c r="A1850" s="40"/>
      <c r="V1850" s="46"/>
      <c r="W1850" s="46"/>
      <c r="X1850" s="46"/>
    </row>
    <row r="1851" spans="1:24" ht="15.75" customHeight="1" thickBot="1" x14ac:dyDescent="0.35">
      <c r="A1851" s="40"/>
      <c r="V1851" s="46"/>
      <c r="W1851" s="46"/>
      <c r="X1851" s="46"/>
    </row>
    <row r="1852" spans="1:24" ht="15.75" customHeight="1" thickBot="1" x14ac:dyDescent="0.35">
      <c r="A1852" s="40"/>
      <c r="V1852" s="46"/>
      <c r="W1852" s="46"/>
      <c r="X1852" s="46"/>
    </row>
    <row r="1853" spans="1:24" ht="15.75" customHeight="1" thickBot="1" x14ac:dyDescent="0.35">
      <c r="A1853" s="40"/>
      <c r="V1853" s="46"/>
      <c r="W1853" s="46"/>
      <c r="X1853" s="46"/>
    </row>
    <row r="1854" spans="1:24" ht="15.75" customHeight="1" thickBot="1" x14ac:dyDescent="0.35">
      <c r="A1854" s="40"/>
      <c r="V1854" s="46"/>
      <c r="W1854" s="46"/>
      <c r="X1854" s="46"/>
    </row>
    <row r="1855" spans="1:24" ht="15.75" customHeight="1" thickBot="1" x14ac:dyDescent="0.35">
      <c r="A1855" s="40"/>
      <c r="V1855" s="46"/>
      <c r="W1855" s="46"/>
      <c r="X1855" s="46"/>
    </row>
    <row r="1856" spans="1:24" ht="15.75" customHeight="1" thickBot="1" x14ac:dyDescent="0.35">
      <c r="A1856" s="40"/>
      <c r="V1856" s="46"/>
      <c r="W1856" s="46"/>
      <c r="X1856" s="46"/>
    </row>
    <row r="1857" spans="1:24" ht="15.75" customHeight="1" thickBot="1" x14ac:dyDescent="0.35">
      <c r="A1857" s="40"/>
      <c r="V1857" s="46"/>
      <c r="W1857" s="46"/>
      <c r="X1857" s="46"/>
    </row>
    <row r="1858" spans="1:24" ht="15.75" customHeight="1" thickBot="1" x14ac:dyDescent="0.35">
      <c r="A1858" s="40"/>
      <c r="V1858" s="46"/>
      <c r="W1858" s="46"/>
      <c r="X1858" s="46"/>
    </row>
    <row r="1859" spans="1:24" ht="15.75" customHeight="1" thickBot="1" x14ac:dyDescent="0.35">
      <c r="A1859" s="40"/>
      <c r="V1859" s="46"/>
      <c r="W1859" s="46"/>
      <c r="X1859" s="46"/>
    </row>
    <row r="1860" spans="1:24" ht="15.75" customHeight="1" thickBot="1" x14ac:dyDescent="0.35">
      <c r="A1860" s="40"/>
      <c r="V1860" s="46"/>
      <c r="W1860" s="46"/>
      <c r="X1860" s="46"/>
    </row>
    <row r="1861" spans="1:24" ht="15.75" customHeight="1" thickBot="1" x14ac:dyDescent="0.35">
      <c r="A1861" s="40"/>
      <c r="V1861" s="46"/>
      <c r="W1861" s="46"/>
      <c r="X1861" s="46"/>
    </row>
    <row r="1862" spans="1:24" ht="15.75" customHeight="1" thickBot="1" x14ac:dyDescent="0.35">
      <c r="A1862" s="40"/>
      <c r="V1862" s="46"/>
      <c r="W1862" s="46"/>
      <c r="X1862" s="46"/>
    </row>
    <row r="1863" spans="1:24" ht="15.75" customHeight="1" thickBot="1" x14ac:dyDescent="0.35">
      <c r="A1863" s="40"/>
      <c r="V1863" s="46"/>
      <c r="W1863" s="46"/>
      <c r="X1863" s="46"/>
    </row>
    <row r="1864" spans="1:24" ht="15.75" customHeight="1" thickBot="1" x14ac:dyDescent="0.35">
      <c r="A1864" s="40"/>
      <c r="V1864" s="46"/>
      <c r="W1864" s="46"/>
      <c r="X1864" s="46"/>
    </row>
    <row r="1865" spans="1:24" ht="15.75" customHeight="1" thickBot="1" x14ac:dyDescent="0.35">
      <c r="A1865" s="40"/>
      <c r="V1865" s="46"/>
      <c r="W1865" s="46"/>
      <c r="X1865" s="46"/>
    </row>
    <row r="1866" spans="1:24" ht="15.75" customHeight="1" thickBot="1" x14ac:dyDescent="0.35">
      <c r="A1866" s="40"/>
      <c r="V1866" s="46"/>
      <c r="W1866" s="46"/>
      <c r="X1866" s="46"/>
    </row>
    <row r="1867" spans="1:24" ht="15.75" customHeight="1" thickBot="1" x14ac:dyDescent="0.35">
      <c r="A1867" s="40"/>
      <c r="V1867" s="46"/>
      <c r="W1867" s="46"/>
      <c r="X1867" s="46"/>
    </row>
    <row r="1868" spans="1:24" ht="15.75" customHeight="1" thickBot="1" x14ac:dyDescent="0.35">
      <c r="A1868" s="40"/>
      <c r="V1868" s="46"/>
      <c r="W1868" s="46"/>
      <c r="X1868" s="46"/>
    </row>
    <row r="1869" spans="1:24" ht="15.75" customHeight="1" thickBot="1" x14ac:dyDescent="0.35">
      <c r="A1869" s="40"/>
      <c r="V1869" s="46"/>
      <c r="W1869" s="46"/>
      <c r="X1869" s="46"/>
    </row>
    <row r="1870" spans="1:24" ht="15.75" customHeight="1" thickBot="1" x14ac:dyDescent="0.35">
      <c r="A1870" s="40"/>
      <c r="V1870" s="46"/>
      <c r="W1870" s="46"/>
      <c r="X1870" s="46"/>
    </row>
    <row r="1871" spans="1:24" ht="15.75" customHeight="1" thickBot="1" x14ac:dyDescent="0.35">
      <c r="A1871" s="40"/>
      <c r="V1871" s="46"/>
      <c r="W1871" s="46"/>
      <c r="X1871" s="46"/>
    </row>
    <row r="1872" spans="1:24" ht="15.75" customHeight="1" thickBot="1" x14ac:dyDescent="0.35">
      <c r="A1872" s="40"/>
      <c r="V1872" s="46"/>
      <c r="W1872" s="46"/>
      <c r="X1872" s="46"/>
    </row>
    <row r="1873" spans="1:24" ht="15.75" customHeight="1" thickBot="1" x14ac:dyDescent="0.35">
      <c r="A1873" s="40"/>
      <c r="V1873" s="46"/>
      <c r="W1873" s="46"/>
      <c r="X1873" s="46"/>
    </row>
    <row r="1874" spans="1:24" ht="15.75" customHeight="1" thickBot="1" x14ac:dyDescent="0.35">
      <c r="A1874" s="40"/>
      <c r="V1874" s="46"/>
      <c r="W1874" s="46"/>
      <c r="X1874" s="46"/>
    </row>
    <row r="1875" spans="1:24" ht="15.75" customHeight="1" thickBot="1" x14ac:dyDescent="0.35">
      <c r="A1875" s="40"/>
      <c r="V1875" s="46"/>
      <c r="W1875" s="46"/>
      <c r="X1875" s="46"/>
    </row>
    <row r="1876" spans="1:24" ht="15.75" customHeight="1" thickBot="1" x14ac:dyDescent="0.35">
      <c r="A1876" s="40"/>
      <c r="V1876" s="46"/>
      <c r="W1876" s="46"/>
      <c r="X1876" s="46"/>
    </row>
    <row r="1877" spans="1:24" ht="15.75" customHeight="1" thickBot="1" x14ac:dyDescent="0.35">
      <c r="A1877" s="40"/>
      <c r="V1877" s="46"/>
      <c r="W1877" s="46"/>
      <c r="X1877" s="46"/>
    </row>
    <row r="1878" spans="1:24" ht="15.75" customHeight="1" thickBot="1" x14ac:dyDescent="0.35">
      <c r="A1878" s="40"/>
      <c r="V1878" s="46"/>
      <c r="W1878" s="46"/>
      <c r="X1878" s="46"/>
    </row>
    <row r="1879" spans="1:24" ht="15.75" customHeight="1" thickBot="1" x14ac:dyDescent="0.35">
      <c r="A1879" s="40"/>
      <c r="V1879" s="46"/>
      <c r="W1879" s="46"/>
      <c r="X1879" s="46"/>
    </row>
    <row r="1880" spans="1:24" ht="15.75" customHeight="1" thickBot="1" x14ac:dyDescent="0.35">
      <c r="A1880" s="40"/>
      <c r="V1880" s="46"/>
      <c r="W1880" s="46"/>
      <c r="X1880" s="46"/>
    </row>
    <row r="1881" spans="1:24" ht="15.75" customHeight="1" thickBot="1" x14ac:dyDescent="0.35">
      <c r="A1881" s="40"/>
      <c r="V1881" s="46"/>
      <c r="W1881" s="46"/>
      <c r="X1881" s="46"/>
    </row>
    <row r="1882" spans="1:24" ht="15.75" customHeight="1" thickBot="1" x14ac:dyDescent="0.35">
      <c r="A1882" s="40"/>
      <c r="V1882" s="46"/>
      <c r="W1882" s="46"/>
      <c r="X1882" s="46"/>
    </row>
    <row r="1883" spans="1:24" ht="15.75" customHeight="1" thickBot="1" x14ac:dyDescent="0.35">
      <c r="A1883" s="40"/>
      <c r="V1883" s="46"/>
      <c r="W1883" s="46"/>
      <c r="X1883" s="46"/>
    </row>
    <row r="1884" spans="1:24" ht="15.75" customHeight="1" thickBot="1" x14ac:dyDescent="0.35">
      <c r="A1884" s="40"/>
      <c r="V1884" s="46"/>
      <c r="W1884" s="46"/>
      <c r="X1884" s="46"/>
    </row>
    <row r="1885" spans="1:24" ht="15.75" customHeight="1" thickBot="1" x14ac:dyDescent="0.35">
      <c r="A1885" s="40"/>
      <c r="V1885" s="46"/>
      <c r="W1885" s="46"/>
      <c r="X1885" s="46"/>
    </row>
    <row r="1886" spans="1:24" ht="15.75" customHeight="1" thickBot="1" x14ac:dyDescent="0.35">
      <c r="A1886" s="40"/>
      <c r="V1886" s="46"/>
      <c r="W1886" s="46"/>
      <c r="X1886" s="46"/>
    </row>
    <row r="1887" spans="1:24" ht="15.75" customHeight="1" thickBot="1" x14ac:dyDescent="0.35">
      <c r="A1887" s="40"/>
      <c r="V1887" s="46"/>
      <c r="W1887" s="46"/>
      <c r="X1887" s="46"/>
    </row>
    <row r="1888" spans="1:24" ht="15.75" customHeight="1" thickBot="1" x14ac:dyDescent="0.35">
      <c r="A1888" s="40"/>
      <c r="V1888" s="46"/>
      <c r="W1888" s="46"/>
      <c r="X1888" s="46"/>
    </row>
    <row r="1889" spans="1:24" ht="15.75" customHeight="1" thickBot="1" x14ac:dyDescent="0.35">
      <c r="A1889" s="40"/>
      <c r="V1889" s="46"/>
      <c r="W1889" s="46"/>
      <c r="X1889" s="46"/>
    </row>
    <row r="1890" spans="1:24" ht="15.75" customHeight="1" thickBot="1" x14ac:dyDescent="0.35">
      <c r="A1890" s="40"/>
      <c r="V1890" s="46"/>
      <c r="W1890" s="46"/>
      <c r="X1890" s="46"/>
    </row>
    <row r="1891" spans="1:24" ht="15.75" customHeight="1" thickBot="1" x14ac:dyDescent="0.35">
      <c r="A1891" s="40"/>
      <c r="V1891" s="46"/>
      <c r="W1891" s="46"/>
      <c r="X1891" s="46"/>
    </row>
    <row r="1892" spans="1:24" ht="15.75" customHeight="1" thickBot="1" x14ac:dyDescent="0.35">
      <c r="A1892" s="40"/>
      <c r="V1892" s="46"/>
      <c r="W1892" s="46"/>
      <c r="X1892" s="46"/>
    </row>
    <row r="1893" spans="1:24" ht="15.75" customHeight="1" thickBot="1" x14ac:dyDescent="0.35">
      <c r="A1893" s="40"/>
      <c r="V1893" s="46"/>
      <c r="W1893" s="46"/>
      <c r="X1893" s="46"/>
    </row>
    <row r="1894" spans="1:24" ht="15.75" customHeight="1" thickBot="1" x14ac:dyDescent="0.35">
      <c r="A1894" s="40"/>
      <c r="V1894" s="46"/>
      <c r="W1894" s="46"/>
      <c r="X1894" s="46"/>
    </row>
    <row r="1895" spans="1:24" ht="15.75" customHeight="1" thickBot="1" x14ac:dyDescent="0.35">
      <c r="A1895" s="40"/>
      <c r="V1895" s="46"/>
      <c r="W1895" s="46"/>
      <c r="X1895" s="46"/>
    </row>
    <row r="1896" spans="1:24" ht="15.75" customHeight="1" thickBot="1" x14ac:dyDescent="0.35">
      <c r="A1896" s="40"/>
      <c r="V1896" s="46"/>
      <c r="W1896" s="46"/>
      <c r="X1896" s="46"/>
    </row>
    <row r="1897" spans="1:24" ht="15.75" customHeight="1" thickBot="1" x14ac:dyDescent="0.35">
      <c r="A1897" s="40"/>
      <c r="V1897" s="46"/>
      <c r="W1897" s="46"/>
      <c r="X1897" s="46"/>
    </row>
    <row r="1898" spans="1:24" ht="15.75" customHeight="1" thickBot="1" x14ac:dyDescent="0.35">
      <c r="A1898" s="40"/>
      <c r="V1898" s="46"/>
      <c r="W1898" s="46"/>
      <c r="X1898" s="46"/>
    </row>
    <row r="1899" spans="1:24" ht="15.75" customHeight="1" thickBot="1" x14ac:dyDescent="0.35">
      <c r="A1899" s="40"/>
      <c r="V1899" s="46"/>
      <c r="W1899" s="46"/>
      <c r="X1899" s="46"/>
    </row>
    <row r="1900" spans="1:24" ht="15.75" customHeight="1" thickBot="1" x14ac:dyDescent="0.35">
      <c r="A1900" s="40"/>
      <c r="V1900" s="46"/>
      <c r="W1900" s="46"/>
      <c r="X1900" s="46"/>
    </row>
    <row r="1901" spans="1:24" ht="15.75" customHeight="1" thickBot="1" x14ac:dyDescent="0.35">
      <c r="A1901" s="40"/>
      <c r="V1901" s="46"/>
      <c r="W1901" s="46"/>
      <c r="X1901" s="46"/>
    </row>
    <row r="1902" spans="1:24" ht="15.75" customHeight="1" thickBot="1" x14ac:dyDescent="0.35">
      <c r="A1902" s="40"/>
      <c r="V1902" s="46"/>
      <c r="W1902" s="46"/>
      <c r="X1902" s="46"/>
    </row>
    <row r="1903" spans="1:24" ht="15.75" customHeight="1" thickBot="1" x14ac:dyDescent="0.35">
      <c r="A1903" s="40"/>
      <c r="V1903" s="46"/>
      <c r="W1903" s="46"/>
      <c r="X1903" s="46"/>
    </row>
    <row r="1904" spans="1:24" ht="15.75" customHeight="1" thickBot="1" x14ac:dyDescent="0.35">
      <c r="A1904" s="40"/>
      <c r="V1904" s="46"/>
      <c r="W1904" s="46"/>
      <c r="X1904" s="46"/>
    </row>
    <row r="1905" spans="1:24" ht="15.75" customHeight="1" thickBot="1" x14ac:dyDescent="0.35">
      <c r="A1905" s="40"/>
      <c r="V1905" s="46"/>
      <c r="W1905" s="46"/>
      <c r="X1905" s="46"/>
    </row>
    <row r="1906" spans="1:24" ht="15.75" customHeight="1" thickBot="1" x14ac:dyDescent="0.35">
      <c r="A1906" s="40"/>
      <c r="V1906" s="46"/>
      <c r="W1906" s="46"/>
      <c r="X1906" s="46"/>
    </row>
    <row r="1907" spans="1:24" ht="15.75" customHeight="1" thickBot="1" x14ac:dyDescent="0.35">
      <c r="A1907" s="40"/>
      <c r="V1907" s="46"/>
      <c r="W1907" s="46"/>
      <c r="X1907" s="46"/>
    </row>
    <row r="1908" spans="1:24" ht="15.75" customHeight="1" thickBot="1" x14ac:dyDescent="0.35">
      <c r="A1908" s="40"/>
      <c r="V1908" s="46"/>
      <c r="W1908" s="46"/>
      <c r="X1908" s="46"/>
    </row>
    <row r="1909" spans="1:24" ht="15.75" customHeight="1" thickBot="1" x14ac:dyDescent="0.35">
      <c r="A1909" s="40"/>
      <c r="V1909" s="46"/>
      <c r="W1909" s="46"/>
      <c r="X1909" s="46"/>
    </row>
    <row r="1910" spans="1:24" ht="15.75" customHeight="1" thickBot="1" x14ac:dyDescent="0.35">
      <c r="A1910" s="40"/>
      <c r="V1910" s="46"/>
      <c r="W1910" s="46"/>
      <c r="X1910" s="46"/>
    </row>
    <row r="1911" spans="1:24" ht="15.75" customHeight="1" thickBot="1" x14ac:dyDescent="0.35">
      <c r="A1911" s="40"/>
      <c r="V1911" s="46"/>
      <c r="W1911" s="46"/>
      <c r="X1911" s="46"/>
    </row>
    <row r="1912" spans="1:24" ht="15.75" customHeight="1" thickBot="1" x14ac:dyDescent="0.35">
      <c r="A1912" s="40"/>
      <c r="V1912" s="46"/>
      <c r="W1912" s="46"/>
      <c r="X1912" s="46"/>
    </row>
    <row r="1913" spans="1:24" ht="15.75" customHeight="1" thickBot="1" x14ac:dyDescent="0.35">
      <c r="A1913" s="40"/>
      <c r="V1913" s="46"/>
      <c r="W1913" s="46"/>
      <c r="X1913" s="46"/>
    </row>
    <row r="1914" spans="1:24" ht="15.75" customHeight="1" thickBot="1" x14ac:dyDescent="0.35">
      <c r="A1914" s="40"/>
      <c r="V1914" s="46"/>
      <c r="W1914" s="46"/>
      <c r="X1914" s="46"/>
    </row>
    <row r="1915" spans="1:24" ht="15.75" customHeight="1" thickBot="1" x14ac:dyDescent="0.35">
      <c r="A1915" s="40"/>
      <c r="V1915" s="46"/>
      <c r="W1915" s="46"/>
      <c r="X1915" s="46"/>
    </row>
    <row r="1916" spans="1:24" ht="15.75" customHeight="1" thickBot="1" x14ac:dyDescent="0.35">
      <c r="A1916" s="40"/>
      <c r="V1916" s="46"/>
      <c r="W1916" s="46"/>
      <c r="X1916" s="46"/>
    </row>
    <row r="1917" spans="1:24" ht="15.75" customHeight="1" thickBot="1" x14ac:dyDescent="0.35">
      <c r="A1917" s="40"/>
      <c r="V1917" s="46"/>
      <c r="W1917" s="46"/>
      <c r="X1917" s="46"/>
    </row>
    <row r="1918" spans="1:24" ht="15.75" customHeight="1" thickBot="1" x14ac:dyDescent="0.35">
      <c r="A1918" s="40"/>
      <c r="V1918" s="46"/>
      <c r="W1918" s="46"/>
      <c r="X1918" s="46"/>
    </row>
    <row r="1919" spans="1:24" ht="15.75" customHeight="1" thickBot="1" x14ac:dyDescent="0.35">
      <c r="A1919" s="40"/>
      <c r="V1919" s="46"/>
      <c r="W1919" s="46"/>
      <c r="X1919" s="46"/>
    </row>
    <row r="1920" spans="1:24" ht="15.75" customHeight="1" thickBot="1" x14ac:dyDescent="0.35">
      <c r="A1920" s="40"/>
      <c r="V1920" s="46"/>
      <c r="W1920" s="46"/>
      <c r="X1920" s="46"/>
    </row>
    <row r="1921" spans="1:24" ht="15.75" customHeight="1" thickBot="1" x14ac:dyDescent="0.35">
      <c r="A1921" s="40"/>
      <c r="V1921" s="46"/>
      <c r="W1921" s="46"/>
      <c r="X1921" s="46"/>
    </row>
    <row r="1922" spans="1:24" ht="15.75" customHeight="1" thickBot="1" x14ac:dyDescent="0.35">
      <c r="A1922" s="40"/>
      <c r="V1922" s="46"/>
      <c r="W1922" s="46"/>
      <c r="X1922" s="46"/>
    </row>
    <row r="1923" spans="1:24" ht="15.75" customHeight="1" thickBot="1" x14ac:dyDescent="0.35">
      <c r="A1923" s="40"/>
      <c r="V1923" s="46"/>
      <c r="W1923" s="46"/>
      <c r="X1923" s="46"/>
    </row>
    <row r="1924" spans="1:24" ht="15.75" customHeight="1" thickBot="1" x14ac:dyDescent="0.35">
      <c r="A1924" s="40"/>
      <c r="V1924" s="46"/>
      <c r="W1924" s="46"/>
      <c r="X1924" s="46"/>
    </row>
    <row r="1925" spans="1:24" ht="15.75" customHeight="1" thickBot="1" x14ac:dyDescent="0.35">
      <c r="A1925" s="40"/>
      <c r="V1925" s="46"/>
      <c r="W1925" s="46"/>
      <c r="X1925" s="46"/>
    </row>
    <row r="1926" spans="1:24" ht="15.75" customHeight="1" thickBot="1" x14ac:dyDescent="0.35">
      <c r="A1926" s="40"/>
      <c r="V1926" s="46"/>
      <c r="W1926" s="46"/>
      <c r="X1926" s="46"/>
    </row>
    <row r="1927" spans="1:24" ht="15.75" customHeight="1" thickBot="1" x14ac:dyDescent="0.35">
      <c r="A1927" s="40"/>
      <c r="V1927" s="46"/>
      <c r="W1927" s="46"/>
      <c r="X1927" s="46"/>
    </row>
    <row r="1928" spans="1:24" ht="15.75" customHeight="1" thickBot="1" x14ac:dyDescent="0.35">
      <c r="A1928" s="40"/>
      <c r="V1928" s="46"/>
      <c r="W1928" s="46"/>
      <c r="X1928" s="46"/>
    </row>
    <row r="1929" spans="1:24" ht="15.75" customHeight="1" thickBot="1" x14ac:dyDescent="0.35">
      <c r="A1929" s="40"/>
      <c r="V1929" s="46"/>
      <c r="W1929" s="46"/>
      <c r="X1929" s="46"/>
    </row>
    <row r="1930" spans="1:24" ht="15.75" customHeight="1" thickBot="1" x14ac:dyDescent="0.35">
      <c r="A1930" s="40"/>
      <c r="V1930" s="46"/>
      <c r="W1930" s="46"/>
      <c r="X1930" s="46"/>
    </row>
    <row r="1931" spans="1:24" ht="15.75" customHeight="1" thickBot="1" x14ac:dyDescent="0.35">
      <c r="A1931" s="40"/>
      <c r="V1931" s="46"/>
      <c r="W1931" s="46"/>
      <c r="X1931" s="46"/>
    </row>
    <row r="1932" spans="1:24" ht="15.75" customHeight="1" thickBot="1" x14ac:dyDescent="0.35">
      <c r="A1932" s="40"/>
      <c r="V1932" s="46"/>
      <c r="W1932" s="46"/>
      <c r="X1932" s="46"/>
    </row>
    <row r="1933" spans="1:24" ht="15.75" customHeight="1" thickBot="1" x14ac:dyDescent="0.35">
      <c r="A1933" s="40"/>
      <c r="V1933" s="46"/>
      <c r="W1933" s="46"/>
      <c r="X1933" s="46"/>
    </row>
    <row r="1934" spans="1:24" ht="15.75" customHeight="1" thickBot="1" x14ac:dyDescent="0.35">
      <c r="A1934" s="40"/>
      <c r="V1934" s="46"/>
      <c r="W1934" s="46"/>
      <c r="X1934" s="46"/>
    </row>
    <row r="1935" spans="1:24" ht="15.75" customHeight="1" thickBot="1" x14ac:dyDescent="0.35">
      <c r="A1935" s="40"/>
      <c r="V1935" s="46"/>
      <c r="W1935" s="46"/>
      <c r="X1935" s="46"/>
    </row>
    <row r="1936" spans="1:24" ht="15.75" customHeight="1" thickBot="1" x14ac:dyDescent="0.35">
      <c r="A1936" s="40"/>
      <c r="V1936" s="46"/>
      <c r="W1936" s="46"/>
      <c r="X1936" s="46"/>
    </row>
    <row r="1937" spans="1:24" ht="15.75" customHeight="1" thickBot="1" x14ac:dyDescent="0.35">
      <c r="A1937" s="40"/>
      <c r="V1937" s="46"/>
      <c r="W1937" s="46"/>
      <c r="X1937" s="46"/>
    </row>
    <row r="1938" spans="1:24" ht="15.75" customHeight="1" thickBot="1" x14ac:dyDescent="0.35">
      <c r="A1938" s="40"/>
      <c r="V1938" s="46"/>
      <c r="W1938" s="46"/>
      <c r="X1938" s="46"/>
    </row>
    <row r="1939" spans="1:24" ht="15.75" customHeight="1" thickBot="1" x14ac:dyDescent="0.35">
      <c r="A1939" s="40"/>
      <c r="V1939" s="46"/>
      <c r="W1939" s="46"/>
      <c r="X1939" s="46"/>
    </row>
    <row r="1940" spans="1:24" ht="15.75" customHeight="1" thickBot="1" x14ac:dyDescent="0.35">
      <c r="A1940" s="40"/>
      <c r="V1940" s="46"/>
      <c r="W1940" s="46"/>
      <c r="X1940" s="46"/>
    </row>
    <row r="1941" spans="1:24" ht="15.75" customHeight="1" thickBot="1" x14ac:dyDescent="0.35">
      <c r="A1941" s="40"/>
      <c r="V1941" s="46"/>
      <c r="W1941" s="46"/>
      <c r="X1941" s="46"/>
    </row>
    <row r="1942" spans="1:24" ht="15.75" customHeight="1" thickBot="1" x14ac:dyDescent="0.35">
      <c r="A1942" s="40"/>
      <c r="V1942" s="46"/>
      <c r="W1942" s="46"/>
      <c r="X1942" s="46"/>
    </row>
    <row r="1943" spans="1:24" ht="15.75" customHeight="1" thickBot="1" x14ac:dyDescent="0.35">
      <c r="A1943" s="40"/>
      <c r="V1943" s="46"/>
      <c r="W1943" s="46"/>
      <c r="X1943" s="46"/>
    </row>
    <row r="1944" spans="1:24" ht="15.75" customHeight="1" thickBot="1" x14ac:dyDescent="0.35">
      <c r="A1944" s="40"/>
      <c r="V1944" s="46"/>
      <c r="W1944" s="46"/>
      <c r="X1944" s="46"/>
    </row>
    <row r="1945" spans="1:24" ht="15.75" customHeight="1" thickBot="1" x14ac:dyDescent="0.35">
      <c r="A1945" s="40"/>
      <c r="V1945" s="46"/>
      <c r="W1945" s="46"/>
      <c r="X1945" s="46"/>
    </row>
    <row r="1946" spans="1:24" ht="15.75" customHeight="1" thickBot="1" x14ac:dyDescent="0.35">
      <c r="A1946" s="40"/>
      <c r="V1946" s="46"/>
      <c r="W1946" s="46"/>
      <c r="X1946" s="46"/>
    </row>
    <row r="1947" spans="1:24" ht="15.75" customHeight="1" thickBot="1" x14ac:dyDescent="0.35">
      <c r="A1947" s="40"/>
      <c r="V1947" s="46"/>
      <c r="W1947" s="46"/>
      <c r="X1947" s="46"/>
    </row>
    <row r="1948" spans="1:24" ht="15.75" customHeight="1" thickBot="1" x14ac:dyDescent="0.35">
      <c r="A1948" s="40"/>
      <c r="V1948" s="46"/>
      <c r="W1948" s="46"/>
      <c r="X1948" s="46"/>
    </row>
    <row r="1949" spans="1:24" ht="15.75" customHeight="1" thickBot="1" x14ac:dyDescent="0.35">
      <c r="A1949" s="40"/>
      <c r="V1949" s="46"/>
      <c r="W1949" s="46"/>
      <c r="X1949" s="46"/>
    </row>
    <row r="1950" spans="1:24" ht="15.75" customHeight="1" thickBot="1" x14ac:dyDescent="0.35">
      <c r="A1950" s="40"/>
      <c r="V1950" s="46"/>
      <c r="W1950" s="46"/>
      <c r="X1950" s="46"/>
    </row>
    <row r="1951" spans="1:24" ht="15.75" customHeight="1" thickBot="1" x14ac:dyDescent="0.35">
      <c r="A1951" s="40"/>
      <c r="V1951" s="46"/>
      <c r="W1951" s="46"/>
      <c r="X1951" s="46"/>
    </row>
    <row r="1952" spans="1:24" ht="15.75" customHeight="1" thickBot="1" x14ac:dyDescent="0.35">
      <c r="A1952" s="40"/>
      <c r="V1952" s="46"/>
      <c r="W1952" s="46"/>
      <c r="X1952" s="46"/>
    </row>
    <row r="1953" spans="1:24" ht="15.75" customHeight="1" thickBot="1" x14ac:dyDescent="0.35">
      <c r="A1953" s="40"/>
      <c r="V1953" s="46"/>
      <c r="W1953" s="46"/>
      <c r="X1953" s="46"/>
    </row>
    <row r="1954" spans="1:24" ht="15.75" customHeight="1" thickBot="1" x14ac:dyDescent="0.35">
      <c r="A1954" s="40"/>
      <c r="V1954" s="46"/>
      <c r="W1954" s="46"/>
      <c r="X1954" s="46"/>
    </row>
    <row r="1955" spans="1:24" ht="15.75" customHeight="1" thickBot="1" x14ac:dyDescent="0.35">
      <c r="A1955" s="40"/>
      <c r="V1955" s="46"/>
      <c r="W1955" s="46"/>
      <c r="X1955" s="46"/>
    </row>
    <row r="1956" spans="1:24" ht="15.75" customHeight="1" thickBot="1" x14ac:dyDescent="0.35">
      <c r="A1956" s="40"/>
      <c r="V1956" s="46"/>
      <c r="W1956" s="46"/>
      <c r="X1956" s="46"/>
    </row>
    <row r="1957" spans="1:24" ht="15.75" customHeight="1" thickBot="1" x14ac:dyDescent="0.35">
      <c r="A1957" s="40"/>
      <c r="V1957" s="46"/>
      <c r="W1957" s="46"/>
      <c r="X1957" s="46"/>
    </row>
    <row r="1958" spans="1:24" ht="15.75" customHeight="1" thickBot="1" x14ac:dyDescent="0.35">
      <c r="A1958" s="40"/>
      <c r="V1958" s="46"/>
      <c r="W1958" s="46"/>
      <c r="X1958" s="46"/>
    </row>
    <row r="1959" spans="1:24" ht="15.75" customHeight="1" thickBot="1" x14ac:dyDescent="0.35">
      <c r="A1959" s="40"/>
      <c r="V1959" s="46"/>
      <c r="W1959" s="46"/>
      <c r="X1959" s="46"/>
    </row>
    <row r="1960" spans="1:24" ht="15.75" customHeight="1" thickBot="1" x14ac:dyDescent="0.35">
      <c r="A1960" s="40"/>
      <c r="V1960" s="46"/>
      <c r="W1960" s="46"/>
      <c r="X1960" s="46"/>
    </row>
    <row r="1961" spans="1:24" ht="15.75" customHeight="1" thickBot="1" x14ac:dyDescent="0.35">
      <c r="A1961" s="40"/>
      <c r="V1961" s="46"/>
      <c r="W1961" s="46"/>
      <c r="X1961" s="46"/>
    </row>
    <row r="1962" spans="1:24" ht="15.75" customHeight="1" thickBot="1" x14ac:dyDescent="0.35">
      <c r="A1962" s="40"/>
      <c r="V1962" s="46"/>
      <c r="W1962" s="46"/>
      <c r="X1962" s="46"/>
    </row>
    <row r="1963" spans="1:24" ht="15.75" customHeight="1" thickBot="1" x14ac:dyDescent="0.35">
      <c r="A1963" s="40"/>
      <c r="V1963" s="46"/>
      <c r="W1963" s="46"/>
      <c r="X1963" s="46"/>
    </row>
    <row r="1964" spans="1:24" ht="15.75" customHeight="1" thickBot="1" x14ac:dyDescent="0.35">
      <c r="A1964" s="40"/>
      <c r="V1964" s="46"/>
      <c r="W1964" s="46"/>
      <c r="X1964" s="46"/>
    </row>
    <row r="1965" spans="1:24" ht="15.75" customHeight="1" thickBot="1" x14ac:dyDescent="0.35">
      <c r="A1965" s="40"/>
      <c r="V1965" s="46"/>
      <c r="W1965" s="46"/>
      <c r="X1965" s="46"/>
    </row>
    <row r="1966" spans="1:24" ht="15.75" customHeight="1" thickBot="1" x14ac:dyDescent="0.35">
      <c r="A1966" s="40"/>
      <c r="V1966" s="46"/>
      <c r="W1966" s="46"/>
      <c r="X1966" s="46"/>
    </row>
    <row r="1967" spans="1:24" ht="15.75" customHeight="1" thickBot="1" x14ac:dyDescent="0.35">
      <c r="A1967" s="40"/>
      <c r="V1967" s="46"/>
      <c r="W1967" s="46"/>
      <c r="X1967" s="46"/>
    </row>
    <row r="1968" spans="1:24" ht="15.75" customHeight="1" thickBot="1" x14ac:dyDescent="0.35">
      <c r="A1968" s="40"/>
      <c r="V1968" s="46"/>
      <c r="W1968" s="46"/>
      <c r="X1968" s="46"/>
    </row>
    <row r="1969" spans="1:24" ht="15.75" customHeight="1" thickBot="1" x14ac:dyDescent="0.35">
      <c r="A1969" s="40"/>
      <c r="V1969" s="46"/>
      <c r="W1969" s="46"/>
      <c r="X1969" s="46"/>
    </row>
    <row r="1970" spans="1:24" ht="15.75" customHeight="1" thickBot="1" x14ac:dyDescent="0.35">
      <c r="A1970" s="40"/>
      <c r="V1970" s="46"/>
      <c r="W1970" s="46"/>
      <c r="X1970" s="46"/>
    </row>
    <row r="1971" spans="1:24" ht="15.75" customHeight="1" thickBot="1" x14ac:dyDescent="0.35">
      <c r="A1971" s="40"/>
      <c r="V1971" s="46"/>
      <c r="W1971" s="46"/>
      <c r="X1971" s="46"/>
    </row>
    <row r="1972" spans="1:24" ht="15.75" customHeight="1" thickBot="1" x14ac:dyDescent="0.35">
      <c r="A1972" s="40"/>
      <c r="V1972" s="46"/>
      <c r="W1972" s="46"/>
      <c r="X1972" s="46"/>
    </row>
    <row r="1973" spans="1:24" ht="15.75" customHeight="1" thickBot="1" x14ac:dyDescent="0.35">
      <c r="A1973" s="40"/>
      <c r="V1973" s="46"/>
      <c r="W1973" s="46"/>
      <c r="X1973" s="46"/>
    </row>
    <row r="1974" spans="1:24" ht="15.75" customHeight="1" thickBot="1" x14ac:dyDescent="0.35">
      <c r="A1974" s="40"/>
      <c r="V1974" s="46"/>
      <c r="W1974" s="46"/>
      <c r="X1974" s="46"/>
    </row>
    <row r="1975" spans="1:24" ht="15.75" customHeight="1" thickBot="1" x14ac:dyDescent="0.35">
      <c r="A1975" s="40"/>
      <c r="V1975" s="46"/>
      <c r="W1975" s="46"/>
      <c r="X1975" s="46"/>
    </row>
    <row r="1976" spans="1:24" ht="15.75" customHeight="1" thickBot="1" x14ac:dyDescent="0.35">
      <c r="A1976" s="40"/>
      <c r="V1976" s="46"/>
      <c r="W1976" s="46"/>
      <c r="X1976" s="46"/>
    </row>
    <row r="1977" spans="1:24" ht="15.75" customHeight="1" thickBot="1" x14ac:dyDescent="0.35">
      <c r="A1977" s="40"/>
      <c r="V1977" s="46"/>
      <c r="W1977" s="46"/>
      <c r="X1977" s="46"/>
    </row>
    <row r="1978" spans="1:24" ht="15.75" customHeight="1" thickBot="1" x14ac:dyDescent="0.35">
      <c r="A1978" s="40"/>
      <c r="V1978" s="46"/>
      <c r="W1978" s="46"/>
      <c r="X1978" s="46"/>
    </row>
    <row r="1979" spans="1:24" ht="15.75" customHeight="1" thickBot="1" x14ac:dyDescent="0.35">
      <c r="A1979" s="40"/>
      <c r="V1979" s="46"/>
      <c r="W1979" s="46"/>
      <c r="X1979" s="46"/>
    </row>
    <row r="1980" spans="1:24" ht="15.75" customHeight="1" thickBot="1" x14ac:dyDescent="0.35">
      <c r="A1980" s="40"/>
      <c r="V1980" s="46"/>
      <c r="W1980" s="46"/>
      <c r="X1980" s="46"/>
    </row>
    <row r="1981" spans="1:24" ht="15.75" customHeight="1" thickBot="1" x14ac:dyDescent="0.35">
      <c r="A1981" s="40"/>
      <c r="V1981" s="46"/>
      <c r="W1981" s="46"/>
      <c r="X1981" s="46"/>
    </row>
    <row r="1982" spans="1:24" ht="15.75" customHeight="1" thickBot="1" x14ac:dyDescent="0.35">
      <c r="A1982" s="40"/>
      <c r="V1982" s="46"/>
      <c r="W1982" s="46"/>
      <c r="X1982" s="46"/>
    </row>
    <row r="1983" spans="1:24" ht="15.75" customHeight="1" thickBot="1" x14ac:dyDescent="0.35">
      <c r="A1983" s="40"/>
      <c r="V1983" s="46"/>
      <c r="W1983" s="46"/>
      <c r="X1983" s="46"/>
    </row>
    <row r="1984" spans="1:24" ht="15.75" customHeight="1" thickBot="1" x14ac:dyDescent="0.35">
      <c r="A1984" s="40"/>
      <c r="V1984" s="46"/>
      <c r="W1984" s="46"/>
      <c r="X1984" s="46"/>
    </row>
    <row r="1985" spans="1:24" ht="15.75" customHeight="1" thickBot="1" x14ac:dyDescent="0.35">
      <c r="A1985" s="40"/>
      <c r="V1985" s="46"/>
      <c r="W1985" s="46"/>
      <c r="X1985" s="46"/>
    </row>
    <row r="1986" spans="1:24" ht="15.75" customHeight="1" thickBot="1" x14ac:dyDescent="0.35">
      <c r="A1986" s="40"/>
      <c r="V1986" s="46"/>
      <c r="W1986" s="46"/>
      <c r="X1986" s="46"/>
    </row>
    <row r="1987" spans="1:24" ht="15.75" customHeight="1" thickBot="1" x14ac:dyDescent="0.35">
      <c r="A1987" s="40"/>
      <c r="V1987" s="46"/>
      <c r="W1987" s="46"/>
      <c r="X1987" s="46"/>
    </row>
    <row r="1988" spans="1:24" ht="15.75" customHeight="1" thickBot="1" x14ac:dyDescent="0.35">
      <c r="A1988" s="40"/>
      <c r="V1988" s="46"/>
      <c r="W1988" s="46"/>
      <c r="X1988" s="46"/>
    </row>
    <row r="1989" spans="1:24" ht="15.75" customHeight="1" thickBot="1" x14ac:dyDescent="0.35">
      <c r="A1989" s="40"/>
      <c r="V1989" s="46"/>
      <c r="W1989" s="46"/>
      <c r="X1989" s="46"/>
    </row>
    <row r="1990" spans="1:24" ht="15.75" customHeight="1" thickBot="1" x14ac:dyDescent="0.35">
      <c r="A1990" s="40"/>
      <c r="V1990" s="46"/>
      <c r="W1990" s="46"/>
      <c r="X1990" s="46"/>
    </row>
    <row r="1991" spans="1:24" ht="15.75" customHeight="1" thickBot="1" x14ac:dyDescent="0.35">
      <c r="A1991" s="40"/>
      <c r="V1991" s="46"/>
      <c r="W1991" s="46"/>
      <c r="X1991" s="46"/>
    </row>
    <row r="1992" spans="1:24" ht="15.75" customHeight="1" thickBot="1" x14ac:dyDescent="0.35">
      <c r="A1992" s="40"/>
      <c r="V1992" s="46"/>
      <c r="W1992" s="46"/>
      <c r="X1992" s="46"/>
    </row>
    <row r="1993" spans="1:24" ht="15.75" customHeight="1" thickBot="1" x14ac:dyDescent="0.35">
      <c r="A1993" s="40"/>
      <c r="V1993" s="46"/>
      <c r="W1993" s="46"/>
      <c r="X1993" s="46"/>
    </row>
    <row r="1994" spans="1:24" ht="15.75" customHeight="1" thickBot="1" x14ac:dyDescent="0.35">
      <c r="A1994" s="40"/>
      <c r="V1994" s="46"/>
      <c r="W1994" s="46"/>
      <c r="X1994" s="46"/>
    </row>
    <row r="1995" spans="1:24" ht="15.75" customHeight="1" thickBot="1" x14ac:dyDescent="0.35">
      <c r="A1995" s="40"/>
      <c r="V1995" s="46"/>
      <c r="W1995" s="46"/>
      <c r="X1995" s="46"/>
    </row>
    <row r="1996" spans="1:24" ht="15.75" customHeight="1" thickBot="1" x14ac:dyDescent="0.35">
      <c r="A1996" s="40"/>
      <c r="V1996" s="46"/>
      <c r="W1996" s="46"/>
      <c r="X1996" s="46"/>
    </row>
    <row r="1997" spans="1:24" ht="15.75" customHeight="1" thickBot="1" x14ac:dyDescent="0.35">
      <c r="A1997" s="40"/>
      <c r="V1997" s="46"/>
      <c r="W1997" s="46"/>
      <c r="X1997" s="46"/>
    </row>
    <row r="1998" spans="1:24" ht="15.75" customHeight="1" thickBot="1" x14ac:dyDescent="0.35">
      <c r="A1998" s="40"/>
      <c r="V1998" s="46"/>
      <c r="W1998" s="46"/>
      <c r="X1998" s="46"/>
    </row>
    <row r="1999" spans="1:24" ht="15.75" customHeight="1" thickBot="1" x14ac:dyDescent="0.35">
      <c r="A1999" s="40"/>
      <c r="V1999" s="46"/>
      <c r="W1999" s="46"/>
      <c r="X1999" s="46"/>
    </row>
    <row r="2000" spans="1:24" ht="15.75" customHeight="1" thickBot="1" x14ac:dyDescent="0.35">
      <c r="A2000" s="40"/>
      <c r="V2000" s="46"/>
      <c r="W2000" s="46"/>
      <c r="X2000" s="46"/>
    </row>
    <row r="2001" spans="1:24" ht="15.75" customHeight="1" thickBot="1" x14ac:dyDescent="0.35">
      <c r="A2001" s="40"/>
      <c r="V2001" s="46"/>
      <c r="W2001" s="46"/>
      <c r="X2001" s="46"/>
    </row>
    <row r="2002" spans="1:24" ht="15.75" customHeight="1" thickBot="1" x14ac:dyDescent="0.35">
      <c r="A2002" s="40"/>
      <c r="V2002" s="46"/>
      <c r="W2002" s="46"/>
      <c r="X2002" s="46"/>
    </row>
    <row r="2003" spans="1:24" ht="15.75" customHeight="1" thickBot="1" x14ac:dyDescent="0.35">
      <c r="A2003" s="40"/>
      <c r="V2003" s="46"/>
      <c r="W2003" s="46"/>
      <c r="X2003" s="46"/>
    </row>
    <row r="2004" spans="1:24" ht="15.75" customHeight="1" thickBot="1" x14ac:dyDescent="0.35">
      <c r="A2004" s="40"/>
      <c r="V2004" s="46"/>
      <c r="W2004" s="46"/>
      <c r="X2004" s="46"/>
    </row>
    <row r="2005" spans="1:24" ht="15.75" customHeight="1" thickBot="1" x14ac:dyDescent="0.35">
      <c r="A2005" s="40"/>
      <c r="V2005" s="46"/>
      <c r="W2005" s="46"/>
      <c r="X2005" s="46"/>
    </row>
    <row r="2006" spans="1:24" ht="15.75" customHeight="1" thickBot="1" x14ac:dyDescent="0.35">
      <c r="A2006" s="40"/>
      <c r="V2006" s="46"/>
      <c r="W2006" s="46"/>
      <c r="X2006" s="46"/>
    </row>
    <row r="2007" spans="1:24" ht="15.75" customHeight="1" thickBot="1" x14ac:dyDescent="0.35">
      <c r="A2007" s="40"/>
      <c r="V2007" s="46"/>
      <c r="W2007" s="46"/>
      <c r="X2007" s="46"/>
    </row>
    <row r="2008" spans="1:24" ht="15.75" customHeight="1" thickBot="1" x14ac:dyDescent="0.35">
      <c r="A2008" s="40"/>
      <c r="V2008" s="46"/>
      <c r="W2008" s="46"/>
      <c r="X2008" s="46"/>
    </row>
    <row r="2009" spans="1:24" ht="15.75" customHeight="1" thickBot="1" x14ac:dyDescent="0.35">
      <c r="A2009" s="40"/>
      <c r="V2009" s="46"/>
      <c r="W2009" s="46"/>
      <c r="X2009" s="46"/>
    </row>
    <row r="2010" spans="1:24" ht="15.75" customHeight="1" thickBot="1" x14ac:dyDescent="0.35">
      <c r="A2010" s="40"/>
      <c r="V2010" s="46"/>
      <c r="W2010" s="46"/>
      <c r="X2010" s="46"/>
    </row>
    <row r="2011" spans="1:24" ht="15.75" customHeight="1" thickBot="1" x14ac:dyDescent="0.35">
      <c r="A2011" s="40"/>
      <c r="V2011" s="46"/>
      <c r="W2011" s="46"/>
      <c r="X2011" s="46"/>
    </row>
    <row r="2012" spans="1:24" ht="15.75" customHeight="1" thickBot="1" x14ac:dyDescent="0.35">
      <c r="A2012" s="40"/>
      <c r="V2012" s="46"/>
      <c r="W2012" s="46"/>
      <c r="X2012" s="46"/>
    </row>
    <row r="2013" spans="1:24" ht="15.75" customHeight="1" thickBot="1" x14ac:dyDescent="0.35">
      <c r="A2013" s="40"/>
      <c r="V2013" s="46"/>
      <c r="W2013" s="46"/>
      <c r="X2013" s="46"/>
    </row>
    <row r="2014" spans="1:24" ht="15.75" customHeight="1" thickBot="1" x14ac:dyDescent="0.35">
      <c r="A2014" s="40"/>
      <c r="V2014" s="46"/>
      <c r="W2014" s="46"/>
      <c r="X2014" s="46"/>
    </row>
    <row r="2015" spans="1:24" ht="15.75" customHeight="1" thickBot="1" x14ac:dyDescent="0.35">
      <c r="A2015" s="40"/>
      <c r="V2015" s="46"/>
      <c r="W2015" s="46"/>
      <c r="X2015" s="46"/>
    </row>
    <row r="2016" spans="1:24" ht="15.75" customHeight="1" thickBot="1" x14ac:dyDescent="0.35">
      <c r="A2016" s="40"/>
      <c r="V2016" s="46"/>
      <c r="W2016" s="46"/>
      <c r="X2016" s="46"/>
    </row>
    <row r="2017" spans="1:24" ht="15.75" customHeight="1" thickBot="1" x14ac:dyDescent="0.35">
      <c r="A2017" s="40"/>
      <c r="V2017" s="46"/>
      <c r="W2017" s="46"/>
      <c r="X2017" s="46"/>
    </row>
    <row r="2018" spans="1:24" ht="15.75" customHeight="1" thickBot="1" x14ac:dyDescent="0.35">
      <c r="A2018" s="40"/>
      <c r="V2018" s="46"/>
      <c r="W2018" s="46"/>
      <c r="X2018" s="46"/>
    </row>
    <row r="2019" spans="1:24" ht="15.75" customHeight="1" thickBot="1" x14ac:dyDescent="0.35">
      <c r="A2019" s="40"/>
      <c r="V2019" s="46"/>
      <c r="W2019" s="46"/>
      <c r="X2019" s="46"/>
    </row>
    <row r="2020" spans="1:24" ht="15.75" customHeight="1" thickBot="1" x14ac:dyDescent="0.35">
      <c r="A2020" s="40"/>
      <c r="V2020" s="46"/>
      <c r="W2020" s="46"/>
      <c r="X2020" s="46"/>
    </row>
    <row r="2021" spans="1:24" ht="15.75" customHeight="1" thickBot="1" x14ac:dyDescent="0.35">
      <c r="A2021" s="40"/>
      <c r="V2021" s="46"/>
      <c r="W2021" s="46"/>
      <c r="X2021" s="46"/>
    </row>
    <row r="2022" spans="1:24" ht="15.75" customHeight="1" thickBot="1" x14ac:dyDescent="0.35">
      <c r="A2022" s="40"/>
      <c r="V2022" s="46"/>
      <c r="W2022" s="46"/>
      <c r="X2022" s="46"/>
    </row>
    <row r="2023" spans="1:24" ht="15.75" customHeight="1" thickBot="1" x14ac:dyDescent="0.35">
      <c r="A2023" s="40"/>
      <c r="V2023" s="46"/>
      <c r="W2023" s="46"/>
      <c r="X2023" s="46"/>
    </row>
    <row r="2024" spans="1:24" ht="15.75" customHeight="1" thickBot="1" x14ac:dyDescent="0.35">
      <c r="A2024" s="40"/>
      <c r="V2024" s="46"/>
      <c r="W2024" s="46"/>
      <c r="X2024" s="46"/>
    </row>
    <row r="2025" spans="1:24" ht="15.75" customHeight="1" thickBot="1" x14ac:dyDescent="0.35">
      <c r="A2025" s="40"/>
      <c r="V2025" s="46"/>
      <c r="W2025" s="46"/>
      <c r="X2025" s="46"/>
    </row>
    <row r="2026" spans="1:24" ht="15.75" customHeight="1" thickBot="1" x14ac:dyDescent="0.35">
      <c r="A2026" s="40"/>
      <c r="V2026" s="46"/>
      <c r="W2026" s="46"/>
      <c r="X2026" s="46"/>
    </row>
    <row r="2027" spans="1:24" ht="15.75" customHeight="1" thickBot="1" x14ac:dyDescent="0.35">
      <c r="A2027" s="40"/>
      <c r="V2027" s="46"/>
      <c r="W2027" s="46"/>
      <c r="X2027" s="46"/>
    </row>
    <row r="2028" spans="1:24" ht="15.75" customHeight="1" thickBot="1" x14ac:dyDescent="0.35">
      <c r="A2028" s="40"/>
      <c r="V2028" s="46"/>
      <c r="W2028" s="46"/>
      <c r="X2028" s="46"/>
    </row>
    <row r="2029" spans="1:24" ht="15.75" customHeight="1" thickBot="1" x14ac:dyDescent="0.35">
      <c r="A2029" s="40"/>
      <c r="V2029" s="46"/>
      <c r="W2029" s="46"/>
      <c r="X2029" s="46"/>
    </row>
    <row r="2030" spans="1:24" ht="15.75" customHeight="1" thickBot="1" x14ac:dyDescent="0.35">
      <c r="A2030" s="40"/>
      <c r="V2030" s="46"/>
      <c r="W2030" s="46"/>
      <c r="X2030" s="46"/>
    </row>
    <row r="2031" spans="1:24" ht="15.75" customHeight="1" thickBot="1" x14ac:dyDescent="0.35">
      <c r="A2031" s="40"/>
      <c r="V2031" s="46"/>
      <c r="W2031" s="46"/>
      <c r="X2031" s="46"/>
    </row>
    <row r="2032" spans="1:24" ht="15.75" customHeight="1" thickBot="1" x14ac:dyDescent="0.35">
      <c r="A2032" s="40"/>
      <c r="V2032" s="46"/>
      <c r="W2032" s="46"/>
      <c r="X2032" s="46"/>
    </row>
    <row r="2033" spans="1:24" ht="15.75" customHeight="1" thickBot="1" x14ac:dyDescent="0.35">
      <c r="A2033" s="40"/>
      <c r="V2033" s="46"/>
      <c r="W2033" s="46"/>
      <c r="X2033" s="46"/>
    </row>
    <row r="2034" spans="1:24" ht="15.75" customHeight="1" thickBot="1" x14ac:dyDescent="0.35">
      <c r="A2034" s="40"/>
      <c r="V2034" s="46"/>
      <c r="W2034" s="46"/>
      <c r="X2034" s="46"/>
    </row>
    <row r="2035" spans="1:24" ht="15.75" customHeight="1" thickBot="1" x14ac:dyDescent="0.35">
      <c r="A2035" s="40"/>
      <c r="V2035" s="46"/>
      <c r="W2035" s="46"/>
      <c r="X2035" s="46"/>
    </row>
    <row r="2036" spans="1:24" ht="15.75" customHeight="1" thickBot="1" x14ac:dyDescent="0.35">
      <c r="A2036" s="40"/>
      <c r="V2036" s="46"/>
      <c r="W2036" s="46"/>
      <c r="X2036" s="46"/>
    </row>
    <row r="2037" spans="1:24" ht="15.75" customHeight="1" thickBot="1" x14ac:dyDescent="0.35">
      <c r="A2037" s="40"/>
      <c r="V2037" s="46"/>
      <c r="W2037" s="46"/>
      <c r="X2037" s="46"/>
    </row>
    <row r="2038" spans="1:24" ht="15.75" customHeight="1" thickBot="1" x14ac:dyDescent="0.35">
      <c r="A2038" s="40"/>
      <c r="V2038" s="46"/>
      <c r="W2038" s="46"/>
      <c r="X2038" s="46"/>
    </row>
    <row r="2039" spans="1:24" ht="15.75" customHeight="1" thickBot="1" x14ac:dyDescent="0.35">
      <c r="A2039" s="40"/>
      <c r="V2039" s="46"/>
      <c r="W2039" s="46"/>
      <c r="X2039" s="46"/>
    </row>
    <row r="2040" spans="1:24" ht="15.75" customHeight="1" thickBot="1" x14ac:dyDescent="0.35">
      <c r="A2040" s="40"/>
      <c r="V2040" s="46"/>
      <c r="W2040" s="46"/>
      <c r="X2040" s="46"/>
    </row>
    <row r="2041" spans="1:24" ht="15.75" customHeight="1" thickBot="1" x14ac:dyDescent="0.35">
      <c r="A2041" s="40"/>
      <c r="V2041" s="46"/>
      <c r="W2041" s="46"/>
      <c r="X2041" s="46"/>
    </row>
    <row r="2042" spans="1:24" ht="15.75" customHeight="1" thickBot="1" x14ac:dyDescent="0.35">
      <c r="A2042" s="40"/>
      <c r="V2042" s="46"/>
      <c r="W2042" s="46"/>
      <c r="X2042" s="46"/>
    </row>
    <row r="2043" spans="1:24" ht="15.75" customHeight="1" thickBot="1" x14ac:dyDescent="0.35">
      <c r="A2043" s="40"/>
      <c r="V2043" s="46"/>
      <c r="W2043" s="46"/>
      <c r="X2043" s="46"/>
    </row>
    <row r="2044" spans="1:24" ht="15.75" customHeight="1" thickBot="1" x14ac:dyDescent="0.35">
      <c r="A2044" s="40"/>
      <c r="V2044" s="46"/>
      <c r="W2044" s="46"/>
      <c r="X2044" s="46"/>
    </row>
    <row r="2045" spans="1:24" ht="15.75" customHeight="1" thickBot="1" x14ac:dyDescent="0.35">
      <c r="A2045" s="40"/>
      <c r="V2045" s="46"/>
      <c r="W2045" s="46"/>
      <c r="X2045" s="46"/>
    </row>
    <row r="2046" spans="1:24" ht="15.75" customHeight="1" thickBot="1" x14ac:dyDescent="0.35">
      <c r="A2046" s="40"/>
      <c r="V2046" s="46"/>
      <c r="W2046" s="46"/>
      <c r="X2046" s="46"/>
    </row>
    <row r="2047" spans="1:24" ht="15.75" customHeight="1" thickBot="1" x14ac:dyDescent="0.35">
      <c r="A2047" s="40"/>
      <c r="V2047" s="46"/>
      <c r="W2047" s="46"/>
      <c r="X2047" s="46"/>
    </row>
    <row r="2048" spans="1:24" ht="15.75" customHeight="1" thickBot="1" x14ac:dyDescent="0.35">
      <c r="A2048" s="40"/>
      <c r="V2048" s="46"/>
      <c r="W2048" s="46"/>
      <c r="X2048" s="46"/>
    </row>
    <row r="2049" spans="1:24" ht="15.75" customHeight="1" thickBot="1" x14ac:dyDescent="0.35">
      <c r="A2049" s="40"/>
      <c r="V2049" s="46"/>
      <c r="W2049" s="46"/>
      <c r="X2049" s="46"/>
    </row>
    <row r="2050" spans="1:24" ht="15.75" customHeight="1" thickBot="1" x14ac:dyDescent="0.35">
      <c r="A2050" s="40"/>
      <c r="V2050" s="46"/>
      <c r="W2050" s="46"/>
      <c r="X2050" s="46"/>
    </row>
    <row r="2051" spans="1:24" ht="15.75" customHeight="1" thickBot="1" x14ac:dyDescent="0.35">
      <c r="A2051" s="40"/>
      <c r="V2051" s="46"/>
      <c r="W2051" s="46"/>
      <c r="X2051" s="46"/>
    </row>
    <row r="2052" spans="1:24" ht="15.75" customHeight="1" thickBot="1" x14ac:dyDescent="0.35">
      <c r="A2052" s="40"/>
      <c r="V2052" s="46"/>
      <c r="W2052" s="46"/>
      <c r="X2052" s="46"/>
    </row>
    <row r="2053" spans="1:24" ht="15.75" customHeight="1" thickBot="1" x14ac:dyDescent="0.35">
      <c r="A2053" s="40"/>
      <c r="V2053" s="46"/>
      <c r="W2053" s="46"/>
      <c r="X2053" s="46"/>
    </row>
    <row r="2054" spans="1:24" ht="15.75" customHeight="1" thickBot="1" x14ac:dyDescent="0.35">
      <c r="A2054" s="40"/>
      <c r="V2054" s="46"/>
      <c r="W2054" s="46"/>
      <c r="X2054" s="46"/>
    </row>
    <row r="2055" spans="1:24" ht="15.75" customHeight="1" thickBot="1" x14ac:dyDescent="0.35">
      <c r="A2055" s="40"/>
      <c r="V2055" s="46"/>
      <c r="W2055" s="46"/>
      <c r="X2055" s="46"/>
    </row>
    <row r="2056" spans="1:24" ht="15.75" customHeight="1" thickBot="1" x14ac:dyDescent="0.35">
      <c r="A2056" s="40"/>
      <c r="V2056" s="46"/>
      <c r="W2056" s="46"/>
      <c r="X2056" s="46"/>
    </row>
    <row r="2057" spans="1:24" ht="15.75" customHeight="1" thickBot="1" x14ac:dyDescent="0.35">
      <c r="A2057" s="40"/>
      <c r="V2057" s="46"/>
      <c r="W2057" s="46"/>
      <c r="X2057" s="46"/>
    </row>
    <row r="2058" spans="1:24" ht="15.75" customHeight="1" thickBot="1" x14ac:dyDescent="0.35">
      <c r="A2058" s="40"/>
      <c r="V2058" s="46"/>
      <c r="W2058" s="46"/>
      <c r="X2058" s="46"/>
    </row>
    <row r="2059" spans="1:24" ht="15.75" customHeight="1" thickBot="1" x14ac:dyDescent="0.35">
      <c r="A2059" s="40"/>
      <c r="V2059" s="46"/>
      <c r="W2059" s="46"/>
      <c r="X2059" s="46"/>
    </row>
    <row r="2060" spans="1:24" ht="15.75" customHeight="1" thickBot="1" x14ac:dyDescent="0.35">
      <c r="A2060" s="40"/>
      <c r="V2060" s="46"/>
      <c r="W2060" s="46"/>
      <c r="X2060" s="46"/>
    </row>
    <row r="2061" spans="1:24" ht="15.75" customHeight="1" thickBot="1" x14ac:dyDescent="0.35">
      <c r="A2061" s="40"/>
      <c r="V2061" s="46"/>
      <c r="W2061" s="46"/>
      <c r="X2061" s="46"/>
    </row>
    <row r="2062" spans="1:24" ht="15.75" customHeight="1" thickBot="1" x14ac:dyDescent="0.35">
      <c r="A2062" s="40"/>
      <c r="V2062" s="46"/>
      <c r="W2062" s="46"/>
      <c r="X2062" s="46"/>
    </row>
    <row r="2063" spans="1:24" ht="15.75" customHeight="1" thickBot="1" x14ac:dyDescent="0.35">
      <c r="A2063" s="40"/>
      <c r="V2063" s="46"/>
      <c r="W2063" s="46"/>
      <c r="X2063" s="46"/>
    </row>
    <row r="2064" spans="1:24" ht="15.75" customHeight="1" thickBot="1" x14ac:dyDescent="0.35">
      <c r="A2064" s="40"/>
      <c r="V2064" s="46"/>
      <c r="W2064" s="46"/>
      <c r="X2064" s="46"/>
    </row>
    <row r="2065" spans="1:24" ht="15.75" customHeight="1" thickBot="1" x14ac:dyDescent="0.35">
      <c r="A2065" s="40"/>
      <c r="V2065" s="46"/>
      <c r="W2065" s="46"/>
      <c r="X2065" s="46"/>
    </row>
    <row r="2066" spans="1:24" ht="15.75" customHeight="1" thickBot="1" x14ac:dyDescent="0.35">
      <c r="A2066" s="40"/>
      <c r="V2066" s="46"/>
      <c r="W2066" s="46"/>
      <c r="X2066" s="46"/>
    </row>
    <row r="2067" spans="1:24" ht="15.75" customHeight="1" thickBot="1" x14ac:dyDescent="0.35">
      <c r="A2067" s="40"/>
      <c r="V2067" s="46"/>
      <c r="W2067" s="46"/>
      <c r="X2067" s="46"/>
    </row>
    <row r="2068" spans="1:24" ht="15.75" customHeight="1" thickBot="1" x14ac:dyDescent="0.35">
      <c r="A2068" s="40"/>
      <c r="V2068" s="46"/>
      <c r="W2068" s="46"/>
      <c r="X2068" s="46"/>
    </row>
    <row r="2069" spans="1:24" ht="15.75" customHeight="1" thickBot="1" x14ac:dyDescent="0.35">
      <c r="A2069" s="40"/>
      <c r="V2069" s="46"/>
      <c r="W2069" s="46"/>
      <c r="X2069" s="46"/>
    </row>
    <row r="2070" spans="1:24" ht="15.75" customHeight="1" thickBot="1" x14ac:dyDescent="0.35">
      <c r="A2070" s="40"/>
      <c r="V2070" s="46"/>
      <c r="W2070" s="46"/>
      <c r="X2070" s="46"/>
    </row>
    <row r="2071" spans="1:24" ht="15.75" customHeight="1" thickBot="1" x14ac:dyDescent="0.35">
      <c r="A2071" s="40"/>
      <c r="V2071" s="46"/>
      <c r="W2071" s="46"/>
      <c r="X2071" s="46"/>
    </row>
    <row r="2072" spans="1:24" ht="15.75" customHeight="1" thickBot="1" x14ac:dyDescent="0.35">
      <c r="A2072" s="40"/>
      <c r="V2072" s="46"/>
      <c r="W2072" s="46"/>
      <c r="X2072" s="46"/>
    </row>
    <row r="2073" spans="1:24" ht="15.75" customHeight="1" thickBot="1" x14ac:dyDescent="0.35">
      <c r="A2073" s="40"/>
      <c r="V2073" s="46"/>
      <c r="W2073" s="46"/>
      <c r="X2073" s="46"/>
    </row>
    <row r="2074" spans="1:24" ht="15.75" customHeight="1" thickBot="1" x14ac:dyDescent="0.35">
      <c r="A2074" s="40"/>
      <c r="V2074" s="46"/>
      <c r="W2074" s="46"/>
      <c r="X2074" s="46"/>
    </row>
    <row r="2075" spans="1:24" ht="15.75" customHeight="1" thickBot="1" x14ac:dyDescent="0.35">
      <c r="A2075" s="40"/>
      <c r="V2075" s="46"/>
      <c r="W2075" s="46"/>
      <c r="X2075" s="46"/>
    </row>
    <row r="2076" spans="1:24" ht="15.75" customHeight="1" thickBot="1" x14ac:dyDescent="0.35">
      <c r="A2076" s="40"/>
      <c r="V2076" s="46"/>
      <c r="W2076" s="46"/>
      <c r="X2076" s="46"/>
    </row>
    <row r="2077" spans="1:24" ht="15.75" customHeight="1" thickBot="1" x14ac:dyDescent="0.35">
      <c r="A2077" s="40"/>
      <c r="V2077" s="46"/>
      <c r="W2077" s="46"/>
      <c r="X2077" s="46"/>
    </row>
    <row r="2078" spans="1:24" ht="15.75" customHeight="1" thickBot="1" x14ac:dyDescent="0.35">
      <c r="A2078" s="40"/>
      <c r="V2078" s="46"/>
      <c r="W2078" s="46"/>
      <c r="X2078" s="46"/>
    </row>
    <row r="2079" spans="1:24" ht="15.75" customHeight="1" thickBot="1" x14ac:dyDescent="0.35">
      <c r="A2079" s="40"/>
      <c r="V2079" s="46"/>
      <c r="W2079" s="46"/>
      <c r="X2079" s="46"/>
    </row>
    <row r="2080" spans="1:24" ht="15.75" customHeight="1" thickBot="1" x14ac:dyDescent="0.35">
      <c r="A2080" s="40"/>
      <c r="V2080" s="46"/>
      <c r="W2080" s="46"/>
      <c r="X2080" s="46"/>
    </row>
    <row r="2081" spans="1:24" ht="15.75" customHeight="1" thickBot="1" x14ac:dyDescent="0.35">
      <c r="A2081" s="40"/>
      <c r="V2081" s="46"/>
      <c r="W2081" s="46"/>
      <c r="X2081" s="46"/>
    </row>
    <row r="2082" spans="1:24" ht="15.75" customHeight="1" thickBot="1" x14ac:dyDescent="0.35">
      <c r="A2082" s="40"/>
      <c r="V2082" s="46"/>
      <c r="W2082" s="46"/>
      <c r="X2082" s="46"/>
    </row>
    <row r="2083" spans="1:24" ht="15.75" customHeight="1" thickBot="1" x14ac:dyDescent="0.35">
      <c r="A2083" s="40"/>
      <c r="V2083" s="46"/>
      <c r="W2083" s="46"/>
      <c r="X2083" s="46"/>
    </row>
    <row r="2084" spans="1:24" ht="15.75" customHeight="1" thickBot="1" x14ac:dyDescent="0.35">
      <c r="A2084" s="40"/>
      <c r="V2084" s="46"/>
      <c r="W2084" s="46"/>
      <c r="X2084" s="46"/>
    </row>
    <row r="2085" spans="1:24" ht="15.75" customHeight="1" thickBot="1" x14ac:dyDescent="0.35">
      <c r="A2085" s="40"/>
      <c r="V2085" s="46"/>
      <c r="W2085" s="46"/>
      <c r="X2085" s="46"/>
    </row>
    <row r="2086" spans="1:24" ht="15.75" customHeight="1" thickBot="1" x14ac:dyDescent="0.35">
      <c r="A2086" s="40"/>
      <c r="V2086" s="46"/>
      <c r="W2086" s="46"/>
      <c r="X2086" s="46"/>
    </row>
    <row r="2087" spans="1:24" ht="15.75" customHeight="1" thickBot="1" x14ac:dyDescent="0.35">
      <c r="A2087" s="40"/>
      <c r="V2087" s="46"/>
      <c r="W2087" s="46"/>
      <c r="X2087" s="46"/>
    </row>
    <row r="2088" spans="1:24" ht="15.75" customHeight="1" thickBot="1" x14ac:dyDescent="0.35">
      <c r="A2088" s="40"/>
      <c r="V2088" s="46"/>
      <c r="W2088" s="46"/>
      <c r="X2088" s="46"/>
    </row>
    <row r="2089" spans="1:24" ht="15.75" customHeight="1" thickBot="1" x14ac:dyDescent="0.35">
      <c r="A2089" s="40"/>
      <c r="V2089" s="46"/>
      <c r="W2089" s="46"/>
      <c r="X2089" s="46"/>
    </row>
    <row r="2090" spans="1:24" ht="15.75" customHeight="1" thickBot="1" x14ac:dyDescent="0.35">
      <c r="A2090" s="40"/>
      <c r="V2090" s="46"/>
      <c r="W2090" s="46"/>
      <c r="X2090" s="46"/>
    </row>
    <row r="2091" spans="1:24" ht="15.75" customHeight="1" thickBot="1" x14ac:dyDescent="0.35">
      <c r="A2091" s="40"/>
      <c r="V2091" s="46"/>
      <c r="W2091" s="46"/>
      <c r="X2091" s="46"/>
    </row>
    <row r="2092" spans="1:24" ht="15.75" customHeight="1" thickBot="1" x14ac:dyDescent="0.35">
      <c r="A2092" s="40"/>
      <c r="V2092" s="46"/>
      <c r="W2092" s="46"/>
      <c r="X2092" s="46"/>
    </row>
    <row r="2093" spans="1:24" ht="15.75" customHeight="1" thickBot="1" x14ac:dyDescent="0.35">
      <c r="A2093" s="40"/>
      <c r="V2093" s="46"/>
      <c r="W2093" s="46"/>
      <c r="X2093" s="46"/>
    </row>
    <row r="2094" spans="1:24" ht="15.75" customHeight="1" thickBot="1" x14ac:dyDescent="0.35">
      <c r="A2094" s="40"/>
      <c r="V2094" s="46"/>
      <c r="W2094" s="46"/>
      <c r="X2094" s="46"/>
    </row>
    <row r="2095" spans="1:24" ht="15.75" customHeight="1" thickBot="1" x14ac:dyDescent="0.35">
      <c r="A2095" s="40"/>
      <c r="V2095" s="46"/>
      <c r="W2095" s="46"/>
      <c r="X2095" s="46"/>
    </row>
    <row r="2096" spans="1:24" ht="15.75" customHeight="1" thickBot="1" x14ac:dyDescent="0.35">
      <c r="A2096" s="40"/>
      <c r="V2096" s="46"/>
      <c r="W2096" s="46"/>
      <c r="X2096" s="46"/>
    </row>
    <row r="2097" spans="1:24" ht="15.75" customHeight="1" thickBot="1" x14ac:dyDescent="0.35">
      <c r="A2097" s="40"/>
      <c r="V2097" s="46"/>
      <c r="W2097" s="46"/>
      <c r="X2097" s="46"/>
    </row>
    <row r="2098" spans="1:24" ht="15.75" customHeight="1" thickBot="1" x14ac:dyDescent="0.35">
      <c r="A2098" s="40"/>
      <c r="V2098" s="46"/>
      <c r="W2098" s="46"/>
      <c r="X2098" s="46"/>
    </row>
    <row r="2099" spans="1:24" ht="15.75" customHeight="1" thickBot="1" x14ac:dyDescent="0.35">
      <c r="A2099" s="40"/>
      <c r="V2099" s="46"/>
      <c r="W2099" s="46"/>
      <c r="X2099" s="46"/>
    </row>
    <row r="2100" spans="1:24" ht="15.75" customHeight="1" thickBot="1" x14ac:dyDescent="0.35">
      <c r="A2100" s="40"/>
      <c r="V2100" s="46"/>
      <c r="W2100" s="46"/>
      <c r="X2100" s="46"/>
    </row>
    <row r="2101" spans="1:24" ht="15.75" customHeight="1" thickBot="1" x14ac:dyDescent="0.35">
      <c r="A2101" s="40"/>
      <c r="V2101" s="46"/>
      <c r="W2101" s="46"/>
      <c r="X2101" s="46"/>
    </row>
    <row r="2102" spans="1:24" ht="15.75" customHeight="1" thickBot="1" x14ac:dyDescent="0.35">
      <c r="A2102" s="40"/>
      <c r="V2102" s="46"/>
      <c r="W2102" s="46"/>
      <c r="X2102" s="46"/>
    </row>
    <row r="2103" spans="1:24" ht="15.75" customHeight="1" thickBot="1" x14ac:dyDescent="0.35">
      <c r="A2103" s="40"/>
      <c r="V2103" s="46"/>
      <c r="W2103" s="46"/>
      <c r="X2103" s="46"/>
    </row>
    <row r="2104" spans="1:24" ht="15.75" customHeight="1" thickBot="1" x14ac:dyDescent="0.35">
      <c r="A2104" s="40"/>
      <c r="V2104" s="46"/>
      <c r="W2104" s="46"/>
      <c r="X2104" s="46"/>
    </row>
    <row r="2105" spans="1:24" ht="15.75" customHeight="1" thickBot="1" x14ac:dyDescent="0.35">
      <c r="A2105" s="40"/>
      <c r="V2105" s="46"/>
      <c r="W2105" s="46"/>
      <c r="X2105" s="46"/>
    </row>
    <row r="2106" spans="1:24" ht="15.75" customHeight="1" thickBot="1" x14ac:dyDescent="0.35">
      <c r="A2106" s="40"/>
      <c r="V2106" s="46"/>
      <c r="W2106" s="46"/>
      <c r="X2106" s="46"/>
    </row>
    <row r="2107" spans="1:24" ht="15.75" customHeight="1" thickBot="1" x14ac:dyDescent="0.35">
      <c r="A2107" s="40"/>
      <c r="V2107" s="46"/>
      <c r="W2107" s="46"/>
      <c r="X2107" s="46"/>
    </row>
    <row r="2108" spans="1:24" ht="15.75" customHeight="1" thickBot="1" x14ac:dyDescent="0.35">
      <c r="A2108" s="40"/>
      <c r="V2108" s="46"/>
      <c r="W2108" s="46"/>
      <c r="X2108" s="46"/>
    </row>
    <row r="2109" spans="1:24" ht="15.75" customHeight="1" thickBot="1" x14ac:dyDescent="0.35">
      <c r="A2109" s="40"/>
      <c r="V2109" s="46"/>
      <c r="W2109" s="46"/>
      <c r="X2109" s="46"/>
    </row>
    <row r="2110" spans="1:24" ht="15.75" customHeight="1" thickBot="1" x14ac:dyDescent="0.35">
      <c r="A2110" s="40"/>
      <c r="V2110" s="46"/>
      <c r="W2110" s="46"/>
      <c r="X2110" s="46"/>
    </row>
    <row r="2111" spans="1:24" ht="15.75" customHeight="1" thickBot="1" x14ac:dyDescent="0.35">
      <c r="A2111" s="40"/>
      <c r="V2111" s="46"/>
      <c r="W2111" s="46"/>
      <c r="X2111" s="46"/>
    </row>
    <row r="2112" spans="1:24" ht="15.75" customHeight="1" thickBot="1" x14ac:dyDescent="0.35">
      <c r="A2112" s="40"/>
      <c r="V2112" s="46"/>
      <c r="W2112" s="46"/>
      <c r="X2112" s="46"/>
    </row>
    <row r="2113" spans="1:24" ht="15.75" customHeight="1" thickBot="1" x14ac:dyDescent="0.35">
      <c r="A2113" s="40"/>
      <c r="V2113" s="46"/>
      <c r="W2113" s="46"/>
      <c r="X2113" s="46"/>
    </row>
    <row r="2114" spans="1:24" ht="15.75" customHeight="1" thickBot="1" x14ac:dyDescent="0.35">
      <c r="A2114" s="40"/>
      <c r="V2114" s="46"/>
      <c r="W2114" s="46"/>
      <c r="X2114" s="46"/>
    </row>
    <row r="2115" spans="1:24" ht="15.75" customHeight="1" thickBot="1" x14ac:dyDescent="0.35">
      <c r="A2115" s="40"/>
      <c r="V2115" s="46"/>
      <c r="W2115" s="46"/>
      <c r="X2115" s="46"/>
    </row>
    <row r="2116" spans="1:24" ht="15.75" customHeight="1" thickBot="1" x14ac:dyDescent="0.35">
      <c r="A2116" s="40"/>
      <c r="V2116" s="46"/>
      <c r="W2116" s="46"/>
      <c r="X2116" s="46"/>
    </row>
    <row r="2117" spans="1:24" ht="15.75" customHeight="1" thickBot="1" x14ac:dyDescent="0.35">
      <c r="A2117" s="40"/>
      <c r="V2117" s="46"/>
      <c r="W2117" s="46"/>
      <c r="X2117" s="46"/>
    </row>
    <row r="2118" spans="1:24" ht="15.75" customHeight="1" thickBot="1" x14ac:dyDescent="0.35">
      <c r="A2118" s="40"/>
      <c r="V2118" s="46"/>
      <c r="W2118" s="46"/>
      <c r="X2118" s="46"/>
    </row>
    <row r="2119" spans="1:24" ht="15.75" customHeight="1" thickBot="1" x14ac:dyDescent="0.35">
      <c r="A2119" s="40"/>
      <c r="V2119" s="46"/>
      <c r="W2119" s="46"/>
      <c r="X2119" s="46"/>
    </row>
    <row r="2120" spans="1:24" ht="15.75" customHeight="1" thickBot="1" x14ac:dyDescent="0.35">
      <c r="A2120" s="40"/>
      <c r="V2120" s="46"/>
      <c r="W2120" s="46"/>
      <c r="X2120" s="46"/>
    </row>
    <row r="2121" spans="1:24" ht="15.75" customHeight="1" thickBot="1" x14ac:dyDescent="0.35">
      <c r="A2121" s="40"/>
      <c r="V2121" s="46"/>
      <c r="W2121" s="46"/>
      <c r="X2121" s="46"/>
    </row>
    <row r="2122" spans="1:24" ht="15.75" customHeight="1" thickBot="1" x14ac:dyDescent="0.35">
      <c r="A2122" s="40"/>
      <c r="V2122" s="46"/>
      <c r="W2122" s="46"/>
      <c r="X2122" s="46"/>
    </row>
    <row r="2123" spans="1:24" ht="15.75" customHeight="1" thickBot="1" x14ac:dyDescent="0.35">
      <c r="A2123" s="40"/>
      <c r="V2123" s="46"/>
      <c r="W2123" s="46"/>
      <c r="X2123" s="46"/>
    </row>
    <row r="2124" spans="1:24" ht="15.75" customHeight="1" thickBot="1" x14ac:dyDescent="0.35">
      <c r="A2124" s="40"/>
      <c r="V2124" s="46"/>
      <c r="W2124" s="46"/>
      <c r="X2124" s="46"/>
    </row>
    <row r="2125" spans="1:24" ht="15.75" customHeight="1" thickBot="1" x14ac:dyDescent="0.35">
      <c r="A2125" s="40"/>
      <c r="V2125" s="46"/>
      <c r="W2125" s="46"/>
      <c r="X2125" s="46"/>
    </row>
    <row r="2126" spans="1:24" ht="15.75" customHeight="1" thickBot="1" x14ac:dyDescent="0.35">
      <c r="A2126" s="40"/>
      <c r="V2126" s="46"/>
      <c r="W2126" s="46"/>
      <c r="X2126" s="46"/>
    </row>
    <row r="2127" spans="1:24" ht="15.75" customHeight="1" thickBot="1" x14ac:dyDescent="0.35">
      <c r="A2127" s="40"/>
      <c r="V2127" s="46"/>
      <c r="W2127" s="46"/>
      <c r="X2127" s="46"/>
    </row>
    <row r="2128" spans="1:24" ht="15.75" customHeight="1" thickBot="1" x14ac:dyDescent="0.35">
      <c r="A2128" s="40"/>
      <c r="V2128" s="46"/>
      <c r="W2128" s="46"/>
      <c r="X2128" s="46"/>
    </row>
    <row r="2129" spans="1:24" ht="15.75" customHeight="1" thickBot="1" x14ac:dyDescent="0.35">
      <c r="A2129" s="40"/>
      <c r="V2129" s="46"/>
      <c r="W2129" s="46"/>
      <c r="X2129" s="46"/>
    </row>
    <row r="2130" spans="1:24" ht="15.75" customHeight="1" thickBot="1" x14ac:dyDescent="0.35">
      <c r="A2130" s="40"/>
      <c r="V2130" s="46"/>
      <c r="W2130" s="46"/>
      <c r="X2130" s="46"/>
    </row>
    <row r="2131" spans="1:24" ht="15.75" customHeight="1" thickBot="1" x14ac:dyDescent="0.35">
      <c r="A2131" s="40"/>
      <c r="V2131" s="46"/>
      <c r="W2131" s="46"/>
      <c r="X2131" s="46"/>
    </row>
    <row r="2132" spans="1:24" ht="15.75" customHeight="1" thickBot="1" x14ac:dyDescent="0.35">
      <c r="A2132" s="40"/>
      <c r="V2132" s="46"/>
      <c r="W2132" s="46"/>
      <c r="X2132" s="46"/>
    </row>
    <row r="2133" spans="1:24" ht="15.75" customHeight="1" thickBot="1" x14ac:dyDescent="0.35">
      <c r="A2133" s="40"/>
      <c r="V2133" s="46"/>
      <c r="W2133" s="46"/>
      <c r="X2133" s="46"/>
    </row>
    <row r="2134" spans="1:24" ht="15.75" customHeight="1" thickBot="1" x14ac:dyDescent="0.35">
      <c r="A2134" s="40"/>
      <c r="V2134" s="46"/>
      <c r="W2134" s="46"/>
      <c r="X2134" s="46"/>
    </row>
    <row r="2135" spans="1:24" ht="15.75" customHeight="1" thickBot="1" x14ac:dyDescent="0.35">
      <c r="A2135" s="40"/>
      <c r="V2135" s="46"/>
      <c r="W2135" s="46"/>
      <c r="X2135" s="46"/>
    </row>
    <row r="2136" spans="1:24" ht="15.75" customHeight="1" thickBot="1" x14ac:dyDescent="0.35">
      <c r="A2136" s="40"/>
      <c r="V2136" s="46"/>
      <c r="W2136" s="46"/>
      <c r="X2136" s="46"/>
    </row>
    <row r="2137" spans="1:24" ht="15.75" customHeight="1" thickBot="1" x14ac:dyDescent="0.35">
      <c r="A2137" s="40"/>
      <c r="V2137" s="46"/>
      <c r="W2137" s="46"/>
      <c r="X2137" s="46"/>
    </row>
    <row r="2138" spans="1:24" ht="15.75" customHeight="1" thickBot="1" x14ac:dyDescent="0.35">
      <c r="A2138" s="40"/>
      <c r="V2138" s="46"/>
      <c r="W2138" s="46"/>
      <c r="X2138" s="46"/>
    </row>
    <row r="2139" spans="1:24" ht="15.75" customHeight="1" thickBot="1" x14ac:dyDescent="0.35">
      <c r="A2139" s="40"/>
      <c r="V2139" s="46"/>
      <c r="W2139" s="46"/>
      <c r="X2139" s="46"/>
    </row>
    <row r="2140" spans="1:24" ht="15.75" customHeight="1" thickBot="1" x14ac:dyDescent="0.35">
      <c r="A2140" s="40"/>
      <c r="V2140" s="46"/>
      <c r="W2140" s="46"/>
      <c r="X2140" s="46"/>
    </row>
    <row r="2141" spans="1:24" ht="15.75" customHeight="1" thickBot="1" x14ac:dyDescent="0.35">
      <c r="A2141" s="40"/>
      <c r="V2141" s="46"/>
      <c r="W2141" s="46"/>
      <c r="X2141" s="46"/>
    </row>
    <row r="2142" spans="1:24" ht="15.75" customHeight="1" thickBot="1" x14ac:dyDescent="0.35">
      <c r="A2142" s="40"/>
      <c r="V2142" s="46"/>
      <c r="W2142" s="46"/>
      <c r="X2142" s="46"/>
    </row>
    <row r="2143" spans="1:24" ht="15.75" customHeight="1" thickBot="1" x14ac:dyDescent="0.35">
      <c r="A2143" s="40"/>
      <c r="V2143" s="46"/>
      <c r="W2143" s="46"/>
      <c r="X2143" s="46"/>
    </row>
    <row r="2144" spans="1:24" ht="15.75" customHeight="1" thickBot="1" x14ac:dyDescent="0.35">
      <c r="A2144" s="40"/>
      <c r="V2144" s="46"/>
      <c r="W2144" s="46"/>
      <c r="X2144" s="46"/>
    </row>
    <row r="2145" spans="1:24" ht="15.75" customHeight="1" thickBot="1" x14ac:dyDescent="0.35">
      <c r="A2145" s="40"/>
      <c r="V2145" s="46"/>
      <c r="W2145" s="46"/>
      <c r="X2145" s="46"/>
    </row>
    <row r="2146" spans="1:24" ht="15.75" customHeight="1" thickBot="1" x14ac:dyDescent="0.35">
      <c r="A2146" s="40"/>
      <c r="V2146" s="46"/>
      <c r="W2146" s="46"/>
      <c r="X2146" s="46"/>
    </row>
    <row r="2147" spans="1:24" ht="15.75" customHeight="1" thickBot="1" x14ac:dyDescent="0.35">
      <c r="A2147" s="40"/>
      <c r="V2147" s="46"/>
      <c r="W2147" s="46"/>
      <c r="X2147" s="46"/>
    </row>
    <row r="2148" spans="1:24" ht="15.75" customHeight="1" thickBot="1" x14ac:dyDescent="0.35">
      <c r="A2148" s="40"/>
      <c r="V2148" s="46"/>
      <c r="W2148" s="46"/>
      <c r="X2148" s="46"/>
    </row>
    <row r="2149" spans="1:24" ht="15.75" customHeight="1" thickBot="1" x14ac:dyDescent="0.35">
      <c r="A2149" s="40"/>
      <c r="V2149" s="46"/>
      <c r="W2149" s="46"/>
      <c r="X2149" s="46"/>
    </row>
    <row r="2150" spans="1:24" ht="15.75" customHeight="1" thickBot="1" x14ac:dyDescent="0.35">
      <c r="A2150" s="40"/>
      <c r="V2150" s="46"/>
      <c r="W2150" s="46"/>
      <c r="X2150" s="46"/>
    </row>
    <row r="2151" spans="1:24" ht="15.75" customHeight="1" thickBot="1" x14ac:dyDescent="0.35">
      <c r="A2151" s="40"/>
      <c r="V2151" s="46"/>
      <c r="W2151" s="46"/>
      <c r="X2151" s="46"/>
    </row>
    <row r="2152" spans="1:24" ht="15.75" customHeight="1" thickBot="1" x14ac:dyDescent="0.35">
      <c r="A2152" s="40"/>
      <c r="V2152" s="46"/>
      <c r="W2152" s="46"/>
      <c r="X2152" s="46"/>
    </row>
    <row r="2153" spans="1:24" ht="15.75" customHeight="1" thickBot="1" x14ac:dyDescent="0.35">
      <c r="A2153" s="40"/>
      <c r="V2153" s="46"/>
      <c r="W2153" s="46"/>
      <c r="X2153" s="46"/>
    </row>
    <row r="2154" spans="1:24" ht="15.75" customHeight="1" thickBot="1" x14ac:dyDescent="0.35">
      <c r="A2154" s="40"/>
      <c r="V2154" s="46"/>
      <c r="W2154" s="46"/>
      <c r="X2154" s="46"/>
    </row>
    <row r="2155" spans="1:24" ht="15.75" customHeight="1" thickBot="1" x14ac:dyDescent="0.35">
      <c r="A2155" s="40"/>
      <c r="V2155" s="46"/>
      <c r="W2155" s="46"/>
      <c r="X2155" s="46"/>
    </row>
    <row r="2156" spans="1:24" ht="15.75" customHeight="1" thickBot="1" x14ac:dyDescent="0.35">
      <c r="A2156" s="40"/>
      <c r="V2156" s="46"/>
      <c r="W2156" s="46"/>
      <c r="X2156" s="46"/>
    </row>
    <row r="2157" spans="1:24" ht="15.75" customHeight="1" thickBot="1" x14ac:dyDescent="0.35">
      <c r="A2157" s="40"/>
      <c r="V2157" s="46"/>
      <c r="W2157" s="46"/>
      <c r="X2157" s="46"/>
    </row>
    <row r="2158" spans="1:24" ht="15.75" customHeight="1" thickBot="1" x14ac:dyDescent="0.35">
      <c r="A2158" s="40"/>
      <c r="V2158" s="46"/>
      <c r="W2158" s="46"/>
      <c r="X2158" s="46"/>
    </row>
    <row r="2159" spans="1:24" ht="15.75" customHeight="1" thickBot="1" x14ac:dyDescent="0.35">
      <c r="A2159" s="40"/>
      <c r="V2159" s="46"/>
      <c r="W2159" s="46"/>
      <c r="X2159" s="46"/>
    </row>
    <row r="2160" spans="1:24" ht="15.75" customHeight="1" thickBot="1" x14ac:dyDescent="0.35">
      <c r="A2160" s="40"/>
      <c r="V2160" s="46"/>
      <c r="W2160" s="46"/>
      <c r="X2160" s="46"/>
    </row>
    <row r="2161" spans="1:24" ht="15.75" customHeight="1" thickBot="1" x14ac:dyDescent="0.35">
      <c r="A2161" s="40"/>
      <c r="V2161" s="46"/>
      <c r="W2161" s="46"/>
      <c r="X2161" s="46"/>
    </row>
    <row r="2162" spans="1:24" ht="15.75" customHeight="1" thickBot="1" x14ac:dyDescent="0.35">
      <c r="A2162" s="40"/>
      <c r="V2162" s="46"/>
      <c r="W2162" s="46"/>
      <c r="X2162" s="46"/>
    </row>
    <row r="2163" spans="1:24" ht="15.75" customHeight="1" thickBot="1" x14ac:dyDescent="0.35">
      <c r="A2163" s="40"/>
      <c r="V2163" s="46"/>
      <c r="W2163" s="46"/>
      <c r="X2163" s="46"/>
    </row>
    <row r="2164" spans="1:24" ht="15.75" customHeight="1" thickBot="1" x14ac:dyDescent="0.35">
      <c r="A2164" s="40"/>
      <c r="V2164" s="46"/>
      <c r="W2164" s="46"/>
      <c r="X2164" s="46"/>
    </row>
    <row r="2165" spans="1:24" ht="15.75" customHeight="1" thickBot="1" x14ac:dyDescent="0.35">
      <c r="A2165" s="40"/>
      <c r="V2165" s="46"/>
      <c r="W2165" s="46"/>
      <c r="X2165" s="46"/>
    </row>
    <row r="2166" spans="1:24" ht="15.75" customHeight="1" thickBot="1" x14ac:dyDescent="0.35">
      <c r="A2166" s="40"/>
      <c r="V2166" s="46"/>
      <c r="W2166" s="46"/>
      <c r="X2166" s="46"/>
    </row>
    <row r="2167" spans="1:24" ht="15.75" customHeight="1" thickBot="1" x14ac:dyDescent="0.35">
      <c r="A2167" s="40"/>
      <c r="V2167" s="46"/>
      <c r="W2167" s="46"/>
      <c r="X2167" s="46"/>
    </row>
    <row r="2168" spans="1:24" ht="15.75" customHeight="1" thickBot="1" x14ac:dyDescent="0.35">
      <c r="A2168" s="40"/>
      <c r="V2168" s="46"/>
      <c r="W2168" s="46"/>
      <c r="X2168" s="46"/>
    </row>
    <row r="2169" spans="1:24" ht="15.75" customHeight="1" thickBot="1" x14ac:dyDescent="0.35">
      <c r="A2169" s="40"/>
      <c r="V2169" s="46"/>
      <c r="W2169" s="46"/>
      <c r="X2169" s="46"/>
    </row>
    <row r="2170" spans="1:24" ht="15.75" customHeight="1" thickBot="1" x14ac:dyDescent="0.35">
      <c r="A2170" s="40"/>
      <c r="V2170" s="46"/>
      <c r="W2170" s="46"/>
      <c r="X2170" s="46"/>
    </row>
    <row r="2171" spans="1:24" ht="15.75" customHeight="1" thickBot="1" x14ac:dyDescent="0.35">
      <c r="A2171" s="40"/>
      <c r="V2171" s="46"/>
      <c r="W2171" s="46"/>
      <c r="X2171" s="46"/>
    </row>
    <row r="2172" spans="1:24" ht="15.75" customHeight="1" thickBot="1" x14ac:dyDescent="0.35">
      <c r="A2172" s="40"/>
      <c r="V2172" s="46"/>
      <c r="W2172" s="46"/>
      <c r="X2172" s="46"/>
    </row>
    <row r="2173" spans="1:24" ht="15.75" customHeight="1" thickBot="1" x14ac:dyDescent="0.35">
      <c r="A2173" s="40"/>
      <c r="V2173" s="46"/>
      <c r="W2173" s="46"/>
      <c r="X2173" s="46"/>
    </row>
    <row r="2174" spans="1:24" ht="15.75" customHeight="1" thickBot="1" x14ac:dyDescent="0.35">
      <c r="A2174" s="40"/>
      <c r="V2174" s="46"/>
      <c r="W2174" s="46"/>
      <c r="X2174" s="46"/>
    </row>
    <row r="2175" spans="1:24" ht="15.75" customHeight="1" thickBot="1" x14ac:dyDescent="0.35">
      <c r="A2175" s="40"/>
      <c r="V2175" s="46"/>
      <c r="W2175" s="46"/>
      <c r="X2175" s="46"/>
    </row>
    <row r="2176" spans="1:24" ht="15.75" customHeight="1" thickBot="1" x14ac:dyDescent="0.35">
      <c r="A2176" s="40"/>
      <c r="V2176" s="46"/>
      <c r="W2176" s="46"/>
      <c r="X2176" s="46"/>
    </row>
    <row r="2177" spans="1:24" ht="15.75" customHeight="1" thickBot="1" x14ac:dyDescent="0.35">
      <c r="A2177" s="40"/>
      <c r="V2177" s="46"/>
      <c r="W2177" s="46"/>
      <c r="X2177" s="46"/>
    </row>
    <row r="2178" spans="1:24" ht="15.75" customHeight="1" thickBot="1" x14ac:dyDescent="0.35">
      <c r="A2178" s="40"/>
      <c r="V2178" s="46"/>
      <c r="W2178" s="46"/>
      <c r="X2178" s="46"/>
    </row>
    <row r="2179" spans="1:24" ht="15.75" customHeight="1" thickBot="1" x14ac:dyDescent="0.35">
      <c r="A2179" s="40"/>
      <c r="V2179" s="46"/>
      <c r="W2179" s="46"/>
      <c r="X2179" s="46"/>
    </row>
    <row r="2180" spans="1:24" ht="15.75" customHeight="1" thickBot="1" x14ac:dyDescent="0.35">
      <c r="A2180" s="40"/>
      <c r="V2180" s="46"/>
      <c r="W2180" s="46"/>
      <c r="X2180" s="46"/>
    </row>
    <row r="2181" spans="1:24" ht="15.75" customHeight="1" thickBot="1" x14ac:dyDescent="0.35">
      <c r="A2181" s="40"/>
      <c r="V2181" s="46"/>
      <c r="W2181" s="46"/>
      <c r="X2181" s="46"/>
    </row>
    <row r="2182" spans="1:24" ht="15.75" customHeight="1" thickBot="1" x14ac:dyDescent="0.35">
      <c r="A2182" s="40"/>
      <c r="V2182" s="46"/>
      <c r="W2182" s="46"/>
      <c r="X2182" s="46"/>
    </row>
    <row r="2183" spans="1:24" ht="15.75" customHeight="1" thickBot="1" x14ac:dyDescent="0.35">
      <c r="A2183" s="40"/>
      <c r="V2183" s="46"/>
      <c r="W2183" s="46"/>
      <c r="X2183" s="46"/>
    </row>
    <row r="2184" spans="1:24" ht="15.75" customHeight="1" thickBot="1" x14ac:dyDescent="0.35">
      <c r="A2184" s="40"/>
      <c r="V2184" s="46"/>
      <c r="W2184" s="46"/>
      <c r="X2184" s="46"/>
    </row>
    <row r="2185" spans="1:24" ht="15.75" customHeight="1" thickBot="1" x14ac:dyDescent="0.35">
      <c r="A2185" s="40"/>
      <c r="V2185" s="46"/>
      <c r="W2185" s="46"/>
      <c r="X2185" s="46"/>
    </row>
    <row r="2186" spans="1:24" ht="15.75" customHeight="1" thickBot="1" x14ac:dyDescent="0.35">
      <c r="A2186" s="40"/>
      <c r="V2186" s="46"/>
      <c r="W2186" s="46"/>
      <c r="X2186" s="46"/>
    </row>
    <row r="2187" spans="1:24" ht="15.75" customHeight="1" thickBot="1" x14ac:dyDescent="0.35">
      <c r="A2187" s="40"/>
      <c r="V2187" s="46"/>
      <c r="W2187" s="46"/>
      <c r="X2187" s="46"/>
    </row>
    <row r="2188" spans="1:24" ht="15.75" customHeight="1" thickBot="1" x14ac:dyDescent="0.35">
      <c r="A2188" s="40"/>
      <c r="V2188" s="46"/>
      <c r="W2188" s="46"/>
      <c r="X2188" s="46"/>
    </row>
    <row r="2189" spans="1:24" ht="15.75" customHeight="1" thickBot="1" x14ac:dyDescent="0.35">
      <c r="A2189" s="40"/>
      <c r="V2189" s="46"/>
      <c r="W2189" s="46"/>
      <c r="X2189" s="46"/>
    </row>
    <row r="2190" spans="1:24" ht="15.75" customHeight="1" thickBot="1" x14ac:dyDescent="0.35">
      <c r="A2190" s="40"/>
      <c r="V2190" s="46"/>
      <c r="W2190" s="46"/>
      <c r="X2190" s="46"/>
    </row>
    <row r="2191" spans="1:24" ht="15.75" customHeight="1" thickBot="1" x14ac:dyDescent="0.35">
      <c r="A2191" s="40"/>
      <c r="V2191" s="46"/>
      <c r="W2191" s="46"/>
      <c r="X2191" s="46"/>
    </row>
    <row r="2192" spans="1:24" ht="15.75" customHeight="1" thickBot="1" x14ac:dyDescent="0.35">
      <c r="A2192" s="40"/>
      <c r="V2192" s="46"/>
      <c r="W2192" s="46"/>
      <c r="X2192" s="46"/>
    </row>
    <row r="2193" spans="1:24" ht="15.75" customHeight="1" thickBot="1" x14ac:dyDescent="0.35">
      <c r="A2193" s="40"/>
      <c r="V2193" s="46"/>
      <c r="W2193" s="46"/>
      <c r="X2193" s="46"/>
    </row>
    <row r="2194" spans="1:24" ht="15.75" customHeight="1" thickBot="1" x14ac:dyDescent="0.35">
      <c r="A2194" s="40"/>
      <c r="V2194" s="46"/>
      <c r="W2194" s="46"/>
      <c r="X2194" s="46"/>
    </row>
    <row r="2195" spans="1:24" ht="15.75" customHeight="1" thickBot="1" x14ac:dyDescent="0.35">
      <c r="A2195" s="40"/>
      <c r="V2195" s="46"/>
      <c r="W2195" s="46"/>
      <c r="X2195" s="46"/>
    </row>
    <row r="2196" spans="1:24" ht="15.75" customHeight="1" thickBot="1" x14ac:dyDescent="0.35">
      <c r="A2196" s="40"/>
      <c r="V2196" s="46"/>
      <c r="W2196" s="46"/>
      <c r="X2196" s="46"/>
    </row>
    <row r="2197" spans="1:24" ht="15.75" customHeight="1" thickBot="1" x14ac:dyDescent="0.35">
      <c r="A2197" s="40"/>
      <c r="V2197" s="46"/>
      <c r="W2197" s="46"/>
      <c r="X2197" s="46"/>
    </row>
    <row r="2198" spans="1:24" ht="15.75" customHeight="1" thickBot="1" x14ac:dyDescent="0.35">
      <c r="A2198" s="40"/>
      <c r="V2198" s="46"/>
      <c r="W2198" s="46"/>
      <c r="X2198" s="46"/>
    </row>
    <row r="2199" spans="1:24" ht="15.75" customHeight="1" thickBot="1" x14ac:dyDescent="0.35">
      <c r="A2199" s="40"/>
      <c r="V2199" s="46"/>
      <c r="W2199" s="46"/>
      <c r="X2199" s="46"/>
    </row>
    <row r="2200" spans="1:24" ht="15.75" customHeight="1" thickBot="1" x14ac:dyDescent="0.35">
      <c r="A2200" s="40"/>
      <c r="V2200" s="46"/>
      <c r="W2200" s="46"/>
      <c r="X2200" s="46"/>
    </row>
    <row r="2201" spans="1:24" ht="15.75" customHeight="1" thickBot="1" x14ac:dyDescent="0.35">
      <c r="A2201" s="40"/>
      <c r="V2201" s="46"/>
      <c r="W2201" s="46"/>
      <c r="X2201" s="46"/>
    </row>
    <row r="2202" spans="1:24" ht="15.75" customHeight="1" thickBot="1" x14ac:dyDescent="0.35">
      <c r="A2202" s="40"/>
      <c r="V2202" s="46"/>
      <c r="W2202" s="46"/>
      <c r="X2202" s="46"/>
    </row>
    <row r="2203" spans="1:24" ht="15.75" customHeight="1" thickBot="1" x14ac:dyDescent="0.35">
      <c r="A2203" s="40"/>
      <c r="V2203" s="46"/>
      <c r="W2203" s="46"/>
      <c r="X2203" s="46"/>
    </row>
    <row r="2204" spans="1:24" ht="15.75" customHeight="1" thickBot="1" x14ac:dyDescent="0.35">
      <c r="A2204" s="40"/>
      <c r="V2204" s="46"/>
      <c r="W2204" s="46"/>
      <c r="X2204" s="46"/>
    </row>
    <row r="2205" spans="1:24" ht="15.75" customHeight="1" thickBot="1" x14ac:dyDescent="0.35">
      <c r="A2205" s="40"/>
      <c r="V2205" s="46"/>
      <c r="W2205" s="46"/>
      <c r="X2205" s="46"/>
    </row>
    <row r="2206" spans="1:24" ht="15.75" customHeight="1" thickBot="1" x14ac:dyDescent="0.35">
      <c r="A2206" s="40"/>
      <c r="V2206" s="46"/>
      <c r="W2206" s="46"/>
      <c r="X2206" s="46"/>
    </row>
    <row r="2207" spans="1:24" ht="15.75" customHeight="1" thickBot="1" x14ac:dyDescent="0.35">
      <c r="A2207" s="40"/>
      <c r="V2207" s="46"/>
      <c r="W2207" s="46"/>
      <c r="X2207" s="46"/>
    </row>
    <row r="2208" spans="1:24" ht="15.75" customHeight="1" thickBot="1" x14ac:dyDescent="0.35">
      <c r="A2208" s="40"/>
      <c r="V2208" s="46"/>
      <c r="W2208" s="46"/>
      <c r="X2208" s="46"/>
    </row>
    <row r="2209" spans="1:24" ht="15.75" customHeight="1" thickBot="1" x14ac:dyDescent="0.35">
      <c r="A2209" s="40"/>
      <c r="V2209" s="46"/>
      <c r="W2209" s="46"/>
      <c r="X2209" s="46"/>
    </row>
    <row r="2210" spans="1:24" ht="15.75" customHeight="1" thickBot="1" x14ac:dyDescent="0.35">
      <c r="A2210" s="40"/>
      <c r="V2210" s="46"/>
      <c r="W2210" s="46"/>
      <c r="X2210" s="46"/>
    </row>
    <row r="2211" spans="1:24" ht="15.75" customHeight="1" thickBot="1" x14ac:dyDescent="0.35">
      <c r="A2211" s="40"/>
      <c r="V2211" s="46"/>
      <c r="W2211" s="46"/>
      <c r="X2211" s="46"/>
    </row>
    <row r="2212" spans="1:24" ht="15.75" customHeight="1" thickBot="1" x14ac:dyDescent="0.35">
      <c r="A2212" s="64"/>
      <c r="V2212" s="46"/>
      <c r="W2212" s="46"/>
      <c r="X2212" s="46"/>
    </row>
    <row r="2213" spans="1:24" ht="15.75" customHeight="1" thickBot="1" x14ac:dyDescent="0.35">
      <c r="A2213" s="64"/>
      <c r="V2213" s="46"/>
      <c r="W2213" s="46"/>
      <c r="X2213" s="46"/>
    </row>
    <row r="2214" spans="1:24" ht="15.75" customHeight="1" thickBot="1" x14ac:dyDescent="0.35">
      <c r="A2214" s="64"/>
      <c r="V2214" s="46"/>
      <c r="W2214" s="46"/>
      <c r="X2214" s="46"/>
    </row>
    <row r="2215" spans="1:24" ht="15.75" customHeight="1" thickBot="1" x14ac:dyDescent="0.35">
      <c r="A2215" s="64"/>
      <c r="V2215" s="46"/>
      <c r="W2215" s="46"/>
      <c r="X2215" s="46"/>
    </row>
    <row r="2216" spans="1:24" ht="15.75" customHeight="1" thickBot="1" x14ac:dyDescent="0.35">
      <c r="A2216" s="64"/>
      <c r="V2216" s="46"/>
      <c r="W2216" s="46"/>
      <c r="X2216" s="46"/>
    </row>
    <row r="2217" spans="1:24" ht="15.75" customHeight="1" thickBot="1" x14ac:dyDescent="0.35">
      <c r="A2217" s="64"/>
      <c r="V2217" s="46"/>
      <c r="W2217" s="46"/>
      <c r="X2217" s="46"/>
    </row>
    <row r="2218" spans="1:24" ht="15.75" customHeight="1" thickBot="1" x14ac:dyDescent="0.35">
      <c r="A2218" s="64"/>
      <c r="V2218" s="46"/>
      <c r="W2218" s="46"/>
      <c r="X2218" s="46"/>
    </row>
    <row r="2219" spans="1:24" ht="15.75" customHeight="1" thickBot="1" x14ac:dyDescent="0.35">
      <c r="A2219" s="64"/>
      <c r="V2219" s="46"/>
      <c r="W2219" s="46"/>
      <c r="X2219" s="46"/>
    </row>
    <row r="2220" spans="1:24" ht="15.75" customHeight="1" thickBot="1" x14ac:dyDescent="0.35">
      <c r="A2220" s="64"/>
      <c r="V2220" s="46"/>
      <c r="W2220" s="46"/>
      <c r="X2220" s="46"/>
    </row>
    <row r="2221" spans="1:24" ht="15.75" customHeight="1" thickBot="1" x14ac:dyDescent="0.35">
      <c r="A2221" s="64"/>
      <c r="V2221" s="46"/>
      <c r="W2221" s="46"/>
      <c r="X2221" s="46"/>
    </row>
    <row r="2222" spans="1:24" ht="15.75" customHeight="1" thickBot="1" x14ac:dyDescent="0.35">
      <c r="A2222" s="64"/>
      <c r="V2222" s="46"/>
      <c r="W2222" s="46"/>
      <c r="X2222" s="46"/>
    </row>
    <row r="2223" spans="1:24" ht="15.75" customHeight="1" thickBot="1" x14ac:dyDescent="0.35">
      <c r="A2223" s="64"/>
      <c r="V2223" s="46"/>
      <c r="W2223" s="46"/>
      <c r="X2223" s="46"/>
    </row>
    <row r="2224" spans="1:24" ht="15.75" customHeight="1" thickBot="1" x14ac:dyDescent="0.35">
      <c r="A2224" s="40"/>
      <c r="V2224" s="46"/>
      <c r="W2224" s="46"/>
      <c r="X2224" s="46"/>
    </row>
    <row r="2225" spans="1:24" ht="15.75" customHeight="1" thickBot="1" x14ac:dyDescent="0.35">
      <c r="A2225" s="64"/>
      <c r="V2225" s="46"/>
      <c r="W2225" s="46"/>
      <c r="X2225" s="46"/>
    </row>
    <row r="2226" spans="1:24" ht="15.75" customHeight="1" thickBot="1" x14ac:dyDescent="0.35">
      <c r="A2226" s="64"/>
      <c r="V2226" s="46"/>
      <c r="W2226" s="46"/>
      <c r="X2226" s="46"/>
    </row>
    <row r="2227" spans="1:24" ht="15.75" customHeight="1" thickBot="1" x14ac:dyDescent="0.35">
      <c r="A2227" s="40"/>
      <c r="V2227" s="46"/>
      <c r="W2227" s="46"/>
      <c r="X2227" s="46"/>
    </row>
    <row r="2228" spans="1:24" ht="15.75" customHeight="1" thickBot="1" x14ac:dyDescent="0.35">
      <c r="A2228" s="40"/>
      <c r="V2228" s="46"/>
      <c r="W2228" s="46"/>
      <c r="X2228" s="46"/>
    </row>
    <row r="2229" spans="1:24" ht="15.75" customHeight="1" thickBot="1" x14ac:dyDescent="0.35">
      <c r="A2229" s="40"/>
      <c r="V2229" s="46"/>
      <c r="W2229" s="46"/>
      <c r="X2229" s="46"/>
    </row>
    <row r="2230" spans="1:24" ht="15.75" customHeight="1" thickBot="1" x14ac:dyDescent="0.35">
      <c r="A2230" s="40"/>
      <c r="V2230" s="46"/>
      <c r="W2230" s="46"/>
      <c r="X2230" s="46"/>
    </row>
    <row r="2231" spans="1:24" ht="15.75" customHeight="1" thickBot="1" x14ac:dyDescent="0.35">
      <c r="A2231" s="40"/>
      <c r="V2231" s="46"/>
      <c r="W2231" s="46"/>
      <c r="X2231" s="46"/>
    </row>
    <row r="2232" spans="1:24" ht="15.75" customHeight="1" thickBot="1" x14ac:dyDescent="0.35">
      <c r="A2232" s="40"/>
      <c r="V2232" s="46"/>
      <c r="W2232" s="46"/>
      <c r="X2232" s="46"/>
    </row>
    <row r="2233" spans="1:24" ht="15.75" customHeight="1" thickBot="1" x14ac:dyDescent="0.35">
      <c r="A2233" s="40"/>
      <c r="V2233" s="46"/>
      <c r="W2233" s="46"/>
      <c r="X2233" s="46"/>
    </row>
    <row r="2234" spans="1:24" ht="15.75" customHeight="1" thickBot="1" x14ac:dyDescent="0.35">
      <c r="A2234" s="40"/>
      <c r="V2234" s="46"/>
      <c r="W2234" s="46"/>
      <c r="X2234" s="46"/>
    </row>
    <row r="2235" spans="1:24" ht="15.75" customHeight="1" thickBot="1" x14ac:dyDescent="0.35">
      <c r="A2235" s="40"/>
      <c r="V2235" s="46"/>
      <c r="W2235" s="46"/>
      <c r="X2235" s="46"/>
    </row>
    <row r="2236" spans="1:24" ht="15.75" customHeight="1" thickBot="1" x14ac:dyDescent="0.35">
      <c r="A2236" s="40"/>
      <c r="V2236" s="46"/>
      <c r="W2236" s="46"/>
      <c r="X2236" s="46"/>
    </row>
    <row r="2237" spans="1:24" ht="15.75" customHeight="1" thickBot="1" x14ac:dyDescent="0.35">
      <c r="A2237" s="40"/>
      <c r="V2237" s="46"/>
      <c r="W2237" s="46"/>
      <c r="X2237" s="46"/>
    </row>
    <row r="2238" spans="1:24" ht="15.75" customHeight="1" thickBot="1" x14ac:dyDescent="0.35">
      <c r="A2238" s="40"/>
      <c r="V2238" s="46"/>
      <c r="W2238" s="46"/>
      <c r="X2238" s="46"/>
    </row>
    <row r="2239" spans="1:24" ht="15.75" customHeight="1" thickBot="1" x14ac:dyDescent="0.35">
      <c r="A2239" s="40"/>
      <c r="V2239" s="46"/>
      <c r="W2239" s="46"/>
      <c r="X2239" s="46"/>
    </row>
    <row r="2240" spans="1:24" ht="15.75" customHeight="1" thickBot="1" x14ac:dyDescent="0.35">
      <c r="A2240" s="40"/>
      <c r="V2240" s="46"/>
      <c r="W2240" s="46"/>
      <c r="X2240" s="46"/>
    </row>
    <row r="2241" spans="1:24" ht="15.75" customHeight="1" thickBot="1" x14ac:dyDescent="0.35">
      <c r="A2241" s="40"/>
      <c r="V2241" s="46"/>
      <c r="W2241" s="46"/>
      <c r="X2241" s="46"/>
    </row>
    <row r="2242" spans="1:24" ht="15.75" customHeight="1" thickBot="1" x14ac:dyDescent="0.35">
      <c r="A2242" s="40"/>
      <c r="V2242" s="46"/>
      <c r="W2242" s="46"/>
      <c r="X2242" s="46"/>
    </row>
    <row r="2243" spans="1:24" ht="15.75" customHeight="1" thickBot="1" x14ac:dyDescent="0.35">
      <c r="A2243" s="40"/>
      <c r="V2243" s="46"/>
      <c r="W2243" s="46"/>
      <c r="X2243" s="46"/>
    </row>
    <row r="2244" spans="1:24" ht="15.75" customHeight="1" thickBot="1" x14ac:dyDescent="0.35">
      <c r="A2244" s="40"/>
      <c r="V2244" s="46"/>
      <c r="W2244" s="46"/>
      <c r="X2244" s="46"/>
    </row>
    <row r="2245" spans="1:24" ht="15.75" customHeight="1" thickBot="1" x14ac:dyDescent="0.35">
      <c r="A2245" s="40"/>
      <c r="V2245" s="46"/>
      <c r="W2245" s="46"/>
      <c r="X2245" s="46"/>
    </row>
    <row r="2246" spans="1:24" ht="15.75" customHeight="1" thickBot="1" x14ac:dyDescent="0.35">
      <c r="A2246" s="40"/>
      <c r="V2246" s="46"/>
      <c r="W2246" s="46"/>
      <c r="X2246" s="46"/>
    </row>
    <row r="2247" spans="1:24" ht="15.75" customHeight="1" thickBot="1" x14ac:dyDescent="0.35">
      <c r="A2247" s="40"/>
      <c r="V2247" s="46"/>
      <c r="W2247" s="46"/>
      <c r="X2247" s="46"/>
    </row>
    <row r="2248" spans="1:24" ht="15.75" customHeight="1" thickBot="1" x14ac:dyDescent="0.35">
      <c r="A2248" s="40"/>
      <c r="V2248" s="46"/>
      <c r="W2248" s="46"/>
      <c r="X2248" s="46"/>
    </row>
    <row r="2249" spans="1:24" ht="15.75" customHeight="1" thickBot="1" x14ac:dyDescent="0.35">
      <c r="A2249" s="40"/>
      <c r="V2249" s="46"/>
      <c r="W2249" s="46"/>
      <c r="X2249" s="46"/>
    </row>
    <row r="2250" spans="1:24" ht="15.75" customHeight="1" thickBot="1" x14ac:dyDescent="0.35">
      <c r="A2250" s="40"/>
      <c r="V2250" s="46"/>
      <c r="W2250" s="46"/>
      <c r="X2250" s="46"/>
    </row>
    <row r="2251" spans="1:24" ht="15.75" customHeight="1" thickBot="1" x14ac:dyDescent="0.35">
      <c r="A2251" s="40"/>
      <c r="V2251" s="46"/>
      <c r="W2251" s="46"/>
      <c r="X2251" s="46"/>
    </row>
    <row r="2252" spans="1:24" ht="15.75" customHeight="1" thickBot="1" x14ac:dyDescent="0.35">
      <c r="A2252" s="40"/>
      <c r="V2252" s="46"/>
      <c r="W2252" s="46"/>
      <c r="X2252" s="46"/>
    </row>
    <row r="2253" spans="1:24" ht="15.75" customHeight="1" thickBot="1" x14ac:dyDescent="0.35">
      <c r="A2253" s="40"/>
      <c r="V2253" s="46"/>
      <c r="W2253" s="46"/>
      <c r="X2253" s="46"/>
    </row>
    <row r="2254" spans="1:24" ht="15.75" customHeight="1" thickBot="1" x14ac:dyDescent="0.35">
      <c r="A2254" s="40"/>
      <c r="V2254" s="46"/>
      <c r="W2254" s="46"/>
      <c r="X2254" s="46"/>
    </row>
    <row r="2255" spans="1:24" ht="15.75" customHeight="1" thickBot="1" x14ac:dyDescent="0.35">
      <c r="A2255" s="40"/>
      <c r="V2255" s="46"/>
      <c r="W2255" s="46"/>
      <c r="X2255" s="46"/>
    </row>
    <row r="2256" spans="1:24" ht="15.75" customHeight="1" thickBot="1" x14ac:dyDescent="0.35">
      <c r="A2256" s="40"/>
      <c r="V2256" s="46"/>
      <c r="W2256" s="46"/>
      <c r="X2256" s="46"/>
    </row>
    <row r="2257" spans="1:24" ht="15.75" customHeight="1" thickBot="1" x14ac:dyDescent="0.35">
      <c r="A2257" s="64"/>
      <c r="V2257" s="46"/>
      <c r="W2257" s="46"/>
      <c r="X2257" s="46"/>
    </row>
    <row r="2258" spans="1:24" ht="15.75" customHeight="1" thickBot="1" x14ac:dyDescent="0.35">
      <c r="A2258" s="64"/>
      <c r="V2258" s="46"/>
      <c r="W2258" s="46"/>
      <c r="X2258" s="46"/>
    </row>
    <row r="2259" spans="1:24" ht="15.75" customHeight="1" thickBot="1" x14ac:dyDescent="0.35">
      <c r="A2259" s="64"/>
      <c r="V2259" s="46"/>
      <c r="W2259" s="46"/>
      <c r="X2259" s="46"/>
    </row>
    <row r="2260" spans="1:24" ht="15.75" customHeight="1" thickBot="1" x14ac:dyDescent="0.35">
      <c r="A2260" s="64"/>
      <c r="V2260" s="46"/>
      <c r="W2260" s="46"/>
      <c r="X2260" s="46"/>
    </row>
    <row r="2261" spans="1:24" ht="15.75" customHeight="1" thickBot="1" x14ac:dyDescent="0.35">
      <c r="A2261" s="64"/>
      <c r="V2261" s="46"/>
      <c r="W2261" s="46"/>
      <c r="X2261" s="46"/>
    </row>
    <row r="2262" spans="1:24" ht="15.75" customHeight="1" thickBot="1" x14ac:dyDescent="0.35">
      <c r="A2262" s="64"/>
      <c r="V2262" s="46"/>
      <c r="W2262" s="46"/>
      <c r="X2262" s="46"/>
    </row>
    <row r="2263" spans="1:24" ht="15.75" customHeight="1" thickBot="1" x14ac:dyDescent="0.35">
      <c r="A2263" s="64"/>
      <c r="V2263" s="46"/>
      <c r="W2263" s="46"/>
      <c r="X2263" s="46"/>
    </row>
    <row r="2264" spans="1:24" ht="15.75" customHeight="1" thickBot="1" x14ac:dyDescent="0.35">
      <c r="A2264" s="64"/>
      <c r="V2264" s="46"/>
      <c r="W2264" s="46"/>
      <c r="X2264" s="46"/>
    </row>
    <row r="2265" spans="1:24" ht="15.75" customHeight="1" thickBot="1" x14ac:dyDescent="0.35">
      <c r="A2265" s="64"/>
      <c r="V2265" s="46"/>
      <c r="W2265" s="46"/>
      <c r="X2265" s="46"/>
    </row>
    <row r="2266" spans="1:24" ht="15.75" customHeight="1" thickBot="1" x14ac:dyDescent="0.35">
      <c r="A2266" s="64"/>
      <c r="V2266" s="46"/>
      <c r="W2266" s="46"/>
      <c r="X2266" s="46"/>
    </row>
    <row r="2267" spans="1:24" ht="15.75" customHeight="1" thickBot="1" x14ac:dyDescent="0.35">
      <c r="A2267" s="64"/>
      <c r="V2267" s="46"/>
      <c r="W2267" s="46"/>
      <c r="X2267" s="46"/>
    </row>
    <row r="2268" spans="1:24" ht="15.75" customHeight="1" thickBot="1" x14ac:dyDescent="0.35">
      <c r="A2268" s="64"/>
      <c r="V2268" s="46"/>
      <c r="W2268" s="46"/>
      <c r="X2268" s="46"/>
    </row>
    <row r="2269" spans="1:24" ht="15.75" customHeight="1" thickBot="1" x14ac:dyDescent="0.35">
      <c r="A2269" s="40"/>
      <c r="V2269" s="46"/>
      <c r="W2269" s="46"/>
      <c r="X2269" s="46"/>
    </row>
    <row r="2270" spans="1:24" ht="15.75" customHeight="1" thickBot="1" x14ac:dyDescent="0.35">
      <c r="A2270" s="40"/>
      <c r="V2270" s="46"/>
      <c r="W2270" s="46"/>
      <c r="X2270" s="46"/>
    </row>
    <row r="2271" spans="1:24" ht="15.75" customHeight="1" thickBot="1" x14ac:dyDescent="0.35">
      <c r="A2271" s="40"/>
      <c r="V2271" s="46"/>
      <c r="W2271" s="46"/>
      <c r="X2271" s="46"/>
    </row>
    <row r="2272" spans="1:24" ht="15.75" customHeight="1" thickBot="1" x14ac:dyDescent="0.35">
      <c r="A2272" s="40"/>
      <c r="V2272" s="46"/>
      <c r="W2272" s="46"/>
      <c r="X2272" s="46"/>
    </row>
    <row r="2273" spans="1:24" ht="15.75" customHeight="1" thickBot="1" x14ac:dyDescent="0.35">
      <c r="A2273" s="40"/>
      <c r="V2273" s="46"/>
      <c r="W2273" s="46"/>
      <c r="X2273" s="46"/>
    </row>
    <row r="2274" spans="1:24" ht="15.75" customHeight="1" thickBot="1" x14ac:dyDescent="0.35">
      <c r="A2274" s="40"/>
      <c r="V2274" s="46"/>
      <c r="W2274" s="46"/>
      <c r="X2274" s="46"/>
    </row>
    <row r="2275" spans="1:24" ht="15.75" customHeight="1" thickBot="1" x14ac:dyDescent="0.35">
      <c r="A2275" s="40"/>
      <c r="V2275" s="46"/>
      <c r="W2275" s="46"/>
      <c r="X2275" s="46"/>
    </row>
    <row r="2276" spans="1:24" ht="15.75" customHeight="1" thickBot="1" x14ac:dyDescent="0.35">
      <c r="A2276" s="40"/>
      <c r="V2276" s="46"/>
      <c r="W2276" s="46"/>
      <c r="X2276" s="46"/>
    </row>
    <row r="2277" spans="1:24" ht="15.75" customHeight="1" thickBot="1" x14ac:dyDescent="0.35">
      <c r="A2277" s="40"/>
      <c r="V2277" s="46"/>
      <c r="W2277" s="46"/>
      <c r="X2277" s="46"/>
    </row>
    <row r="2278" spans="1:24" ht="15.75" customHeight="1" thickBot="1" x14ac:dyDescent="0.35">
      <c r="A2278" s="40"/>
      <c r="V2278" s="46"/>
      <c r="W2278" s="46"/>
      <c r="X2278" s="46"/>
    </row>
    <row r="2279" spans="1:24" ht="15.75" customHeight="1" thickBot="1" x14ac:dyDescent="0.35">
      <c r="A2279" s="40"/>
      <c r="V2279" s="46"/>
      <c r="W2279" s="46"/>
      <c r="X2279" s="46"/>
    </row>
    <row r="2280" spans="1:24" ht="15.75" customHeight="1" thickBot="1" x14ac:dyDescent="0.35">
      <c r="A2280" s="64"/>
      <c r="V2280" s="46"/>
      <c r="W2280" s="46"/>
      <c r="X2280" s="46"/>
    </row>
    <row r="2281" spans="1:24" ht="15.75" customHeight="1" thickBot="1" x14ac:dyDescent="0.35">
      <c r="A2281" s="64"/>
      <c r="V2281" s="46"/>
      <c r="W2281" s="46"/>
      <c r="X2281" s="46"/>
    </row>
    <row r="2282" spans="1:24" ht="15.75" customHeight="1" thickBot="1" x14ac:dyDescent="0.35">
      <c r="A2282" s="64"/>
      <c r="V2282" s="46"/>
      <c r="W2282" s="46"/>
      <c r="X2282" s="46"/>
    </row>
    <row r="2283" spans="1:24" ht="15.75" customHeight="1" thickBot="1" x14ac:dyDescent="0.35">
      <c r="A2283" s="64"/>
      <c r="V2283" s="46"/>
      <c r="W2283" s="46"/>
      <c r="X2283" s="46"/>
    </row>
    <row r="2284" spans="1:24" ht="15.75" customHeight="1" thickBot="1" x14ac:dyDescent="0.35">
      <c r="A2284" s="64"/>
      <c r="V2284" s="46"/>
      <c r="W2284" s="46"/>
      <c r="X2284" s="46"/>
    </row>
    <row r="2285" spans="1:24" ht="15.75" customHeight="1" thickBot="1" x14ac:dyDescent="0.35">
      <c r="A2285" s="64"/>
      <c r="V2285" s="46"/>
      <c r="W2285" s="46"/>
      <c r="X2285" s="46"/>
    </row>
    <row r="2286" spans="1:24" ht="15.75" customHeight="1" thickBot="1" x14ac:dyDescent="0.35">
      <c r="A2286" s="64"/>
      <c r="V2286" s="46"/>
      <c r="W2286" s="46"/>
      <c r="X2286" s="46"/>
    </row>
    <row r="2287" spans="1:24" ht="15.75" customHeight="1" thickBot="1" x14ac:dyDescent="0.35">
      <c r="A2287" s="64"/>
      <c r="V2287" s="46"/>
      <c r="W2287" s="46"/>
      <c r="X2287" s="46"/>
    </row>
    <row r="2288" spans="1:24" ht="15.75" customHeight="1" thickBot="1" x14ac:dyDescent="0.35">
      <c r="A2288" s="64"/>
      <c r="V2288" s="46"/>
      <c r="W2288" s="46"/>
      <c r="X2288" s="46"/>
    </row>
    <row r="2289" spans="1:24" ht="15.75" customHeight="1" thickBot="1" x14ac:dyDescent="0.35">
      <c r="A2289" s="64"/>
      <c r="V2289" s="46"/>
      <c r="W2289" s="46"/>
      <c r="X2289" s="46"/>
    </row>
    <row r="2290" spans="1:24" ht="15.75" customHeight="1" thickBot="1" x14ac:dyDescent="0.35">
      <c r="A2290" s="40"/>
      <c r="V2290" s="46"/>
      <c r="W2290" s="46"/>
      <c r="X2290" s="46"/>
    </row>
    <row r="2291" spans="1:24" ht="15.75" customHeight="1" thickBot="1" x14ac:dyDescent="0.35">
      <c r="A2291" s="40"/>
      <c r="V2291" s="46"/>
      <c r="W2291" s="46"/>
      <c r="X2291" s="46"/>
    </row>
    <row r="2292" spans="1:24" ht="15.75" customHeight="1" thickBot="1" x14ac:dyDescent="0.35">
      <c r="A2292" s="40"/>
      <c r="V2292" s="46"/>
      <c r="W2292" s="46"/>
      <c r="X2292" s="46"/>
    </row>
    <row r="2293" spans="1:24" ht="15.75" customHeight="1" thickBot="1" x14ac:dyDescent="0.35">
      <c r="A2293" s="40"/>
      <c r="V2293" s="46"/>
      <c r="W2293" s="46"/>
      <c r="X2293" s="46"/>
    </row>
    <row r="2294" spans="1:24" ht="15.75" customHeight="1" thickBot="1" x14ac:dyDescent="0.35">
      <c r="A2294" s="40"/>
      <c r="V2294" s="46"/>
      <c r="W2294" s="46"/>
      <c r="X2294" s="46"/>
    </row>
    <row r="2295" spans="1:24" ht="15.75" customHeight="1" thickBot="1" x14ac:dyDescent="0.35">
      <c r="A2295" s="40"/>
      <c r="V2295" s="46"/>
      <c r="W2295" s="46"/>
      <c r="X2295" s="46"/>
    </row>
    <row r="2296" spans="1:24" ht="15.75" customHeight="1" thickBot="1" x14ac:dyDescent="0.35">
      <c r="A2296" s="40"/>
      <c r="V2296" s="46"/>
      <c r="W2296" s="46"/>
      <c r="X2296" s="46"/>
    </row>
    <row r="2297" spans="1:24" ht="15.75" customHeight="1" thickBot="1" x14ac:dyDescent="0.35">
      <c r="A2297" s="40"/>
      <c r="V2297" s="46"/>
      <c r="W2297" s="46"/>
      <c r="X2297" s="46"/>
    </row>
    <row r="2298" spans="1:24" ht="15.75" customHeight="1" thickBot="1" x14ac:dyDescent="0.35">
      <c r="A2298" s="40"/>
      <c r="V2298" s="46"/>
      <c r="W2298" s="46"/>
      <c r="X2298" s="46"/>
    </row>
    <row r="2299" spans="1:24" ht="15.75" customHeight="1" thickBot="1" x14ac:dyDescent="0.35">
      <c r="A2299" s="40"/>
      <c r="V2299" s="46"/>
      <c r="W2299" s="46"/>
      <c r="X2299" s="46"/>
    </row>
    <row r="2300" spans="1:24" ht="15.75" customHeight="1" thickBot="1" x14ac:dyDescent="0.35">
      <c r="A2300" s="40"/>
      <c r="V2300" s="46"/>
      <c r="W2300" s="46"/>
      <c r="X2300" s="46"/>
    </row>
    <row r="2301" spans="1:24" ht="15.75" customHeight="1" thickBot="1" x14ac:dyDescent="0.35">
      <c r="A2301" s="40"/>
      <c r="V2301" s="46"/>
      <c r="W2301" s="46"/>
      <c r="X2301" s="46"/>
    </row>
    <row r="2302" spans="1:24" ht="15.75" customHeight="1" thickBot="1" x14ac:dyDescent="0.35">
      <c r="A2302" s="64"/>
      <c r="V2302" s="46"/>
      <c r="W2302" s="46"/>
      <c r="X2302" s="46"/>
    </row>
    <row r="2303" spans="1:24" ht="15.75" customHeight="1" thickBot="1" x14ac:dyDescent="0.35">
      <c r="A2303" s="40"/>
      <c r="B2303" s="55"/>
      <c r="C2303" s="55"/>
      <c r="D2303" s="41"/>
      <c r="E2303" s="55"/>
      <c r="F2303" s="55"/>
      <c r="G2303" s="55"/>
      <c r="H2303" s="51"/>
      <c r="I2303" s="52"/>
      <c r="J2303" s="74"/>
      <c r="K2303" s="57"/>
      <c r="L2303" s="59"/>
      <c r="M2303" s="60"/>
      <c r="N2303" s="63"/>
      <c r="O2303" s="42"/>
      <c r="P2303" s="58"/>
      <c r="Q2303" s="61"/>
      <c r="R2303" s="62"/>
      <c r="S2303" s="43">
        <f t="shared" ref="S2303:S2312" si="81">M2303*N2303</f>
        <v>0</v>
      </c>
      <c r="T2303" s="44" t="str">
        <f t="shared" ref="T2303:T2312" si="82">CONCATENATE(S2303,Q2303,P2303)</f>
        <v>0</v>
      </c>
      <c r="U2303" s="45">
        <f t="shared" ref="U2303:U2312" si="83">L2303*M2303</f>
        <v>0</v>
      </c>
      <c r="V2303" s="46"/>
      <c r="W2303" s="46"/>
      <c r="X2303" s="46"/>
    </row>
    <row r="2304" spans="1:24" ht="15.75" customHeight="1" thickBot="1" x14ac:dyDescent="0.35">
      <c r="A2304" s="40"/>
      <c r="B2304" s="55"/>
      <c r="C2304" s="55"/>
      <c r="D2304" s="41"/>
      <c r="E2304" s="55"/>
      <c r="F2304" s="55"/>
      <c r="G2304" s="55"/>
      <c r="H2304" s="51"/>
      <c r="I2304" s="52"/>
      <c r="J2304" s="74"/>
      <c r="K2304" s="57"/>
      <c r="L2304" s="59"/>
      <c r="M2304" s="60"/>
      <c r="N2304" s="63"/>
      <c r="O2304" s="42"/>
      <c r="P2304" s="58"/>
      <c r="Q2304" s="61"/>
      <c r="R2304" s="62"/>
      <c r="S2304" s="43">
        <f t="shared" si="81"/>
        <v>0</v>
      </c>
      <c r="T2304" s="44" t="str">
        <f t="shared" si="82"/>
        <v>0</v>
      </c>
      <c r="U2304" s="45">
        <f t="shared" si="83"/>
        <v>0</v>
      </c>
      <c r="V2304" s="46"/>
      <c r="W2304" s="46"/>
      <c r="X2304" s="46"/>
    </row>
    <row r="2305" spans="1:24" ht="15.75" customHeight="1" thickBot="1" x14ac:dyDescent="0.35">
      <c r="A2305" s="40"/>
      <c r="B2305" s="55"/>
      <c r="C2305" s="55"/>
      <c r="D2305" s="41"/>
      <c r="E2305" s="55"/>
      <c r="F2305" s="55"/>
      <c r="G2305" s="55"/>
      <c r="H2305" s="51"/>
      <c r="I2305" s="52"/>
      <c r="J2305" s="74"/>
      <c r="K2305" s="57"/>
      <c r="L2305" s="59"/>
      <c r="M2305" s="60"/>
      <c r="N2305" s="63"/>
      <c r="O2305" s="42"/>
      <c r="P2305" s="58"/>
      <c r="Q2305" s="61"/>
      <c r="R2305" s="62"/>
      <c r="S2305" s="43">
        <f t="shared" si="81"/>
        <v>0</v>
      </c>
      <c r="T2305" s="44" t="str">
        <f t="shared" si="82"/>
        <v>0</v>
      </c>
      <c r="U2305" s="45">
        <f t="shared" si="83"/>
        <v>0</v>
      </c>
      <c r="V2305" s="46"/>
      <c r="W2305" s="46"/>
      <c r="X2305" s="46"/>
    </row>
    <row r="2306" spans="1:24" ht="15.75" customHeight="1" thickBot="1" x14ac:dyDescent="0.35">
      <c r="A2306" s="64"/>
      <c r="B2306" s="55"/>
      <c r="C2306" s="55"/>
      <c r="D2306" s="41"/>
      <c r="E2306" s="55"/>
      <c r="F2306" s="55"/>
      <c r="G2306" s="55"/>
      <c r="H2306" s="51"/>
      <c r="I2306" s="52"/>
      <c r="J2306" s="74"/>
      <c r="K2306" s="57"/>
      <c r="L2306" s="59"/>
      <c r="M2306" s="60"/>
      <c r="N2306" s="63"/>
      <c r="O2306" s="42"/>
      <c r="P2306" s="58"/>
      <c r="Q2306" s="61"/>
      <c r="R2306" s="62"/>
      <c r="S2306" s="43">
        <f t="shared" si="81"/>
        <v>0</v>
      </c>
      <c r="T2306" s="44" t="str">
        <f t="shared" si="82"/>
        <v>0</v>
      </c>
      <c r="U2306" s="45">
        <f t="shared" si="83"/>
        <v>0</v>
      </c>
      <c r="V2306" s="46"/>
      <c r="W2306" s="46"/>
      <c r="X2306" s="46"/>
    </row>
    <row r="2307" spans="1:24" ht="15.75" customHeight="1" thickBot="1" x14ac:dyDescent="0.35">
      <c r="A2307" s="64"/>
      <c r="B2307" s="55"/>
      <c r="C2307" s="55"/>
      <c r="D2307" s="41"/>
      <c r="E2307" s="55"/>
      <c r="F2307" s="55"/>
      <c r="G2307" s="55"/>
      <c r="H2307" s="51"/>
      <c r="I2307" s="52"/>
      <c r="J2307" s="74"/>
      <c r="K2307" s="57"/>
      <c r="L2307" s="59"/>
      <c r="M2307" s="60"/>
      <c r="N2307" s="63"/>
      <c r="O2307" s="42"/>
      <c r="P2307" s="58"/>
      <c r="Q2307" s="61"/>
      <c r="R2307" s="62"/>
      <c r="S2307" s="43">
        <f t="shared" si="81"/>
        <v>0</v>
      </c>
      <c r="T2307" s="44" t="str">
        <f t="shared" si="82"/>
        <v>0</v>
      </c>
      <c r="U2307" s="45">
        <f t="shared" si="83"/>
        <v>0</v>
      </c>
      <c r="V2307" s="46"/>
      <c r="W2307" s="46"/>
      <c r="X2307" s="46"/>
    </row>
    <row r="2308" spans="1:24" ht="15.75" customHeight="1" thickBot="1" x14ac:dyDescent="0.35">
      <c r="A2308" s="64"/>
      <c r="B2308" s="55"/>
      <c r="C2308" s="55"/>
      <c r="D2308" s="41"/>
      <c r="E2308" s="55"/>
      <c r="F2308" s="55"/>
      <c r="G2308" s="55"/>
      <c r="H2308" s="51"/>
      <c r="I2308" s="52"/>
      <c r="J2308" s="74"/>
      <c r="K2308" s="57"/>
      <c r="L2308" s="59"/>
      <c r="M2308" s="60"/>
      <c r="N2308" s="63"/>
      <c r="O2308" s="42"/>
      <c r="P2308" s="58"/>
      <c r="Q2308" s="61"/>
      <c r="R2308" s="62"/>
      <c r="S2308" s="43">
        <f t="shared" si="81"/>
        <v>0</v>
      </c>
      <c r="T2308" s="44" t="str">
        <f t="shared" si="82"/>
        <v>0</v>
      </c>
      <c r="U2308" s="45">
        <f t="shared" si="83"/>
        <v>0</v>
      </c>
      <c r="V2308" s="46"/>
      <c r="W2308" s="46"/>
      <c r="X2308" s="46"/>
    </row>
    <row r="2309" spans="1:24" ht="15.75" customHeight="1" thickBot="1" x14ac:dyDescent="0.35">
      <c r="A2309" s="40"/>
      <c r="B2309" s="55"/>
      <c r="C2309" s="55"/>
      <c r="D2309" s="41"/>
      <c r="E2309" s="55"/>
      <c r="F2309" s="55"/>
      <c r="G2309" s="55"/>
      <c r="H2309" s="51"/>
      <c r="I2309" s="52"/>
      <c r="J2309" s="74"/>
      <c r="K2309" s="57"/>
      <c r="L2309" s="59"/>
      <c r="M2309" s="60"/>
      <c r="N2309" s="63"/>
      <c r="O2309" s="42"/>
      <c r="P2309" s="58"/>
      <c r="Q2309" s="61"/>
      <c r="R2309" s="62"/>
      <c r="S2309" s="43">
        <f t="shared" si="81"/>
        <v>0</v>
      </c>
      <c r="T2309" s="44" t="str">
        <f t="shared" si="82"/>
        <v>0</v>
      </c>
      <c r="U2309" s="45">
        <f t="shared" si="83"/>
        <v>0</v>
      </c>
      <c r="V2309" s="46"/>
      <c r="W2309" s="46"/>
      <c r="X2309" s="46"/>
    </row>
    <row r="2310" spans="1:24" ht="15.75" customHeight="1" thickBot="1" x14ac:dyDescent="0.35">
      <c r="A2310" s="40"/>
      <c r="B2310" s="55"/>
      <c r="C2310" s="55"/>
      <c r="D2310" s="41"/>
      <c r="E2310" s="55"/>
      <c r="F2310" s="55"/>
      <c r="G2310" s="55"/>
      <c r="H2310" s="51"/>
      <c r="I2310" s="52"/>
      <c r="J2310" s="74"/>
      <c r="K2310" s="57"/>
      <c r="L2310" s="59"/>
      <c r="M2310" s="60"/>
      <c r="N2310" s="63"/>
      <c r="O2310" s="42"/>
      <c r="P2310" s="58"/>
      <c r="Q2310" s="61"/>
      <c r="R2310" s="62"/>
      <c r="S2310" s="43">
        <f t="shared" si="81"/>
        <v>0</v>
      </c>
      <c r="T2310" s="44" t="str">
        <f t="shared" si="82"/>
        <v>0</v>
      </c>
      <c r="U2310" s="45">
        <f t="shared" si="83"/>
        <v>0</v>
      </c>
      <c r="V2310" s="46"/>
      <c r="W2310" s="46"/>
      <c r="X2310" s="46"/>
    </row>
    <row r="2311" spans="1:24" ht="15.75" customHeight="1" thickBot="1" x14ac:dyDescent="0.35">
      <c r="A2311" s="40"/>
      <c r="B2311" s="55"/>
      <c r="C2311" s="55"/>
      <c r="D2311" s="41"/>
      <c r="E2311" s="55"/>
      <c r="F2311" s="55"/>
      <c r="G2311" s="55"/>
      <c r="H2311" s="51"/>
      <c r="I2311" s="52"/>
      <c r="J2311" s="74"/>
      <c r="K2311" s="57"/>
      <c r="L2311" s="59"/>
      <c r="M2311" s="60"/>
      <c r="N2311" s="63"/>
      <c r="O2311" s="42"/>
      <c r="P2311" s="58"/>
      <c r="Q2311" s="61"/>
      <c r="R2311" s="62"/>
      <c r="S2311" s="43">
        <f t="shared" si="81"/>
        <v>0</v>
      </c>
      <c r="T2311" s="44" t="str">
        <f t="shared" si="82"/>
        <v>0</v>
      </c>
      <c r="U2311" s="45">
        <f t="shared" si="83"/>
        <v>0</v>
      </c>
      <c r="V2311" s="46"/>
      <c r="W2311" s="46"/>
      <c r="X2311" s="46"/>
    </row>
    <row r="2312" spans="1:24" ht="15.75" customHeight="1" thickBot="1" x14ac:dyDescent="0.35">
      <c r="A2312" s="40"/>
      <c r="B2312" s="55"/>
      <c r="C2312" s="55"/>
      <c r="D2312" s="41"/>
      <c r="E2312" s="55"/>
      <c r="F2312" s="55"/>
      <c r="G2312" s="55"/>
      <c r="H2312" s="51"/>
      <c r="I2312" s="52"/>
      <c r="J2312" s="74"/>
      <c r="K2312" s="57"/>
      <c r="L2312" s="59"/>
      <c r="M2312" s="60"/>
      <c r="N2312" s="63"/>
      <c r="O2312" s="42"/>
      <c r="P2312" s="58"/>
      <c r="Q2312" s="61"/>
      <c r="R2312" s="62"/>
      <c r="S2312" s="43">
        <f t="shared" si="81"/>
        <v>0</v>
      </c>
      <c r="T2312" s="44" t="str">
        <f t="shared" si="82"/>
        <v>0</v>
      </c>
      <c r="U2312" s="45">
        <f t="shared" si="83"/>
        <v>0</v>
      </c>
      <c r="V2312" s="46"/>
      <c r="W2312" s="46"/>
      <c r="X2312" s="46"/>
    </row>
    <row r="2313" spans="1:24" ht="15.75" customHeight="1" thickBot="1" x14ac:dyDescent="0.35">
      <c r="A2313" s="40"/>
      <c r="B2313" s="55"/>
      <c r="C2313" s="55"/>
      <c r="D2313" s="41"/>
      <c r="E2313" s="55"/>
      <c r="F2313" s="55"/>
      <c r="G2313" s="55"/>
      <c r="H2313" s="51"/>
      <c r="I2313" s="52"/>
      <c r="J2313" s="74"/>
      <c r="K2313" s="57"/>
      <c r="L2313" s="59"/>
      <c r="M2313" s="60"/>
      <c r="N2313" s="63"/>
      <c r="O2313" s="42"/>
      <c r="P2313" s="58"/>
      <c r="Q2313" s="61"/>
      <c r="R2313" s="62"/>
      <c r="S2313" s="43">
        <f t="shared" ref="S2313:S2376" si="84">M2313*N2313</f>
        <v>0</v>
      </c>
      <c r="T2313" s="44" t="str">
        <f t="shared" ref="T2313:T2376" si="85">CONCATENATE(S2313,Q2313,P2313)</f>
        <v>0</v>
      </c>
      <c r="U2313" s="45">
        <f t="shared" ref="U2313:U2376" si="86">L2313*M2313</f>
        <v>0</v>
      </c>
      <c r="V2313" s="46"/>
      <c r="W2313" s="46"/>
      <c r="X2313" s="46"/>
    </row>
    <row r="2314" spans="1:24" ht="15.75" customHeight="1" thickBot="1" x14ac:dyDescent="0.35">
      <c r="A2314" s="40"/>
      <c r="B2314" s="55"/>
      <c r="C2314" s="55"/>
      <c r="D2314" s="41"/>
      <c r="E2314" s="55"/>
      <c r="F2314" s="55"/>
      <c r="G2314" s="55"/>
      <c r="H2314" s="51"/>
      <c r="I2314" s="52"/>
      <c r="J2314" s="74"/>
      <c r="K2314" s="57"/>
      <c r="L2314" s="59"/>
      <c r="M2314" s="60"/>
      <c r="N2314" s="63"/>
      <c r="O2314" s="42"/>
      <c r="P2314" s="58"/>
      <c r="Q2314" s="61"/>
      <c r="R2314" s="62"/>
      <c r="S2314" s="43">
        <f t="shared" si="84"/>
        <v>0</v>
      </c>
      <c r="T2314" s="44" t="str">
        <f t="shared" si="85"/>
        <v>0</v>
      </c>
      <c r="U2314" s="45">
        <f t="shared" si="86"/>
        <v>0</v>
      </c>
      <c r="V2314" s="46"/>
      <c r="W2314" s="46"/>
      <c r="X2314" s="46"/>
    </row>
    <row r="2315" spans="1:24" ht="15.75" customHeight="1" thickBot="1" x14ac:dyDescent="0.35">
      <c r="A2315" s="40"/>
      <c r="B2315" s="55"/>
      <c r="C2315" s="55"/>
      <c r="D2315" s="41"/>
      <c r="E2315" s="55"/>
      <c r="F2315" s="55"/>
      <c r="G2315" s="55"/>
      <c r="H2315" s="51"/>
      <c r="I2315" s="52"/>
      <c r="J2315" s="74"/>
      <c r="K2315" s="57"/>
      <c r="L2315" s="59"/>
      <c r="M2315" s="60"/>
      <c r="N2315" s="63"/>
      <c r="O2315" s="42"/>
      <c r="P2315" s="58"/>
      <c r="Q2315" s="61"/>
      <c r="R2315" s="62"/>
      <c r="S2315" s="43">
        <f t="shared" si="84"/>
        <v>0</v>
      </c>
      <c r="T2315" s="44" t="str">
        <f t="shared" si="85"/>
        <v>0</v>
      </c>
      <c r="U2315" s="45">
        <f t="shared" si="86"/>
        <v>0</v>
      </c>
      <c r="V2315" s="46"/>
      <c r="W2315" s="46"/>
      <c r="X2315" s="46"/>
    </row>
    <row r="2316" spans="1:24" ht="15.75" customHeight="1" thickBot="1" x14ac:dyDescent="0.35">
      <c r="A2316" s="64"/>
      <c r="B2316" s="55"/>
      <c r="C2316" s="55"/>
      <c r="D2316" s="41"/>
      <c r="E2316" s="55"/>
      <c r="F2316" s="55"/>
      <c r="G2316" s="55"/>
      <c r="H2316" s="51"/>
      <c r="I2316" s="52"/>
      <c r="J2316" s="74"/>
      <c r="K2316" s="57"/>
      <c r="L2316" s="59"/>
      <c r="M2316" s="60"/>
      <c r="N2316" s="63"/>
      <c r="O2316" s="42"/>
      <c r="P2316" s="58"/>
      <c r="Q2316" s="61"/>
      <c r="R2316" s="62"/>
      <c r="S2316" s="43">
        <f t="shared" si="84"/>
        <v>0</v>
      </c>
      <c r="T2316" s="44" t="str">
        <f t="shared" si="85"/>
        <v>0</v>
      </c>
      <c r="U2316" s="45">
        <f t="shared" si="86"/>
        <v>0</v>
      </c>
      <c r="V2316" s="46"/>
      <c r="W2316" s="46"/>
      <c r="X2316" s="46"/>
    </row>
    <row r="2317" spans="1:24" ht="15.75" customHeight="1" thickBot="1" x14ac:dyDescent="0.35">
      <c r="A2317" s="40"/>
      <c r="B2317" s="55"/>
      <c r="C2317" s="55"/>
      <c r="D2317" s="41"/>
      <c r="E2317" s="55"/>
      <c r="F2317" s="55"/>
      <c r="G2317" s="55"/>
      <c r="H2317" s="51"/>
      <c r="I2317" s="52"/>
      <c r="J2317" s="74"/>
      <c r="K2317" s="57"/>
      <c r="L2317" s="59"/>
      <c r="M2317" s="60"/>
      <c r="N2317" s="63"/>
      <c r="O2317" s="42"/>
      <c r="P2317" s="58"/>
      <c r="Q2317" s="61"/>
      <c r="R2317" s="62"/>
      <c r="S2317" s="43">
        <f t="shared" si="84"/>
        <v>0</v>
      </c>
      <c r="T2317" s="44" t="str">
        <f t="shared" si="85"/>
        <v>0</v>
      </c>
      <c r="U2317" s="45">
        <f t="shared" si="86"/>
        <v>0</v>
      </c>
      <c r="V2317" s="46"/>
      <c r="W2317" s="46"/>
      <c r="X2317" s="46"/>
    </row>
    <row r="2318" spans="1:24" ht="15.75" customHeight="1" thickBot="1" x14ac:dyDescent="0.35">
      <c r="A2318" s="40"/>
      <c r="B2318" s="55"/>
      <c r="C2318" s="55"/>
      <c r="D2318" s="41"/>
      <c r="E2318" s="55"/>
      <c r="F2318" s="55"/>
      <c r="G2318" s="55"/>
      <c r="H2318" s="51"/>
      <c r="I2318" s="52"/>
      <c r="J2318" s="74"/>
      <c r="K2318" s="57"/>
      <c r="L2318" s="59"/>
      <c r="M2318" s="60"/>
      <c r="N2318" s="63"/>
      <c r="O2318" s="42"/>
      <c r="P2318" s="58"/>
      <c r="Q2318" s="61"/>
      <c r="R2318" s="62"/>
      <c r="S2318" s="43">
        <f t="shared" si="84"/>
        <v>0</v>
      </c>
      <c r="T2318" s="44" t="str">
        <f t="shared" si="85"/>
        <v>0</v>
      </c>
      <c r="U2318" s="45">
        <f t="shared" si="86"/>
        <v>0</v>
      </c>
      <c r="V2318" s="46"/>
      <c r="W2318" s="46"/>
      <c r="X2318" s="46"/>
    </row>
    <row r="2319" spans="1:24" ht="15.75" customHeight="1" thickBot="1" x14ac:dyDescent="0.35">
      <c r="A2319" s="40"/>
      <c r="B2319" s="55"/>
      <c r="C2319" s="55"/>
      <c r="D2319" s="41"/>
      <c r="E2319" s="55"/>
      <c r="F2319" s="55"/>
      <c r="G2319" s="55"/>
      <c r="H2319" s="51"/>
      <c r="I2319" s="52"/>
      <c r="J2319" s="74"/>
      <c r="K2319" s="57"/>
      <c r="L2319" s="59"/>
      <c r="M2319" s="60"/>
      <c r="N2319" s="63"/>
      <c r="O2319" s="42"/>
      <c r="P2319" s="58"/>
      <c r="Q2319" s="61"/>
      <c r="R2319" s="62"/>
      <c r="S2319" s="43">
        <f t="shared" si="84"/>
        <v>0</v>
      </c>
      <c r="T2319" s="44" t="str">
        <f t="shared" si="85"/>
        <v>0</v>
      </c>
      <c r="U2319" s="45">
        <f t="shared" si="86"/>
        <v>0</v>
      </c>
      <c r="V2319" s="46"/>
      <c r="W2319" s="46"/>
      <c r="X2319" s="46"/>
    </row>
    <row r="2320" spans="1:24" ht="15.75" customHeight="1" thickBot="1" x14ac:dyDescent="0.35">
      <c r="A2320" s="40"/>
      <c r="B2320" s="55"/>
      <c r="C2320" s="55"/>
      <c r="D2320" s="41"/>
      <c r="E2320" s="55"/>
      <c r="F2320" s="55"/>
      <c r="G2320" s="55"/>
      <c r="H2320" s="51"/>
      <c r="I2320" s="52"/>
      <c r="J2320" s="74"/>
      <c r="K2320" s="57"/>
      <c r="L2320" s="59"/>
      <c r="M2320" s="60"/>
      <c r="N2320" s="63"/>
      <c r="O2320" s="42"/>
      <c r="P2320" s="58"/>
      <c r="Q2320" s="61"/>
      <c r="R2320" s="62"/>
      <c r="S2320" s="43">
        <f t="shared" si="84"/>
        <v>0</v>
      </c>
      <c r="T2320" s="44" t="str">
        <f t="shared" si="85"/>
        <v>0</v>
      </c>
      <c r="U2320" s="45">
        <f t="shared" si="86"/>
        <v>0</v>
      </c>
      <c r="V2320" s="46"/>
      <c r="W2320" s="46"/>
      <c r="X2320" s="46"/>
    </row>
    <row r="2321" spans="1:24" ht="15.75" customHeight="1" thickBot="1" x14ac:dyDescent="0.35">
      <c r="A2321" s="40"/>
      <c r="B2321" s="55"/>
      <c r="C2321" s="55"/>
      <c r="D2321" s="41"/>
      <c r="E2321" s="55"/>
      <c r="F2321" s="55"/>
      <c r="G2321" s="55"/>
      <c r="H2321" s="51"/>
      <c r="I2321" s="52"/>
      <c r="J2321" s="74"/>
      <c r="K2321" s="57"/>
      <c r="L2321" s="59"/>
      <c r="M2321" s="60"/>
      <c r="N2321" s="63"/>
      <c r="O2321" s="42"/>
      <c r="P2321" s="58"/>
      <c r="Q2321" s="61"/>
      <c r="R2321" s="62"/>
      <c r="S2321" s="43">
        <f t="shared" si="84"/>
        <v>0</v>
      </c>
      <c r="T2321" s="44" t="str">
        <f t="shared" si="85"/>
        <v>0</v>
      </c>
      <c r="U2321" s="45">
        <f t="shared" si="86"/>
        <v>0</v>
      </c>
      <c r="V2321" s="46"/>
      <c r="W2321" s="46"/>
      <c r="X2321" s="46"/>
    </row>
    <row r="2322" spans="1:24" ht="15.75" customHeight="1" thickBot="1" x14ac:dyDescent="0.35">
      <c r="A2322" s="64"/>
      <c r="B2322" s="55"/>
      <c r="C2322" s="55"/>
      <c r="D2322" s="41"/>
      <c r="E2322" s="55"/>
      <c r="F2322" s="55"/>
      <c r="G2322" s="55"/>
      <c r="H2322" s="51"/>
      <c r="I2322" s="52"/>
      <c r="J2322" s="74"/>
      <c r="K2322" s="57"/>
      <c r="L2322" s="59"/>
      <c r="M2322" s="60"/>
      <c r="N2322" s="63"/>
      <c r="O2322" s="42"/>
      <c r="P2322" s="58"/>
      <c r="Q2322" s="61"/>
      <c r="R2322" s="62"/>
      <c r="S2322" s="43">
        <f t="shared" si="84"/>
        <v>0</v>
      </c>
      <c r="T2322" s="44" t="str">
        <f t="shared" si="85"/>
        <v>0</v>
      </c>
      <c r="U2322" s="45">
        <f t="shared" si="86"/>
        <v>0</v>
      </c>
      <c r="V2322" s="46"/>
      <c r="W2322" s="46"/>
      <c r="X2322" s="46"/>
    </row>
    <row r="2323" spans="1:24" ht="15.75" customHeight="1" thickBot="1" x14ac:dyDescent="0.35">
      <c r="A2323" s="40"/>
      <c r="B2323" s="55"/>
      <c r="C2323" s="55"/>
      <c r="D2323" s="41"/>
      <c r="E2323" s="55"/>
      <c r="F2323" s="55"/>
      <c r="G2323" s="55"/>
      <c r="H2323" s="51"/>
      <c r="I2323" s="52"/>
      <c r="J2323" s="74"/>
      <c r="K2323" s="57"/>
      <c r="L2323" s="59"/>
      <c r="M2323" s="60"/>
      <c r="N2323" s="63"/>
      <c r="O2323" s="42"/>
      <c r="P2323" s="58"/>
      <c r="Q2323" s="61"/>
      <c r="R2323" s="62"/>
      <c r="S2323" s="43">
        <f t="shared" si="84"/>
        <v>0</v>
      </c>
      <c r="T2323" s="44" t="str">
        <f t="shared" si="85"/>
        <v>0</v>
      </c>
      <c r="U2323" s="45">
        <f t="shared" si="86"/>
        <v>0</v>
      </c>
      <c r="V2323" s="46"/>
      <c r="W2323" s="46"/>
      <c r="X2323" s="46"/>
    </row>
    <row r="2324" spans="1:24" ht="15.75" customHeight="1" thickBot="1" x14ac:dyDescent="0.35">
      <c r="A2324" s="40"/>
      <c r="B2324" s="55"/>
      <c r="C2324" s="55"/>
      <c r="D2324" s="41"/>
      <c r="E2324" s="55"/>
      <c r="F2324" s="55"/>
      <c r="G2324" s="55"/>
      <c r="H2324" s="51"/>
      <c r="I2324" s="52"/>
      <c r="J2324" s="74"/>
      <c r="K2324" s="57"/>
      <c r="L2324" s="59"/>
      <c r="M2324" s="60"/>
      <c r="N2324" s="63"/>
      <c r="O2324" s="42"/>
      <c r="P2324" s="58"/>
      <c r="Q2324" s="61"/>
      <c r="R2324" s="62"/>
      <c r="S2324" s="43">
        <f t="shared" si="84"/>
        <v>0</v>
      </c>
      <c r="T2324" s="44" t="str">
        <f t="shared" si="85"/>
        <v>0</v>
      </c>
      <c r="U2324" s="45">
        <f t="shared" si="86"/>
        <v>0</v>
      </c>
      <c r="V2324" s="46"/>
      <c r="W2324" s="46"/>
      <c r="X2324" s="46"/>
    </row>
    <row r="2325" spans="1:24" ht="15.75" customHeight="1" thickBot="1" x14ac:dyDescent="0.35">
      <c r="A2325" s="40"/>
      <c r="B2325" s="55"/>
      <c r="C2325" s="55"/>
      <c r="D2325" s="41"/>
      <c r="E2325" s="55"/>
      <c r="F2325" s="55"/>
      <c r="G2325" s="55"/>
      <c r="H2325" s="51"/>
      <c r="I2325" s="52"/>
      <c r="J2325" s="74"/>
      <c r="K2325" s="57"/>
      <c r="L2325" s="59"/>
      <c r="M2325" s="60"/>
      <c r="N2325" s="63"/>
      <c r="O2325" s="42"/>
      <c r="P2325" s="58"/>
      <c r="Q2325" s="61"/>
      <c r="R2325" s="62"/>
      <c r="S2325" s="43">
        <f t="shared" si="84"/>
        <v>0</v>
      </c>
      <c r="T2325" s="44" t="str">
        <f t="shared" si="85"/>
        <v>0</v>
      </c>
      <c r="U2325" s="45">
        <f t="shared" si="86"/>
        <v>0</v>
      </c>
      <c r="V2325" s="46"/>
      <c r="W2325" s="46"/>
      <c r="X2325" s="46"/>
    </row>
    <row r="2326" spans="1:24" ht="15.75" customHeight="1" thickBot="1" x14ac:dyDescent="0.35">
      <c r="A2326" s="40"/>
      <c r="B2326" s="55"/>
      <c r="C2326" s="55"/>
      <c r="D2326" s="41"/>
      <c r="E2326" s="55"/>
      <c r="F2326" s="55"/>
      <c r="G2326" s="55"/>
      <c r="H2326" s="51"/>
      <c r="I2326" s="52"/>
      <c r="J2326" s="74"/>
      <c r="K2326" s="57"/>
      <c r="L2326" s="59"/>
      <c r="M2326" s="60"/>
      <c r="N2326" s="63"/>
      <c r="O2326" s="42"/>
      <c r="P2326" s="58"/>
      <c r="Q2326" s="61"/>
      <c r="R2326" s="62"/>
      <c r="S2326" s="43">
        <f t="shared" si="84"/>
        <v>0</v>
      </c>
      <c r="T2326" s="44" t="str">
        <f t="shared" si="85"/>
        <v>0</v>
      </c>
      <c r="U2326" s="45">
        <f t="shared" si="86"/>
        <v>0</v>
      </c>
      <c r="V2326" s="46"/>
      <c r="W2326" s="46"/>
      <c r="X2326" s="46"/>
    </row>
    <row r="2327" spans="1:24" ht="15.75" customHeight="1" thickBot="1" x14ac:dyDescent="0.35">
      <c r="A2327" s="40"/>
      <c r="B2327" s="55"/>
      <c r="C2327" s="55"/>
      <c r="D2327" s="41"/>
      <c r="E2327" s="55"/>
      <c r="F2327" s="55"/>
      <c r="G2327" s="55"/>
      <c r="H2327" s="51"/>
      <c r="I2327" s="52"/>
      <c r="J2327" s="74"/>
      <c r="K2327" s="57"/>
      <c r="L2327" s="59"/>
      <c r="M2327" s="60"/>
      <c r="N2327" s="63"/>
      <c r="O2327" s="42"/>
      <c r="P2327" s="58"/>
      <c r="Q2327" s="61"/>
      <c r="R2327" s="62"/>
      <c r="S2327" s="43">
        <f t="shared" si="84"/>
        <v>0</v>
      </c>
      <c r="T2327" s="44" t="str">
        <f t="shared" si="85"/>
        <v>0</v>
      </c>
      <c r="U2327" s="45">
        <f t="shared" si="86"/>
        <v>0</v>
      </c>
      <c r="V2327" s="46"/>
      <c r="W2327" s="46"/>
      <c r="X2327" s="46"/>
    </row>
    <row r="2328" spans="1:24" ht="15.75" customHeight="1" thickBot="1" x14ac:dyDescent="0.35">
      <c r="A2328" s="40"/>
      <c r="B2328" s="55"/>
      <c r="C2328" s="55"/>
      <c r="D2328" s="41"/>
      <c r="E2328" s="55"/>
      <c r="F2328" s="55"/>
      <c r="G2328" s="55"/>
      <c r="H2328" s="51"/>
      <c r="I2328" s="52"/>
      <c r="J2328" s="74"/>
      <c r="K2328" s="57"/>
      <c r="L2328" s="59"/>
      <c r="M2328" s="60"/>
      <c r="N2328" s="63"/>
      <c r="O2328" s="42"/>
      <c r="P2328" s="58"/>
      <c r="Q2328" s="61"/>
      <c r="R2328" s="62"/>
      <c r="S2328" s="43">
        <f t="shared" si="84"/>
        <v>0</v>
      </c>
      <c r="T2328" s="44" t="str">
        <f t="shared" si="85"/>
        <v>0</v>
      </c>
      <c r="U2328" s="45">
        <f t="shared" si="86"/>
        <v>0</v>
      </c>
      <c r="V2328" s="46"/>
      <c r="W2328" s="46"/>
      <c r="X2328" s="46"/>
    </row>
    <row r="2329" spans="1:24" ht="15.75" customHeight="1" thickBot="1" x14ac:dyDescent="0.35">
      <c r="A2329" s="40"/>
      <c r="B2329" s="55"/>
      <c r="C2329" s="55"/>
      <c r="D2329" s="41"/>
      <c r="E2329" s="55"/>
      <c r="F2329" s="55"/>
      <c r="G2329" s="55"/>
      <c r="H2329" s="51"/>
      <c r="I2329" s="52"/>
      <c r="J2329" s="74"/>
      <c r="K2329" s="57"/>
      <c r="L2329" s="59"/>
      <c r="M2329" s="60"/>
      <c r="N2329" s="63"/>
      <c r="O2329" s="42"/>
      <c r="P2329" s="58"/>
      <c r="Q2329" s="61"/>
      <c r="R2329" s="62"/>
      <c r="S2329" s="43">
        <f t="shared" si="84"/>
        <v>0</v>
      </c>
      <c r="T2329" s="44" t="str">
        <f t="shared" si="85"/>
        <v>0</v>
      </c>
      <c r="U2329" s="45">
        <f t="shared" si="86"/>
        <v>0</v>
      </c>
      <c r="V2329" s="46"/>
      <c r="W2329" s="46"/>
      <c r="X2329" s="46"/>
    </row>
    <row r="2330" spans="1:24" ht="15.75" customHeight="1" thickBot="1" x14ac:dyDescent="0.35">
      <c r="A2330" s="40"/>
      <c r="B2330" s="55"/>
      <c r="C2330" s="55"/>
      <c r="D2330" s="41"/>
      <c r="E2330" s="55"/>
      <c r="F2330" s="55"/>
      <c r="G2330" s="55"/>
      <c r="H2330" s="51"/>
      <c r="I2330" s="52"/>
      <c r="J2330" s="74"/>
      <c r="K2330" s="57"/>
      <c r="L2330" s="59"/>
      <c r="M2330" s="60"/>
      <c r="N2330" s="63"/>
      <c r="O2330" s="42"/>
      <c r="P2330" s="58"/>
      <c r="Q2330" s="61"/>
      <c r="R2330" s="62"/>
      <c r="S2330" s="43">
        <f t="shared" si="84"/>
        <v>0</v>
      </c>
      <c r="T2330" s="44" t="str">
        <f t="shared" si="85"/>
        <v>0</v>
      </c>
      <c r="U2330" s="45">
        <f t="shared" si="86"/>
        <v>0</v>
      </c>
      <c r="V2330" s="46"/>
      <c r="W2330" s="46"/>
      <c r="X2330" s="46"/>
    </row>
    <row r="2331" spans="1:24" ht="15.75" customHeight="1" thickBot="1" x14ac:dyDescent="0.35">
      <c r="A2331" s="40"/>
      <c r="B2331" s="55"/>
      <c r="C2331" s="55"/>
      <c r="D2331" s="41"/>
      <c r="E2331" s="55"/>
      <c r="F2331" s="55"/>
      <c r="G2331" s="55"/>
      <c r="H2331" s="51"/>
      <c r="I2331" s="52"/>
      <c r="J2331" s="74"/>
      <c r="K2331" s="57"/>
      <c r="L2331" s="59"/>
      <c r="M2331" s="60"/>
      <c r="N2331" s="63"/>
      <c r="O2331" s="42"/>
      <c r="P2331" s="58"/>
      <c r="Q2331" s="61"/>
      <c r="R2331" s="62"/>
      <c r="S2331" s="43">
        <f t="shared" si="84"/>
        <v>0</v>
      </c>
      <c r="T2331" s="44" t="str">
        <f t="shared" si="85"/>
        <v>0</v>
      </c>
      <c r="U2331" s="45">
        <f t="shared" si="86"/>
        <v>0</v>
      </c>
      <c r="V2331" s="46"/>
      <c r="W2331" s="46"/>
      <c r="X2331" s="46"/>
    </row>
    <row r="2332" spans="1:24" ht="15.75" customHeight="1" thickBot="1" x14ac:dyDescent="0.35">
      <c r="A2332" s="40"/>
      <c r="B2332" s="55"/>
      <c r="C2332" s="55"/>
      <c r="D2332" s="41"/>
      <c r="E2332" s="55"/>
      <c r="F2332" s="55"/>
      <c r="G2332" s="55"/>
      <c r="H2332" s="51"/>
      <c r="I2332" s="52"/>
      <c r="J2332" s="74"/>
      <c r="K2332" s="57"/>
      <c r="L2332" s="59"/>
      <c r="M2332" s="60"/>
      <c r="N2332" s="63"/>
      <c r="O2332" s="42"/>
      <c r="P2332" s="58"/>
      <c r="Q2332" s="61"/>
      <c r="R2332" s="62"/>
      <c r="S2332" s="43">
        <f t="shared" si="84"/>
        <v>0</v>
      </c>
      <c r="T2332" s="44" t="str">
        <f t="shared" si="85"/>
        <v>0</v>
      </c>
      <c r="U2332" s="45">
        <f t="shared" si="86"/>
        <v>0</v>
      </c>
      <c r="V2332" s="46"/>
      <c r="W2332" s="46"/>
      <c r="X2332" s="46"/>
    </row>
    <row r="2333" spans="1:24" ht="15.75" customHeight="1" thickBot="1" x14ac:dyDescent="0.35">
      <c r="A2333" s="40"/>
      <c r="B2333" s="55"/>
      <c r="C2333" s="55"/>
      <c r="D2333" s="41"/>
      <c r="E2333" s="55"/>
      <c r="F2333" s="55"/>
      <c r="G2333" s="55"/>
      <c r="H2333" s="51"/>
      <c r="I2333" s="52"/>
      <c r="J2333" s="74"/>
      <c r="K2333" s="57"/>
      <c r="L2333" s="59"/>
      <c r="M2333" s="60"/>
      <c r="N2333" s="63"/>
      <c r="O2333" s="42"/>
      <c r="P2333" s="58"/>
      <c r="Q2333" s="61"/>
      <c r="R2333" s="62"/>
      <c r="S2333" s="43">
        <f t="shared" si="84"/>
        <v>0</v>
      </c>
      <c r="T2333" s="44" t="str">
        <f t="shared" si="85"/>
        <v>0</v>
      </c>
      <c r="U2333" s="45">
        <f t="shared" si="86"/>
        <v>0</v>
      </c>
      <c r="V2333" s="46"/>
      <c r="W2333" s="46"/>
      <c r="X2333" s="46"/>
    </row>
    <row r="2334" spans="1:24" ht="15.75" customHeight="1" thickBot="1" x14ac:dyDescent="0.35">
      <c r="A2334" s="40"/>
      <c r="B2334" s="55"/>
      <c r="C2334" s="55"/>
      <c r="D2334" s="41"/>
      <c r="E2334" s="55"/>
      <c r="F2334" s="55"/>
      <c r="G2334" s="55"/>
      <c r="H2334" s="51"/>
      <c r="I2334" s="52"/>
      <c r="J2334" s="74"/>
      <c r="K2334" s="57"/>
      <c r="L2334" s="59"/>
      <c r="M2334" s="60"/>
      <c r="N2334" s="63"/>
      <c r="O2334" s="42"/>
      <c r="P2334" s="58"/>
      <c r="Q2334" s="61"/>
      <c r="R2334" s="62"/>
      <c r="S2334" s="43">
        <f t="shared" si="84"/>
        <v>0</v>
      </c>
      <c r="T2334" s="44" t="str">
        <f t="shared" si="85"/>
        <v>0</v>
      </c>
      <c r="U2334" s="45">
        <f t="shared" si="86"/>
        <v>0</v>
      </c>
      <c r="V2334" s="46"/>
      <c r="W2334" s="46"/>
      <c r="X2334" s="46"/>
    </row>
    <row r="2335" spans="1:24" ht="15.75" customHeight="1" thickBot="1" x14ac:dyDescent="0.35">
      <c r="A2335" s="40"/>
      <c r="B2335" s="55"/>
      <c r="C2335" s="55"/>
      <c r="D2335" s="41"/>
      <c r="E2335" s="55"/>
      <c r="F2335" s="55"/>
      <c r="G2335" s="55"/>
      <c r="H2335" s="51"/>
      <c r="I2335" s="52"/>
      <c r="J2335" s="74"/>
      <c r="K2335" s="57"/>
      <c r="L2335" s="59"/>
      <c r="M2335" s="60"/>
      <c r="N2335" s="63"/>
      <c r="O2335" s="42"/>
      <c r="P2335" s="58"/>
      <c r="Q2335" s="61"/>
      <c r="R2335" s="62"/>
      <c r="S2335" s="43">
        <f t="shared" si="84"/>
        <v>0</v>
      </c>
      <c r="T2335" s="44" t="str">
        <f t="shared" si="85"/>
        <v>0</v>
      </c>
      <c r="U2335" s="45">
        <f t="shared" si="86"/>
        <v>0</v>
      </c>
      <c r="V2335" s="46"/>
      <c r="W2335" s="46"/>
      <c r="X2335" s="46"/>
    </row>
    <row r="2336" spans="1:24" ht="15.75" customHeight="1" thickBot="1" x14ac:dyDescent="0.35">
      <c r="A2336" s="40"/>
      <c r="B2336" s="55"/>
      <c r="C2336" s="55"/>
      <c r="D2336" s="41"/>
      <c r="E2336" s="55"/>
      <c r="F2336" s="55"/>
      <c r="G2336" s="55"/>
      <c r="H2336" s="51"/>
      <c r="I2336" s="52"/>
      <c r="J2336" s="74"/>
      <c r="K2336" s="57"/>
      <c r="L2336" s="59"/>
      <c r="M2336" s="60"/>
      <c r="N2336" s="63"/>
      <c r="O2336" s="42"/>
      <c r="P2336" s="58"/>
      <c r="Q2336" s="61"/>
      <c r="R2336" s="62"/>
      <c r="S2336" s="43">
        <f t="shared" si="84"/>
        <v>0</v>
      </c>
      <c r="T2336" s="44" t="str">
        <f t="shared" si="85"/>
        <v>0</v>
      </c>
      <c r="U2336" s="45">
        <f t="shared" si="86"/>
        <v>0</v>
      </c>
      <c r="V2336" s="46"/>
      <c r="W2336" s="46"/>
      <c r="X2336" s="46"/>
    </row>
    <row r="2337" spans="1:24" ht="15.75" customHeight="1" thickBot="1" x14ac:dyDescent="0.35">
      <c r="A2337" s="40"/>
      <c r="B2337" s="55"/>
      <c r="C2337" s="55"/>
      <c r="D2337" s="41"/>
      <c r="E2337" s="55"/>
      <c r="F2337" s="55"/>
      <c r="G2337" s="55"/>
      <c r="H2337" s="51"/>
      <c r="I2337" s="52"/>
      <c r="J2337" s="74"/>
      <c r="K2337" s="57"/>
      <c r="L2337" s="59"/>
      <c r="M2337" s="60"/>
      <c r="N2337" s="63"/>
      <c r="O2337" s="42"/>
      <c r="P2337" s="58"/>
      <c r="Q2337" s="61"/>
      <c r="R2337" s="62"/>
      <c r="S2337" s="43">
        <f t="shared" si="84"/>
        <v>0</v>
      </c>
      <c r="T2337" s="44" t="str">
        <f t="shared" si="85"/>
        <v>0</v>
      </c>
      <c r="U2337" s="45">
        <f t="shared" si="86"/>
        <v>0</v>
      </c>
      <c r="V2337" s="46"/>
      <c r="W2337" s="46"/>
      <c r="X2337" s="46"/>
    </row>
    <row r="2338" spans="1:24" ht="15.75" customHeight="1" thickBot="1" x14ac:dyDescent="0.35">
      <c r="A2338" s="40"/>
      <c r="B2338" s="55"/>
      <c r="C2338" s="55"/>
      <c r="D2338" s="41"/>
      <c r="E2338" s="55"/>
      <c r="F2338" s="55"/>
      <c r="G2338" s="55"/>
      <c r="H2338" s="51"/>
      <c r="I2338" s="52"/>
      <c r="J2338" s="74"/>
      <c r="K2338" s="57"/>
      <c r="L2338" s="59"/>
      <c r="M2338" s="60"/>
      <c r="N2338" s="63"/>
      <c r="O2338" s="42"/>
      <c r="P2338" s="58"/>
      <c r="Q2338" s="61"/>
      <c r="R2338" s="62"/>
      <c r="S2338" s="43">
        <f t="shared" si="84"/>
        <v>0</v>
      </c>
      <c r="T2338" s="44" t="str">
        <f t="shared" si="85"/>
        <v>0</v>
      </c>
      <c r="U2338" s="45">
        <f t="shared" si="86"/>
        <v>0</v>
      </c>
      <c r="V2338" s="46"/>
      <c r="W2338" s="46"/>
      <c r="X2338" s="46"/>
    </row>
    <row r="2339" spans="1:24" ht="15.75" customHeight="1" thickBot="1" x14ac:dyDescent="0.35">
      <c r="A2339" s="40"/>
      <c r="B2339" s="55"/>
      <c r="C2339" s="55"/>
      <c r="D2339" s="41"/>
      <c r="E2339" s="55"/>
      <c r="F2339" s="55"/>
      <c r="G2339" s="55"/>
      <c r="H2339" s="51"/>
      <c r="I2339" s="52"/>
      <c r="J2339" s="74"/>
      <c r="K2339" s="57"/>
      <c r="L2339" s="59"/>
      <c r="M2339" s="60"/>
      <c r="N2339" s="63"/>
      <c r="O2339" s="42"/>
      <c r="P2339" s="58"/>
      <c r="Q2339" s="61"/>
      <c r="R2339" s="62"/>
      <c r="S2339" s="43">
        <f t="shared" si="84"/>
        <v>0</v>
      </c>
      <c r="T2339" s="44" t="str">
        <f t="shared" si="85"/>
        <v>0</v>
      </c>
      <c r="U2339" s="45">
        <f t="shared" si="86"/>
        <v>0</v>
      </c>
      <c r="V2339" s="46"/>
      <c r="W2339" s="46"/>
      <c r="X2339" s="46"/>
    </row>
    <row r="2340" spans="1:24" ht="15.75" customHeight="1" thickBot="1" x14ac:dyDescent="0.35">
      <c r="A2340" s="40"/>
      <c r="B2340" s="55"/>
      <c r="C2340" s="55"/>
      <c r="D2340" s="41"/>
      <c r="E2340" s="55"/>
      <c r="F2340" s="55"/>
      <c r="G2340" s="55"/>
      <c r="H2340" s="51"/>
      <c r="I2340" s="52"/>
      <c r="J2340" s="74"/>
      <c r="K2340" s="57"/>
      <c r="L2340" s="59"/>
      <c r="M2340" s="60"/>
      <c r="N2340" s="63"/>
      <c r="O2340" s="42"/>
      <c r="P2340" s="58"/>
      <c r="Q2340" s="61"/>
      <c r="R2340" s="62"/>
      <c r="S2340" s="43">
        <f t="shared" si="84"/>
        <v>0</v>
      </c>
      <c r="T2340" s="44" t="str">
        <f t="shared" si="85"/>
        <v>0</v>
      </c>
      <c r="U2340" s="45">
        <f t="shared" si="86"/>
        <v>0</v>
      </c>
      <c r="V2340" s="46"/>
      <c r="W2340" s="46"/>
      <c r="X2340" s="46"/>
    </row>
    <row r="2341" spans="1:24" ht="15.75" customHeight="1" thickBot="1" x14ac:dyDescent="0.35">
      <c r="A2341" s="40"/>
      <c r="B2341" s="55"/>
      <c r="C2341" s="55"/>
      <c r="D2341" s="41"/>
      <c r="E2341" s="55"/>
      <c r="F2341" s="55"/>
      <c r="G2341" s="55"/>
      <c r="H2341" s="51"/>
      <c r="I2341" s="52"/>
      <c r="J2341" s="74"/>
      <c r="K2341" s="57"/>
      <c r="L2341" s="59"/>
      <c r="M2341" s="60"/>
      <c r="N2341" s="63"/>
      <c r="O2341" s="42"/>
      <c r="P2341" s="58"/>
      <c r="Q2341" s="61"/>
      <c r="R2341" s="62"/>
      <c r="S2341" s="43">
        <f t="shared" si="84"/>
        <v>0</v>
      </c>
      <c r="T2341" s="44" t="str">
        <f t="shared" si="85"/>
        <v>0</v>
      </c>
      <c r="U2341" s="45">
        <f t="shared" si="86"/>
        <v>0</v>
      </c>
      <c r="V2341" s="46"/>
      <c r="W2341" s="46"/>
      <c r="X2341" s="46"/>
    </row>
    <row r="2342" spans="1:24" ht="15.75" customHeight="1" thickBot="1" x14ac:dyDescent="0.35">
      <c r="A2342" s="40"/>
      <c r="B2342" s="55"/>
      <c r="C2342" s="55"/>
      <c r="D2342" s="41"/>
      <c r="E2342" s="55"/>
      <c r="F2342" s="55"/>
      <c r="G2342" s="55"/>
      <c r="H2342" s="51"/>
      <c r="I2342" s="52"/>
      <c r="J2342" s="74"/>
      <c r="K2342" s="57"/>
      <c r="L2342" s="59"/>
      <c r="M2342" s="60"/>
      <c r="N2342" s="63"/>
      <c r="O2342" s="42"/>
      <c r="P2342" s="58"/>
      <c r="Q2342" s="61"/>
      <c r="R2342" s="62"/>
      <c r="S2342" s="43">
        <f t="shared" si="84"/>
        <v>0</v>
      </c>
      <c r="T2342" s="44" t="str">
        <f t="shared" si="85"/>
        <v>0</v>
      </c>
      <c r="U2342" s="45">
        <f t="shared" si="86"/>
        <v>0</v>
      </c>
      <c r="V2342" s="46"/>
      <c r="W2342" s="46"/>
      <c r="X2342" s="46"/>
    </row>
    <row r="2343" spans="1:24" ht="15.75" customHeight="1" thickBot="1" x14ac:dyDescent="0.35">
      <c r="A2343" s="40"/>
      <c r="B2343" s="55"/>
      <c r="C2343" s="55"/>
      <c r="D2343" s="41"/>
      <c r="E2343" s="55"/>
      <c r="F2343" s="55"/>
      <c r="G2343" s="55"/>
      <c r="H2343" s="51"/>
      <c r="I2343" s="52"/>
      <c r="J2343" s="74"/>
      <c r="K2343" s="57"/>
      <c r="L2343" s="59"/>
      <c r="M2343" s="60"/>
      <c r="N2343" s="63"/>
      <c r="O2343" s="42"/>
      <c r="P2343" s="58"/>
      <c r="Q2343" s="61"/>
      <c r="R2343" s="62"/>
      <c r="S2343" s="43">
        <f t="shared" si="84"/>
        <v>0</v>
      </c>
      <c r="T2343" s="44" t="str">
        <f t="shared" si="85"/>
        <v>0</v>
      </c>
      <c r="U2343" s="45">
        <f t="shared" si="86"/>
        <v>0</v>
      </c>
      <c r="V2343" s="46"/>
      <c r="W2343" s="46"/>
      <c r="X2343" s="46"/>
    </row>
    <row r="2344" spans="1:24" ht="15.75" customHeight="1" thickBot="1" x14ac:dyDescent="0.35">
      <c r="A2344" s="40"/>
      <c r="B2344" s="55"/>
      <c r="C2344" s="55"/>
      <c r="D2344" s="41"/>
      <c r="E2344" s="55"/>
      <c r="F2344" s="55"/>
      <c r="G2344" s="55"/>
      <c r="H2344" s="51"/>
      <c r="I2344" s="52"/>
      <c r="J2344" s="74"/>
      <c r="K2344" s="57"/>
      <c r="L2344" s="59"/>
      <c r="M2344" s="60"/>
      <c r="N2344" s="63"/>
      <c r="O2344" s="42"/>
      <c r="P2344" s="58"/>
      <c r="Q2344" s="61"/>
      <c r="R2344" s="62"/>
      <c r="S2344" s="43">
        <f t="shared" si="84"/>
        <v>0</v>
      </c>
      <c r="T2344" s="44" t="str">
        <f t="shared" si="85"/>
        <v>0</v>
      </c>
      <c r="U2344" s="45">
        <f t="shared" si="86"/>
        <v>0</v>
      </c>
      <c r="V2344" s="46"/>
      <c r="W2344" s="46"/>
      <c r="X2344" s="46"/>
    </row>
    <row r="2345" spans="1:24" ht="15.75" customHeight="1" thickBot="1" x14ac:dyDescent="0.35">
      <c r="A2345" s="40"/>
      <c r="B2345" s="55"/>
      <c r="C2345" s="55"/>
      <c r="D2345" s="41"/>
      <c r="E2345" s="55"/>
      <c r="F2345" s="55"/>
      <c r="G2345" s="55"/>
      <c r="H2345" s="51"/>
      <c r="I2345" s="52"/>
      <c r="J2345" s="74"/>
      <c r="K2345" s="57"/>
      <c r="L2345" s="59"/>
      <c r="M2345" s="60"/>
      <c r="N2345" s="63"/>
      <c r="O2345" s="42"/>
      <c r="P2345" s="58"/>
      <c r="Q2345" s="61"/>
      <c r="R2345" s="62"/>
      <c r="S2345" s="43">
        <f t="shared" si="84"/>
        <v>0</v>
      </c>
      <c r="T2345" s="44" t="str">
        <f t="shared" si="85"/>
        <v>0</v>
      </c>
      <c r="U2345" s="45">
        <f t="shared" si="86"/>
        <v>0</v>
      </c>
      <c r="V2345" s="46"/>
      <c r="W2345" s="46"/>
      <c r="X2345" s="46"/>
    </row>
    <row r="2346" spans="1:24" ht="15.75" customHeight="1" thickBot="1" x14ac:dyDescent="0.35">
      <c r="A2346" s="40"/>
      <c r="B2346" s="55"/>
      <c r="C2346" s="55"/>
      <c r="D2346" s="41"/>
      <c r="E2346" s="55"/>
      <c r="F2346" s="55"/>
      <c r="G2346" s="55"/>
      <c r="H2346" s="51"/>
      <c r="I2346" s="52"/>
      <c r="J2346" s="74"/>
      <c r="K2346" s="57"/>
      <c r="L2346" s="59"/>
      <c r="M2346" s="60"/>
      <c r="N2346" s="63"/>
      <c r="O2346" s="42"/>
      <c r="P2346" s="58"/>
      <c r="Q2346" s="61"/>
      <c r="R2346" s="62"/>
      <c r="S2346" s="43">
        <f t="shared" si="84"/>
        <v>0</v>
      </c>
      <c r="T2346" s="44" t="str">
        <f t="shared" si="85"/>
        <v>0</v>
      </c>
      <c r="U2346" s="45">
        <f t="shared" si="86"/>
        <v>0</v>
      </c>
      <c r="V2346" s="46"/>
      <c r="W2346" s="46"/>
      <c r="X2346" s="46"/>
    </row>
    <row r="2347" spans="1:24" ht="15.75" customHeight="1" thickBot="1" x14ac:dyDescent="0.35">
      <c r="A2347" s="40"/>
      <c r="B2347" s="55"/>
      <c r="C2347" s="55"/>
      <c r="D2347" s="41"/>
      <c r="E2347" s="55"/>
      <c r="F2347" s="55"/>
      <c r="G2347" s="55"/>
      <c r="H2347" s="51"/>
      <c r="I2347" s="52"/>
      <c r="J2347" s="74"/>
      <c r="K2347" s="57"/>
      <c r="L2347" s="59"/>
      <c r="M2347" s="60"/>
      <c r="N2347" s="63"/>
      <c r="O2347" s="42"/>
      <c r="P2347" s="58"/>
      <c r="Q2347" s="61"/>
      <c r="R2347" s="62"/>
      <c r="S2347" s="43">
        <f t="shared" si="84"/>
        <v>0</v>
      </c>
      <c r="T2347" s="44" t="str">
        <f t="shared" si="85"/>
        <v>0</v>
      </c>
      <c r="U2347" s="45">
        <f t="shared" si="86"/>
        <v>0</v>
      </c>
      <c r="V2347" s="46"/>
      <c r="W2347" s="46"/>
      <c r="X2347" s="46"/>
    </row>
    <row r="2348" spans="1:24" ht="15.75" customHeight="1" thickBot="1" x14ac:dyDescent="0.35">
      <c r="A2348" s="40"/>
      <c r="B2348" s="55"/>
      <c r="C2348" s="55"/>
      <c r="D2348" s="41"/>
      <c r="E2348" s="55"/>
      <c r="F2348" s="55"/>
      <c r="G2348" s="55"/>
      <c r="H2348" s="51"/>
      <c r="I2348" s="52"/>
      <c r="J2348" s="74"/>
      <c r="K2348" s="57"/>
      <c r="L2348" s="59"/>
      <c r="M2348" s="60"/>
      <c r="N2348" s="63"/>
      <c r="O2348" s="42"/>
      <c r="P2348" s="58"/>
      <c r="Q2348" s="61"/>
      <c r="R2348" s="62"/>
      <c r="S2348" s="43">
        <f t="shared" si="84"/>
        <v>0</v>
      </c>
      <c r="T2348" s="44" t="str">
        <f t="shared" si="85"/>
        <v>0</v>
      </c>
      <c r="U2348" s="45">
        <f t="shared" si="86"/>
        <v>0</v>
      </c>
      <c r="V2348" s="46"/>
      <c r="W2348" s="46"/>
      <c r="X2348" s="46"/>
    </row>
    <row r="2349" spans="1:24" ht="15.75" customHeight="1" thickBot="1" x14ac:dyDescent="0.35">
      <c r="A2349" s="40"/>
      <c r="B2349" s="55"/>
      <c r="C2349" s="55"/>
      <c r="D2349" s="41"/>
      <c r="E2349" s="55"/>
      <c r="F2349" s="55"/>
      <c r="G2349" s="55"/>
      <c r="H2349" s="51"/>
      <c r="I2349" s="52"/>
      <c r="J2349" s="74"/>
      <c r="K2349" s="57"/>
      <c r="L2349" s="59"/>
      <c r="M2349" s="60"/>
      <c r="N2349" s="63"/>
      <c r="O2349" s="42"/>
      <c r="P2349" s="58"/>
      <c r="Q2349" s="61"/>
      <c r="R2349" s="62"/>
      <c r="S2349" s="43">
        <f t="shared" si="84"/>
        <v>0</v>
      </c>
      <c r="T2349" s="44" t="str">
        <f t="shared" si="85"/>
        <v>0</v>
      </c>
      <c r="U2349" s="45">
        <f t="shared" si="86"/>
        <v>0</v>
      </c>
      <c r="V2349" s="46"/>
      <c r="W2349" s="46"/>
      <c r="X2349" s="46"/>
    </row>
    <row r="2350" spans="1:24" ht="15.75" customHeight="1" thickBot="1" x14ac:dyDescent="0.35">
      <c r="A2350" s="40"/>
      <c r="B2350" s="55"/>
      <c r="C2350" s="55"/>
      <c r="D2350" s="41"/>
      <c r="E2350" s="55"/>
      <c r="F2350" s="55"/>
      <c r="G2350" s="55"/>
      <c r="H2350" s="51"/>
      <c r="I2350" s="52"/>
      <c r="J2350" s="74"/>
      <c r="K2350" s="57"/>
      <c r="L2350" s="59"/>
      <c r="M2350" s="60"/>
      <c r="N2350" s="63"/>
      <c r="O2350" s="42"/>
      <c r="P2350" s="58"/>
      <c r="Q2350" s="61"/>
      <c r="R2350" s="62"/>
      <c r="S2350" s="43">
        <f t="shared" si="84"/>
        <v>0</v>
      </c>
      <c r="T2350" s="44" t="str">
        <f t="shared" si="85"/>
        <v>0</v>
      </c>
      <c r="U2350" s="45">
        <f t="shared" si="86"/>
        <v>0</v>
      </c>
      <c r="V2350" s="46"/>
      <c r="W2350" s="46"/>
      <c r="X2350" s="46"/>
    </row>
    <row r="2351" spans="1:24" ht="15.75" customHeight="1" thickBot="1" x14ac:dyDescent="0.35">
      <c r="A2351" s="40"/>
      <c r="B2351" s="55"/>
      <c r="C2351" s="55"/>
      <c r="D2351" s="41"/>
      <c r="E2351" s="55"/>
      <c r="F2351" s="55"/>
      <c r="G2351" s="55"/>
      <c r="H2351" s="51"/>
      <c r="I2351" s="52"/>
      <c r="J2351" s="74"/>
      <c r="K2351" s="57"/>
      <c r="L2351" s="59"/>
      <c r="M2351" s="60"/>
      <c r="N2351" s="63"/>
      <c r="O2351" s="42"/>
      <c r="P2351" s="58"/>
      <c r="Q2351" s="61"/>
      <c r="R2351" s="62"/>
      <c r="S2351" s="43">
        <f t="shared" si="84"/>
        <v>0</v>
      </c>
      <c r="T2351" s="44" t="str">
        <f t="shared" si="85"/>
        <v>0</v>
      </c>
      <c r="U2351" s="45">
        <f t="shared" si="86"/>
        <v>0</v>
      </c>
      <c r="V2351" s="46"/>
      <c r="W2351" s="46"/>
      <c r="X2351" s="46"/>
    </row>
    <row r="2352" spans="1:24" ht="15.75" customHeight="1" thickBot="1" x14ac:dyDescent="0.35">
      <c r="A2352" s="40"/>
      <c r="B2352" s="55"/>
      <c r="C2352" s="55"/>
      <c r="D2352" s="41"/>
      <c r="E2352" s="55"/>
      <c r="F2352" s="55"/>
      <c r="G2352" s="55"/>
      <c r="H2352" s="51"/>
      <c r="I2352" s="52"/>
      <c r="J2352" s="74"/>
      <c r="K2352" s="57"/>
      <c r="L2352" s="59"/>
      <c r="M2352" s="60"/>
      <c r="N2352" s="63"/>
      <c r="O2352" s="42"/>
      <c r="P2352" s="58"/>
      <c r="Q2352" s="61"/>
      <c r="R2352" s="62"/>
      <c r="S2352" s="43">
        <f t="shared" si="84"/>
        <v>0</v>
      </c>
      <c r="T2352" s="44" t="str">
        <f t="shared" si="85"/>
        <v>0</v>
      </c>
      <c r="U2352" s="45">
        <f t="shared" si="86"/>
        <v>0</v>
      </c>
      <c r="V2352" s="46"/>
      <c r="W2352" s="46"/>
      <c r="X2352" s="46"/>
    </row>
    <row r="2353" spans="1:24" ht="15.75" customHeight="1" thickBot="1" x14ac:dyDescent="0.35">
      <c r="A2353" s="40"/>
      <c r="B2353" s="55"/>
      <c r="C2353" s="55"/>
      <c r="D2353" s="41"/>
      <c r="E2353" s="55"/>
      <c r="F2353" s="55"/>
      <c r="G2353" s="55"/>
      <c r="H2353" s="51"/>
      <c r="I2353" s="52"/>
      <c r="J2353" s="74"/>
      <c r="K2353" s="57"/>
      <c r="L2353" s="59"/>
      <c r="M2353" s="60"/>
      <c r="N2353" s="63"/>
      <c r="O2353" s="42"/>
      <c r="P2353" s="58"/>
      <c r="Q2353" s="61"/>
      <c r="R2353" s="62"/>
      <c r="S2353" s="43">
        <f t="shared" si="84"/>
        <v>0</v>
      </c>
      <c r="T2353" s="44" t="str">
        <f t="shared" si="85"/>
        <v>0</v>
      </c>
      <c r="U2353" s="45">
        <f t="shared" si="86"/>
        <v>0</v>
      </c>
      <c r="V2353" s="46"/>
      <c r="W2353" s="46"/>
      <c r="X2353" s="46"/>
    </row>
    <row r="2354" spans="1:24" ht="15.75" customHeight="1" thickBot="1" x14ac:dyDescent="0.35">
      <c r="A2354" s="40"/>
      <c r="B2354" s="55"/>
      <c r="C2354" s="55"/>
      <c r="D2354" s="41"/>
      <c r="E2354" s="55"/>
      <c r="F2354" s="55"/>
      <c r="G2354" s="55"/>
      <c r="H2354" s="51"/>
      <c r="I2354" s="52"/>
      <c r="J2354" s="74"/>
      <c r="K2354" s="57"/>
      <c r="L2354" s="59"/>
      <c r="M2354" s="60"/>
      <c r="N2354" s="63"/>
      <c r="O2354" s="42"/>
      <c r="P2354" s="58"/>
      <c r="Q2354" s="61"/>
      <c r="R2354" s="62"/>
      <c r="S2354" s="43">
        <f t="shared" si="84"/>
        <v>0</v>
      </c>
      <c r="T2354" s="44" t="str">
        <f t="shared" si="85"/>
        <v>0</v>
      </c>
      <c r="U2354" s="45">
        <f t="shared" si="86"/>
        <v>0</v>
      </c>
      <c r="V2354" s="46"/>
      <c r="W2354" s="46"/>
      <c r="X2354" s="46"/>
    </row>
    <row r="2355" spans="1:24" ht="15.75" customHeight="1" thickBot="1" x14ac:dyDescent="0.35">
      <c r="A2355" s="40"/>
      <c r="B2355" s="55"/>
      <c r="C2355" s="55"/>
      <c r="D2355" s="41"/>
      <c r="E2355" s="55"/>
      <c r="F2355" s="55"/>
      <c r="G2355" s="55"/>
      <c r="H2355" s="51"/>
      <c r="I2355" s="52"/>
      <c r="J2355" s="74"/>
      <c r="K2355" s="57"/>
      <c r="L2355" s="59"/>
      <c r="M2355" s="60"/>
      <c r="N2355" s="63"/>
      <c r="O2355" s="42"/>
      <c r="P2355" s="58"/>
      <c r="Q2355" s="61"/>
      <c r="R2355" s="62"/>
      <c r="S2355" s="43">
        <f t="shared" si="84"/>
        <v>0</v>
      </c>
      <c r="T2355" s="44" t="str">
        <f t="shared" si="85"/>
        <v>0</v>
      </c>
      <c r="U2355" s="45">
        <f t="shared" si="86"/>
        <v>0</v>
      </c>
      <c r="V2355" s="46"/>
      <c r="W2355" s="46"/>
      <c r="X2355" s="46"/>
    </row>
    <row r="2356" spans="1:24" ht="15.75" customHeight="1" thickBot="1" x14ac:dyDescent="0.35">
      <c r="A2356" s="40"/>
      <c r="B2356" s="55"/>
      <c r="C2356" s="55"/>
      <c r="D2356" s="41"/>
      <c r="E2356" s="55"/>
      <c r="F2356" s="55"/>
      <c r="G2356" s="55"/>
      <c r="H2356" s="51"/>
      <c r="I2356" s="52"/>
      <c r="J2356" s="74"/>
      <c r="K2356" s="57"/>
      <c r="L2356" s="59"/>
      <c r="M2356" s="60"/>
      <c r="N2356" s="63"/>
      <c r="O2356" s="42"/>
      <c r="P2356" s="58"/>
      <c r="Q2356" s="61"/>
      <c r="R2356" s="62"/>
      <c r="S2356" s="43">
        <f t="shared" si="84"/>
        <v>0</v>
      </c>
      <c r="T2356" s="44" t="str">
        <f t="shared" si="85"/>
        <v>0</v>
      </c>
      <c r="U2356" s="45">
        <f t="shared" si="86"/>
        <v>0</v>
      </c>
      <c r="V2356" s="46"/>
      <c r="W2356" s="46"/>
      <c r="X2356" s="46"/>
    </row>
    <row r="2357" spans="1:24" ht="15.75" customHeight="1" thickBot="1" x14ac:dyDescent="0.35">
      <c r="A2357" s="40"/>
      <c r="B2357" s="55"/>
      <c r="C2357" s="55"/>
      <c r="D2357" s="41"/>
      <c r="E2357" s="55"/>
      <c r="F2357" s="55"/>
      <c r="G2357" s="55"/>
      <c r="H2357" s="51"/>
      <c r="I2357" s="52"/>
      <c r="J2357" s="74"/>
      <c r="K2357" s="57"/>
      <c r="L2357" s="59"/>
      <c r="M2357" s="60"/>
      <c r="N2357" s="63"/>
      <c r="O2357" s="42"/>
      <c r="P2357" s="58"/>
      <c r="Q2357" s="61"/>
      <c r="R2357" s="62"/>
      <c r="S2357" s="43">
        <f t="shared" si="84"/>
        <v>0</v>
      </c>
      <c r="T2357" s="44" t="str">
        <f t="shared" si="85"/>
        <v>0</v>
      </c>
      <c r="U2357" s="45">
        <f t="shared" si="86"/>
        <v>0</v>
      </c>
      <c r="V2357" s="46"/>
      <c r="W2357" s="46"/>
      <c r="X2357" s="46"/>
    </row>
    <row r="2358" spans="1:24" ht="15.75" customHeight="1" thickBot="1" x14ac:dyDescent="0.35">
      <c r="A2358" s="40"/>
      <c r="B2358" s="55"/>
      <c r="C2358" s="55"/>
      <c r="D2358" s="41"/>
      <c r="E2358" s="55"/>
      <c r="F2358" s="55"/>
      <c r="G2358" s="55"/>
      <c r="H2358" s="51"/>
      <c r="I2358" s="52"/>
      <c r="J2358" s="74"/>
      <c r="K2358" s="57"/>
      <c r="L2358" s="59"/>
      <c r="M2358" s="60"/>
      <c r="N2358" s="63"/>
      <c r="O2358" s="42"/>
      <c r="P2358" s="58"/>
      <c r="Q2358" s="61"/>
      <c r="R2358" s="62"/>
      <c r="S2358" s="43">
        <f t="shared" si="84"/>
        <v>0</v>
      </c>
      <c r="T2358" s="44" t="str">
        <f t="shared" si="85"/>
        <v>0</v>
      </c>
      <c r="U2358" s="45">
        <f t="shared" si="86"/>
        <v>0</v>
      </c>
      <c r="V2358" s="46"/>
      <c r="W2358" s="46"/>
      <c r="X2358" s="46"/>
    </row>
    <row r="2359" spans="1:24" ht="15.75" customHeight="1" thickBot="1" x14ac:dyDescent="0.35">
      <c r="A2359" s="40"/>
      <c r="B2359" s="55"/>
      <c r="C2359" s="55"/>
      <c r="D2359" s="41"/>
      <c r="E2359" s="55"/>
      <c r="F2359" s="55"/>
      <c r="G2359" s="55"/>
      <c r="H2359" s="51"/>
      <c r="I2359" s="52"/>
      <c r="J2359" s="74"/>
      <c r="K2359" s="57"/>
      <c r="L2359" s="59"/>
      <c r="M2359" s="60"/>
      <c r="N2359" s="63"/>
      <c r="O2359" s="42"/>
      <c r="P2359" s="58"/>
      <c r="Q2359" s="61"/>
      <c r="R2359" s="62"/>
      <c r="S2359" s="43">
        <f t="shared" si="84"/>
        <v>0</v>
      </c>
      <c r="T2359" s="44" t="str">
        <f t="shared" si="85"/>
        <v>0</v>
      </c>
      <c r="U2359" s="45">
        <f t="shared" si="86"/>
        <v>0</v>
      </c>
      <c r="V2359" s="46"/>
      <c r="W2359" s="46"/>
      <c r="X2359" s="46"/>
    </row>
    <row r="2360" spans="1:24" ht="15.75" customHeight="1" thickBot="1" x14ac:dyDescent="0.35">
      <c r="A2360" s="40"/>
      <c r="B2360" s="55"/>
      <c r="C2360" s="55"/>
      <c r="D2360" s="41"/>
      <c r="E2360" s="55"/>
      <c r="F2360" s="55"/>
      <c r="G2360" s="55"/>
      <c r="H2360" s="51"/>
      <c r="I2360" s="52"/>
      <c r="J2360" s="74"/>
      <c r="K2360" s="57"/>
      <c r="L2360" s="59"/>
      <c r="M2360" s="60"/>
      <c r="N2360" s="63"/>
      <c r="O2360" s="42"/>
      <c r="P2360" s="58"/>
      <c r="Q2360" s="61"/>
      <c r="R2360" s="62"/>
      <c r="S2360" s="43">
        <f t="shared" si="84"/>
        <v>0</v>
      </c>
      <c r="T2360" s="44" t="str">
        <f t="shared" si="85"/>
        <v>0</v>
      </c>
      <c r="U2360" s="45">
        <f t="shared" si="86"/>
        <v>0</v>
      </c>
      <c r="V2360" s="46"/>
      <c r="W2360" s="46"/>
      <c r="X2360" s="46"/>
    </row>
    <row r="2361" spans="1:24" ht="15.75" customHeight="1" thickBot="1" x14ac:dyDescent="0.35">
      <c r="A2361" s="40"/>
      <c r="B2361" s="55"/>
      <c r="C2361" s="55"/>
      <c r="D2361" s="41"/>
      <c r="E2361" s="55"/>
      <c r="F2361" s="55"/>
      <c r="G2361" s="55"/>
      <c r="H2361" s="51"/>
      <c r="I2361" s="52"/>
      <c r="J2361" s="74"/>
      <c r="K2361" s="57"/>
      <c r="L2361" s="59"/>
      <c r="M2361" s="60"/>
      <c r="N2361" s="63"/>
      <c r="O2361" s="42"/>
      <c r="P2361" s="58"/>
      <c r="Q2361" s="61"/>
      <c r="R2361" s="62"/>
      <c r="S2361" s="43">
        <f t="shared" si="84"/>
        <v>0</v>
      </c>
      <c r="T2361" s="44" t="str">
        <f t="shared" si="85"/>
        <v>0</v>
      </c>
      <c r="U2361" s="45">
        <f t="shared" si="86"/>
        <v>0</v>
      </c>
      <c r="V2361" s="46"/>
      <c r="W2361" s="46"/>
      <c r="X2361" s="46"/>
    </row>
    <row r="2362" spans="1:24" ht="15.75" customHeight="1" thickBot="1" x14ac:dyDescent="0.35">
      <c r="A2362" s="40"/>
      <c r="B2362" s="55"/>
      <c r="C2362" s="55"/>
      <c r="D2362" s="41"/>
      <c r="E2362" s="55"/>
      <c r="F2362" s="55"/>
      <c r="G2362" s="55"/>
      <c r="H2362" s="51"/>
      <c r="I2362" s="52"/>
      <c r="J2362" s="74"/>
      <c r="K2362" s="57"/>
      <c r="L2362" s="59"/>
      <c r="M2362" s="60"/>
      <c r="N2362" s="63"/>
      <c r="O2362" s="42"/>
      <c r="P2362" s="58"/>
      <c r="Q2362" s="61"/>
      <c r="R2362" s="62"/>
      <c r="S2362" s="43">
        <f t="shared" si="84"/>
        <v>0</v>
      </c>
      <c r="T2362" s="44" t="str">
        <f t="shared" si="85"/>
        <v>0</v>
      </c>
      <c r="U2362" s="45">
        <f t="shared" si="86"/>
        <v>0</v>
      </c>
      <c r="V2362" s="46"/>
      <c r="W2362" s="46"/>
      <c r="X2362" s="46"/>
    </row>
    <row r="2363" spans="1:24" ht="15.75" customHeight="1" thickBot="1" x14ac:dyDescent="0.35">
      <c r="A2363" s="40"/>
      <c r="B2363" s="55"/>
      <c r="C2363" s="55"/>
      <c r="D2363" s="41"/>
      <c r="E2363" s="55"/>
      <c r="F2363" s="55"/>
      <c r="G2363" s="55"/>
      <c r="H2363" s="51"/>
      <c r="I2363" s="52"/>
      <c r="J2363" s="74"/>
      <c r="K2363" s="57"/>
      <c r="L2363" s="59"/>
      <c r="M2363" s="60"/>
      <c r="N2363" s="63"/>
      <c r="O2363" s="42"/>
      <c r="P2363" s="58"/>
      <c r="Q2363" s="61"/>
      <c r="R2363" s="62"/>
      <c r="S2363" s="43">
        <f t="shared" si="84"/>
        <v>0</v>
      </c>
      <c r="T2363" s="44" t="str">
        <f t="shared" si="85"/>
        <v>0</v>
      </c>
      <c r="U2363" s="45">
        <f t="shared" si="86"/>
        <v>0</v>
      </c>
      <c r="V2363" s="46"/>
      <c r="W2363" s="46"/>
      <c r="X2363" s="46"/>
    </row>
    <row r="2364" spans="1:24" ht="15.75" customHeight="1" thickBot="1" x14ac:dyDescent="0.35">
      <c r="A2364" s="40"/>
      <c r="B2364" s="55"/>
      <c r="C2364" s="55"/>
      <c r="D2364" s="41"/>
      <c r="E2364" s="55"/>
      <c r="F2364" s="55"/>
      <c r="G2364" s="55"/>
      <c r="H2364" s="51"/>
      <c r="I2364" s="52"/>
      <c r="J2364" s="74"/>
      <c r="K2364" s="57"/>
      <c r="L2364" s="59"/>
      <c r="M2364" s="60"/>
      <c r="N2364" s="63"/>
      <c r="O2364" s="42"/>
      <c r="P2364" s="58"/>
      <c r="Q2364" s="61"/>
      <c r="R2364" s="62"/>
      <c r="S2364" s="43">
        <f t="shared" si="84"/>
        <v>0</v>
      </c>
      <c r="T2364" s="44" t="str">
        <f t="shared" si="85"/>
        <v>0</v>
      </c>
      <c r="U2364" s="45">
        <f t="shared" si="86"/>
        <v>0</v>
      </c>
      <c r="V2364" s="46"/>
      <c r="W2364" s="46"/>
      <c r="X2364" s="46"/>
    </row>
    <row r="2365" spans="1:24" ht="15.75" customHeight="1" thickBot="1" x14ac:dyDescent="0.35">
      <c r="A2365" s="40"/>
      <c r="B2365" s="55"/>
      <c r="C2365" s="55"/>
      <c r="D2365" s="41"/>
      <c r="E2365" s="55"/>
      <c r="F2365" s="55"/>
      <c r="G2365" s="55"/>
      <c r="H2365" s="51"/>
      <c r="I2365" s="52"/>
      <c r="J2365" s="74"/>
      <c r="K2365" s="57"/>
      <c r="L2365" s="59"/>
      <c r="M2365" s="60"/>
      <c r="N2365" s="63"/>
      <c r="O2365" s="42"/>
      <c r="P2365" s="58"/>
      <c r="Q2365" s="61"/>
      <c r="R2365" s="62"/>
      <c r="S2365" s="43">
        <f t="shared" si="84"/>
        <v>0</v>
      </c>
      <c r="T2365" s="44" t="str">
        <f t="shared" si="85"/>
        <v>0</v>
      </c>
      <c r="U2365" s="45">
        <f t="shared" si="86"/>
        <v>0</v>
      </c>
      <c r="V2365" s="46"/>
      <c r="W2365" s="46"/>
      <c r="X2365" s="46"/>
    </row>
    <row r="2366" spans="1:24" ht="15.75" customHeight="1" thickBot="1" x14ac:dyDescent="0.35">
      <c r="A2366" s="40"/>
      <c r="B2366" s="55"/>
      <c r="C2366" s="55"/>
      <c r="D2366" s="41"/>
      <c r="E2366" s="55"/>
      <c r="F2366" s="55"/>
      <c r="G2366" s="55"/>
      <c r="H2366" s="51"/>
      <c r="I2366" s="52"/>
      <c r="J2366" s="74"/>
      <c r="K2366" s="57"/>
      <c r="L2366" s="59"/>
      <c r="M2366" s="60"/>
      <c r="N2366" s="63"/>
      <c r="O2366" s="42"/>
      <c r="P2366" s="58"/>
      <c r="Q2366" s="61"/>
      <c r="R2366" s="62"/>
      <c r="S2366" s="43">
        <f t="shared" si="84"/>
        <v>0</v>
      </c>
      <c r="T2366" s="44" t="str">
        <f t="shared" si="85"/>
        <v>0</v>
      </c>
      <c r="U2366" s="45">
        <f t="shared" si="86"/>
        <v>0</v>
      </c>
      <c r="V2366" s="46"/>
      <c r="W2366" s="46"/>
      <c r="X2366" s="46"/>
    </row>
    <row r="2367" spans="1:24" ht="15.75" customHeight="1" thickBot="1" x14ac:dyDescent="0.35">
      <c r="A2367" s="40"/>
      <c r="B2367" s="55"/>
      <c r="C2367" s="55"/>
      <c r="D2367" s="41"/>
      <c r="E2367" s="55"/>
      <c r="F2367" s="55"/>
      <c r="G2367" s="55"/>
      <c r="H2367" s="51"/>
      <c r="I2367" s="52"/>
      <c r="J2367" s="74"/>
      <c r="K2367" s="57"/>
      <c r="L2367" s="59"/>
      <c r="M2367" s="60"/>
      <c r="N2367" s="63"/>
      <c r="O2367" s="42"/>
      <c r="P2367" s="58"/>
      <c r="Q2367" s="61"/>
      <c r="R2367" s="62"/>
      <c r="S2367" s="43">
        <f t="shared" si="84"/>
        <v>0</v>
      </c>
      <c r="T2367" s="44" t="str">
        <f t="shared" si="85"/>
        <v>0</v>
      </c>
      <c r="U2367" s="45">
        <f t="shared" si="86"/>
        <v>0</v>
      </c>
      <c r="V2367" s="46"/>
      <c r="W2367" s="46"/>
      <c r="X2367" s="46"/>
    </row>
    <row r="2368" spans="1:24" ht="15.75" customHeight="1" thickBot="1" x14ac:dyDescent="0.35">
      <c r="A2368" s="40"/>
      <c r="B2368" s="55"/>
      <c r="C2368" s="55"/>
      <c r="D2368" s="41"/>
      <c r="E2368" s="55"/>
      <c r="F2368" s="55"/>
      <c r="G2368" s="55"/>
      <c r="H2368" s="51"/>
      <c r="I2368" s="52"/>
      <c r="J2368" s="74"/>
      <c r="K2368" s="57"/>
      <c r="L2368" s="59"/>
      <c r="M2368" s="60"/>
      <c r="N2368" s="63"/>
      <c r="O2368" s="42"/>
      <c r="P2368" s="58"/>
      <c r="Q2368" s="61"/>
      <c r="R2368" s="62"/>
      <c r="S2368" s="43">
        <f t="shared" si="84"/>
        <v>0</v>
      </c>
      <c r="T2368" s="44" t="str">
        <f t="shared" si="85"/>
        <v>0</v>
      </c>
      <c r="U2368" s="45">
        <f t="shared" si="86"/>
        <v>0</v>
      </c>
      <c r="V2368" s="46"/>
      <c r="W2368" s="46"/>
      <c r="X2368" s="46"/>
    </row>
    <row r="2369" spans="1:24" ht="15.75" customHeight="1" thickBot="1" x14ac:dyDescent="0.35">
      <c r="A2369" s="40"/>
      <c r="B2369" s="55"/>
      <c r="C2369" s="55"/>
      <c r="D2369" s="41"/>
      <c r="E2369" s="55"/>
      <c r="F2369" s="55"/>
      <c r="G2369" s="55"/>
      <c r="H2369" s="51"/>
      <c r="I2369" s="52"/>
      <c r="J2369" s="74"/>
      <c r="K2369" s="57"/>
      <c r="L2369" s="59"/>
      <c r="M2369" s="60"/>
      <c r="N2369" s="63"/>
      <c r="O2369" s="42"/>
      <c r="P2369" s="58"/>
      <c r="Q2369" s="61"/>
      <c r="R2369" s="62"/>
      <c r="S2369" s="43">
        <f t="shared" si="84"/>
        <v>0</v>
      </c>
      <c r="T2369" s="44" t="str">
        <f t="shared" si="85"/>
        <v>0</v>
      </c>
      <c r="U2369" s="45">
        <f t="shared" si="86"/>
        <v>0</v>
      </c>
      <c r="V2369" s="46"/>
      <c r="W2369" s="46"/>
      <c r="X2369" s="46"/>
    </row>
    <row r="2370" spans="1:24" ht="15.75" customHeight="1" thickBot="1" x14ac:dyDescent="0.35">
      <c r="A2370" s="40"/>
      <c r="B2370" s="55"/>
      <c r="C2370" s="55"/>
      <c r="D2370" s="41"/>
      <c r="E2370" s="55"/>
      <c r="F2370" s="55"/>
      <c r="G2370" s="55"/>
      <c r="H2370" s="51"/>
      <c r="I2370" s="52"/>
      <c r="J2370" s="74"/>
      <c r="K2370" s="57"/>
      <c r="L2370" s="59"/>
      <c r="M2370" s="60"/>
      <c r="N2370" s="63"/>
      <c r="O2370" s="42"/>
      <c r="P2370" s="58"/>
      <c r="Q2370" s="61"/>
      <c r="R2370" s="62"/>
      <c r="S2370" s="43">
        <f t="shared" si="84"/>
        <v>0</v>
      </c>
      <c r="T2370" s="44" t="str">
        <f t="shared" si="85"/>
        <v>0</v>
      </c>
      <c r="U2370" s="45">
        <f t="shared" si="86"/>
        <v>0</v>
      </c>
      <c r="V2370" s="46"/>
      <c r="W2370" s="46"/>
      <c r="X2370" s="46"/>
    </row>
    <row r="2371" spans="1:24" ht="15.75" customHeight="1" thickBot="1" x14ac:dyDescent="0.35">
      <c r="A2371" s="40"/>
      <c r="B2371" s="55"/>
      <c r="C2371" s="55"/>
      <c r="D2371" s="41"/>
      <c r="E2371" s="55"/>
      <c r="F2371" s="55"/>
      <c r="G2371" s="55"/>
      <c r="H2371" s="51"/>
      <c r="I2371" s="52"/>
      <c r="J2371" s="74"/>
      <c r="K2371" s="57"/>
      <c r="L2371" s="59"/>
      <c r="M2371" s="60"/>
      <c r="N2371" s="63"/>
      <c r="O2371" s="42"/>
      <c r="P2371" s="58"/>
      <c r="Q2371" s="61"/>
      <c r="R2371" s="62"/>
      <c r="S2371" s="43">
        <f t="shared" si="84"/>
        <v>0</v>
      </c>
      <c r="T2371" s="44" t="str">
        <f t="shared" si="85"/>
        <v>0</v>
      </c>
      <c r="U2371" s="45">
        <f t="shared" si="86"/>
        <v>0</v>
      </c>
      <c r="V2371" s="46"/>
      <c r="W2371" s="46"/>
      <c r="X2371" s="46"/>
    </row>
    <row r="2372" spans="1:24" ht="15.75" customHeight="1" thickBot="1" x14ac:dyDescent="0.35">
      <c r="A2372" s="40"/>
      <c r="B2372" s="55"/>
      <c r="C2372" s="55"/>
      <c r="D2372" s="41"/>
      <c r="E2372" s="55"/>
      <c r="F2372" s="55"/>
      <c r="G2372" s="55"/>
      <c r="H2372" s="51"/>
      <c r="I2372" s="52"/>
      <c r="J2372" s="74"/>
      <c r="K2372" s="57"/>
      <c r="L2372" s="59"/>
      <c r="M2372" s="60"/>
      <c r="N2372" s="63"/>
      <c r="O2372" s="42"/>
      <c r="P2372" s="58"/>
      <c r="Q2372" s="61"/>
      <c r="R2372" s="62"/>
      <c r="S2372" s="43">
        <f t="shared" si="84"/>
        <v>0</v>
      </c>
      <c r="T2372" s="44" t="str">
        <f t="shared" si="85"/>
        <v>0</v>
      </c>
      <c r="U2372" s="45">
        <f t="shared" si="86"/>
        <v>0</v>
      </c>
      <c r="V2372" s="46"/>
      <c r="W2372" s="46"/>
      <c r="X2372" s="46"/>
    </row>
    <row r="2373" spans="1:24" ht="15.75" customHeight="1" thickBot="1" x14ac:dyDescent="0.35">
      <c r="A2373" s="40"/>
      <c r="B2373" s="55"/>
      <c r="C2373" s="55"/>
      <c r="D2373" s="41"/>
      <c r="E2373" s="55"/>
      <c r="F2373" s="55"/>
      <c r="G2373" s="55"/>
      <c r="H2373" s="51"/>
      <c r="I2373" s="52"/>
      <c r="J2373" s="74"/>
      <c r="K2373" s="57"/>
      <c r="L2373" s="59"/>
      <c r="M2373" s="60"/>
      <c r="N2373" s="63"/>
      <c r="O2373" s="42"/>
      <c r="P2373" s="58"/>
      <c r="Q2373" s="61"/>
      <c r="R2373" s="62"/>
      <c r="S2373" s="43">
        <f t="shared" si="84"/>
        <v>0</v>
      </c>
      <c r="T2373" s="44" t="str">
        <f t="shared" si="85"/>
        <v>0</v>
      </c>
      <c r="U2373" s="45">
        <f t="shared" si="86"/>
        <v>0</v>
      </c>
      <c r="V2373" s="46"/>
      <c r="W2373" s="46"/>
      <c r="X2373" s="46"/>
    </row>
    <row r="2374" spans="1:24" ht="15.75" customHeight="1" thickBot="1" x14ac:dyDescent="0.35">
      <c r="A2374" s="40"/>
      <c r="B2374" s="55"/>
      <c r="C2374" s="55"/>
      <c r="D2374" s="41"/>
      <c r="E2374" s="55"/>
      <c r="F2374" s="55"/>
      <c r="G2374" s="55"/>
      <c r="H2374" s="51"/>
      <c r="I2374" s="52"/>
      <c r="J2374" s="74"/>
      <c r="K2374" s="57"/>
      <c r="L2374" s="59"/>
      <c r="M2374" s="60"/>
      <c r="N2374" s="63"/>
      <c r="O2374" s="42"/>
      <c r="P2374" s="58"/>
      <c r="Q2374" s="61"/>
      <c r="R2374" s="62"/>
      <c r="S2374" s="43">
        <f t="shared" si="84"/>
        <v>0</v>
      </c>
      <c r="T2374" s="44" t="str">
        <f t="shared" si="85"/>
        <v>0</v>
      </c>
      <c r="U2374" s="45">
        <f t="shared" si="86"/>
        <v>0</v>
      </c>
      <c r="V2374" s="46"/>
      <c r="W2374" s="46"/>
      <c r="X2374" s="46"/>
    </row>
    <row r="2375" spans="1:24" ht="15.75" customHeight="1" thickBot="1" x14ac:dyDescent="0.35">
      <c r="A2375" s="40"/>
      <c r="B2375" s="55"/>
      <c r="C2375" s="55"/>
      <c r="D2375" s="41"/>
      <c r="E2375" s="55"/>
      <c r="F2375" s="55"/>
      <c r="G2375" s="55"/>
      <c r="H2375" s="51"/>
      <c r="I2375" s="52"/>
      <c r="J2375" s="74"/>
      <c r="K2375" s="57"/>
      <c r="L2375" s="59"/>
      <c r="M2375" s="60"/>
      <c r="N2375" s="63"/>
      <c r="O2375" s="42"/>
      <c r="P2375" s="58"/>
      <c r="Q2375" s="61"/>
      <c r="R2375" s="62"/>
      <c r="S2375" s="43">
        <f t="shared" si="84"/>
        <v>0</v>
      </c>
      <c r="T2375" s="44" t="str">
        <f t="shared" si="85"/>
        <v>0</v>
      </c>
      <c r="U2375" s="45">
        <f t="shared" si="86"/>
        <v>0</v>
      </c>
      <c r="V2375" s="46"/>
      <c r="W2375" s="46"/>
      <c r="X2375" s="46"/>
    </row>
    <row r="2376" spans="1:24" ht="15.75" customHeight="1" thickBot="1" x14ac:dyDescent="0.35">
      <c r="A2376" s="40"/>
      <c r="B2376" s="55"/>
      <c r="C2376" s="55"/>
      <c r="D2376" s="41"/>
      <c r="E2376" s="55"/>
      <c r="F2376" s="55"/>
      <c r="G2376" s="55"/>
      <c r="H2376" s="51"/>
      <c r="I2376" s="52"/>
      <c r="J2376" s="74"/>
      <c r="K2376" s="57"/>
      <c r="L2376" s="59"/>
      <c r="M2376" s="60"/>
      <c r="N2376" s="63"/>
      <c r="O2376" s="42"/>
      <c r="P2376" s="58"/>
      <c r="Q2376" s="61"/>
      <c r="R2376" s="62"/>
      <c r="S2376" s="43">
        <f t="shared" si="84"/>
        <v>0</v>
      </c>
      <c r="T2376" s="44" t="str">
        <f t="shared" si="85"/>
        <v>0</v>
      </c>
      <c r="U2376" s="45">
        <f t="shared" si="86"/>
        <v>0</v>
      </c>
      <c r="V2376" s="46"/>
      <c r="W2376" s="46"/>
      <c r="X2376" s="46"/>
    </row>
    <row r="2377" spans="1:24" ht="15.75" customHeight="1" thickBot="1" x14ac:dyDescent="0.35">
      <c r="A2377" s="40"/>
      <c r="B2377" s="55"/>
      <c r="C2377" s="55"/>
      <c r="D2377" s="41"/>
      <c r="E2377" s="55"/>
      <c r="F2377" s="55"/>
      <c r="G2377" s="55"/>
      <c r="H2377" s="51"/>
      <c r="I2377" s="52"/>
      <c r="J2377" s="74"/>
      <c r="K2377" s="57"/>
      <c r="L2377" s="59"/>
      <c r="M2377" s="60"/>
      <c r="N2377" s="63"/>
      <c r="O2377" s="42"/>
      <c r="P2377" s="58"/>
      <c r="Q2377" s="61"/>
      <c r="R2377" s="62"/>
      <c r="S2377" s="43">
        <f t="shared" ref="S2377:S2440" si="87">M2377*N2377</f>
        <v>0</v>
      </c>
      <c r="T2377" s="44" t="str">
        <f t="shared" ref="T2377:T2440" si="88">CONCATENATE(S2377,Q2377,P2377)</f>
        <v>0</v>
      </c>
      <c r="U2377" s="45">
        <f t="shared" ref="U2377:U2440" si="89">L2377*M2377</f>
        <v>0</v>
      </c>
      <c r="V2377" s="46"/>
      <c r="W2377" s="46"/>
      <c r="X2377" s="46"/>
    </row>
    <row r="2378" spans="1:24" ht="15.75" customHeight="1" thickBot="1" x14ac:dyDescent="0.35">
      <c r="A2378" s="40"/>
      <c r="B2378" s="55"/>
      <c r="C2378" s="55"/>
      <c r="D2378" s="41"/>
      <c r="E2378" s="55"/>
      <c r="F2378" s="55"/>
      <c r="G2378" s="55"/>
      <c r="H2378" s="51"/>
      <c r="I2378" s="52"/>
      <c r="J2378" s="74"/>
      <c r="K2378" s="57"/>
      <c r="L2378" s="59"/>
      <c r="M2378" s="60"/>
      <c r="N2378" s="63"/>
      <c r="O2378" s="42"/>
      <c r="P2378" s="58"/>
      <c r="Q2378" s="61"/>
      <c r="R2378" s="62"/>
      <c r="S2378" s="43">
        <f t="shared" si="87"/>
        <v>0</v>
      </c>
      <c r="T2378" s="44" t="str">
        <f t="shared" si="88"/>
        <v>0</v>
      </c>
      <c r="U2378" s="45">
        <f t="shared" si="89"/>
        <v>0</v>
      </c>
      <c r="V2378" s="46"/>
      <c r="W2378" s="46"/>
      <c r="X2378" s="46"/>
    </row>
    <row r="2379" spans="1:24" ht="15.75" customHeight="1" thickBot="1" x14ac:dyDescent="0.35">
      <c r="A2379" s="40"/>
      <c r="B2379" s="55"/>
      <c r="C2379" s="55"/>
      <c r="D2379" s="41"/>
      <c r="E2379" s="55"/>
      <c r="F2379" s="55"/>
      <c r="G2379" s="55"/>
      <c r="H2379" s="51"/>
      <c r="I2379" s="52"/>
      <c r="J2379" s="74"/>
      <c r="K2379" s="57"/>
      <c r="L2379" s="59"/>
      <c r="M2379" s="60"/>
      <c r="N2379" s="63"/>
      <c r="O2379" s="42"/>
      <c r="P2379" s="58"/>
      <c r="Q2379" s="61"/>
      <c r="R2379" s="62"/>
      <c r="S2379" s="43">
        <f t="shared" si="87"/>
        <v>0</v>
      </c>
      <c r="T2379" s="44" t="str">
        <f t="shared" si="88"/>
        <v>0</v>
      </c>
      <c r="U2379" s="45">
        <f t="shared" si="89"/>
        <v>0</v>
      </c>
      <c r="V2379" s="46"/>
      <c r="W2379" s="46"/>
      <c r="X2379" s="46"/>
    </row>
    <row r="2380" spans="1:24" ht="15.75" customHeight="1" thickBot="1" x14ac:dyDescent="0.35">
      <c r="A2380" s="40"/>
      <c r="B2380" s="55"/>
      <c r="C2380" s="55"/>
      <c r="D2380" s="41"/>
      <c r="E2380" s="55"/>
      <c r="F2380" s="55"/>
      <c r="G2380" s="55"/>
      <c r="H2380" s="51"/>
      <c r="I2380" s="52"/>
      <c r="J2380" s="74"/>
      <c r="K2380" s="57"/>
      <c r="L2380" s="59"/>
      <c r="M2380" s="60"/>
      <c r="N2380" s="63"/>
      <c r="O2380" s="42"/>
      <c r="P2380" s="58"/>
      <c r="Q2380" s="61"/>
      <c r="R2380" s="62"/>
      <c r="S2380" s="43">
        <f t="shared" si="87"/>
        <v>0</v>
      </c>
      <c r="T2380" s="44" t="str">
        <f t="shared" si="88"/>
        <v>0</v>
      </c>
      <c r="U2380" s="45">
        <f t="shared" si="89"/>
        <v>0</v>
      </c>
      <c r="V2380" s="46"/>
      <c r="W2380" s="46"/>
      <c r="X2380" s="46"/>
    </row>
    <row r="2381" spans="1:24" ht="15.75" customHeight="1" thickBot="1" x14ac:dyDescent="0.35">
      <c r="A2381" s="40"/>
      <c r="B2381" s="55"/>
      <c r="C2381" s="55"/>
      <c r="D2381" s="41"/>
      <c r="E2381" s="55"/>
      <c r="F2381" s="55"/>
      <c r="G2381" s="55"/>
      <c r="H2381" s="51"/>
      <c r="I2381" s="52"/>
      <c r="J2381" s="74"/>
      <c r="K2381" s="57"/>
      <c r="L2381" s="59"/>
      <c r="M2381" s="60"/>
      <c r="N2381" s="63"/>
      <c r="O2381" s="42"/>
      <c r="P2381" s="58"/>
      <c r="Q2381" s="61"/>
      <c r="R2381" s="62"/>
      <c r="S2381" s="43">
        <f t="shared" si="87"/>
        <v>0</v>
      </c>
      <c r="T2381" s="44" t="str">
        <f t="shared" si="88"/>
        <v>0</v>
      </c>
      <c r="U2381" s="45">
        <f t="shared" si="89"/>
        <v>0</v>
      </c>
      <c r="V2381" s="46"/>
      <c r="W2381" s="46"/>
      <c r="X2381" s="46"/>
    </row>
    <row r="2382" spans="1:24" ht="15.75" customHeight="1" thickBot="1" x14ac:dyDescent="0.35">
      <c r="A2382" s="40"/>
      <c r="B2382" s="55"/>
      <c r="C2382" s="55"/>
      <c r="D2382" s="41"/>
      <c r="E2382" s="55"/>
      <c r="F2382" s="55"/>
      <c r="G2382" s="55"/>
      <c r="H2382" s="51"/>
      <c r="I2382" s="52"/>
      <c r="J2382" s="74"/>
      <c r="K2382" s="57"/>
      <c r="L2382" s="59"/>
      <c r="M2382" s="60"/>
      <c r="N2382" s="63"/>
      <c r="O2382" s="42"/>
      <c r="P2382" s="58"/>
      <c r="Q2382" s="61"/>
      <c r="R2382" s="62"/>
      <c r="S2382" s="43">
        <f t="shared" si="87"/>
        <v>0</v>
      </c>
      <c r="T2382" s="44" t="str">
        <f t="shared" si="88"/>
        <v>0</v>
      </c>
      <c r="U2382" s="45">
        <f t="shared" si="89"/>
        <v>0</v>
      </c>
      <c r="V2382" s="46"/>
      <c r="W2382" s="46"/>
      <c r="X2382" s="46"/>
    </row>
    <row r="2383" spans="1:24" ht="15.75" customHeight="1" thickBot="1" x14ac:dyDescent="0.35">
      <c r="A2383" s="40"/>
      <c r="B2383" s="55"/>
      <c r="C2383" s="55"/>
      <c r="D2383" s="41"/>
      <c r="E2383" s="55"/>
      <c r="F2383" s="55"/>
      <c r="G2383" s="55"/>
      <c r="H2383" s="51"/>
      <c r="I2383" s="52"/>
      <c r="J2383" s="74"/>
      <c r="K2383" s="57"/>
      <c r="L2383" s="59"/>
      <c r="M2383" s="60"/>
      <c r="N2383" s="63"/>
      <c r="O2383" s="42"/>
      <c r="P2383" s="58"/>
      <c r="Q2383" s="61"/>
      <c r="R2383" s="62"/>
      <c r="S2383" s="43">
        <f t="shared" si="87"/>
        <v>0</v>
      </c>
      <c r="T2383" s="44" t="str">
        <f t="shared" si="88"/>
        <v>0</v>
      </c>
      <c r="U2383" s="45">
        <f t="shared" si="89"/>
        <v>0</v>
      </c>
      <c r="V2383" s="46"/>
      <c r="W2383" s="46"/>
      <c r="X2383" s="46"/>
    </row>
    <row r="2384" spans="1:24" ht="15.75" customHeight="1" thickBot="1" x14ac:dyDescent="0.35">
      <c r="A2384" s="40"/>
      <c r="B2384" s="55"/>
      <c r="C2384" s="55"/>
      <c r="D2384" s="41"/>
      <c r="E2384" s="55"/>
      <c r="F2384" s="55"/>
      <c r="G2384" s="55"/>
      <c r="H2384" s="51"/>
      <c r="I2384" s="52"/>
      <c r="J2384" s="74"/>
      <c r="K2384" s="57"/>
      <c r="L2384" s="59"/>
      <c r="M2384" s="60"/>
      <c r="N2384" s="63"/>
      <c r="O2384" s="42"/>
      <c r="P2384" s="58"/>
      <c r="Q2384" s="61"/>
      <c r="R2384" s="62"/>
      <c r="S2384" s="43">
        <f t="shared" si="87"/>
        <v>0</v>
      </c>
      <c r="T2384" s="44" t="str">
        <f t="shared" si="88"/>
        <v>0</v>
      </c>
      <c r="U2384" s="45">
        <f t="shared" si="89"/>
        <v>0</v>
      </c>
      <c r="V2384" s="46"/>
      <c r="W2384" s="46"/>
      <c r="X2384" s="46"/>
    </row>
    <row r="2385" spans="1:24" ht="15.75" customHeight="1" thickBot="1" x14ac:dyDescent="0.35">
      <c r="A2385" s="40"/>
      <c r="B2385" s="55"/>
      <c r="C2385" s="55"/>
      <c r="D2385" s="41"/>
      <c r="E2385" s="55"/>
      <c r="F2385" s="55"/>
      <c r="G2385" s="55"/>
      <c r="H2385" s="51"/>
      <c r="I2385" s="52"/>
      <c r="J2385" s="74"/>
      <c r="K2385" s="57"/>
      <c r="L2385" s="59"/>
      <c r="M2385" s="60"/>
      <c r="N2385" s="63"/>
      <c r="O2385" s="42"/>
      <c r="P2385" s="58"/>
      <c r="Q2385" s="61"/>
      <c r="R2385" s="62"/>
      <c r="S2385" s="43">
        <f t="shared" si="87"/>
        <v>0</v>
      </c>
      <c r="T2385" s="44" t="str">
        <f t="shared" si="88"/>
        <v>0</v>
      </c>
      <c r="U2385" s="45">
        <f t="shared" si="89"/>
        <v>0</v>
      </c>
      <c r="V2385" s="46"/>
      <c r="W2385" s="46"/>
      <c r="X2385" s="46"/>
    </row>
    <row r="2386" spans="1:24" ht="15.75" customHeight="1" thickBot="1" x14ac:dyDescent="0.35">
      <c r="A2386" s="40"/>
      <c r="B2386" s="55"/>
      <c r="C2386" s="55"/>
      <c r="D2386" s="41"/>
      <c r="E2386" s="55"/>
      <c r="F2386" s="55"/>
      <c r="G2386" s="55"/>
      <c r="H2386" s="51"/>
      <c r="I2386" s="52"/>
      <c r="J2386" s="74"/>
      <c r="K2386" s="57"/>
      <c r="L2386" s="59"/>
      <c r="M2386" s="60"/>
      <c r="N2386" s="63"/>
      <c r="O2386" s="42"/>
      <c r="P2386" s="58"/>
      <c r="Q2386" s="61"/>
      <c r="R2386" s="62"/>
      <c r="S2386" s="43">
        <f t="shared" si="87"/>
        <v>0</v>
      </c>
      <c r="T2386" s="44" t="str">
        <f t="shared" si="88"/>
        <v>0</v>
      </c>
      <c r="U2386" s="45">
        <f t="shared" si="89"/>
        <v>0</v>
      </c>
      <c r="V2386" s="46"/>
      <c r="W2386" s="46"/>
      <c r="X2386" s="46"/>
    </row>
    <row r="2387" spans="1:24" ht="15.75" customHeight="1" thickBot="1" x14ac:dyDescent="0.35">
      <c r="A2387" s="40"/>
      <c r="B2387" s="55"/>
      <c r="C2387" s="55"/>
      <c r="D2387" s="41"/>
      <c r="E2387" s="55"/>
      <c r="F2387" s="55"/>
      <c r="G2387" s="55"/>
      <c r="H2387" s="51"/>
      <c r="I2387" s="52"/>
      <c r="J2387" s="74"/>
      <c r="K2387" s="57"/>
      <c r="L2387" s="59"/>
      <c r="M2387" s="60"/>
      <c r="N2387" s="63"/>
      <c r="O2387" s="42"/>
      <c r="P2387" s="58"/>
      <c r="Q2387" s="61"/>
      <c r="R2387" s="62"/>
      <c r="S2387" s="43">
        <f t="shared" si="87"/>
        <v>0</v>
      </c>
      <c r="T2387" s="44" t="str">
        <f t="shared" si="88"/>
        <v>0</v>
      </c>
      <c r="U2387" s="45">
        <f t="shared" si="89"/>
        <v>0</v>
      </c>
      <c r="V2387" s="46"/>
      <c r="W2387" s="46"/>
      <c r="X2387" s="46"/>
    </row>
    <row r="2388" spans="1:24" ht="15.75" customHeight="1" thickBot="1" x14ac:dyDescent="0.35">
      <c r="A2388" s="40"/>
      <c r="B2388" s="55"/>
      <c r="C2388" s="55"/>
      <c r="D2388" s="41"/>
      <c r="E2388" s="55"/>
      <c r="F2388" s="55"/>
      <c r="G2388" s="55"/>
      <c r="H2388" s="51"/>
      <c r="I2388" s="52"/>
      <c r="J2388" s="74"/>
      <c r="K2388" s="57"/>
      <c r="L2388" s="59"/>
      <c r="M2388" s="60"/>
      <c r="N2388" s="63"/>
      <c r="O2388" s="42"/>
      <c r="P2388" s="58"/>
      <c r="Q2388" s="61"/>
      <c r="R2388" s="62"/>
      <c r="S2388" s="43">
        <f t="shared" si="87"/>
        <v>0</v>
      </c>
      <c r="T2388" s="44" t="str">
        <f t="shared" si="88"/>
        <v>0</v>
      </c>
      <c r="U2388" s="45">
        <f t="shared" si="89"/>
        <v>0</v>
      </c>
      <c r="V2388" s="46"/>
      <c r="W2388" s="46"/>
      <c r="X2388" s="46"/>
    </row>
    <row r="2389" spans="1:24" ht="15.75" customHeight="1" thickBot="1" x14ac:dyDescent="0.35">
      <c r="A2389" s="40"/>
      <c r="B2389" s="55"/>
      <c r="C2389" s="55"/>
      <c r="D2389" s="41"/>
      <c r="E2389" s="55"/>
      <c r="F2389" s="55"/>
      <c r="G2389" s="55"/>
      <c r="H2389" s="51"/>
      <c r="I2389" s="52"/>
      <c r="J2389" s="74"/>
      <c r="K2389" s="57"/>
      <c r="L2389" s="59"/>
      <c r="M2389" s="60"/>
      <c r="N2389" s="63"/>
      <c r="O2389" s="42"/>
      <c r="P2389" s="58"/>
      <c r="Q2389" s="61"/>
      <c r="R2389" s="62"/>
      <c r="S2389" s="43">
        <f t="shared" si="87"/>
        <v>0</v>
      </c>
      <c r="T2389" s="44" t="str">
        <f t="shared" si="88"/>
        <v>0</v>
      </c>
      <c r="U2389" s="45">
        <f t="shared" si="89"/>
        <v>0</v>
      </c>
      <c r="V2389" s="46"/>
      <c r="W2389" s="46"/>
      <c r="X2389" s="46"/>
    </row>
    <row r="2390" spans="1:24" ht="15.75" customHeight="1" thickBot="1" x14ac:dyDescent="0.35">
      <c r="A2390" s="40"/>
      <c r="B2390" s="55"/>
      <c r="C2390" s="55"/>
      <c r="D2390" s="41"/>
      <c r="E2390" s="55"/>
      <c r="F2390" s="55"/>
      <c r="G2390" s="55"/>
      <c r="H2390" s="51"/>
      <c r="I2390" s="52"/>
      <c r="J2390" s="74"/>
      <c r="K2390" s="57"/>
      <c r="L2390" s="59"/>
      <c r="M2390" s="60"/>
      <c r="N2390" s="63"/>
      <c r="O2390" s="42"/>
      <c r="P2390" s="58"/>
      <c r="Q2390" s="61"/>
      <c r="R2390" s="62"/>
      <c r="S2390" s="43">
        <f t="shared" si="87"/>
        <v>0</v>
      </c>
      <c r="T2390" s="44" t="str">
        <f t="shared" si="88"/>
        <v>0</v>
      </c>
      <c r="U2390" s="45">
        <f t="shared" si="89"/>
        <v>0</v>
      </c>
      <c r="V2390" s="46"/>
      <c r="W2390" s="46"/>
      <c r="X2390" s="46"/>
    </row>
    <row r="2391" spans="1:24" ht="15.75" customHeight="1" thickBot="1" x14ac:dyDescent="0.35">
      <c r="A2391" s="40"/>
      <c r="B2391" s="55"/>
      <c r="C2391" s="55"/>
      <c r="D2391" s="41"/>
      <c r="E2391" s="55"/>
      <c r="F2391" s="55"/>
      <c r="G2391" s="55"/>
      <c r="H2391" s="51"/>
      <c r="I2391" s="52"/>
      <c r="J2391" s="74"/>
      <c r="K2391" s="57"/>
      <c r="L2391" s="59"/>
      <c r="M2391" s="60"/>
      <c r="N2391" s="63"/>
      <c r="O2391" s="42"/>
      <c r="P2391" s="58"/>
      <c r="Q2391" s="61"/>
      <c r="R2391" s="62"/>
      <c r="S2391" s="43">
        <f t="shared" si="87"/>
        <v>0</v>
      </c>
      <c r="T2391" s="44" t="str">
        <f t="shared" si="88"/>
        <v>0</v>
      </c>
      <c r="U2391" s="45">
        <f t="shared" si="89"/>
        <v>0</v>
      </c>
      <c r="V2391" s="46"/>
      <c r="W2391" s="46"/>
      <c r="X2391" s="46"/>
    </row>
    <row r="2392" spans="1:24" ht="15.75" customHeight="1" thickBot="1" x14ac:dyDescent="0.35">
      <c r="A2392" s="40"/>
      <c r="B2392" s="55"/>
      <c r="C2392" s="55"/>
      <c r="D2392" s="41"/>
      <c r="E2392" s="55"/>
      <c r="F2392" s="55"/>
      <c r="G2392" s="55"/>
      <c r="H2392" s="51"/>
      <c r="I2392" s="52"/>
      <c r="J2392" s="74"/>
      <c r="K2392" s="57"/>
      <c r="L2392" s="59"/>
      <c r="M2392" s="60"/>
      <c r="N2392" s="63"/>
      <c r="O2392" s="42"/>
      <c r="P2392" s="58"/>
      <c r="Q2392" s="61"/>
      <c r="R2392" s="62"/>
      <c r="S2392" s="43">
        <f t="shared" si="87"/>
        <v>0</v>
      </c>
      <c r="T2392" s="44" t="str">
        <f t="shared" si="88"/>
        <v>0</v>
      </c>
      <c r="U2392" s="45">
        <f t="shared" si="89"/>
        <v>0</v>
      </c>
      <c r="V2392" s="46"/>
      <c r="W2392" s="46"/>
      <c r="X2392" s="46"/>
    </row>
    <row r="2393" spans="1:24" ht="15.75" customHeight="1" thickBot="1" x14ac:dyDescent="0.35">
      <c r="A2393" s="40"/>
      <c r="B2393" s="55"/>
      <c r="C2393" s="55"/>
      <c r="D2393" s="41"/>
      <c r="E2393" s="55"/>
      <c r="F2393" s="55"/>
      <c r="G2393" s="55"/>
      <c r="H2393" s="51"/>
      <c r="I2393" s="52"/>
      <c r="J2393" s="74"/>
      <c r="K2393" s="57"/>
      <c r="L2393" s="59"/>
      <c r="M2393" s="60"/>
      <c r="N2393" s="63"/>
      <c r="O2393" s="42"/>
      <c r="P2393" s="58"/>
      <c r="Q2393" s="61"/>
      <c r="R2393" s="62"/>
      <c r="S2393" s="43">
        <f t="shared" si="87"/>
        <v>0</v>
      </c>
      <c r="T2393" s="44" t="str">
        <f t="shared" si="88"/>
        <v>0</v>
      </c>
      <c r="U2393" s="45">
        <f t="shared" si="89"/>
        <v>0</v>
      </c>
      <c r="V2393" s="46"/>
      <c r="W2393" s="46"/>
      <c r="X2393" s="46"/>
    </row>
    <row r="2394" spans="1:24" ht="15.75" customHeight="1" thickBot="1" x14ac:dyDescent="0.35">
      <c r="A2394" s="40"/>
      <c r="B2394" s="55"/>
      <c r="C2394" s="55"/>
      <c r="D2394" s="41"/>
      <c r="E2394" s="55"/>
      <c r="F2394" s="55"/>
      <c r="G2394" s="55"/>
      <c r="H2394" s="51"/>
      <c r="I2394" s="52"/>
      <c r="J2394" s="74"/>
      <c r="K2394" s="57"/>
      <c r="L2394" s="59"/>
      <c r="M2394" s="60"/>
      <c r="N2394" s="63"/>
      <c r="O2394" s="42"/>
      <c r="P2394" s="58"/>
      <c r="Q2394" s="61"/>
      <c r="R2394" s="62"/>
      <c r="S2394" s="43">
        <f t="shared" si="87"/>
        <v>0</v>
      </c>
      <c r="T2394" s="44" t="str">
        <f t="shared" si="88"/>
        <v>0</v>
      </c>
      <c r="U2394" s="45">
        <f t="shared" si="89"/>
        <v>0</v>
      </c>
      <c r="V2394" s="46"/>
      <c r="W2394" s="46"/>
      <c r="X2394" s="46"/>
    </row>
    <row r="2395" spans="1:24" ht="15.75" customHeight="1" thickBot="1" x14ac:dyDescent="0.35">
      <c r="A2395" s="40"/>
      <c r="B2395" s="55"/>
      <c r="C2395" s="55"/>
      <c r="D2395" s="41"/>
      <c r="E2395" s="55"/>
      <c r="F2395" s="55"/>
      <c r="G2395" s="55"/>
      <c r="H2395" s="51"/>
      <c r="I2395" s="52"/>
      <c r="J2395" s="74"/>
      <c r="K2395" s="57"/>
      <c r="L2395" s="59"/>
      <c r="M2395" s="60"/>
      <c r="N2395" s="63"/>
      <c r="O2395" s="42"/>
      <c r="P2395" s="58"/>
      <c r="Q2395" s="61"/>
      <c r="R2395" s="62"/>
      <c r="S2395" s="43">
        <f t="shared" si="87"/>
        <v>0</v>
      </c>
      <c r="T2395" s="44" t="str">
        <f t="shared" si="88"/>
        <v>0</v>
      </c>
      <c r="U2395" s="45">
        <f t="shared" si="89"/>
        <v>0</v>
      </c>
      <c r="V2395" s="46"/>
      <c r="W2395" s="46"/>
      <c r="X2395" s="46"/>
    </row>
    <row r="2396" spans="1:24" ht="15.75" customHeight="1" thickBot="1" x14ac:dyDescent="0.35">
      <c r="A2396" s="40"/>
      <c r="B2396" s="55"/>
      <c r="C2396" s="55"/>
      <c r="D2396" s="41"/>
      <c r="E2396" s="55"/>
      <c r="F2396" s="55"/>
      <c r="G2396" s="55"/>
      <c r="H2396" s="51"/>
      <c r="I2396" s="52"/>
      <c r="J2396" s="74"/>
      <c r="K2396" s="57"/>
      <c r="L2396" s="59"/>
      <c r="M2396" s="60"/>
      <c r="N2396" s="63"/>
      <c r="O2396" s="42"/>
      <c r="P2396" s="58"/>
      <c r="Q2396" s="61"/>
      <c r="R2396" s="62"/>
      <c r="S2396" s="43">
        <f t="shared" si="87"/>
        <v>0</v>
      </c>
      <c r="T2396" s="44" t="str">
        <f t="shared" si="88"/>
        <v>0</v>
      </c>
      <c r="U2396" s="45">
        <f t="shared" si="89"/>
        <v>0</v>
      </c>
      <c r="V2396" s="46"/>
      <c r="W2396" s="46"/>
      <c r="X2396" s="46"/>
    </row>
    <row r="2397" spans="1:24" ht="15.75" customHeight="1" thickBot="1" x14ac:dyDescent="0.35">
      <c r="A2397" s="40"/>
      <c r="B2397" s="55"/>
      <c r="C2397" s="55"/>
      <c r="D2397" s="41"/>
      <c r="E2397" s="55"/>
      <c r="F2397" s="55"/>
      <c r="G2397" s="55"/>
      <c r="H2397" s="51"/>
      <c r="I2397" s="52"/>
      <c r="J2397" s="74"/>
      <c r="K2397" s="57"/>
      <c r="L2397" s="59"/>
      <c r="M2397" s="60"/>
      <c r="N2397" s="63"/>
      <c r="O2397" s="42"/>
      <c r="P2397" s="58"/>
      <c r="Q2397" s="61"/>
      <c r="R2397" s="62"/>
      <c r="S2397" s="43">
        <f t="shared" si="87"/>
        <v>0</v>
      </c>
      <c r="T2397" s="44" t="str">
        <f t="shared" si="88"/>
        <v>0</v>
      </c>
      <c r="U2397" s="45">
        <f t="shared" si="89"/>
        <v>0</v>
      </c>
      <c r="V2397" s="46"/>
      <c r="W2397" s="46"/>
      <c r="X2397" s="46"/>
    </row>
    <row r="2398" spans="1:24" ht="15.75" customHeight="1" thickBot="1" x14ac:dyDescent="0.35">
      <c r="A2398" s="40"/>
      <c r="B2398" s="55"/>
      <c r="C2398" s="55"/>
      <c r="D2398" s="41"/>
      <c r="E2398" s="55"/>
      <c r="F2398" s="55"/>
      <c r="G2398" s="55"/>
      <c r="H2398" s="51"/>
      <c r="I2398" s="52"/>
      <c r="J2398" s="74"/>
      <c r="K2398" s="57"/>
      <c r="L2398" s="59"/>
      <c r="M2398" s="60"/>
      <c r="N2398" s="63"/>
      <c r="O2398" s="42"/>
      <c r="P2398" s="58"/>
      <c r="Q2398" s="61"/>
      <c r="R2398" s="62"/>
      <c r="S2398" s="43">
        <f t="shared" si="87"/>
        <v>0</v>
      </c>
      <c r="T2398" s="44" t="str">
        <f t="shared" si="88"/>
        <v>0</v>
      </c>
      <c r="U2398" s="45">
        <f t="shared" si="89"/>
        <v>0</v>
      </c>
      <c r="V2398" s="46"/>
      <c r="W2398" s="46"/>
      <c r="X2398" s="46"/>
    </row>
    <row r="2399" spans="1:24" ht="15.75" customHeight="1" thickBot="1" x14ac:dyDescent="0.35">
      <c r="A2399" s="40"/>
      <c r="B2399" s="55"/>
      <c r="C2399" s="55"/>
      <c r="D2399" s="41"/>
      <c r="E2399" s="55"/>
      <c r="F2399" s="55"/>
      <c r="G2399" s="55"/>
      <c r="H2399" s="51"/>
      <c r="I2399" s="52"/>
      <c r="J2399" s="74"/>
      <c r="K2399" s="57"/>
      <c r="L2399" s="59"/>
      <c r="M2399" s="60"/>
      <c r="N2399" s="63"/>
      <c r="O2399" s="42"/>
      <c r="P2399" s="58"/>
      <c r="Q2399" s="61"/>
      <c r="R2399" s="62"/>
      <c r="S2399" s="43">
        <f t="shared" si="87"/>
        <v>0</v>
      </c>
      <c r="T2399" s="44" t="str">
        <f t="shared" si="88"/>
        <v>0</v>
      </c>
      <c r="U2399" s="45">
        <f t="shared" si="89"/>
        <v>0</v>
      </c>
      <c r="V2399" s="46"/>
      <c r="W2399" s="46"/>
      <c r="X2399" s="46"/>
    </row>
    <row r="2400" spans="1:24" ht="15.75" customHeight="1" thickBot="1" x14ac:dyDescent="0.35">
      <c r="A2400" s="40"/>
      <c r="B2400" s="55"/>
      <c r="C2400" s="55"/>
      <c r="D2400" s="41"/>
      <c r="E2400" s="55"/>
      <c r="F2400" s="55"/>
      <c r="G2400" s="55"/>
      <c r="H2400" s="51"/>
      <c r="I2400" s="52"/>
      <c r="J2400" s="74"/>
      <c r="K2400" s="57"/>
      <c r="L2400" s="59"/>
      <c r="M2400" s="60"/>
      <c r="N2400" s="63"/>
      <c r="O2400" s="42"/>
      <c r="P2400" s="58"/>
      <c r="Q2400" s="61"/>
      <c r="R2400" s="62"/>
      <c r="S2400" s="43">
        <f t="shared" si="87"/>
        <v>0</v>
      </c>
      <c r="T2400" s="44" t="str">
        <f t="shared" si="88"/>
        <v>0</v>
      </c>
      <c r="U2400" s="45">
        <f t="shared" si="89"/>
        <v>0</v>
      </c>
      <c r="V2400" s="46"/>
      <c r="W2400" s="46"/>
      <c r="X2400" s="46"/>
    </row>
    <row r="2401" spans="1:24" ht="15.75" customHeight="1" thickBot="1" x14ac:dyDescent="0.35">
      <c r="A2401" s="40"/>
      <c r="B2401" s="55"/>
      <c r="C2401" s="55"/>
      <c r="D2401" s="41"/>
      <c r="E2401" s="55"/>
      <c r="F2401" s="55"/>
      <c r="G2401" s="55"/>
      <c r="H2401" s="51"/>
      <c r="I2401" s="52"/>
      <c r="J2401" s="74"/>
      <c r="K2401" s="57"/>
      <c r="L2401" s="59"/>
      <c r="M2401" s="60"/>
      <c r="N2401" s="63"/>
      <c r="O2401" s="42"/>
      <c r="P2401" s="58"/>
      <c r="Q2401" s="61"/>
      <c r="R2401" s="62"/>
      <c r="S2401" s="43">
        <f t="shared" si="87"/>
        <v>0</v>
      </c>
      <c r="T2401" s="44" t="str">
        <f t="shared" si="88"/>
        <v>0</v>
      </c>
      <c r="U2401" s="45">
        <f t="shared" si="89"/>
        <v>0</v>
      </c>
      <c r="V2401" s="46"/>
      <c r="W2401" s="46"/>
      <c r="X2401" s="46"/>
    </row>
    <row r="2402" spans="1:24" ht="15.75" customHeight="1" thickBot="1" x14ac:dyDescent="0.35">
      <c r="A2402" s="40"/>
      <c r="B2402" s="55"/>
      <c r="C2402" s="55"/>
      <c r="D2402" s="41"/>
      <c r="E2402" s="55"/>
      <c r="F2402" s="55"/>
      <c r="G2402" s="55"/>
      <c r="H2402" s="51"/>
      <c r="I2402" s="52"/>
      <c r="J2402" s="74"/>
      <c r="K2402" s="57"/>
      <c r="L2402" s="59"/>
      <c r="M2402" s="60"/>
      <c r="N2402" s="63"/>
      <c r="O2402" s="42"/>
      <c r="P2402" s="58"/>
      <c r="Q2402" s="61"/>
      <c r="R2402" s="62"/>
      <c r="S2402" s="43">
        <f t="shared" si="87"/>
        <v>0</v>
      </c>
      <c r="T2402" s="44" t="str">
        <f t="shared" si="88"/>
        <v>0</v>
      </c>
      <c r="U2402" s="45">
        <f t="shared" si="89"/>
        <v>0</v>
      </c>
      <c r="V2402" s="46"/>
      <c r="W2402" s="46"/>
      <c r="X2402" s="46"/>
    </row>
    <row r="2403" spans="1:24" ht="15.75" customHeight="1" thickBot="1" x14ac:dyDescent="0.35">
      <c r="A2403" s="40"/>
      <c r="B2403" s="55"/>
      <c r="C2403" s="55"/>
      <c r="D2403" s="41"/>
      <c r="E2403" s="55"/>
      <c r="F2403" s="55"/>
      <c r="G2403" s="55"/>
      <c r="H2403" s="51"/>
      <c r="I2403" s="52"/>
      <c r="J2403" s="74"/>
      <c r="K2403" s="57"/>
      <c r="L2403" s="59"/>
      <c r="M2403" s="60"/>
      <c r="N2403" s="63"/>
      <c r="O2403" s="42"/>
      <c r="P2403" s="58"/>
      <c r="Q2403" s="61"/>
      <c r="R2403" s="62"/>
      <c r="S2403" s="43">
        <f t="shared" si="87"/>
        <v>0</v>
      </c>
      <c r="T2403" s="44" t="str">
        <f t="shared" si="88"/>
        <v>0</v>
      </c>
      <c r="U2403" s="45">
        <f t="shared" si="89"/>
        <v>0</v>
      </c>
      <c r="V2403" s="46"/>
      <c r="W2403" s="46"/>
      <c r="X2403" s="46"/>
    </row>
    <row r="2404" spans="1:24" ht="15.75" customHeight="1" thickBot="1" x14ac:dyDescent="0.35">
      <c r="A2404" s="40"/>
      <c r="B2404" s="55"/>
      <c r="C2404" s="55"/>
      <c r="D2404" s="41"/>
      <c r="E2404" s="55"/>
      <c r="F2404" s="55"/>
      <c r="G2404" s="55"/>
      <c r="H2404" s="51"/>
      <c r="I2404" s="52"/>
      <c r="J2404" s="74"/>
      <c r="K2404" s="57"/>
      <c r="L2404" s="59"/>
      <c r="M2404" s="60"/>
      <c r="N2404" s="63"/>
      <c r="O2404" s="42"/>
      <c r="P2404" s="58"/>
      <c r="Q2404" s="61"/>
      <c r="R2404" s="62"/>
      <c r="S2404" s="43">
        <f t="shared" si="87"/>
        <v>0</v>
      </c>
      <c r="T2404" s="44" t="str">
        <f t="shared" si="88"/>
        <v>0</v>
      </c>
      <c r="U2404" s="45">
        <f t="shared" si="89"/>
        <v>0</v>
      </c>
      <c r="V2404" s="46"/>
      <c r="W2404" s="46"/>
      <c r="X2404" s="46"/>
    </row>
    <row r="2405" spans="1:24" ht="15.75" customHeight="1" thickBot="1" x14ac:dyDescent="0.35">
      <c r="A2405" s="40"/>
      <c r="B2405" s="55"/>
      <c r="C2405" s="55"/>
      <c r="D2405" s="41"/>
      <c r="E2405" s="55"/>
      <c r="F2405" s="55"/>
      <c r="G2405" s="55"/>
      <c r="H2405" s="51"/>
      <c r="I2405" s="52"/>
      <c r="J2405" s="74"/>
      <c r="K2405" s="57"/>
      <c r="L2405" s="59"/>
      <c r="M2405" s="60"/>
      <c r="N2405" s="63"/>
      <c r="O2405" s="42"/>
      <c r="P2405" s="58"/>
      <c r="Q2405" s="61"/>
      <c r="R2405" s="62"/>
      <c r="S2405" s="43">
        <f t="shared" si="87"/>
        <v>0</v>
      </c>
      <c r="T2405" s="44" t="str">
        <f t="shared" si="88"/>
        <v>0</v>
      </c>
      <c r="U2405" s="45">
        <f t="shared" si="89"/>
        <v>0</v>
      </c>
      <c r="V2405" s="46"/>
      <c r="W2405" s="46"/>
      <c r="X2405" s="46"/>
    </row>
    <row r="2406" spans="1:24" ht="15.75" customHeight="1" thickBot="1" x14ac:dyDescent="0.35">
      <c r="A2406" s="40"/>
      <c r="B2406" s="55"/>
      <c r="C2406" s="55"/>
      <c r="D2406" s="41"/>
      <c r="E2406" s="55"/>
      <c r="F2406" s="55"/>
      <c r="G2406" s="55"/>
      <c r="H2406" s="51"/>
      <c r="I2406" s="52"/>
      <c r="J2406" s="74"/>
      <c r="K2406" s="57"/>
      <c r="L2406" s="59"/>
      <c r="M2406" s="60"/>
      <c r="N2406" s="63"/>
      <c r="O2406" s="42"/>
      <c r="P2406" s="58"/>
      <c r="Q2406" s="61"/>
      <c r="R2406" s="62"/>
      <c r="S2406" s="43">
        <f t="shared" si="87"/>
        <v>0</v>
      </c>
      <c r="T2406" s="44" t="str">
        <f t="shared" si="88"/>
        <v>0</v>
      </c>
      <c r="U2406" s="45">
        <f t="shared" si="89"/>
        <v>0</v>
      </c>
      <c r="V2406" s="46"/>
      <c r="W2406" s="46"/>
      <c r="X2406" s="46"/>
    </row>
    <row r="2407" spans="1:24" ht="15.75" customHeight="1" thickBot="1" x14ac:dyDescent="0.35">
      <c r="A2407" s="40"/>
      <c r="B2407" s="55"/>
      <c r="C2407" s="55"/>
      <c r="D2407" s="41"/>
      <c r="E2407" s="55"/>
      <c r="F2407" s="55"/>
      <c r="G2407" s="55"/>
      <c r="H2407" s="51"/>
      <c r="I2407" s="52"/>
      <c r="J2407" s="74"/>
      <c r="K2407" s="57"/>
      <c r="L2407" s="59"/>
      <c r="M2407" s="60"/>
      <c r="N2407" s="63"/>
      <c r="O2407" s="42"/>
      <c r="P2407" s="58"/>
      <c r="Q2407" s="61"/>
      <c r="R2407" s="62"/>
      <c r="S2407" s="43">
        <f t="shared" si="87"/>
        <v>0</v>
      </c>
      <c r="T2407" s="44" t="str">
        <f t="shared" si="88"/>
        <v>0</v>
      </c>
      <c r="U2407" s="45">
        <f t="shared" si="89"/>
        <v>0</v>
      </c>
      <c r="V2407" s="46"/>
      <c r="W2407" s="46"/>
      <c r="X2407" s="46"/>
    </row>
    <row r="2408" spans="1:24" ht="15.75" customHeight="1" thickBot="1" x14ac:dyDescent="0.35">
      <c r="A2408" s="40"/>
      <c r="B2408" s="55"/>
      <c r="C2408" s="55"/>
      <c r="D2408" s="41"/>
      <c r="E2408" s="55"/>
      <c r="F2408" s="55"/>
      <c r="G2408" s="55"/>
      <c r="H2408" s="51"/>
      <c r="I2408" s="52"/>
      <c r="J2408" s="74"/>
      <c r="K2408" s="57"/>
      <c r="L2408" s="59"/>
      <c r="M2408" s="60"/>
      <c r="N2408" s="63"/>
      <c r="O2408" s="42"/>
      <c r="P2408" s="58"/>
      <c r="Q2408" s="61"/>
      <c r="R2408" s="62"/>
      <c r="S2408" s="43">
        <f t="shared" si="87"/>
        <v>0</v>
      </c>
      <c r="T2408" s="44" t="str">
        <f t="shared" si="88"/>
        <v>0</v>
      </c>
      <c r="U2408" s="45">
        <f t="shared" si="89"/>
        <v>0</v>
      </c>
      <c r="V2408" s="46"/>
      <c r="W2408" s="46"/>
      <c r="X2408" s="46"/>
    </row>
    <row r="2409" spans="1:24" ht="15.75" customHeight="1" thickBot="1" x14ac:dyDescent="0.35">
      <c r="A2409" s="40"/>
      <c r="B2409" s="55"/>
      <c r="C2409" s="55"/>
      <c r="D2409" s="41"/>
      <c r="E2409" s="55"/>
      <c r="F2409" s="55"/>
      <c r="G2409" s="55"/>
      <c r="H2409" s="51"/>
      <c r="I2409" s="52"/>
      <c r="J2409" s="74"/>
      <c r="K2409" s="57"/>
      <c r="L2409" s="59"/>
      <c r="M2409" s="60"/>
      <c r="N2409" s="63"/>
      <c r="O2409" s="42"/>
      <c r="P2409" s="58"/>
      <c r="Q2409" s="61"/>
      <c r="R2409" s="62"/>
      <c r="S2409" s="43">
        <f t="shared" si="87"/>
        <v>0</v>
      </c>
      <c r="T2409" s="44" t="str">
        <f t="shared" si="88"/>
        <v>0</v>
      </c>
      <c r="U2409" s="45">
        <f t="shared" si="89"/>
        <v>0</v>
      </c>
      <c r="V2409" s="46"/>
      <c r="W2409" s="46"/>
      <c r="X2409" s="46"/>
    </row>
    <row r="2410" spans="1:24" ht="15.75" customHeight="1" thickBot="1" x14ac:dyDescent="0.35">
      <c r="A2410" s="40"/>
      <c r="B2410" s="55"/>
      <c r="C2410" s="55"/>
      <c r="D2410" s="41"/>
      <c r="E2410" s="55"/>
      <c r="F2410" s="55"/>
      <c r="G2410" s="55"/>
      <c r="H2410" s="51"/>
      <c r="I2410" s="52"/>
      <c r="J2410" s="74"/>
      <c r="K2410" s="57"/>
      <c r="L2410" s="59"/>
      <c r="M2410" s="60"/>
      <c r="N2410" s="63"/>
      <c r="O2410" s="42"/>
      <c r="P2410" s="58"/>
      <c r="Q2410" s="61"/>
      <c r="R2410" s="62"/>
      <c r="S2410" s="43">
        <f t="shared" si="87"/>
        <v>0</v>
      </c>
      <c r="T2410" s="44" t="str">
        <f t="shared" si="88"/>
        <v>0</v>
      </c>
      <c r="U2410" s="45">
        <f t="shared" si="89"/>
        <v>0</v>
      </c>
      <c r="V2410" s="46"/>
      <c r="W2410" s="46"/>
      <c r="X2410" s="46"/>
    </row>
    <row r="2411" spans="1:24" ht="15.75" customHeight="1" thickBot="1" x14ac:dyDescent="0.35">
      <c r="A2411" s="40"/>
      <c r="B2411" s="55"/>
      <c r="C2411" s="55"/>
      <c r="D2411" s="41"/>
      <c r="E2411" s="55"/>
      <c r="F2411" s="55"/>
      <c r="G2411" s="55"/>
      <c r="H2411" s="51"/>
      <c r="I2411" s="52"/>
      <c r="J2411" s="74"/>
      <c r="K2411" s="57"/>
      <c r="L2411" s="59"/>
      <c r="M2411" s="60"/>
      <c r="N2411" s="63"/>
      <c r="O2411" s="42"/>
      <c r="P2411" s="58"/>
      <c r="Q2411" s="61"/>
      <c r="R2411" s="62"/>
      <c r="S2411" s="43">
        <f t="shared" si="87"/>
        <v>0</v>
      </c>
      <c r="T2411" s="44" t="str">
        <f t="shared" si="88"/>
        <v>0</v>
      </c>
      <c r="U2411" s="45">
        <f t="shared" si="89"/>
        <v>0</v>
      </c>
      <c r="V2411" s="46"/>
      <c r="W2411" s="46"/>
      <c r="X2411" s="46"/>
    </row>
    <row r="2412" spans="1:24" ht="15.75" customHeight="1" thickBot="1" x14ac:dyDescent="0.35">
      <c r="A2412" s="40"/>
      <c r="B2412" s="55"/>
      <c r="C2412" s="55"/>
      <c r="D2412" s="41"/>
      <c r="E2412" s="55"/>
      <c r="F2412" s="55"/>
      <c r="G2412" s="55"/>
      <c r="H2412" s="51"/>
      <c r="I2412" s="52"/>
      <c r="J2412" s="74"/>
      <c r="K2412" s="57"/>
      <c r="L2412" s="59"/>
      <c r="M2412" s="60"/>
      <c r="N2412" s="63"/>
      <c r="O2412" s="42"/>
      <c r="P2412" s="58"/>
      <c r="Q2412" s="61"/>
      <c r="R2412" s="62"/>
      <c r="S2412" s="43">
        <f t="shared" si="87"/>
        <v>0</v>
      </c>
      <c r="T2412" s="44" t="str">
        <f t="shared" si="88"/>
        <v>0</v>
      </c>
      <c r="U2412" s="45">
        <f t="shared" si="89"/>
        <v>0</v>
      </c>
      <c r="V2412" s="46"/>
      <c r="W2412" s="46"/>
      <c r="X2412" s="46"/>
    </row>
    <row r="2413" spans="1:24" ht="15.75" customHeight="1" thickBot="1" x14ac:dyDescent="0.35">
      <c r="A2413" s="40"/>
      <c r="B2413" s="55"/>
      <c r="C2413" s="55"/>
      <c r="D2413" s="41"/>
      <c r="E2413" s="55"/>
      <c r="F2413" s="55"/>
      <c r="G2413" s="55"/>
      <c r="H2413" s="51"/>
      <c r="I2413" s="52"/>
      <c r="J2413" s="74"/>
      <c r="K2413" s="57"/>
      <c r="L2413" s="59"/>
      <c r="M2413" s="60"/>
      <c r="N2413" s="63"/>
      <c r="O2413" s="42"/>
      <c r="P2413" s="58"/>
      <c r="Q2413" s="61"/>
      <c r="R2413" s="62"/>
      <c r="S2413" s="43">
        <f t="shared" si="87"/>
        <v>0</v>
      </c>
      <c r="T2413" s="44" t="str">
        <f t="shared" si="88"/>
        <v>0</v>
      </c>
      <c r="U2413" s="45">
        <f t="shared" si="89"/>
        <v>0</v>
      </c>
      <c r="V2413" s="46"/>
      <c r="W2413" s="46"/>
      <c r="X2413" s="46"/>
    </row>
    <row r="2414" spans="1:24" ht="15.75" customHeight="1" thickBot="1" x14ac:dyDescent="0.35">
      <c r="A2414" s="40"/>
      <c r="B2414" s="55"/>
      <c r="C2414" s="55"/>
      <c r="D2414" s="41"/>
      <c r="E2414" s="55"/>
      <c r="F2414" s="55"/>
      <c r="G2414" s="55"/>
      <c r="H2414" s="51"/>
      <c r="I2414" s="52"/>
      <c r="J2414" s="74"/>
      <c r="K2414" s="57"/>
      <c r="L2414" s="59"/>
      <c r="M2414" s="60"/>
      <c r="N2414" s="63"/>
      <c r="O2414" s="42"/>
      <c r="P2414" s="58"/>
      <c r="Q2414" s="61"/>
      <c r="R2414" s="62"/>
      <c r="S2414" s="43">
        <f t="shared" si="87"/>
        <v>0</v>
      </c>
      <c r="T2414" s="44" t="str">
        <f t="shared" si="88"/>
        <v>0</v>
      </c>
      <c r="U2414" s="45">
        <f t="shared" si="89"/>
        <v>0</v>
      </c>
      <c r="V2414" s="46"/>
      <c r="W2414" s="46"/>
      <c r="X2414" s="46"/>
    </row>
    <row r="2415" spans="1:24" ht="15.75" customHeight="1" thickBot="1" x14ac:dyDescent="0.35">
      <c r="A2415" s="40"/>
      <c r="B2415" s="55"/>
      <c r="C2415" s="55"/>
      <c r="D2415" s="41"/>
      <c r="E2415" s="55"/>
      <c r="F2415" s="55"/>
      <c r="G2415" s="55"/>
      <c r="H2415" s="51"/>
      <c r="I2415" s="52"/>
      <c r="J2415" s="74"/>
      <c r="K2415" s="57"/>
      <c r="L2415" s="59"/>
      <c r="M2415" s="60"/>
      <c r="N2415" s="63"/>
      <c r="O2415" s="42"/>
      <c r="P2415" s="58"/>
      <c r="Q2415" s="61"/>
      <c r="R2415" s="62"/>
      <c r="S2415" s="43">
        <f t="shared" si="87"/>
        <v>0</v>
      </c>
      <c r="T2415" s="44" t="str">
        <f t="shared" si="88"/>
        <v>0</v>
      </c>
      <c r="U2415" s="45">
        <f t="shared" si="89"/>
        <v>0</v>
      </c>
      <c r="V2415" s="46"/>
      <c r="W2415" s="46"/>
      <c r="X2415" s="46"/>
    </row>
    <row r="2416" spans="1:24" ht="15.75" customHeight="1" thickBot="1" x14ac:dyDescent="0.35">
      <c r="A2416" s="40"/>
      <c r="B2416" s="55"/>
      <c r="C2416" s="55"/>
      <c r="D2416" s="41"/>
      <c r="E2416" s="55"/>
      <c r="F2416" s="55"/>
      <c r="G2416" s="55"/>
      <c r="H2416" s="51"/>
      <c r="I2416" s="52"/>
      <c r="J2416" s="74"/>
      <c r="K2416" s="57"/>
      <c r="L2416" s="59"/>
      <c r="M2416" s="60"/>
      <c r="N2416" s="63"/>
      <c r="O2416" s="42"/>
      <c r="P2416" s="58"/>
      <c r="Q2416" s="61"/>
      <c r="R2416" s="62"/>
      <c r="S2416" s="43">
        <f t="shared" si="87"/>
        <v>0</v>
      </c>
      <c r="T2416" s="44" t="str">
        <f t="shared" si="88"/>
        <v>0</v>
      </c>
      <c r="U2416" s="45">
        <f t="shared" si="89"/>
        <v>0</v>
      </c>
      <c r="V2416" s="46"/>
      <c r="W2416" s="46"/>
      <c r="X2416" s="46"/>
    </row>
    <row r="2417" spans="1:24" ht="15.75" customHeight="1" thickBot="1" x14ac:dyDescent="0.35">
      <c r="A2417" s="40"/>
      <c r="B2417" s="55"/>
      <c r="C2417" s="55"/>
      <c r="D2417" s="41"/>
      <c r="E2417" s="55"/>
      <c r="F2417" s="55"/>
      <c r="G2417" s="55"/>
      <c r="H2417" s="51"/>
      <c r="I2417" s="52"/>
      <c r="J2417" s="74"/>
      <c r="K2417" s="57"/>
      <c r="L2417" s="59"/>
      <c r="M2417" s="60"/>
      <c r="N2417" s="63"/>
      <c r="O2417" s="42"/>
      <c r="P2417" s="58"/>
      <c r="Q2417" s="61"/>
      <c r="R2417" s="62"/>
      <c r="S2417" s="43">
        <f t="shared" si="87"/>
        <v>0</v>
      </c>
      <c r="T2417" s="44" t="str">
        <f t="shared" si="88"/>
        <v>0</v>
      </c>
      <c r="U2417" s="45">
        <f t="shared" si="89"/>
        <v>0</v>
      </c>
      <c r="V2417" s="46"/>
      <c r="W2417" s="46"/>
      <c r="X2417" s="46"/>
    </row>
    <row r="2418" spans="1:24" ht="15.75" customHeight="1" thickBot="1" x14ac:dyDescent="0.35">
      <c r="A2418" s="40"/>
      <c r="B2418" s="55"/>
      <c r="C2418" s="55"/>
      <c r="D2418" s="41"/>
      <c r="E2418" s="55"/>
      <c r="F2418" s="55"/>
      <c r="G2418" s="55"/>
      <c r="H2418" s="51"/>
      <c r="I2418" s="52"/>
      <c r="J2418" s="74"/>
      <c r="K2418" s="57"/>
      <c r="L2418" s="59"/>
      <c r="M2418" s="60"/>
      <c r="N2418" s="63"/>
      <c r="O2418" s="42"/>
      <c r="P2418" s="58"/>
      <c r="Q2418" s="61"/>
      <c r="R2418" s="62"/>
      <c r="S2418" s="43">
        <f t="shared" si="87"/>
        <v>0</v>
      </c>
      <c r="T2418" s="44" t="str">
        <f t="shared" si="88"/>
        <v>0</v>
      </c>
      <c r="U2418" s="45">
        <f t="shared" si="89"/>
        <v>0</v>
      </c>
      <c r="V2418" s="46"/>
      <c r="W2418" s="46"/>
      <c r="X2418" s="46"/>
    </row>
    <row r="2419" spans="1:24" ht="15.75" customHeight="1" thickBot="1" x14ac:dyDescent="0.35">
      <c r="A2419" s="40"/>
      <c r="B2419" s="55"/>
      <c r="C2419" s="55"/>
      <c r="D2419" s="41"/>
      <c r="E2419" s="55"/>
      <c r="F2419" s="55"/>
      <c r="G2419" s="55"/>
      <c r="H2419" s="51"/>
      <c r="I2419" s="52"/>
      <c r="J2419" s="74"/>
      <c r="K2419" s="57"/>
      <c r="L2419" s="59"/>
      <c r="M2419" s="60"/>
      <c r="N2419" s="63"/>
      <c r="O2419" s="42"/>
      <c r="P2419" s="58"/>
      <c r="Q2419" s="61"/>
      <c r="R2419" s="62"/>
      <c r="S2419" s="43">
        <f t="shared" si="87"/>
        <v>0</v>
      </c>
      <c r="T2419" s="44" t="str">
        <f t="shared" si="88"/>
        <v>0</v>
      </c>
      <c r="U2419" s="45">
        <f t="shared" si="89"/>
        <v>0</v>
      </c>
      <c r="V2419" s="46"/>
      <c r="W2419" s="46"/>
      <c r="X2419" s="46"/>
    </row>
    <row r="2420" spans="1:24" ht="15.75" customHeight="1" thickBot="1" x14ac:dyDescent="0.35">
      <c r="A2420" s="40"/>
      <c r="B2420" s="55"/>
      <c r="C2420" s="55"/>
      <c r="D2420" s="41"/>
      <c r="E2420" s="55"/>
      <c r="F2420" s="55"/>
      <c r="G2420" s="55"/>
      <c r="H2420" s="51"/>
      <c r="I2420" s="52"/>
      <c r="J2420" s="74"/>
      <c r="K2420" s="57"/>
      <c r="L2420" s="59"/>
      <c r="M2420" s="60"/>
      <c r="N2420" s="63"/>
      <c r="O2420" s="42"/>
      <c r="P2420" s="58"/>
      <c r="Q2420" s="61"/>
      <c r="R2420" s="62"/>
      <c r="S2420" s="43">
        <f t="shared" si="87"/>
        <v>0</v>
      </c>
      <c r="T2420" s="44" t="str">
        <f t="shared" si="88"/>
        <v>0</v>
      </c>
      <c r="U2420" s="45">
        <f t="shared" si="89"/>
        <v>0</v>
      </c>
      <c r="V2420" s="46"/>
      <c r="W2420" s="46"/>
      <c r="X2420" s="46"/>
    </row>
    <row r="2421" spans="1:24" ht="15.75" customHeight="1" thickBot="1" x14ac:dyDescent="0.35">
      <c r="A2421" s="40"/>
      <c r="B2421" s="55"/>
      <c r="C2421" s="55"/>
      <c r="D2421" s="41"/>
      <c r="E2421" s="55"/>
      <c r="F2421" s="55"/>
      <c r="G2421" s="55"/>
      <c r="H2421" s="51"/>
      <c r="I2421" s="52"/>
      <c r="J2421" s="74"/>
      <c r="K2421" s="57"/>
      <c r="L2421" s="59"/>
      <c r="M2421" s="60"/>
      <c r="N2421" s="63"/>
      <c r="O2421" s="42"/>
      <c r="P2421" s="58"/>
      <c r="Q2421" s="61"/>
      <c r="R2421" s="62"/>
      <c r="S2421" s="43">
        <f t="shared" si="87"/>
        <v>0</v>
      </c>
      <c r="T2421" s="44" t="str">
        <f t="shared" si="88"/>
        <v>0</v>
      </c>
      <c r="U2421" s="45">
        <f t="shared" si="89"/>
        <v>0</v>
      </c>
      <c r="V2421" s="46"/>
      <c r="W2421" s="46"/>
      <c r="X2421" s="46"/>
    </row>
    <row r="2422" spans="1:24" ht="15.75" customHeight="1" thickBot="1" x14ac:dyDescent="0.35">
      <c r="A2422" s="40"/>
      <c r="B2422" s="55"/>
      <c r="C2422" s="55"/>
      <c r="D2422" s="41"/>
      <c r="E2422" s="55"/>
      <c r="F2422" s="55"/>
      <c r="G2422" s="55"/>
      <c r="H2422" s="51"/>
      <c r="I2422" s="52"/>
      <c r="J2422" s="74"/>
      <c r="K2422" s="57"/>
      <c r="L2422" s="59"/>
      <c r="M2422" s="60"/>
      <c r="N2422" s="63"/>
      <c r="O2422" s="42"/>
      <c r="P2422" s="58"/>
      <c r="Q2422" s="61"/>
      <c r="R2422" s="62"/>
      <c r="S2422" s="43">
        <f t="shared" si="87"/>
        <v>0</v>
      </c>
      <c r="T2422" s="44" t="str">
        <f t="shared" si="88"/>
        <v>0</v>
      </c>
      <c r="U2422" s="45">
        <f t="shared" si="89"/>
        <v>0</v>
      </c>
      <c r="V2422" s="46"/>
      <c r="W2422" s="46"/>
      <c r="X2422" s="46"/>
    </row>
    <row r="2423" spans="1:24" ht="15.75" customHeight="1" thickBot="1" x14ac:dyDescent="0.35">
      <c r="A2423" s="40"/>
      <c r="B2423" s="55"/>
      <c r="C2423" s="55"/>
      <c r="D2423" s="41"/>
      <c r="E2423" s="55"/>
      <c r="F2423" s="55"/>
      <c r="G2423" s="55"/>
      <c r="H2423" s="51"/>
      <c r="I2423" s="52"/>
      <c r="J2423" s="74"/>
      <c r="K2423" s="57"/>
      <c r="L2423" s="59"/>
      <c r="M2423" s="60"/>
      <c r="N2423" s="63"/>
      <c r="O2423" s="42"/>
      <c r="P2423" s="58"/>
      <c r="Q2423" s="61"/>
      <c r="R2423" s="62"/>
      <c r="S2423" s="43">
        <f t="shared" si="87"/>
        <v>0</v>
      </c>
      <c r="T2423" s="44" t="str">
        <f t="shared" si="88"/>
        <v>0</v>
      </c>
      <c r="U2423" s="45">
        <f t="shared" si="89"/>
        <v>0</v>
      </c>
      <c r="V2423" s="46"/>
      <c r="W2423" s="46"/>
      <c r="X2423" s="46"/>
    </row>
    <row r="2424" spans="1:24" ht="15.75" customHeight="1" thickBot="1" x14ac:dyDescent="0.35">
      <c r="A2424" s="40"/>
      <c r="B2424" s="55"/>
      <c r="C2424" s="55"/>
      <c r="D2424" s="41"/>
      <c r="E2424" s="55"/>
      <c r="F2424" s="55"/>
      <c r="G2424" s="55"/>
      <c r="H2424" s="51"/>
      <c r="I2424" s="52"/>
      <c r="J2424" s="74"/>
      <c r="K2424" s="57"/>
      <c r="L2424" s="59"/>
      <c r="M2424" s="60"/>
      <c r="N2424" s="63"/>
      <c r="O2424" s="42"/>
      <c r="P2424" s="58"/>
      <c r="Q2424" s="61"/>
      <c r="R2424" s="62"/>
      <c r="S2424" s="43">
        <f t="shared" si="87"/>
        <v>0</v>
      </c>
      <c r="T2424" s="44" t="str">
        <f t="shared" si="88"/>
        <v>0</v>
      </c>
      <c r="U2424" s="45">
        <f t="shared" si="89"/>
        <v>0</v>
      </c>
      <c r="V2424" s="46"/>
      <c r="W2424" s="46"/>
      <c r="X2424" s="46"/>
    </row>
    <row r="2425" spans="1:24" ht="15.75" customHeight="1" thickBot="1" x14ac:dyDescent="0.35">
      <c r="A2425" s="40"/>
      <c r="B2425" s="55"/>
      <c r="C2425" s="55"/>
      <c r="D2425" s="41"/>
      <c r="E2425" s="55"/>
      <c r="F2425" s="55"/>
      <c r="G2425" s="55"/>
      <c r="H2425" s="51"/>
      <c r="I2425" s="52"/>
      <c r="J2425" s="74"/>
      <c r="K2425" s="57"/>
      <c r="L2425" s="59"/>
      <c r="M2425" s="60"/>
      <c r="N2425" s="63"/>
      <c r="O2425" s="42"/>
      <c r="P2425" s="58"/>
      <c r="Q2425" s="61"/>
      <c r="R2425" s="62"/>
      <c r="S2425" s="43">
        <f t="shared" si="87"/>
        <v>0</v>
      </c>
      <c r="T2425" s="44" t="str">
        <f t="shared" si="88"/>
        <v>0</v>
      </c>
      <c r="U2425" s="45">
        <f t="shared" si="89"/>
        <v>0</v>
      </c>
      <c r="V2425" s="46"/>
      <c r="W2425" s="46"/>
      <c r="X2425" s="46"/>
    </row>
    <row r="2426" spans="1:24" ht="15.75" customHeight="1" thickBot="1" x14ac:dyDescent="0.35">
      <c r="A2426" s="40"/>
      <c r="B2426" s="55"/>
      <c r="C2426" s="55"/>
      <c r="D2426" s="41"/>
      <c r="E2426" s="55"/>
      <c r="F2426" s="55"/>
      <c r="G2426" s="55"/>
      <c r="H2426" s="51"/>
      <c r="I2426" s="52"/>
      <c r="J2426" s="74"/>
      <c r="K2426" s="57"/>
      <c r="L2426" s="59"/>
      <c r="M2426" s="60"/>
      <c r="N2426" s="63"/>
      <c r="O2426" s="42"/>
      <c r="P2426" s="58"/>
      <c r="Q2426" s="61"/>
      <c r="R2426" s="62"/>
      <c r="S2426" s="43">
        <f t="shared" si="87"/>
        <v>0</v>
      </c>
      <c r="T2426" s="44" t="str">
        <f t="shared" si="88"/>
        <v>0</v>
      </c>
      <c r="U2426" s="45">
        <f t="shared" si="89"/>
        <v>0</v>
      </c>
      <c r="V2426" s="46"/>
      <c r="W2426" s="46"/>
      <c r="X2426" s="46"/>
    </row>
    <row r="2427" spans="1:24" ht="15.75" customHeight="1" thickBot="1" x14ac:dyDescent="0.35">
      <c r="A2427" s="40"/>
      <c r="B2427" s="55"/>
      <c r="C2427" s="55"/>
      <c r="D2427" s="41"/>
      <c r="E2427" s="55"/>
      <c r="F2427" s="55"/>
      <c r="G2427" s="55"/>
      <c r="H2427" s="51"/>
      <c r="I2427" s="52"/>
      <c r="J2427" s="74"/>
      <c r="K2427" s="57"/>
      <c r="L2427" s="59"/>
      <c r="M2427" s="60"/>
      <c r="N2427" s="63"/>
      <c r="O2427" s="42"/>
      <c r="P2427" s="58"/>
      <c r="Q2427" s="61"/>
      <c r="R2427" s="62"/>
      <c r="S2427" s="43">
        <f t="shared" si="87"/>
        <v>0</v>
      </c>
      <c r="T2427" s="44" t="str">
        <f t="shared" si="88"/>
        <v>0</v>
      </c>
      <c r="U2427" s="45">
        <f t="shared" si="89"/>
        <v>0</v>
      </c>
      <c r="V2427" s="46"/>
      <c r="W2427" s="46"/>
      <c r="X2427" s="46"/>
    </row>
    <row r="2428" spans="1:24" ht="15.75" customHeight="1" thickBot="1" x14ac:dyDescent="0.35">
      <c r="A2428" s="40"/>
      <c r="B2428" s="55"/>
      <c r="C2428" s="55"/>
      <c r="D2428" s="41"/>
      <c r="E2428" s="55"/>
      <c r="F2428" s="55"/>
      <c r="G2428" s="55"/>
      <c r="H2428" s="51"/>
      <c r="I2428" s="52"/>
      <c r="J2428" s="74"/>
      <c r="K2428" s="57"/>
      <c r="L2428" s="59"/>
      <c r="M2428" s="60"/>
      <c r="N2428" s="63"/>
      <c r="O2428" s="42"/>
      <c r="P2428" s="58"/>
      <c r="Q2428" s="61"/>
      <c r="R2428" s="62"/>
      <c r="S2428" s="43">
        <f t="shared" si="87"/>
        <v>0</v>
      </c>
      <c r="T2428" s="44" t="str">
        <f t="shared" si="88"/>
        <v>0</v>
      </c>
      <c r="U2428" s="45">
        <f t="shared" si="89"/>
        <v>0</v>
      </c>
      <c r="V2428" s="46"/>
      <c r="W2428" s="46"/>
      <c r="X2428" s="46"/>
    </row>
    <row r="2429" spans="1:24" ht="15.75" customHeight="1" thickBot="1" x14ac:dyDescent="0.35">
      <c r="A2429" s="40"/>
      <c r="B2429" s="55"/>
      <c r="C2429" s="55"/>
      <c r="D2429" s="41"/>
      <c r="E2429" s="55"/>
      <c r="F2429" s="55"/>
      <c r="G2429" s="55"/>
      <c r="H2429" s="51"/>
      <c r="I2429" s="52"/>
      <c r="J2429" s="74"/>
      <c r="K2429" s="57"/>
      <c r="L2429" s="59"/>
      <c r="M2429" s="60"/>
      <c r="N2429" s="63"/>
      <c r="O2429" s="42"/>
      <c r="P2429" s="58"/>
      <c r="Q2429" s="61"/>
      <c r="R2429" s="62"/>
      <c r="S2429" s="43">
        <f t="shared" si="87"/>
        <v>0</v>
      </c>
      <c r="T2429" s="44" t="str">
        <f t="shared" si="88"/>
        <v>0</v>
      </c>
      <c r="U2429" s="45">
        <f t="shared" si="89"/>
        <v>0</v>
      </c>
      <c r="V2429" s="46"/>
      <c r="W2429" s="46"/>
      <c r="X2429" s="46"/>
    </row>
    <row r="2430" spans="1:24" ht="15.75" customHeight="1" thickBot="1" x14ac:dyDescent="0.35">
      <c r="A2430" s="40"/>
      <c r="B2430" s="55"/>
      <c r="C2430" s="55"/>
      <c r="D2430" s="41"/>
      <c r="E2430" s="55"/>
      <c r="F2430" s="55"/>
      <c r="G2430" s="55"/>
      <c r="H2430" s="51"/>
      <c r="I2430" s="52"/>
      <c r="J2430" s="74"/>
      <c r="K2430" s="57"/>
      <c r="L2430" s="59"/>
      <c r="M2430" s="60"/>
      <c r="N2430" s="63"/>
      <c r="O2430" s="42"/>
      <c r="P2430" s="58"/>
      <c r="Q2430" s="61"/>
      <c r="R2430" s="62"/>
      <c r="S2430" s="43">
        <f t="shared" si="87"/>
        <v>0</v>
      </c>
      <c r="T2430" s="44" t="str">
        <f t="shared" si="88"/>
        <v>0</v>
      </c>
      <c r="U2430" s="45">
        <f t="shared" si="89"/>
        <v>0</v>
      </c>
      <c r="V2430" s="46"/>
      <c r="W2430" s="46"/>
      <c r="X2430" s="46"/>
    </row>
    <row r="2431" spans="1:24" ht="15.75" customHeight="1" thickBot="1" x14ac:dyDescent="0.35">
      <c r="A2431" s="40"/>
      <c r="B2431" s="55"/>
      <c r="C2431" s="55"/>
      <c r="D2431" s="41"/>
      <c r="E2431" s="55"/>
      <c r="F2431" s="55"/>
      <c r="G2431" s="55"/>
      <c r="H2431" s="51"/>
      <c r="I2431" s="52"/>
      <c r="J2431" s="74"/>
      <c r="K2431" s="57"/>
      <c r="L2431" s="59"/>
      <c r="M2431" s="60"/>
      <c r="N2431" s="63"/>
      <c r="O2431" s="42"/>
      <c r="P2431" s="58"/>
      <c r="Q2431" s="61"/>
      <c r="R2431" s="62"/>
      <c r="S2431" s="43">
        <f t="shared" si="87"/>
        <v>0</v>
      </c>
      <c r="T2431" s="44" t="str">
        <f t="shared" si="88"/>
        <v>0</v>
      </c>
      <c r="U2431" s="45">
        <f t="shared" si="89"/>
        <v>0</v>
      </c>
      <c r="V2431" s="46"/>
      <c r="W2431" s="46"/>
      <c r="X2431" s="46"/>
    </row>
    <row r="2432" spans="1:24" ht="15.75" customHeight="1" thickBot="1" x14ac:dyDescent="0.35">
      <c r="A2432" s="40"/>
      <c r="B2432" s="55"/>
      <c r="C2432" s="55"/>
      <c r="D2432" s="41"/>
      <c r="E2432" s="55"/>
      <c r="F2432" s="55"/>
      <c r="G2432" s="55"/>
      <c r="H2432" s="51"/>
      <c r="I2432" s="52"/>
      <c r="J2432" s="74"/>
      <c r="K2432" s="57"/>
      <c r="L2432" s="59"/>
      <c r="M2432" s="60"/>
      <c r="N2432" s="63"/>
      <c r="O2432" s="42"/>
      <c r="P2432" s="58"/>
      <c r="Q2432" s="61"/>
      <c r="R2432" s="62"/>
      <c r="S2432" s="43">
        <f t="shared" si="87"/>
        <v>0</v>
      </c>
      <c r="T2432" s="44" t="str">
        <f t="shared" si="88"/>
        <v>0</v>
      </c>
      <c r="U2432" s="45">
        <f t="shared" si="89"/>
        <v>0</v>
      </c>
      <c r="V2432" s="46"/>
      <c r="W2432" s="46"/>
      <c r="X2432" s="46"/>
    </row>
    <row r="2433" spans="1:24" ht="15.75" customHeight="1" thickBot="1" x14ac:dyDescent="0.35">
      <c r="A2433" s="40"/>
      <c r="B2433" s="55"/>
      <c r="C2433" s="55"/>
      <c r="D2433" s="41"/>
      <c r="E2433" s="55"/>
      <c r="F2433" s="55"/>
      <c r="G2433" s="55"/>
      <c r="H2433" s="51"/>
      <c r="I2433" s="52"/>
      <c r="J2433" s="74"/>
      <c r="K2433" s="57"/>
      <c r="L2433" s="59"/>
      <c r="M2433" s="60"/>
      <c r="N2433" s="63"/>
      <c r="O2433" s="42"/>
      <c r="P2433" s="58"/>
      <c r="Q2433" s="61"/>
      <c r="R2433" s="62"/>
      <c r="S2433" s="43">
        <f t="shared" si="87"/>
        <v>0</v>
      </c>
      <c r="T2433" s="44" t="str">
        <f t="shared" si="88"/>
        <v>0</v>
      </c>
      <c r="U2433" s="45">
        <f t="shared" si="89"/>
        <v>0</v>
      </c>
      <c r="V2433" s="46"/>
      <c r="W2433" s="46"/>
      <c r="X2433" s="46"/>
    </row>
    <row r="2434" spans="1:24" ht="15.75" customHeight="1" thickBot="1" x14ac:dyDescent="0.35">
      <c r="A2434" s="40"/>
      <c r="B2434" s="55"/>
      <c r="C2434" s="55"/>
      <c r="D2434" s="41"/>
      <c r="E2434" s="55"/>
      <c r="F2434" s="55"/>
      <c r="G2434" s="55"/>
      <c r="H2434" s="51"/>
      <c r="I2434" s="52"/>
      <c r="J2434" s="74"/>
      <c r="K2434" s="57"/>
      <c r="L2434" s="59"/>
      <c r="M2434" s="60"/>
      <c r="N2434" s="63"/>
      <c r="O2434" s="42"/>
      <c r="P2434" s="58"/>
      <c r="Q2434" s="61"/>
      <c r="R2434" s="62"/>
      <c r="S2434" s="43">
        <f t="shared" si="87"/>
        <v>0</v>
      </c>
      <c r="T2434" s="44" t="str">
        <f t="shared" si="88"/>
        <v>0</v>
      </c>
      <c r="U2434" s="45">
        <f t="shared" si="89"/>
        <v>0</v>
      </c>
      <c r="V2434" s="46"/>
      <c r="W2434" s="46"/>
      <c r="X2434" s="46"/>
    </row>
    <row r="2435" spans="1:24" ht="15.75" customHeight="1" thickBot="1" x14ac:dyDescent="0.35">
      <c r="A2435" s="40"/>
      <c r="B2435" s="55"/>
      <c r="C2435" s="55"/>
      <c r="D2435" s="41"/>
      <c r="E2435" s="55"/>
      <c r="F2435" s="55"/>
      <c r="G2435" s="55"/>
      <c r="H2435" s="51"/>
      <c r="I2435" s="52"/>
      <c r="J2435" s="74"/>
      <c r="K2435" s="57"/>
      <c r="L2435" s="59"/>
      <c r="M2435" s="60"/>
      <c r="N2435" s="63"/>
      <c r="O2435" s="42"/>
      <c r="P2435" s="58"/>
      <c r="Q2435" s="61"/>
      <c r="R2435" s="62"/>
      <c r="S2435" s="43">
        <f t="shared" si="87"/>
        <v>0</v>
      </c>
      <c r="T2435" s="44" t="str">
        <f t="shared" si="88"/>
        <v>0</v>
      </c>
      <c r="U2435" s="45">
        <f t="shared" si="89"/>
        <v>0</v>
      </c>
      <c r="V2435" s="46"/>
      <c r="W2435" s="46"/>
      <c r="X2435" s="46"/>
    </row>
    <row r="2436" spans="1:24" ht="15.75" customHeight="1" thickBot="1" x14ac:dyDescent="0.35">
      <c r="A2436" s="40"/>
      <c r="B2436" s="55"/>
      <c r="C2436" s="55"/>
      <c r="D2436" s="41"/>
      <c r="E2436" s="55"/>
      <c r="F2436" s="55"/>
      <c r="G2436" s="55"/>
      <c r="H2436" s="51"/>
      <c r="I2436" s="52"/>
      <c r="J2436" s="74"/>
      <c r="K2436" s="57"/>
      <c r="L2436" s="59"/>
      <c r="M2436" s="60"/>
      <c r="N2436" s="63"/>
      <c r="O2436" s="42"/>
      <c r="P2436" s="58"/>
      <c r="Q2436" s="61"/>
      <c r="R2436" s="62"/>
      <c r="S2436" s="43">
        <f t="shared" si="87"/>
        <v>0</v>
      </c>
      <c r="T2436" s="44" t="str">
        <f t="shared" si="88"/>
        <v>0</v>
      </c>
      <c r="U2436" s="45">
        <f t="shared" si="89"/>
        <v>0</v>
      </c>
      <c r="V2436" s="46"/>
      <c r="W2436" s="46"/>
      <c r="X2436" s="46"/>
    </row>
    <row r="2437" spans="1:24" ht="15.75" customHeight="1" thickBot="1" x14ac:dyDescent="0.35">
      <c r="A2437" s="40"/>
      <c r="B2437" s="55"/>
      <c r="C2437" s="55"/>
      <c r="D2437" s="41"/>
      <c r="E2437" s="55"/>
      <c r="F2437" s="55"/>
      <c r="G2437" s="55"/>
      <c r="H2437" s="51"/>
      <c r="I2437" s="52"/>
      <c r="J2437" s="74"/>
      <c r="K2437" s="57"/>
      <c r="L2437" s="59"/>
      <c r="M2437" s="60"/>
      <c r="N2437" s="63"/>
      <c r="O2437" s="42"/>
      <c r="P2437" s="58"/>
      <c r="Q2437" s="61"/>
      <c r="R2437" s="62"/>
      <c r="S2437" s="43">
        <f t="shared" si="87"/>
        <v>0</v>
      </c>
      <c r="T2437" s="44" t="str">
        <f t="shared" si="88"/>
        <v>0</v>
      </c>
      <c r="U2437" s="45">
        <f t="shared" si="89"/>
        <v>0</v>
      </c>
      <c r="V2437" s="46"/>
      <c r="W2437" s="46"/>
      <c r="X2437" s="46"/>
    </row>
    <row r="2438" spans="1:24" ht="15.75" customHeight="1" thickBot="1" x14ac:dyDescent="0.35">
      <c r="A2438" s="40"/>
      <c r="B2438" s="55"/>
      <c r="C2438" s="55"/>
      <c r="D2438" s="41"/>
      <c r="E2438" s="55"/>
      <c r="F2438" s="55"/>
      <c r="G2438" s="55"/>
      <c r="H2438" s="51"/>
      <c r="I2438" s="52"/>
      <c r="J2438" s="74"/>
      <c r="K2438" s="57"/>
      <c r="L2438" s="59"/>
      <c r="M2438" s="60"/>
      <c r="N2438" s="63"/>
      <c r="O2438" s="42"/>
      <c r="P2438" s="58"/>
      <c r="Q2438" s="61"/>
      <c r="R2438" s="62"/>
      <c r="S2438" s="43">
        <f t="shared" si="87"/>
        <v>0</v>
      </c>
      <c r="T2438" s="44" t="str">
        <f t="shared" si="88"/>
        <v>0</v>
      </c>
      <c r="U2438" s="45">
        <f t="shared" si="89"/>
        <v>0</v>
      </c>
      <c r="V2438" s="46"/>
      <c r="W2438" s="46"/>
      <c r="X2438" s="46"/>
    </row>
    <row r="2439" spans="1:24" ht="15.75" customHeight="1" thickBot="1" x14ac:dyDescent="0.35">
      <c r="A2439" s="40"/>
      <c r="B2439" s="55"/>
      <c r="C2439" s="55"/>
      <c r="D2439" s="41"/>
      <c r="E2439" s="55"/>
      <c r="F2439" s="55"/>
      <c r="G2439" s="55"/>
      <c r="H2439" s="51"/>
      <c r="I2439" s="52"/>
      <c r="J2439" s="74"/>
      <c r="K2439" s="57"/>
      <c r="L2439" s="59"/>
      <c r="M2439" s="60"/>
      <c r="N2439" s="63"/>
      <c r="O2439" s="42"/>
      <c r="P2439" s="58"/>
      <c r="Q2439" s="61"/>
      <c r="R2439" s="62"/>
      <c r="S2439" s="43">
        <f t="shared" si="87"/>
        <v>0</v>
      </c>
      <c r="T2439" s="44" t="str">
        <f t="shared" si="88"/>
        <v>0</v>
      </c>
      <c r="U2439" s="45">
        <f t="shared" si="89"/>
        <v>0</v>
      </c>
      <c r="V2439" s="46"/>
      <c r="W2439" s="46"/>
      <c r="X2439" s="46"/>
    </row>
    <row r="2440" spans="1:24" ht="15.75" customHeight="1" thickBot="1" x14ac:dyDescent="0.35">
      <c r="A2440" s="40"/>
      <c r="B2440" s="55"/>
      <c r="C2440" s="55"/>
      <c r="D2440" s="41"/>
      <c r="E2440" s="55"/>
      <c r="F2440" s="55"/>
      <c r="G2440" s="55"/>
      <c r="H2440" s="51"/>
      <c r="I2440" s="52"/>
      <c r="J2440" s="74"/>
      <c r="K2440" s="57"/>
      <c r="L2440" s="59"/>
      <c r="M2440" s="60"/>
      <c r="N2440" s="63"/>
      <c r="O2440" s="42"/>
      <c r="P2440" s="58"/>
      <c r="Q2440" s="61"/>
      <c r="R2440" s="62"/>
      <c r="S2440" s="43">
        <f t="shared" si="87"/>
        <v>0</v>
      </c>
      <c r="T2440" s="44" t="str">
        <f t="shared" si="88"/>
        <v>0</v>
      </c>
      <c r="U2440" s="45">
        <f t="shared" si="89"/>
        <v>0</v>
      </c>
      <c r="V2440" s="46"/>
      <c r="W2440" s="46"/>
      <c r="X2440" s="46"/>
    </row>
    <row r="2441" spans="1:24" ht="15.75" customHeight="1" thickBot="1" x14ac:dyDescent="0.35">
      <c r="A2441" s="40"/>
      <c r="B2441" s="55"/>
      <c r="C2441" s="55"/>
      <c r="D2441" s="41"/>
      <c r="E2441" s="55"/>
      <c r="F2441" s="55"/>
      <c r="G2441" s="55"/>
      <c r="H2441" s="51"/>
      <c r="I2441" s="52"/>
      <c r="J2441" s="74"/>
      <c r="K2441" s="57"/>
      <c r="L2441" s="59"/>
      <c r="M2441" s="60"/>
      <c r="N2441" s="63"/>
      <c r="O2441" s="42"/>
      <c r="P2441" s="58"/>
      <c r="Q2441" s="61"/>
      <c r="R2441" s="62"/>
      <c r="S2441" s="43">
        <f t="shared" ref="S2441:S2504" si="90">M2441*N2441</f>
        <v>0</v>
      </c>
      <c r="T2441" s="44" t="str">
        <f t="shared" ref="T2441:T2504" si="91">CONCATENATE(S2441,Q2441,P2441)</f>
        <v>0</v>
      </c>
      <c r="U2441" s="45">
        <f t="shared" ref="U2441:U2504" si="92">L2441*M2441</f>
        <v>0</v>
      </c>
      <c r="V2441" s="46"/>
      <c r="W2441" s="46"/>
      <c r="X2441" s="46"/>
    </row>
    <row r="2442" spans="1:24" ht="15.75" customHeight="1" thickBot="1" x14ac:dyDescent="0.35">
      <c r="A2442" s="40"/>
      <c r="B2442" s="55"/>
      <c r="C2442" s="55"/>
      <c r="D2442" s="41"/>
      <c r="E2442" s="55"/>
      <c r="F2442" s="55"/>
      <c r="G2442" s="55"/>
      <c r="H2442" s="51"/>
      <c r="I2442" s="52"/>
      <c r="J2442" s="74"/>
      <c r="K2442" s="57"/>
      <c r="L2442" s="59"/>
      <c r="M2442" s="60"/>
      <c r="N2442" s="63"/>
      <c r="O2442" s="42"/>
      <c r="P2442" s="58"/>
      <c r="Q2442" s="61"/>
      <c r="R2442" s="62"/>
      <c r="S2442" s="43">
        <f t="shared" si="90"/>
        <v>0</v>
      </c>
      <c r="T2442" s="44" t="str">
        <f t="shared" si="91"/>
        <v>0</v>
      </c>
      <c r="U2442" s="45">
        <f t="shared" si="92"/>
        <v>0</v>
      </c>
      <c r="V2442" s="46"/>
      <c r="W2442" s="46"/>
      <c r="X2442" s="46"/>
    </row>
    <row r="2443" spans="1:24" ht="15.75" customHeight="1" thickBot="1" x14ac:dyDescent="0.35">
      <c r="A2443" s="40"/>
      <c r="B2443" s="55"/>
      <c r="C2443" s="55"/>
      <c r="D2443" s="41"/>
      <c r="E2443" s="55"/>
      <c r="F2443" s="55"/>
      <c r="G2443" s="55"/>
      <c r="H2443" s="51"/>
      <c r="I2443" s="52"/>
      <c r="J2443" s="74"/>
      <c r="K2443" s="57"/>
      <c r="L2443" s="59"/>
      <c r="M2443" s="60"/>
      <c r="N2443" s="63"/>
      <c r="O2443" s="42"/>
      <c r="P2443" s="58"/>
      <c r="Q2443" s="61"/>
      <c r="R2443" s="62"/>
      <c r="S2443" s="43">
        <f t="shared" si="90"/>
        <v>0</v>
      </c>
      <c r="T2443" s="44" t="str">
        <f t="shared" si="91"/>
        <v>0</v>
      </c>
      <c r="U2443" s="45">
        <f t="shared" si="92"/>
        <v>0</v>
      </c>
      <c r="V2443" s="46"/>
      <c r="W2443" s="46"/>
      <c r="X2443" s="46"/>
    </row>
    <row r="2444" spans="1:24" ht="15.75" customHeight="1" thickBot="1" x14ac:dyDescent="0.35">
      <c r="A2444" s="40"/>
      <c r="B2444" s="55"/>
      <c r="C2444" s="55"/>
      <c r="D2444" s="41"/>
      <c r="E2444" s="55"/>
      <c r="F2444" s="55"/>
      <c r="G2444" s="55"/>
      <c r="H2444" s="51"/>
      <c r="I2444" s="52"/>
      <c r="J2444" s="74"/>
      <c r="K2444" s="57"/>
      <c r="L2444" s="59"/>
      <c r="M2444" s="60"/>
      <c r="N2444" s="63"/>
      <c r="O2444" s="42"/>
      <c r="P2444" s="58"/>
      <c r="Q2444" s="61"/>
      <c r="R2444" s="62"/>
      <c r="S2444" s="43">
        <f t="shared" si="90"/>
        <v>0</v>
      </c>
      <c r="T2444" s="44" t="str">
        <f t="shared" si="91"/>
        <v>0</v>
      </c>
      <c r="U2444" s="45">
        <f t="shared" si="92"/>
        <v>0</v>
      </c>
      <c r="V2444" s="46"/>
      <c r="W2444" s="46"/>
      <c r="X2444" s="46"/>
    </row>
    <row r="2445" spans="1:24" ht="15.75" customHeight="1" thickBot="1" x14ac:dyDescent="0.35">
      <c r="A2445" s="40"/>
      <c r="B2445" s="55"/>
      <c r="C2445" s="55"/>
      <c r="D2445" s="41"/>
      <c r="E2445" s="55"/>
      <c r="F2445" s="55"/>
      <c r="G2445" s="55"/>
      <c r="H2445" s="51"/>
      <c r="I2445" s="52"/>
      <c r="J2445" s="74"/>
      <c r="K2445" s="57"/>
      <c r="L2445" s="59"/>
      <c r="M2445" s="60"/>
      <c r="N2445" s="63"/>
      <c r="O2445" s="42"/>
      <c r="P2445" s="58"/>
      <c r="Q2445" s="61"/>
      <c r="R2445" s="62"/>
      <c r="S2445" s="43">
        <f t="shared" si="90"/>
        <v>0</v>
      </c>
      <c r="T2445" s="44" t="str">
        <f t="shared" si="91"/>
        <v>0</v>
      </c>
      <c r="U2445" s="45">
        <f t="shared" si="92"/>
        <v>0</v>
      </c>
      <c r="V2445" s="46"/>
      <c r="W2445" s="46"/>
      <c r="X2445" s="46"/>
    </row>
    <row r="2446" spans="1:24" ht="15.75" customHeight="1" thickBot="1" x14ac:dyDescent="0.35">
      <c r="A2446" s="40"/>
      <c r="B2446" s="55"/>
      <c r="C2446" s="55"/>
      <c r="D2446" s="41"/>
      <c r="E2446" s="55"/>
      <c r="F2446" s="55"/>
      <c r="G2446" s="55"/>
      <c r="H2446" s="51"/>
      <c r="I2446" s="52"/>
      <c r="J2446" s="74"/>
      <c r="K2446" s="57"/>
      <c r="L2446" s="59"/>
      <c r="M2446" s="60"/>
      <c r="N2446" s="63"/>
      <c r="O2446" s="42"/>
      <c r="P2446" s="58"/>
      <c r="Q2446" s="61"/>
      <c r="R2446" s="62"/>
      <c r="S2446" s="43">
        <f t="shared" si="90"/>
        <v>0</v>
      </c>
      <c r="T2446" s="44" t="str">
        <f t="shared" si="91"/>
        <v>0</v>
      </c>
      <c r="U2446" s="45">
        <f t="shared" si="92"/>
        <v>0</v>
      </c>
      <c r="V2446" s="46"/>
      <c r="W2446" s="46"/>
      <c r="X2446" s="46"/>
    </row>
    <row r="2447" spans="1:24" ht="15.75" customHeight="1" thickBot="1" x14ac:dyDescent="0.35">
      <c r="A2447" s="40"/>
      <c r="B2447" s="55"/>
      <c r="C2447" s="55"/>
      <c r="D2447" s="41"/>
      <c r="E2447" s="55"/>
      <c r="F2447" s="55"/>
      <c r="G2447" s="55"/>
      <c r="H2447" s="51"/>
      <c r="I2447" s="52"/>
      <c r="J2447" s="74"/>
      <c r="K2447" s="57"/>
      <c r="L2447" s="59"/>
      <c r="M2447" s="60"/>
      <c r="N2447" s="63"/>
      <c r="O2447" s="42"/>
      <c r="P2447" s="58"/>
      <c r="Q2447" s="61"/>
      <c r="R2447" s="62"/>
      <c r="S2447" s="43">
        <f t="shared" si="90"/>
        <v>0</v>
      </c>
      <c r="T2447" s="44" t="str">
        <f t="shared" si="91"/>
        <v>0</v>
      </c>
      <c r="U2447" s="45">
        <f t="shared" si="92"/>
        <v>0</v>
      </c>
      <c r="V2447" s="46"/>
      <c r="W2447" s="46"/>
      <c r="X2447" s="46"/>
    </row>
    <row r="2448" spans="1:24" ht="15.75" customHeight="1" thickBot="1" x14ac:dyDescent="0.35">
      <c r="A2448" s="40"/>
      <c r="B2448" s="55"/>
      <c r="C2448" s="55"/>
      <c r="D2448" s="41"/>
      <c r="E2448" s="55"/>
      <c r="F2448" s="55"/>
      <c r="G2448" s="55"/>
      <c r="H2448" s="51"/>
      <c r="I2448" s="52"/>
      <c r="J2448" s="74"/>
      <c r="K2448" s="57"/>
      <c r="L2448" s="59"/>
      <c r="M2448" s="60"/>
      <c r="N2448" s="63"/>
      <c r="O2448" s="42"/>
      <c r="P2448" s="58"/>
      <c r="Q2448" s="61"/>
      <c r="R2448" s="62"/>
      <c r="S2448" s="43">
        <f t="shared" si="90"/>
        <v>0</v>
      </c>
      <c r="T2448" s="44" t="str">
        <f t="shared" si="91"/>
        <v>0</v>
      </c>
      <c r="U2448" s="45">
        <f t="shared" si="92"/>
        <v>0</v>
      </c>
      <c r="V2448" s="46"/>
      <c r="W2448" s="46"/>
      <c r="X2448" s="46"/>
    </row>
    <row r="2449" spans="1:24" ht="15.75" customHeight="1" thickBot="1" x14ac:dyDescent="0.35">
      <c r="A2449" s="40"/>
      <c r="B2449" s="55"/>
      <c r="C2449" s="55"/>
      <c r="D2449" s="41"/>
      <c r="E2449" s="55"/>
      <c r="F2449" s="55"/>
      <c r="G2449" s="55"/>
      <c r="H2449" s="51"/>
      <c r="I2449" s="52"/>
      <c r="J2449" s="74"/>
      <c r="K2449" s="57"/>
      <c r="L2449" s="59"/>
      <c r="M2449" s="60"/>
      <c r="N2449" s="63"/>
      <c r="O2449" s="42"/>
      <c r="P2449" s="58"/>
      <c r="Q2449" s="61"/>
      <c r="R2449" s="62"/>
      <c r="S2449" s="43">
        <f t="shared" si="90"/>
        <v>0</v>
      </c>
      <c r="T2449" s="44" t="str">
        <f t="shared" si="91"/>
        <v>0</v>
      </c>
      <c r="U2449" s="45">
        <f t="shared" si="92"/>
        <v>0</v>
      </c>
      <c r="V2449" s="46"/>
      <c r="W2449" s="46"/>
      <c r="X2449" s="46"/>
    </row>
    <row r="2450" spans="1:24" ht="15.75" customHeight="1" thickBot="1" x14ac:dyDescent="0.35">
      <c r="A2450" s="40"/>
      <c r="B2450" s="55"/>
      <c r="C2450" s="55"/>
      <c r="D2450" s="41"/>
      <c r="E2450" s="55"/>
      <c r="F2450" s="55"/>
      <c r="G2450" s="55"/>
      <c r="H2450" s="51"/>
      <c r="I2450" s="52"/>
      <c r="J2450" s="74"/>
      <c r="K2450" s="57"/>
      <c r="L2450" s="59"/>
      <c r="M2450" s="60"/>
      <c r="N2450" s="63"/>
      <c r="O2450" s="42"/>
      <c r="P2450" s="58"/>
      <c r="Q2450" s="61"/>
      <c r="R2450" s="62"/>
      <c r="S2450" s="43">
        <f t="shared" si="90"/>
        <v>0</v>
      </c>
      <c r="T2450" s="44" t="str">
        <f t="shared" si="91"/>
        <v>0</v>
      </c>
      <c r="U2450" s="45">
        <f t="shared" si="92"/>
        <v>0</v>
      </c>
      <c r="V2450" s="46"/>
      <c r="W2450" s="46"/>
      <c r="X2450" s="46"/>
    </row>
    <row r="2451" spans="1:24" ht="15.75" customHeight="1" thickBot="1" x14ac:dyDescent="0.35">
      <c r="A2451" s="40"/>
      <c r="B2451" s="55"/>
      <c r="C2451" s="55"/>
      <c r="D2451" s="41"/>
      <c r="E2451" s="55"/>
      <c r="F2451" s="55"/>
      <c r="G2451" s="55"/>
      <c r="H2451" s="51"/>
      <c r="I2451" s="52"/>
      <c r="J2451" s="74"/>
      <c r="K2451" s="57"/>
      <c r="L2451" s="59"/>
      <c r="M2451" s="60"/>
      <c r="N2451" s="63"/>
      <c r="O2451" s="42"/>
      <c r="P2451" s="58"/>
      <c r="Q2451" s="61"/>
      <c r="R2451" s="62"/>
      <c r="S2451" s="43">
        <f t="shared" si="90"/>
        <v>0</v>
      </c>
      <c r="T2451" s="44" t="str">
        <f t="shared" si="91"/>
        <v>0</v>
      </c>
      <c r="U2451" s="45">
        <f t="shared" si="92"/>
        <v>0</v>
      </c>
      <c r="V2451" s="46"/>
      <c r="W2451" s="46"/>
      <c r="X2451" s="46"/>
    </row>
    <row r="2452" spans="1:24" ht="15.75" customHeight="1" thickBot="1" x14ac:dyDescent="0.35">
      <c r="A2452" s="40"/>
      <c r="B2452" s="55"/>
      <c r="C2452" s="55"/>
      <c r="D2452" s="41"/>
      <c r="E2452" s="55"/>
      <c r="F2452" s="55"/>
      <c r="G2452" s="55"/>
      <c r="H2452" s="51"/>
      <c r="I2452" s="52"/>
      <c r="J2452" s="74"/>
      <c r="K2452" s="57"/>
      <c r="L2452" s="59"/>
      <c r="M2452" s="60"/>
      <c r="N2452" s="63"/>
      <c r="O2452" s="42"/>
      <c r="P2452" s="58"/>
      <c r="Q2452" s="61"/>
      <c r="R2452" s="62"/>
      <c r="S2452" s="43">
        <f t="shared" si="90"/>
        <v>0</v>
      </c>
      <c r="T2452" s="44" t="str">
        <f t="shared" si="91"/>
        <v>0</v>
      </c>
      <c r="U2452" s="45">
        <f t="shared" si="92"/>
        <v>0</v>
      </c>
      <c r="V2452" s="46"/>
      <c r="W2452" s="46"/>
      <c r="X2452" s="46"/>
    </row>
    <row r="2453" spans="1:24" ht="15.75" customHeight="1" thickBot="1" x14ac:dyDescent="0.35">
      <c r="A2453" s="40"/>
      <c r="B2453" s="55"/>
      <c r="C2453" s="55"/>
      <c r="D2453" s="41"/>
      <c r="E2453" s="55"/>
      <c r="F2453" s="55"/>
      <c r="G2453" s="55"/>
      <c r="H2453" s="51"/>
      <c r="I2453" s="52"/>
      <c r="J2453" s="74"/>
      <c r="K2453" s="57"/>
      <c r="L2453" s="59"/>
      <c r="M2453" s="60"/>
      <c r="N2453" s="63"/>
      <c r="O2453" s="42"/>
      <c r="P2453" s="58"/>
      <c r="Q2453" s="61"/>
      <c r="R2453" s="62"/>
      <c r="S2453" s="43">
        <f t="shared" si="90"/>
        <v>0</v>
      </c>
      <c r="T2453" s="44" t="str">
        <f t="shared" si="91"/>
        <v>0</v>
      </c>
      <c r="U2453" s="45">
        <f t="shared" si="92"/>
        <v>0</v>
      </c>
      <c r="V2453" s="46"/>
      <c r="W2453" s="46"/>
      <c r="X2453" s="46"/>
    </row>
    <row r="2454" spans="1:24" ht="15.75" customHeight="1" thickBot="1" x14ac:dyDescent="0.35">
      <c r="A2454" s="40"/>
      <c r="B2454" s="55"/>
      <c r="C2454" s="55"/>
      <c r="D2454" s="41"/>
      <c r="E2454" s="55"/>
      <c r="F2454" s="55"/>
      <c r="G2454" s="55"/>
      <c r="H2454" s="51"/>
      <c r="I2454" s="52"/>
      <c r="J2454" s="74"/>
      <c r="K2454" s="57"/>
      <c r="L2454" s="59"/>
      <c r="M2454" s="60"/>
      <c r="N2454" s="63"/>
      <c r="O2454" s="42"/>
      <c r="P2454" s="58"/>
      <c r="Q2454" s="61"/>
      <c r="R2454" s="62"/>
      <c r="S2454" s="43">
        <f t="shared" si="90"/>
        <v>0</v>
      </c>
      <c r="T2454" s="44" t="str">
        <f t="shared" si="91"/>
        <v>0</v>
      </c>
      <c r="U2454" s="45">
        <f t="shared" si="92"/>
        <v>0</v>
      </c>
      <c r="V2454" s="46"/>
      <c r="W2454" s="46"/>
      <c r="X2454" s="46"/>
    </row>
    <row r="2455" spans="1:24" ht="15.75" customHeight="1" thickBot="1" x14ac:dyDescent="0.35">
      <c r="A2455" s="40"/>
      <c r="B2455" s="55"/>
      <c r="C2455" s="55"/>
      <c r="D2455" s="41"/>
      <c r="E2455" s="55"/>
      <c r="F2455" s="55"/>
      <c r="G2455" s="55"/>
      <c r="H2455" s="51"/>
      <c r="I2455" s="52"/>
      <c r="J2455" s="74"/>
      <c r="K2455" s="57"/>
      <c r="L2455" s="59"/>
      <c r="M2455" s="60"/>
      <c r="N2455" s="63"/>
      <c r="O2455" s="42"/>
      <c r="P2455" s="58"/>
      <c r="Q2455" s="61"/>
      <c r="R2455" s="62"/>
      <c r="S2455" s="43">
        <f t="shared" si="90"/>
        <v>0</v>
      </c>
      <c r="T2455" s="44" t="str">
        <f t="shared" si="91"/>
        <v>0</v>
      </c>
      <c r="U2455" s="45">
        <f t="shared" si="92"/>
        <v>0</v>
      </c>
      <c r="V2455" s="46"/>
      <c r="W2455" s="46"/>
      <c r="X2455" s="46"/>
    </row>
    <row r="2456" spans="1:24" ht="15.75" customHeight="1" thickBot="1" x14ac:dyDescent="0.35">
      <c r="A2456" s="40"/>
      <c r="B2456" s="55"/>
      <c r="C2456" s="55"/>
      <c r="D2456" s="41"/>
      <c r="E2456" s="55"/>
      <c r="F2456" s="55"/>
      <c r="G2456" s="55"/>
      <c r="H2456" s="51"/>
      <c r="I2456" s="52"/>
      <c r="J2456" s="74"/>
      <c r="K2456" s="57"/>
      <c r="L2456" s="59"/>
      <c r="M2456" s="60"/>
      <c r="N2456" s="63"/>
      <c r="O2456" s="42"/>
      <c r="P2456" s="58"/>
      <c r="Q2456" s="61"/>
      <c r="R2456" s="62"/>
      <c r="S2456" s="43">
        <f t="shared" si="90"/>
        <v>0</v>
      </c>
      <c r="T2456" s="44" t="str">
        <f t="shared" si="91"/>
        <v>0</v>
      </c>
      <c r="U2456" s="45">
        <f t="shared" si="92"/>
        <v>0</v>
      </c>
      <c r="V2456" s="46"/>
      <c r="W2456" s="46"/>
      <c r="X2456" s="46"/>
    </row>
    <row r="2457" spans="1:24" ht="15.75" customHeight="1" thickBot="1" x14ac:dyDescent="0.35">
      <c r="A2457" s="40"/>
      <c r="B2457" s="55"/>
      <c r="C2457" s="55"/>
      <c r="D2457" s="41"/>
      <c r="E2457" s="55"/>
      <c r="F2457" s="55"/>
      <c r="G2457" s="55"/>
      <c r="H2457" s="51"/>
      <c r="I2457" s="52"/>
      <c r="J2457" s="74"/>
      <c r="K2457" s="57"/>
      <c r="L2457" s="59"/>
      <c r="M2457" s="60"/>
      <c r="N2457" s="63"/>
      <c r="O2457" s="42"/>
      <c r="P2457" s="58"/>
      <c r="Q2457" s="61"/>
      <c r="R2457" s="62"/>
      <c r="S2457" s="43">
        <f t="shared" si="90"/>
        <v>0</v>
      </c>
      <c r="T2457" s="44" t="str">
        <f t="shared" si="91"/>
        <v>0</v>
      </c>
      <c r="U2457" s="45">
        <f t="shared" si="92"/>
        <v>0</v>
      </c>
      <c r="V2457" s="46"/>
      <c r="W2457" s="46"/>
      <c r="X2457" s="46"/>
    </row>
    <row r="2458" spans="1:24" ht="15.75" customHeight="1" thickBot="1" x14ac:dyDescent="0.35">
      <c r="A2458" s="40"/>
      <c r="B2458" s="55"/>
      <c r="C2458" s="55"/>
      <c r="D2458" s="41"/>
      <c r="E2458" s="55"/>
      <c r="F2458" s="55"/>
      <c r="G2458" s="55"/>
      <c r="H2458" s="51"/>
      <c r="I2458" s="52"/>
      <c r="J2458" s="74"/>
      <c r="K2458" s="57"/>
      <c r="L2458" s="59"/>
      <c r="M2458" s="60"/>
      <c r="N2458" s="63"/>
      <c r="O2458" s="42"/>
      <c r="P2458" s="58"/>
      <c r="Q2458" s="61"/>
      <c r="R2458" s="62"/>
      <c r="S2458" s="43">
        <f t="shared" si="90"/>
        <v>0</v>
      </c>
      <c r="T2458" s="44" t="str">
        <f t="shared" si="91"/>
        <v>0</v>
      </c>
      <c r="U2458" s="45">
        <f t="shared" si="92"/>
        <v>0</v>
      </c>
      <c r="V2458" s="46"/>
      <c r="W2458" s="46"/>
      <c r="X2458" s="46"/>
    </row>
    <row r="2459" spans="1:24" ht="15.75" customHeight="1" thickBot="1" x14ac:dyDescent="0.35">
      <c r="A2459" s="40"/>
      <c r="B2459" s="55"/>
      <c r="C2459" s="55"/>
      <c r="D2459" s="41"/>
      <c r="E2459" s="55"/>
      <c r="F2459" s="55"/>
      <c r="G2459" s="55"/>
      <c r="H2459" s="51"/>
      <c r="I2459" s="52"/>
      <c r="J2459" s="74"/>
      <c r="K2459" s="57"/>
      <c r="L2459" s="59"/>
      <c r="M2459" s="60"/>
      <c r="N2459" s="63"/>
      <c r="O2459" s="42"/>
      <c r="P2459" s="58"/>
      <c r="Q2459" s="61"/>
      <c r="R2459" s="62"/>
      <c r="S2459" s="43">
        <f t="shared" si="90"/>
        <v>0</v>
      </c>
      <c r="T2459" s="44" t="str">
        <f t="shared" si="91"/>
        <v>0</v>
      </c>
      <c r="U2459" s="45">
        <f t="shared" si="92"/>
        <v>0</v>
      </c>
      <c r="V2459" s="46"/>
      <c r="W2459" s="46"/>
      <c r="X2459" s="46"/>
    </row>
    <row r="2460" spans="1:24" ht="15.75" customHeight="1" thickBot="1" x14ac:dyDescent="0.35">
      <c r="A2460" s="40"/>
      <c r="B2460" s="55"/>
      <c r="C2460" s="55"/>
      <c r="D2460" s="41"/>
      <c r="E2460" s="55"/>
      <c r="F2460" s="55"/>
      <c r="G2460" s="55"/>
      <c r="H2460" s="51"/>
      <c r="I2460" s="52"/>
      <c r="J2460" s="74"/>
      <c r="K2460" s="57"/>
      <c r="L2460" s="59"/>
      <c r="M2460" s="60"/>
      <c r="N2460" s="63"/>
      <c r="O2460" s="42"/>
      <c r="P2460" s="58"/>
      <c r="Q2460" s="61"/>
      <c r="R2460" s="62"/>
      <c r="S2460" s="43">
        <f t="shared" si="90"/>
        <v>0</v>
      </c>
      <c r="T2460" s="44" t="str">
        <f t="shared" si="91"/>
        <v>0</v>
      </c>
      <c r="U2460" s="45">
        <f t="shared" si="92"/>
        <v>0</v>
      </c>
      <c r="V2460" s="46"/>
      <c r="W2460" s="46"/>
      <c r="X2460" s="46"/>
    </row>
    <row r="2461" spans="1:24" ht="15.75" customHeight="1" thickBot="1" x14ac:dyDescent="0.35">
      <c r="A2461" s="40"/>
      <c r="B2461" s="55"/>
      <c r="C2461" s="55"/>
      <c r="D2461" s="41"/>
      <c r="E2461" s="55"/>
      <c r="F2461" s="55"/>
      <c r="G2461" s="55"/>
      <c r="H2461" s="51"/>
      <c r="I2461" s="52"/>
      <c r="J2461" s="74"/>
      <c r="K2461" s="57"/>
      <c r="L2461" s="59"/>
      <c r="M2461" s="60"/>
      <c r="N2461" s="63"/>
      <c r="O2461" s="42"/>
      <c r="P2461" s="58"/>
      <c r="Q2461" s="61"/>
      <c r="R2461" s="62"/>
      <c r="S2461" s="43">
        <f t="shared" si="90"/>
        <v>0</v>
      </c>
      <c r="T2461" s="44" t="str">
        <f t="shared" si="91"/>
        <v>0</v>
      </c>
      <c r="U2461" s="45">
        <f t="shared" si="92"/>
        <v>0</v>
      </c>
      <c r="V2461" s="46"/>
      <c r="W2461" s="46"/>
      <c r="X2461" s="46"/>
    </row>
    <row r="2462" spans="1:24" ht="15.75" customHeight="1" thickBot="1" x14ac:dyDescent="0.35">
      <c r="A2462" s="40"/>
      <c r="B2462" s="55"/>
      <c r="C2462" s="55"/>
      <c r="D2462" s="41"/>
      <c r="E2462" s="55"/>
      <c r="F2462" s="55"/>
      <c r="G2462" s="55"/>
      <c r="H2462" s="51"/>
      <c r="I2462" s="52"/>
      <c r="J2462" s="74"/>
      <c r="K2462" s="57"/>
      <c r="L2462" s="59"/>
      <c r="M2462" s="60"/>
      <c r="N2462" s="63"/>
      <c r="O2462" s="42"/>
      <c r="P2462" s="58"/>
      <c r="Q2462" s="61"/>
      <c r="R2462" s="62"/>
      <c r="S2462" s="43">
        <f t="shared" si="90"/>
        <v>0</v>
      </c>
      <c r="T2462" s="44" t="str">
        <f t="shared" si="91"/>
        <v>0</v>
      </c>
      <c r="U2462" s="45">
        <f t="shared" si="92"/>
        <v>0</v>
      </c>
      <c r="V2462" s="46"/>
      <c r="W2462" s="46"/>
      <c r="X2462" s="46"/>
    </row>
    <row r="2463" spans="1:24" ht="15.75" customHeight="1" thickBot="1" x14ac:dyDescent="0.35">
      <c r="A2463" s="40"/>
      <c r="B2463" s="55"/>
      <c r="C2463" s="55"/>
      <c r="D2463" s="41"/>
      <c r="E2463" s="55"/>
      <c r="F2463" s="55"/>
      <c r="G2463" s="55"/>
      <c r="H2463" s="51"/>
      <c r="I2463" s="52"/>
      <c r="J2463" s="74"/>
      <c r="K2463" s="57"/>
      <c r="L2463" s="59"/>
      <c r="M2463" s="60"/>
      <c r="N2463" s="63"/>
      <c r="O2463" s="42"/>
      <c r="P2463" s="58"/>
      <c r="Q2463" s="61"/>
      <c r="R2463" s="62"/>
      <c r="S2463" s="43">
        <f t="shared" si="90"/>
        <v>0</v>
      </c>
      <c r="T2463" s="44" t="str">
        <f t="shared" si="91"/>
        <v>0</v>
      </c>
      <c r="U2463" s="45">
        <f t="shared" si="92"/>
        <v>0</v>
      </c>
      <c r="V2463" s="46"/>
      <c r="W2463" s="46"/>
      <c r="X2463" s="46"/>
    </row>
    <row r="2464" spans="1:24" ht="15.75" customHeight="1" thickBot="1" x14ac:dyDescent="0.35">
      <c r="A2464" s="40"/>
      <c r="B2464" s="55"/>
      <c r="C2464" s="55"/>
      <c r="D2464" s="41"/>
      <c r="E2464" s="55"/>
      <c r="F2464" s="55"/>
      <c r="G2464" s="55"/>
      <c r="H2464" s="51"/>
      <c r="I2464" s="52"/>
      <c r="J2464" s="74"/>
      <c r="K2464" s="57"/>
      <c r="L2464" s="59"/>
      <c r="M2464" s="60"/>
      <c r="N2464" s="63"/>
      <c r="O2464" s="42"/>
      <c r="P2464" s="58"/>
      <c r="Q2464" s="61"/>
      <c r="R2464" s="62"/>
      <c r="S2464" s="43">
        <f t="shared" si="90"/>
        <v>0</v>
      </c>
      <c r="T2464" s="44" t="str">
        <f t="shared" si="91"/>
        <v>0</v>
      </c>
      <c r="U2464" s="45">
        <f t="shared" si="92"/>
        <v>0</v>
      </c>
      <c r="V2464" s="46"/>
      <c r="W2464" s="46"/>
      <c r="X2464" s="46"/>
    </row>
    <row r="2465" spans="1:24" ht="15.75" customHeight="1" thickBot="1" x14ac:dyDescent="0.35">
      <c r="A2465" s="40"/>
      <c r="B2465" s="55"/>
      <c r="C2465" s="55"/>
      <c r="D2465" s="41"/>
      <c r="E2465" s="55"/>
      <c r="F2465" s="55"/>
      <c r="G2465" s="55"/>
      <c r="H2465" s="51"/>
      <c r="I2465" s="52"/>
      <c r="J2465" s="74"/>
      <c r="K2465" s="57"/>
      <c r="L2465" s="59"/>
      <c r="M2465" s="60"/>
      <c r="N2465" s="63"/>
      <c r="O2465" s="42"/>
      <c r="P2465" s="58"/>
      <c r="Q2465" s="61"/>
      <c r="R2465" s="62"/>
      <c r="S2465" s="43">
        <f t="shared" si="90"/>
        <v>0</v>
      </c>
      <c r="T2465" s="44" t="str">
        <f t="shared" si="91"/>
        <v>0</v>
      </c>
      <c r="U2465" s="45">
        <f t="shared" si="92"/>
        <v>0</v>
      </c>
      <c r="V2465" s="46"/>
      <c r="W2465" s="46"/>
      <c r="X2465" s="46"/>
    </row>
    <row r="2466" spans="1:24" ht="15.75" customHeight="1" thickBot="1" x14ac:dyDescent="0.35">
      <c r="A2466" s="40"/>
      <c r="B2466" s="55"/>
      <c r="C2466" s="55"/>
      <c r="D2466" s="41"/>
      <c r="E2466" s="55"/>
      <c r="F2466" s="55"/>
      <c r="G2466" s="55"/>
      <c r="H2466" s="51"/>
      <c r="I2466" s="52"/>
      <c r="J2466" s="74"/>
      <c r="K2466" s="57"/>
      <c r="L2466" s="59"/>
      <c r="M2466" s="60"/>
      <c r="N2466" s="63"/>
      <c r="O2466" s="42"/>
      <c r="P2466" s="58"/>
      <c r="Q2466" s="61"/>
      <c r="R2466" s="62"/>
      <c r="S2466" s="43">
        <f t="shared" si="90"/>
        <v>0</v>
      </c>
      <c r="T2466" s="44" t="str">
        <f t="shared" si="91"/>
        <v>0</v>
      </c>
      <c r="U2466" s="45">
        <f t="shared" si="92"/>
        <v>0</v>
      </c>
      <c r="V2466" s="46"/>
      <c r="W2466" s="46"/>
      <c r="X2466" s="46"/>
    </row>
    <row r="2467" spans="1:24" ht="15.75" customHeight="1" thickBot="1" x14ac:dyDescent="0.35">
      <c r="A2467" s="40"/>
      <c r="B2467" s="55"/>
      <c r="C2467" s="55"/>
      <c r="D2467" s="41"/>
      <c r="E2467" s="55"/>
      <c r="F2467" s="55"/>
      <c r="G2467" s="55"/>
      <c r="H2467" s="51"/>
      <c r="I2467" s="52"/>
      <c r="J2467" s="74"/>
      <c r="K2467" s="57"/>
      <c r="L2467" s="59"/>
      <c r="M2467" s="60"/>
      <c r="N2467" s="63"/>
      <c r="O2467" s="42"/>
      <c r="P2467" s="58"/>
      <c r="Q2467" s="61"/>
      <c r="R2467" s="62"/>
      <c r="S2467" s="43">
        <f t="shared" si="90"/>
        <v>0</v>
      </c>
      <c r="T2467" s="44" t="str">
        <f t="shared" si="91"/>
        <v>0</v>
      </c>
      <c r="U2467" s="45">
        <f t="shared" si="92"/>
        <v>0</v>
      </c>
      <c r="V2467" s="46"/>
      <c r="W2467" s="46"/>
      <c r="X2467" s="46"/>
    </row>
    <row r="2468" spans="1:24" ht="15.75" customHeight="1" thickBot="1" x14ac:dyDescent="0.35">
      <c r="A2468" s="40"/>
      <c r="B2468" s="55"/>
      <c r="C2468" s="55"/>
      <c r="D2468" s="41"/>
      <c r="E2468" s="55"/>
      <c r="F2468" s="55"/>
      <c r="G2468" s="55"/>
      <c r="H2468" s="51"/>
      <c r="I2468" s="52"/>
      <c r="J2468" s="74"/>
      <c r="K2468" s="57"/>
      <c r="L2468" s="59"/>
      <c r="M2468" s="60"/>
      <c r="N2468" s="63"/>
      <c r="O2468" s="42"/>
      <c r="P2468" s="58"/>
      <c r="Q2468" s="61"/>
      <c r="R2468" s="62"/>
      <c r="S2468" s="43">
        <f t="shared" si="90"/>
        <v>0</v>
      </c>
      <c r="T2468" s="44" t="str">
        <f t="shared" si="91"/>
        <v>0</v>
      </c>
      <c r="U2468" s="45">
        <f t="shared" si="92"/>
        <v>0</v>
      </c>
      <c r="V2468" s="46"/>
      <c r="W2468" s="46"/>
      <c r="X2468" s="46"/>
    </row>
    <row r="2469" spans="1:24" ht="15.75" customHeight="1" thickBot="1" x14ac:dyDescent="0.35">
      <c r="A2469" s="40"/>
      <c r="B2469" s="55"/>
      <c r="C2469" s="55"/>
      <c r="D2469" s="41"/>
      <c r="E2469" s="55"/>
      <c r="F2469" s="55"/>
      <c r="G2469" s="55"/>
      <c r="H2469" s="51"/>
      <c r="I2469" s="52"/>
      <c r="J2469" s="74"/>
      <c r="K2469" s="57"/>
      <c r="L2469" s="59"/>
      <c r="M2469" s="60"/>
      <c r="N2469" s="63"/>
      <c r="O2469" s="42"/>
      <c r="P2469" s="58"/>
      <c r="Q2469" s="61"/>
      <c r="R2469" s="62"/>
      <c r="S2469" s="43">
        <f t="shared" si="90"/>
        <v>0</v>
      </c>
      <c r="T2469" s="44" t="str">
        <f t="shared" si="91"/>
        <v>0</v>
      </c>
      <c r="U2469" s="45">
        <f t="shared" si="92"/>
        <v>0</v>
      </c>
      <c r="V2469" s="46"/>
      <c r="W2469" s="46"/>
      <c r="X2469" s="46"/>
    </row>
    <row r="2470" spans="1:24" ht="15.75" customHeight="1" thickBot="1" x14ac:dyDescent="0.35">
      <c r="A2470" s="40"/>
      <c r="B2470" s="55"/>
      <c r="C2470" s="55"/>
      <c r="D2470" s="41"/>
      <c r="E2470" s="55"/>
      <c r="F2470" s="55"/>
      <c r="G2470" s="55"/>
      <c r="H2470" s="51"/>
      <c r="I2470" s="52"/>
      <c r="J2470" s="74"/>
      <c r="K2470" s="57"/>
      <c r="L2470" s="59"/>
      <c r="M2470" s="60"/>
      <c r="N2470" s="63"/>
      <c r="O2470" s="42"/>
      <c r="P2470" s="58"/>
      <c r="Q2470" s="61"/>
      <c r="R2470" s="62"/>
      <c r="S2470" s="43">
        <f t="shared" si="90"/>
        <v>0</v>
      </c>
      <c r="T2470" s="44" t="str">
        <f t="shared" si="91"/>
        <v>0</v>
      </c>
      <c r="U2470" s="45">
        <f t="shared" si="92"/>
        <v>0</v>
      </c>
      <c r="V2470" s="46"/>
      <c r="W2470" s="46"/>
      <c r="X2470" s="46"/>
    </row>
    <row r="2471" spans="1:24" ht="15.75" customHeight="1" thickBot="1" x14ac:dyDescent="0.35">
      <c r="A2471" s="40"/>
      <c r="B2471" s="55"/>
      <c r="C2471" s="55"/>
      <c r="D2471" s="41"/>
      <c r="E2471" s="55"/>
      <c r="F2471" s="55"/>
      <c r="G2471" s="55"/>
      <c r="H2471" s="51"/>
      <c r="I2471" s="52"/>
      <c r="J2471" s="74"/>
      <c r="K2471" s="57"/>
      <c r="L2471" s="59"/>
      <c r="M2471" s="60"/>
      <c r="N2471" s="63"/>
      <c r="O2471" s="42"/>
      <c r="P2471" s="58"/>
      <c r="Q2471" s="61"/>
      <c r="R2471" s="62"/>
      <c r="S2471" s="43">
        <f t="shared" si="90"/>
        <v>0</v>
      </c>
      <c r="T2471" s="44" t="str">
        <f t="shared" si="91"/>
        <v>0</v>
      </c>
      <c r="U2471" s="45">
        <f t="shared" si="92"/>
        <v>0</v>
      </c>
      <c r="V2471" s="46"/>
      <c r="W2471" s="46"/>
      <c r="X2471" s="46"/>
    </row>
    <row r="2472" spans="1:24" ht="15.75" customHeight="1" thickBot="1" x14ac:dyDescent="0.35">
      <c r="A2472" s="40"/>
      <c r="B2472" s="55"/>
      <c r="C2472" s="55"/>
      <c r="D2472" s="41"/>
      <c r="E2472" s="55"/>
      <c r="F2472" s="55"/>
      <c r="G2472" s="55"/>
      <c r="H2472" s="51"/>
      <c r="I2472" s="52"/>
      <c r="J2472" s="74"/>
      <c r="K2472" s="57"/>
      <c r="L2472" s="59"/>
      <c r="M2472" s="60"/>
      <c r="N2472" s="63"/>
      <c r="O2472" s="42"/>
      <c r="P2472" s="58"/>
      <c r="Q2472" s="61"/>
      <c r="R2472" s="62"/>
      <c r="S2472" s="43">
        <f t="shared" si="90"/>
        <v>0</v>
      </c>
      <c r="T2472" s="44" t="str">
        <f t="shared" si="91"/>
        <v>0</v>
      </c>
      <c r="U2472" s="45">
        <f t="shared" si="92"/>
        <v>0</v>
      </c>
      <c r="V2472" s="46"/>
      <c r="W2472" s="46"/>
      <c r="X2472" s="46"/>
    </row>
    <row r="2473" spans="1:24" ht="15.75" customHeight="1" thickBot="1" x14ac:dyDescent="0.35">
      <c r="A2473" s="40"/>
      <c r="B2473" s="55"/>
      <c r="C2473" s="55"/>
      <c r="D2473" s="41"/>
      <c r="E2473" s="55"/>
      <c r="F2473" s="55"/>
      <c r="G2473" s="55"/>
      <c r="H2473" s="51"/>
      <c r="I2473" s="52"/>
      <c r="J2473" s="74"/>
      <c r="K2473" s="57"/>
      <c r="L2473" s="59"/>
      <c r="M2473" s="60"/>
      <c r="N2473" s="63"/>
      <c r="O2473" s="42"/>
      <c r="P2473" s="58"/>
      <c r="Q2473" s="61"/>
      <c r="R2473" s="62"/>
      <c r="S2473" s="43">
        <f t="shared" si="90"/>
        <v>0</v>
      </c>
      <c r="T2473" s="44" t="str">
        <f t="shared" si="91"/>
        <v>0</v>
      </c>
      <c r="U2473" s="45">
        <f t="shared" si="92"/>
        <v>0</v>
      </c>
      <c r="V2473" s="46"/>
      <c r="W2473" s="46"/>
      <c r="X2473" s="46"/>
    </row>
    <row r="2474" spans="1:24" ht="15.75" customHeight="1" thickBot="1" x14ac:dyDescent="0.35">
      <c r="A2474" s="40"/>
      <c r="B2474" s="55"/>
      <c r="C2474" s="55"/>
      <c r="D2474" s="41"/>
      <c r="E2474" s="55"/>
      <c r="F2474" s="55"/>
      <c r="G2474" s="55"/>
      <c r="H2474" s="51"/>
      <c r="I2474" s="52"/>
      <c r="J2474" s="74"/>
      <c r="K2474" s="57"/>
      <c r="L2474" s="59"/>
      <c r="M2474" s="60"/>
      <c r="N2474" s="63"/>
      <c r="O2474" s="42"/>
      <c r="P2474" s="58"/>
      <c r="Q2474" s="61"/>
      <c r="R2474" s="62"/>
      <c r="S2474" s="43">
        <f t="shared" si="90"/>
        <v>0</v>
      </c>
      <c r="T2474" s="44" t="str">
        <f t="shared" si="91"/>
        <v>0</v>
      </c>
      <c r="U2474" s="45">
        <f t="shared" si="92"/>
        <v>0</v>
      </c>
      <c r="V2474" s="46"/>
      <c r="W2474" s="46"/>
      <c r="X2474" s="46"/>
    </row>
    <row r="2475" spans="1:24" ht="15.75" customHeight="1" thickBot="1" x14ac:dyDescent="0.35">
      <c r="A2475" s="40"/>
      <c r="B2475" s="55"/>
      <c r="C2475" s="55"/>
      <c r="D2475" s="41"/>
      <c r="E2475" s="55"/>
      <c r="F2475" s="55"/>
      <c r="G2475" s="55"/>
      <c r="H2475" s="51"/>
      <c r="I2475" s="52"/>
      <c r="J2475" s="74"/>
      <c r="K2475" s="57"/>
      <c r="L2475" s="59"/>
      <c r="M2475" s="60"/>
      <c r="N2475" s="63"/>
      <c r="O2475" s="42"/>
      <c r="P2475" s="58"/>
      <c r="Q2475" s="61"/>
      <c r="R2475" s="62"/>
      <c r="S2475" s="43">
        <f t="shared" si="90"/>
        <v>0</v>
      </c>
      <c r="T2475" s="44" t="str">
        <f t="shared" si="91"/>
        <v>0</v>
      </c>
      <c r="U2475" s="45">
        <f t="shared" si="92"/>
        <v>0</v>
      </c>
      <c r="V2475" s="46"/>
      <c r="W2475" s="46"/>
      <c r="X2475" s="46"/>
    </row>
    <row r="2476" spans="1:24" ht="15.75" customHeight="1" thickBot="1" x14ac:dyDescent="0.35">
      <c r="A2476" s="40"/>
      <c r="B2476" s="55"/>
      <c r="C2476" s="55"/>
      <c r="D2476" s="41"/>
      <c r="E2476" s="55"/>
      <c r="F2476" s="55"/>
      <c r="G2476" s="55"/>
      <c r="H2476" s="51"/>
      <c r="I2476" s="52"/>
      <c r="J2476" s="74"/>
      <c r="K2476" s="57"/>
      <c r="L2476" s="59"/>
      <c r="M2476" s="60"/>
      <c r="N2476" s="63"/>
      <c r="O2476" s="42"/>
      <c r="P2476" s="58"/>
      <c r="Q2476" s="61"/>
      <c r="R2476" s="62"/>
      <c r="S2476" s="43">
        <f t="shared" si="90"/>
        <v>0</v>
      </c>
      <c r="T2476" s="44" t="str">
        <f t="shared" si="91"/>
        <v>0</v>
      </c>
      <c r="U2476" s="45">
        <f t="shared" si="92"/>
        <v>0</v>
      </c>
      <c r="V2476" s="46"/>
      <c r="W2476" s="46"/>
      <c r="X2476" s="46"/>
    </row>
    <row r="2477" spans="1:24" ht="15.75" customHeight="1" thickBot="1" x14ac:dyDescent="0.35">
      <c r="A2477" s="40"/>
      <c r="B2477" s="55"/>
      <c r="C2477" s="55"/>
      <c r="D2477" s="41"/>
      <c r="E2477" s="55"/>
      <c r="F2477" s="55"/>
      <c r="G2477" s="55"/>
      <c r="H2477" s="51"/>
      <c r="I2477" s="52"/>
      <c r="J2477" s="74"/>
      <c r="K2477" s="57"/>
      <c r="L2477" s="59"/>
      <c r="M2477" s="60"/>
      <c r="N2477" s="63"/>
      <c r="O2477" s="42"/>
      <c r="P2477" s="58"/>
      <c r="Q2477" s="61"/>
      <c r="R2477" s="62"/>
      <c r="S2477" s="43">
        <f t="shared" si="90"/>
        <v>0</v>
      </c>
      <c r="T2477" s="44" t="str">
        <f t="shared" si="91"/>
        <v>0</v>
      </c>
      <c r="U2477" s="45">
        <f t="shared" si="92"/>
        <v>0</v>
      </c>
      <c r="V2477" s="46"/>
      <c r="W2477" s="46"/>
      <c r="X2477" s="46"/>
    </row>
    <row r="2478" spans="1:24" ht="15.75" customHeight="1" thickBot="1" x14ac:dyDescent="0.35">
      <c r="A2478" s="40"/>
      <c r="B2478" s="55"/>
      <c r="C2478" s="55"/>
      <c r="D2478" s="41"/>
      <c r="E2478" s="55"/>
      <c r="F2478" s="55"/>
      <c r="G2478" s="55"/>
      <c r="H2478" s="51"/>
      <c r="I2478" s="52"/>
      <c r="J2478" s="74"/>
      <c r="K2478" s="57"/>
      <c r="L2478" s="59"/>
      <c r="M2478" s="60"/>
      <c r="N2478" s="63"/>
      <c r="O2478" s="42"/>
      <c r="P2478" s="58"/>
      <c r="Q2478" s="61"/>
      <c r="R2478" s="62"/>
      <c r="S2478" s="43">
        <f t="shared" si="90"/>
        <v>0</v>
      </c>
      <c r="T2478" s="44" t="str">
        <f t="shared" si="91"/>
        <v>0</v>
      </c>
      <c r="U2478" s="45">
        <f t="shared" si="92"/>
        <v>0</v>
      </c>
      <c r="V2478" s="46"/>
      <c r="W2478" s="46"/>
      <c r="X2478" s="46"/>
    </row>
    <row r="2479" spans="1:24" ht="15.75" customHeight="1" thickBot="1" x14ac:dyDescent="0.35">
      <c r="A2479" s="40"/>
      <c r="B2479" s="55"/>
      <c r="C2479" s="55"/>
      <c r="D2479" s="41"/>
      <c r="E2479" s="55"/>
      <c r="F2479" s="55"/>
      <c r="G2479" s="55"/>
      <c r="H2479" s="51"/>
      <c r="I2479" s="52"/>
      <c r="J2479" s="74"/>
      <c r="K2479" s="57"/>
      <c r="L2479" s="59"/>
      <c r="M2479" s="60"/>
      <c r="N2479" s="63"/>
      <c r="O2479" s="42"/>
      <c r="P2479" s="58"/>
      <c r="Q2479" s="61"/>
      <c r="R2479" s="62"/>
      <c r="S2479" s="43">
        <f t="shared" si="90"/>
        <v>0</v>
      </c>
      <c r="T2479" s="44" t="str">
        <f t="shared" si="91"/>
        <v>0</v>
      </c>
      <c r="U2479" s="45">
        <f t="shared" si="92"/>
        <v>0</v>
      </c>
      <c r="V2479" s="46"/>
      <c r="W2479" s="46"/>
      <c r="X2479" s="46"/>
    </row>
    <row r="2480" spans="1:24" ht="15.75" customHeight="1" thickBot="1" x14ac:dyDescent="0.35">
      <c r="A2480" s="40"/>
      <c r="B2480" s="55"/>
      <c r="C2480" s="55"/>
      <c r="D2480" s="41"/>
      <c r="E2480" s="55"/>
      <c r="F2480" s="55"/>
      <c r="G2480" s="55"/>
      <c r="H2480" s="51"/>
      <c r="I2480" s="52"/>
      <c r="J2480" s="74"/>
      <c r="K2480" s="57"/>
      <c r="L2480" s="59"/>
      <c r="M2480" s="60"/>
      <c r="N2480" s="63"/>
      <c r="O2480" s="42"/>
      <c r="P2480" s="58"/>
      <c r="Q2480" s="61"/>
      <c r="R2480" s="62"/>
      <c r="S2480" s="43">
        <f t="shared" si="90"/>
        <v>0</v>
      </c>
      <c r="T2480" s="44" t="str">
        <f t="shared" si="91"/>
        <v>0</v>
      </c>
      <c r="U2480" s="45">
        <f t="shared" si="92"/>
        <v>0</v>
      </c>
      <c r="V2480" s="46"/>
      <c r="W2480" s="46"/>
      <c r="X2480" s="46"/>
    </row>
    <row r="2481" spans="1:24" ht="15.75" customHeight="1" thickBot="1" x14ac:dyDescent="0.35">
      <c r="A2481" s="40"/>
      <c r="B2481" s="55"/>
      <c r="C2481" s="55"/>
      <c r="D2481" s="41"/>
      <c r="E2481" s="55"/>
      <c r="F2481" s="55"/>
      <c r="G2481" s="55"/>
      <c r="H2481" s="51"/>
      <c r="I2481" s="52"/>
      <c r="J2481" s="74"/>
      <c r="K2481" s="57"/>
      <c r="L2481" s="59"/>
      <c r="M2481" s="60"/>
      <c r="N2481" s="63"/>
      <c r="O2481" s="42"/>
      <c r="P2481" s="58"/>
      <c r="Q2481" s="61"/>
      <c r="R2481" s="62"/>
      <c r="S2481" s="43">
        <f t="shared" si="90"/>
        <v>0</v>
      </c>
      <c r="T2481" s="44" t="str">
        <f t="shared" si="91"/>
        <v>0</v>
      </c>
      <c r="U2481" s="45">
        <f t="shared" si="92"/>
        <v>0</v>
      </c>
      <c r="V2481" s="46"/>
      <c r="W2481" s="46"/>
      <c r="X2481" s="46"/>
    </row>
    <row r="2482" spans="1:24" ht="15.75" customHeight="1" thickBot="1" x14ac:dyDescent="0.35">
      <c r="A2482" s="40"/>
      <c r="B2482" s="55"/>
      <c r="C2482" s="55"/>
      <c r="D2482" s="41"/>
      <c r="E2482" s="55"/>
      <c r="F2482" s="55"/>
      <c r="G2482" s="55"/>
      <c r="H2482" s="51"/>
      <c r="I2482" s="52"/>
      <c r="J2482" s="74"/>
      <c r="K2482" s="57"/>
      <c r="L2482" s="59"/>
      <c r="M2482" s="60"/>
      <c r="N2482" s="63"/>
      <c r="O2482" s="42"/>
      <c r="P2482" s="58"/>
      <c r="Q2482" s="61"/>
      <c r="R2482" s="62"/>
      <c r="S2482" s="43">
        <f t="shared" si="90"/>
        <v>0</v>
      </c>
      <c r="T2482" s="44" t="str">
        <f t="shared" si="91"/>
        <v>0</v>
      </c>
      <c r="U2482" s="45">
        <f t="shared" si="92"/>
        <v>0</v>
      </c>
      <c r="V2482" s="46"/>
      <c r="W2482" s="46"/>
      <c r="X2482" s="46"/>
    </row>
    <row r="2483" spans="1:24" ht="15.75" customHeight="1" thickBot="1" x14ac:dyDescent="0.35">
      <c r="A2483" s="40"/>
      <c r="B2483" s="55"/>
      <c r="C2483" s="55"/>
      <c r="D2483" s="41"/>
      <c r="E2483" s="55"/>
      <c r="F2483" s="55"/>
      <c r="G2483" s="55"/>
      <c r="H2483" s="51"/>
      <c r="I2483" s="52"/>
      <c r="J2483" s="74"/>
      <c r="K2483" s="57"/>
      <c r="L2483" s="59"/>
      <c r="M2483" s="60"/>
      <c r="N2483" s="63"/>
      <c r="O2483" s="42"/>
      <c r="P2483" s="58"/>
      <c r="Q2483" s="61"/>
      <c r="R2483" s="62"/>
      <c r="S2483" s="43">
        <f t="shared" si="90"/>
        <v>0</v>
      </c>
      <c r="T2483" s="44" t="str">
        <f t="shared" si="91"/>
        <v>0</v>
      </c>
      <c r="U2483" s="45">
        <f t="shared" si="92"/>
        <v>0</v>
      </c>
      <c r="V2483" s="46"/>
      <c r="W2483" s="46"/>
      <c r="X2483" s="46"/>
    </row>
    <row r="2484" spans="1:24" ht="15.75" customHeight="1" thickBot="1" x14ac:dyDescent="0.35">
      <c r="A2484" s="40"/>
      <c r="B2484" s="55"/>
      <c r="C2484" s="55"/>
      <c r="D2484" s="41"/>
      <c r="E2484" s="55"/>
      <c r="F2484" s="55"/>
      <c r="G2484" s="55"/>
      <c r="H2484" s="51"/>
      <c r="I2484" s="52"/>
      <c r="J2484" s="74"/>
      <c r="K2484" s="57"/>
      <c r="L2484" s="59"/>
      <c r="M2484" s="60"/>
      <c r="N2484" s="63"/>
      <c r="O2484" s="42"/>
      <c r="P2484" s="58"/>
      <c r="Q2484" s="61"/>
      <c r="R2484" s="62"/>
      <c r="S2484" s="43">
        <f t="shared" si="90"/>
        <v>0</v>
      </c>
      <c r="T2484" s="44" t="str">
        <f t="shared" si="91"/>
        <v>0</v>
      </c>
      <c r="U2484" s="45">
        <f t="shared" si="92"/>
        <v>0</v>
      </c>
      <c r="V2484" s="46"/>
      <c r="W2484" s="46"/>
      <c r="X2484" s="46"/>
    </row>
    <row r="2485" spans="1:24" ht="15.75" customHeight="1" thickBot="1" x14ac:dyDescent="0.35">
      <c r="A2485" s="40"/>
      <c r="B2485" s="55"/>
      <c r="C2485" s="55"/>
      <c r="D2485" s="41"/>
      <c r="E2485" s="55"/>
      <c r="F2485" s="55"/>
      <c r="G2485" s="55"/>
      <c r="H2485" s="51"/>
      <c r="I2485" s="52"/>
      <c r="J2485" s="74"/>
      <c r="K2485" s="57"/>
      <c r="L2485" s="59"/>
      <c r="M2485" s="60"/>
      <c r="N2485" s="63"/>
      <c r="O2485" s="42"/>
      <c r="P2485" s="58"/>
      <c r="Q2485" s="61"/>
      <c r="R2485" s="62"/>
      <c r="S2485" s="43">
        <f t="shared" si="90"/>
        <v>0</v>
      </c>
      <c r="T2485" s="44" t="str">
        <f t="shared" si="91"/>
        <v>0</v>
      </c>
      <c r="U2485" s="45">
        <f t="shared" si="92"/>
        <v>0</v>
      </c>
      <c r="V2485" s="46"/>
      <c r="W2485" s="46"/>
      <c r="X2485" s="46"/>
    </row>
    <row r="2486" spans="1:24" ht="15.75" customHeight="1" thickBot="1" x14ac:dyDescent="0.35">
      <c r="A2486" s="40"/>
      <c r="B2486" s="55"/>
      <c r="C2486" s="55"/>
      <c r="D2486" s="41"/>
      <c r="E2486" s="55"/>
      <c r="F2486" s="55"/>
      <c r="G2486" s="55"/>
      <c r="H2486" s="51"/>
      <c r="I2486" s="52"/>
      <c r="J2486" s="74"/>
      <c r="K2486" s="57"/>
      <c r="L2486" s="59"/>
      <c r="M2486" s="60"/>
      <c r="N2486" s="63"/>
      <c r="O2486" s="42"/>
      <c r="P2486" s="58"/>
      <c r="Q2486" s="61"/>
      <c r="R2486" s="62"/>
      <c r="S2486" s="43">
        <f t="shared" si="90"/>
        <v>0</v>
      </c>
      <c r="T2486" s="44" t="str">
        <f t="shared" si="91"/>
        <v>0</v>
      </c>
      <c r="U2486" s="45">
        <f t="shared" si="92"/>
        <v>0</v>
      </c>
      <c r="V2486" s="46"/>
      <c r="W2486" s="46"/>
      <c r="X2486" s="46"/>
    </row>
    <row r="2487" spans="1:24" ht="15.75" customHeight="1" thickBot="1" x14ac:dyDescent="0.35">
      <c r="A2487" s="40"/>
      <c r="B2487" s="55"/>
      <c r="C2487" s="55"/>
      <c r="D2487" s="41"/>
      <c r="E2487" s="55"/>
      <c r="F2487" s="55"/>
      <c r="G2487" s="55"/>
      <c r="H2487" s="51"/>
      <c r="I2487" s="52"/>
      <c r="J2487" s="74"/>
      <c r="K2487" s="57"/>
      <c r="L2487" s="59"/>
      <c r="M2487" s="60"/>
      <c r="N2487" s="63"/>
      <c r="O2487" s="42"/>
      <c r="P2487" s="58"/>
      <c r="Q2487" s="61"/>
      <c r="R2487" s="62"/>
      <c r="S2487" s="43">
        <f t="shared" si="90"/>
        <v>0</v>
      </c>
      <c r="T2487" s="44" t="str">
        <f t="shared" si="91"/>
        <v>0</v>
      </c>
      <c r="U2487" s="45">
        <f t="shared" si="92"/>
        <v>0</v>
      </c>
      <c r="V2487" s="46"/>
      <c r="W2487" s="46"/>
      <c r="X2487" s="46"/>
    </row>
    <row r="2488" spans="1:24" ht="15.75" customHeight="1" thickBot="1" x14ac:dyDescent="0.35">
      <c r="A2488" s="40"/>
      <c r="B2488" s="55"/>
      <c r="C2488" s="55"/>
      <c r="D2488" s="41"/>
      <c r="E2488" s="55"/>
      <c r="F2488" s="55"/>
      <c r="G2488" s="55"/>
      <c r="H2488" s="51"/>
      <c r="I2488" s="52"/>
      <c r="J2488" s="74"/>
      <c r="K2488" s="57"/>
      <c r="L2488" s="59"/>
      <c r="M2488" s="60"/>
      <c r="N2488" s="63"/>
      <c r="O2488" s="42"/>
      <c r="P2488" s="58"/>
      <c r="Q2488" s="61"/>
      <c r="R2488" s="62"/>
      <c r="S2488" s="43">
        <f t="shared" si="90"/>
        <v>0</v>
      </c>
      <c r="T2488" s="44" t="str">
        <f t="shared" si="91"/>
        <v>0</v>
      </c>
      <c r="U2488" s="45">
        <f t="shared" si="92"/>
        <v>0</v>
      </c>
      <c r="V2488" s="46"/>
      <c r="W2488" s="46"/>
      <c r="X2488" s="46"/>
    </row>
    <row r="2489" spans="1:24" ht="15.75" customHeight="1" thickBot="1" x14ac:dyDescent="0.35">
      <c r="A2489" s="40"/>
      <c r="B2489" s="55"/>
      <c r="C2489" s="55"/>
      <c r="D2489" s="41"/>
      <c r="E2489" s="55"/>
      <c r="F2489" s="55"/>
      <c r="G2489" s="55"/>
      <c r="H2489" s="51"/>
      <c r="I2489" s="52"/>
      <c r="J2489" s="74"/>
      <c r="K2489" s="57"/>
      <c r="L2489" s="59"/>
      <c r="M2489" s="60"/>
      <c r="N2489" s="63"/>
      <c r="O2489" s="42"/>
      <c r="P2489" s="58"/>
      <c r="Q2489" s="61"/>
      <c r="R2489" s="62"/>
      <c r="S2489" s="43">
        <f t="shared" si="90"/>
        <v>0</v>
      </c>
      <c r="T2489" s="44" t="str">
        <f t="shared" si="91"/>
        <v>0</v>
      </c>
      <c r="U2489" s="45">
        <f t="shared" si="92"/>
        <v>0</v>
      </c>
      <c r="V2489" s="46"/>
      <c r="W2489" s="46"/>
      <c r="X2489" s="46"/>
    </row>
    <row r="2490" spans="1:24" ht="15.75" customHeight="1" thickBot="1" x14ac:dyDescent="0.35">
      <c r="A2490" s="40"/>
      <c r="B2490" s="55"/>
      <c r="C2490" s="55"/>
      <c r="D2490" s="41"/>
      <c r="E2490" s="55"/>
      <c r="F2490" s="55"/>
      <c r="G2490" s="55"/>
      <c r="H2490" s="51"/>
      <c r="I2490" s="52"/>
      <c r="J2490" s="74"/>
      <c r="K2490" s="57"/>
      <c r="L2490" s="59"/>
      <c r="M2490" s="60"/>
      <c r="N2490" s="63"/>
      <c r="O2490" s="42"/>
      <c r="P2490" s="58"/>
      <c r="Q2490" s="61"/>
      <c r="R2490" s="62"/>
      <c r="S2490" s="43">
        <f t="shared" si="90"/>
        <v>0</v>
      </c>
      <c r="T2490" s="44" t="str">
        <f t="shared" si="91"/>
        <v>0</v>
      </c>
      <c r="U2490" s="45">
        <f t="shared" si="92"/>
        <v>0</v>
      </c>
      <c r="V2490" s="46"/>
      <c r="W2490" s="46"/>
      <c r="X2490" s="46"/>
    </row>
    <row r="2491" spans="1:24" ht="15.75" customHeight="1" thickBot="1" x14ac:dyDescent="0.35">
      <c r="A2491" s="40"/>
      <c r="B2491" s="55"/>
      <c r="C2491" s="55"/>
      <c r="D2491" s="41"/>
      <c r="E2491" s="55"/>
      <c r="F2491" s="55"/>
      <c r="G2491" s="55"/>
      <c r="H2491" s="51"/>
      <c r="I2491" s="52"/>
      <c r="J2491" s="74"/>
      <c r="K2491" s="57"/>
      <c r="L2491" s="59"/>
      <c r="M2491" s="60"/>
      <c r="N2491" s="63"/>
      <c r="O2491" s="42"/>
      <c r="P2491" s="58"/>
      <c r="Q2491" s="61"/>
      <c r="R2491" s="62"/>
      <c r="S2491" s="43">
        <f t="shared" si="90"/>
        <v>0</v>
      </c>
      <c r="T2491" s="44" t="str">
        <f t="shared" si="91"/>
        <v>0</v>
      </c>
      <c r="U2491" s="45">
        <f t="shared" si="92"/>
        <v>0</v>
      </c>
      <c r="V2491" s="46"/>
      <c r="W2491" s="46"/>
      <c r="X2491" s="46"/>
    </row>
    <row r="2492" spans="1:24" ht="15.75" customHeight="1" thickBot="1" x14ac:dyDescent="0.35">
      <c r="A2492" s="40"/>
      <c r="B2492" s="55"/>
      <c r="C2492" s="55"/>
      <c r="D2492" s="41"/>
      <c r="E2492" s="55"/>
      <c r="F2492" s="55"/>
      <c r="G2492" s="55"/>
      <c r="H2492" s="51"/>
      <c r="I2492" s="52"/>
      <c r="J2492" s="74"/>
      <c r="K2492" s="57"/>
      <c r="L2492" s="59"/>
      <c r="M2492" s="60"/>
      <c r="N2492" s="63"/>
      <c r="O2492" s="42"/>
      <c r="P2492" s="58"/>
      <c r="Q2492" s="61"/>
      <c r="R2492" s="62"/>
      <c r="S2492" s="43">
        <f t="shared" si="90"/>
        <v>0</v>
      </c>
      <c r="T2492" s="44" t="str">
        <f t="shared" si="91"/>
        <v>0</v>
      </c>
      <c r="U2492" s="45">
        <f t="shared" si="92"/>
        <v>0</v>
      </c>
      <c r="V2492" s="46"/>
      <c r="W2492" s="46"/>
      <c r="X2492" s="46"/>
    </row>
    <row r="2493" spans="1:24" ht="15.75" customHeight="1" thickBot="1" x14ac:dyDescent="0.35">
      <c r="A2493" s="40"/>
      <c r="B2493" s="55"/>
      <c r="C2493" s="55"/>
      <c r="D2493" s="41"/>
      <c r="E2493" s="55"/>
      <c r="F2493" s="55"/>
      <c r="G2493" s="55"/>
      <c r="H2493" s="51"/>
      <c r="I2493" s="52"/>
      <c r="J2493" s="74"/>
      <c r="K2493" s="57"/>
      <c r="L2493" s="59"/>
      <c r="M2493" s="60"/>
      <c r="N2493" s="63"/>
      <c r="O2493" s="42"/>
      <c r="P2493" s="58"/>
      <c r="Q2493" s="61"/>
      <c r="R2493" s="62"/>
      <c r="S2493" s="43">
        <f t="shared" si="90"/>
        <v>0</v>
      </c>
      <c r="T2493" s="44" t="str">
        <f t="shared" si="91"/>
        <v>0</v>
      </c>
      <c r="U2493" s="45">
        <f t="shared" si="92"/>
        <v>0</v>
      </c>
      <c r="V2493" s="46"/>
      <c r="W2493" s="46"/>
      <c r="X2493" s="46"/>
    </row>
    <row r="2494" spans="1:24" ht="15.75" customHeight="1" thickBot="1" x14ac:dyDescent="0.35">
      <c r="A2494" s="40"/>
      <c r="B2494" s="55"/>
      <c r="C2494" s="55"/>
      <c r="D2494" s="41"/>
      <c r="E2494" s="55"/>
      <c r="F2494" s="55"/>
      <c r="G2494" s="55"/>
      <c r="H2494" s="51"/>
      <c r="I2494" s="52"/>
      <c r="J2494" s="74"/>
      <c r="K2494" s="57"/>
      <c r="L2494" s="59"/>
      <c r="M2494" s="60"/>
      <c r="N2494" s="63"/>
      <c r="O2494" s="42"/>
      <c r="P2494" s="58"/>
      <c r="Q2494" s="61"/>
      <c r="R2494" s="62"/>
      <c r="S2494" s="43">
        <f t="shared" si="90"/>
        <v>0</v>
      </c>
      <c r="T2494" s="44" t="str">
        <f t="shared" si="91"/>
        <v>0</v>
      </c>
      <c r="U2494" s="45">
        <f t="shared" si="92"/>
        <v>0</v>
      </c>
      <c r="V2494" s="46"/>
      <c r="W2494" s="46"/>
      <c r="X2494" s="46"/>
    </row>
    <row r="2495" spans="1:24" ht="15.75" customHeight="1" thickBot="1" x14ac:dyDescent="0.35">
      <c r="A2495" s="40"/>
      <c r="B2495" s="55"/>
      <c r="C2495" s="55"/>
      <c r="D2495" s="41"/>
      <c r="E2495" s="55"/>
      <c r="F2495" s="55"/>
      <c r="G2495" s="55"/>
      <c r="H2495" s="51"/>
      <c r="I2495" s="52"/>
      <c r="J2495" s="74"/>
      <c r="K2495" s="57"/>
      <c r="L2495" s="59"/>
      <c r="M2495" s="60"/>
      <c r="N2495" s="63"/>
      <c r="O2495" s="42"/>
      <c r="P2495" s="58"/>
      <c r="Q2495" s="61"/>
      <c r="R2495" s="62"/>
      <c r="S2495" s="43">
        <f t="shared" si="90"/>
        <v>0</v>
      </c>
      <c r="T2495" s="44" t="str">
        <f t="shared" si="91"/>
        <v>0</v>
      </c>
      <c r="U2495" s="45">
        <f t="shared" si="92"/>
        <v>0</v>
      </c>
      <c r="V2495" s="46"/>
      <c r="W2495" s="46"/>
      <c r="X2495" s="46"/>
    </row>
    <row r="2496" spans="1:24" ht="15.75" customHeight="1" thickBot="1" x14ac:dyDescent="0.35">
      <c r="A2496" s="40"/>
      <c r="B2496" s="55"/>
      <c r="C2496" s="55"/>
      <c r="D2496" s="41"/>
      <c r="E2496" s="55"/>
      <c r="F2496" s="55"/>
      <c r="G2496" s="55"/>
      <c r="H2496" s="51"/>
      <c r="I2496" s="52"/>
      <c r="J2496" s="74"/>
      <c r="K2496" s="57"/>
      <c r="L2496" s="59"/>
      <c r="M2496" s="60"/>
      <c r="N2496" s="63"/>
      <c r="O2496" s="42"/>
      <c r="P2496" s="58"/>
      <c r="Q2496" s="61"/>
      <c r="R2496" s="62"/>
      <c r="S2496" s="43">
        <f t="shared" si="90"/>
        <v>0</v>
      </c>
      <c r="T2496" s="44" t="str">
        <f t="shared" si="91"/>
        <v>0</v>
      </c>
      <c r="U2496" s="45">
        <f t="shared" si="92"/>
        <v>0</v>
      </c>
      <c r="V2496" s="46"/>
      <c r="W2496" s="46"/>
      <c r="X2496" s="46"/>
    </row>
    <row r="2497" spans="1:24" ht="15.75" customHeight="1" thickBot="1" x14ac:dyDescent="0.35">
      <c r="A2497" s="40"/>
      <c r="B2497" s="55"/>
      <c r="C2497" s="55"/>
      <c r="D2497" s="41"/>
      <c r="E2497" s="55"/>
      <c r="F2497" s="55"/>
      <c r="G2497" s="55"/>
      <c r="H2497" s="51"/>
      <c r="I2497" s="52"/>
      <c r="J2497" s="74"/>
      <c r="K2497" s="57"/>
      <c r="L2497" s="59"/>
      <c r="M2497" s="60"/>
      <c r="N2497" s="63"/>
      <c r="O2497" s="42"/>
      <c r="P2497" s="58"/>
      <c r="Q2497" s="61"/>
      <c r="R2497" s="62"/>
      <c r="S2497" s="43">
        <f t="shared" si="90"/>
        <v>0</v>
      </c>
      <c r="T2497" s="44" t="str">
        <f t="shared" si="91"/>
        <v>0</v>
      </c>
      <c r="U2497" s="45">
        <f t="shared" si="92"/>
        <v>0</v>
      </c>
      <c r="V2497" s="46"/>
      <c r="W2497" s="46"/>
      <c r="X2497" s="46"/>
    </row>
    <row r="2498" spans="1:24" ht="15.75" customHeight="1" thickBot="1" x14ac:dyDescent="0.35">
      <c r="A2498" s="40"/>
      <c r="B2498" s="55"/>
      <c r="C2498" s="55"/>
      <c r="D2498" s="41"/>
      <c r="E2498" s="55"/>
      <c r="F2498" s="55"/>
      <c r="G2498" s="55"/>
      <c r="H2498" s="51"/>
      <c r="I2498" s="52"/>
      <c r="J2498" s="74"/>
      <c r="K2498" s="57"/>
      <c r="L2498" s="59"/>
      <c r="M2498" s="60"/>
      <c r="N2498" s="63"/>
      <c r="O2498" s="42"/>
      <c r="P2498" s="58"/>
      <c r="Q2498" s="61"/>
      <c r="R2498" s="62"/>
      <c r="S2498" s="43">
        <f t="shared" si="90"/>
        <v>0</v>
      </c>
      <c r="T2498" s="44" t="str">
        <f t="shared" si="91"/>
        <v>0</v>
      </c>
      <c r="U2498" s="45">
        <f t="shared" si="92"/>
        <v>0</v>
      </c>
      <c r="V2498" s="46"/>
      <c r="W2498" s="46"/>
      <c r="X2498" s="46"/>
    </row>
    <row r="2499" spans="1:24" ht="15.75" customHeight="1" thickBot="1" x14ac:dyDescent="0.35">
      <c r="A2499" s="40"/>
      <c r="B2499" s="55"/>
      <c r="C2499" s="55"/>
      <c r="D2499" s="41"/>
      <c r="E2499" s="55"/>
      <c r="F2499" s="55"/>
      <c r="G2499" s="55"/>
      <c r="H2499" s="51"/>
      <c r="I2499" s="52"/>
      <c r="J2499" s="74"/>
      <c r="K2499" s="57"/>
      <c r="L2499" s="59"/>
      <c r="M2499" s="60"/>
      <c r="N2499" s="63"/>
      <c r="O2499" s="42"/>
      <c r="P2499" s="58"/>
      <c r="Q2499" s="61"/>
      <c r="R2499" s="62"/>
      <c r="S2499" s="43">
        <f t="shared" si="90"/>
        <v>0</v>
      </c>
      <c r="T2499" s="44" t="str">
        <f t="shared" si="91"/>
        <v>0</v>
      </c>
      <c r="U2499" s="45">
        <f t="shared" si="92"/>
        <v>0</v>
      </c>
      <c r="V2499" s="46"/>
      <c r="W2499" s="46"/>
      <c r="X2499" s="46"/>
    </row>
    <row r="2500" spans="1:24" ht="15.75" customHeight="1" thickBot="1" x14ac:dyDescent="0.35">
      <c r="A2500" s="40"/>
      <c r="B2500" s="55"/>
      <c r="C2500" s="55"/>
      <c r="D2500" s="41"/>
      <c r="E2500" s="55"/>
      <c r="F2500" s="55"/>
      <c r="G2500" s="55"/>
      <c r="H2500" s="51"/>
      <c r="I2500" s="52"/>
      <c r="J2500" s="74"/>
      <c r="K2500" s="57"/>
      <c r="L2500" s="59"/>
      <c r="M2500" s="60"/>
      <c r="N2500" s="63"/>
      <c r="O2500" s="42"/>
      <c r="P2500" s="58"/>
      <c r="Q2500" s="61"/>
      <c r="R2500" s="62"/>
      <c r="S2500" s="43">
        <f t="shared" si="90"/>
        <v>0</v>
      </c>
      <c r="T2500" s="44" t="str">
        <f t="shared" si="91"/>
        <v>0</v>
      </c>
      <c r="U2500" s="45">
        <f t="shared" si="92"/>
        <v>0</v>
      </c>
      <c r="V2500" s="46"/>
      <c r="W2500" s="46"/>
      <c r="X2500" s="46"/>
    </row>
    <row r="2501" spans="1:24" ht="15.75" customHeight="1" thickBot="1" x14ac:dyDescent="0.35">
      <c r="A2501" s="40"/>
      <c r="B2501" s="55"/>
      <c r="C2501" s="55"/>
      <c r="D2501" s="41"/>
      <c r="E2501" s="55"/>
      <c r="F2501" s="55"/>
      <c r="G2501" s="55"/>
      <c r="H2501" s="51"/>
      <c r="I2501" s="52"/>
      <c r="J2501" s="74"/>
      <c r="K2501" s="57"/>
      <c r="L2501" s="59"/>
      <c r="M2501" s="60"/>
      <c r="N2501" s="63"/>
      <c r="O2501" s="42"/>
      <c r="P2501" s="58"/>
      <c r="Q2501" s="61"/>
      <c r="R2501" s="62"/>
      <c r="S2501" s="43">
        <f t="shared" si="90"/>
        <v>0</v>
      </c>
      <c r="T2501" s="44" t="str">
        <f t="shared" si="91"/>
        <v>0</v>
      </c>
      <c r="U2501" s="45">
        <f t="shared" si="92"/>
        <v>0</v>
      </c>
      <c r="V2501" s="46"/>
      <c r="W2501" s="46"/>
      <c r="X2501" s="46"/>
    </row>
    <row r="2502" spans="1:24" ht="15.75" customHeight="1" thickBot="1" x14ac:dyDescent="0.35">
      <c r="A2502" s="40"/>
      <c r="B2502" s="55"/>
      <c r="C2502" s="55"/>
      <c r="D2502" s="41"/>
      <c r="E2502" s="55"/>
      <c r="F2502" s="55"/>
      <c r="G2502" s="55"/>
      <c r="H2502" s="51"/>
      <c r="I2502" s="52"/>
      <c r="J2502" s="74"/>
      <c r="K2502" s="57"/>
      <c r="L2502" s="59"/>
      <c r="M2502" s="60"/>
      <c r="N2502" s="63"/>
      <c r="O2502" s="42"/>
      <c r="P2502" s="58"/>
      <c r="Q2502" s="61"/>
      <c r="R2502" s="62"/>
      <c r="S2502" s="43">
        <f t="shared" si="90"/>
        <v>0</v>
      </c>
      <c r="T2502" s="44" t="str">
        <f t="shared" si="91"/>
        <v>0</v>
      </c>
      <c r="U2502" s="45">
        <f t="shared" si="92"/>
        <v>0</v>
      </c>
      <c r="V2502" s="46"/>
      <c r="W2502" s="46"/>
      <c r="X2502" s="46"/>
    </row>
    <row r="2503" spans="1:24" ht="15.75" customHeight="1" thickBot="1" x14ac:dyDescent="0.35">
      <c r="A2503" s="40"/>
      <c r="B2503" s="55"/>
      <c r="C2503" s="55"/>
      <c r="D2503" s="41"/>
      <c r="E2503" s="55"/>
      <c r="F2503" s="55"/>
      <c r="G2503" s="55"/>
      <c r="H2503" s="51"/>
      <c r="I2503" s="52"/>
      <c r="J2503" s="74"/>
      <c r="K2503" s="57"/>
      <c r="L2503" s="59"/>
      <c r="M2503" s="60"/>
      <c r="N2503" s="63"/>
      <c r="O2503" s="42"/>
      <c r="P2503" s="58"/>
      <c r="Q2503" s="61"/>
      <c r="R2503" s="62"/>
      <c r="S2503" s="43">
        <f t="shared" si="90"/>
        <v>0</v>
      </c>
      <c r="T2503" s="44" t="str">
        <f t="shared" si="91"/>
        <v>0</v>
      </c>
      <c r="U2503" s="45">
        <f t="shared" si="92"/>
        <v>0</v>
      </c>
      <c r="V2503" s="46"/>
      <c r="W2503" s="46"/>
      <c r="X2503" s="46"/>
    </row>
    <row r="2504" spans="1:24" ht="15.75" customHeight="1" thickBot="1" x14ac:dyDescent="0.35">
      <c r="A2504" s="40"/>
      <c r="B2504" s="55"/>
      <c r="C2504" s="55"/>
      <c r="D2504" s="41"/>
      <c r="E2504" s="55"/>
      <c r="F2504" s="55"/>
      <c r="G2504" s="55"/>
      <c r="H2504" s="51"/>
      <c r="I2504" s="52"/>
      <c r="J2504" s="74"/>
      <c r="K2504" s="57"/>
      <c r="L2504" s="59"/>
      <c r="M2504" s="60"/>
      <c r="N2504" s="63"/>
      <c r="O2504" s="42"/>
      <c r="P2504" s="58"/>
      <c r="Q2504" s="61"/>
      <c r="R2504" s="62"/>
      <c r="S2504" s="43">
        <f t="shared" si="90"/>
        <v>0</v>
      </c>
      <c r="T2504" s="44" t="str">
        <f t="shared" si="91"/>
        <v>0</v>
      </c>
      <c r="U2504" s="45">
        <f t="shared" si="92"/>
        <v>0</v>
      </c>
      <c r="V2504" s="46"/>
      <c r="W2504" s="46"/>
      <c r="X2504" s="46"/>
    </row>
    <row r="2505" spans="1:24" ht="15.75" customHeight="1" thickBot="1" x14ac:dyDescent="0.35">
      <c r="A2505" s="40"/>
      <c r="B2505" s="55"/>
      <c r="C2505" s="55"/>
      <c r="D2505" s="41"/>
      <c r="E2505" s="55"/>
      <c r="F2505" s="55"/>
      <c r="G2505" s="55"/>
      <c r="H2505" s="51"/>
      <c r="I2505" s="52"/>
      <c r="J2505" s="74"/>
      <c r="K2505" s="57"/>
      <c r="L2505" s="59"/>
      <c r="M2505" s="60"/>
      <c r="N2505" s="63"/>
      <c r="O2505" s="42"/>
      <c r="P2505" s="58"/>
      <c r="Q2505" s="61"/>
      <c r="R2505" s="62"/>
      <c r="S2505" s="43">
        <f t="shared" ref="S2505:S2568" si="93">M2505*N2505</f>
        <v>0</v>
      </c>
      <c r="T2505" s="44" t="str">
        <f t="shared" ref="T2505:T2568" si="94">CONCATENATE(S2505,Q2505,P2505)</f>
        <v>0</v>
      </c>
      <c r="U2505" s="45">
        <f t="shared" ref="U2505:U2568" si="95">L2505*M2505</f>
        <v>0</v>
      </c>
      <c r="V2505" s="46"/>
      <c r="W2505" s="46"/>
      <c r="X2505" s="46"/>
    </row>
    <row r="2506" spans="1:24" ht="15.75" customHeight="1" thickBot="1" x14ac:dyDescent="0.35">
      <c r="A2506" s="40"/>
      <c r="B2506" s="55"/>
      <c r="C2506" s="55"/>
      <c r="D2506" s="41"/>
      <c r="E2506" s="55"/>
      <c r="F2506" s="55"/>
      <c r="G2506" s="55"/>
      <c r="H2506" s="51"/>
      <c r="I2506" s="52"/>
      <c r="J2506" s="74"/>
      <c r="K2506" s="57"/>
      <c r="L2506" s="59"/>
      <c r="M2506" s="60"/>
      <c r="N2506" s="63"/>
      <c r="O2506" s="42"/>
      <c r="P2506" s="58"/>
      <c r="Q2506" s="61"/>
      <c r="R2506" s="62"/>
      <c r="S2506" s="43">
        <f t="shared" si="93"/>
        <v>0</v>
      </c>
      <c r="T2506" s="44" t="str">
        <f t="shared" si="94"/>
        <v>0</v>
      </c>
      <c r="U2506" s="45">
        <f t="shared" si="95"/>
        <v>0</v>
      </c>
      <c r="V2506" s="46"/>
      <c r="W2506" s="46"/>
      <c r="X2506" s="46"/>
    </row>
    <row r="2507" spans="1:24" ht="15.75" customHeight="1" thickBot="1" x14ac:dyDescent="0.35">
      <c r="A2507" s="40"/>
      <c r="B2507" s="55"/>
      <c r="C2507" s="55"/>
      <c r="D2507" s="41"/>
      <c r="E2507" s="55"/>
      <c r="F2507" s="55"/>
      <c r="G2507" s="55"/>
      <c r="H2507" s="51"/>
      <c r="I2507" s="52"/>
      <c r="J2507" s="74"/>
      <c r="K2507" s="57"/>
      <c r="L2507" s="59"/>
      <c r="M2507" s="60"/>
      <c r="N2507" s="63"/>
      <c r="O2507" s="42"/>
      <c r="P2507" s="58"/>
      <c r="Q2507" s="61"/>
      <c r="R2507" s="62"/>
      <c r="S2507" s="43">
        <f t="shared" si="93"/>
        <v>0</v>
      </c>
      <c r="T2507" s="44" t="str">
        <f t="shared" si="94"/>
        <v>0</v>
      </c>
      <c r="U2507" s="45">
        <f t="shared" si="95"/>
        <v>0</v>
      </c>
      <c r="V2507" s="46"/>
      <c r="W2507" s="46"/>
      <c r="X2507" s="46"/>
    </row>
    <row r="2508" spans="1:24" ht="15.75" customHeight="1" thickBot="1" x14ac:dyDescent="0.35">
      <c r="A2508" s="40"/>
      <c r="B2508" s="55"/>
      <c r="C2508" s="55"/>
      <c r="D2508" s="41"/>
      <c r="E2508" s="55"/>
      <c r="F2508" s="55"/>
      <c r="G2508" s="55"/>
      <c r="H2508" s="51"/>
      <c r="I2508" s="52"/>
      <c r="J2508" s="74"/>
      <c r="K2508" s="57"/>
      <c r="L2508" s="59"/>
      <c r="M2508" s="60"/>
      <c r="N2508" s="63"/>
      <c r="O2508" s="42"/>
      <c r="P2508" s="58"/>
      <c r="Q2508" s="61"/>
      <c r="R2508" s="62"/>
      <c r="S2508" s="43">
        <f t="shared" si="93"/>
        <v>0</v>
      </c>
      <c r="T2508" s="44" t="str">
        <f t="shared" si="94"/>
        <v>0</v>
      </c>
      <c r="U2508" s="45">
        <f t="shared" si="95"/>
        <v>0</v>
      </c>
      <c r="V2508" s="46"/>
      <c r="W2508" s="46"/>
      <c r="X2508" s="46"/>
    </row>
    <row r="2509" spans="1:24" ht="15.75" customHeight="1" thickBot="1" x14ac:dyDescent="0.35">
      <c r="A2509" s="40"/>
      <c r="B2509" s="55"/>
      <c r="C2509" s="55"/>
      <c r="D2509" s="41"/>
      <c r="E2509" s="55"/>
      <c r="F2509" s="55"/>
      <c r="G2509" s="55"/>
      <c r="H2509" s="51"/>
      <c r="I2509" s="52"/>
      <c r="J2509" s="74"/>
      <c r="K2509" s="57"/>
      <c r="L2509" s="59"/>
      <c r="M2509" s="60"/>
      <c r="N2509" s="63"/>
      <c r="O2509" s="42"/>
      <c r="P2509" s="58"/>
      <c r="Q2509" s="61"/>
      <c r="R2509" s="62"/>
      <c r="S2509" s="43">
        <f t="shared" si="93"/>
        <v>0</v>
      </c>
      <c r="T2509" s="44" t="str">
        <f t="shared" si="94"/>
        <v>0</v>
      </c>
      <c r="U2509" s="45">
        <f t="shared" si="95"/>
        <v>0</v>
      </c>
      <c r="V2509" s="46"/>
      <c r="W2509" s="46"/>
      <c r="X2509" s="46"/>
    </row>
    <row r="2510" spans="1:24" ht="15.75" customHeight="1" thickBot="1" x14ac:dyDescent="0.35">
      <c r="A2510" s="40"/>
      <c r="B2510" s="55"/>
      <c r="C2510" s="55"/>
      <c r="D2510" s="41"/>
      <c r="E2510" s="55"/>
      <c r="F2510" s="55"/>
      <c r="G2510" s="55"/>
      <c r="H2510" s="51"/>
      <c r="I2510" s="52"/>
      <c r="J2510" s="74"/>
      <c r="K2510" s="57"/>
      <c r="L2510" s="59"/>
      <c r="M2510" s="60"/>
      <c r="N2510" s="63"/>
      <c r="O2510" s="42"/>
      <c r="P2510" s="58"/>
      <c r="Q2510" s="61"/>
      <c r="R2510" s="62"/>
      <c r="S2510" s="43">
        <f t="shared" si="93"/>
        <v>0</v>
      </c>
      <c r="T2510" s="44" t="str">
        <f t="shared" si="94"/>
        <v>0</v>
      </c>
      <c r="U2510" s="45">
        <f t="shared" si="95"/>
        <v>0</v>
      </c>
      <c r="V2510" s="46"/>
      <c r="W2510" s="46"/>
      <c r="X2510" s="46"/>
    </row>
    <row r="2511" spans="1:24" ht="15.75" customHeight="1" thickBot="1" x14ac:dyDescent="0.35">
      <c r="A2511" s="40"/>
      <c r="B2511" s="55"/>
      <c r="C2511" s="55"/>
      <c r="D2511" s="41"/>
      <c r="E2511" s="55"/>
      <c r="F2511" s="55"/>
      <c r="G2511" s="55"/>
      <c r="H2511" s="51"/>
      <c r="I2511" s="52"/>
      <c r="J2511" s="74"/>
      <c r="K2511" s="57"/>
      <c r="L2511" s="59"/>
      <c r="M2511" s="60"/>
      <c r="N2511" s="63"/>
      <c r="O2511" s="42"/>
      <c r="P2511" s="58"/>
      <c r="Q2511" s="61"/>
      <c r="R2511" s="62"/>
      <c r="S2511" s="43">
        <f t="shared" si="93"/>
        <v>0</v>
      </c>
      <c r="T2511" s="44" t="str">
        <f t="shared" si="94"/>
        <v>0</v>
      </c>
      <c r="U2511" s="45">
        <f t="shared" si="95"/>
        <v>0</v>
      </c>
      <c r="V2511" s="46"/>
      <c r="W2511" s="46"/>
      <c r="X2511" s="46"/>
    </row>
    <row r="2512" spans="1:24" ht="15.75" customHeight="1" thickBot="1" x14ac:dyDescent="0.35">
      <c r="A2512" s="40"/>
      <c r="B2512" s="55"/>
      <c r="C2512" s="55"/>
      <c r="D2512" s="41"/>
      <c r="E2512" s="55"/>
      <c r="F2512" s="55"/>
      <c r="G2512" s="55"/>
      <c r="H2512" s="51"/>
      <c r="I2512" s="52"/>
      <c r="J2512" s="74"/>
      <c r="K2512" s="57"/>
      <c r="L2512" s="59"/>
      <c r="M2512" s="60"/>
      <c r="N2512" s="63"/>
      <c r="O2512" s="42"/>
      <c r="P2512" s="58"/>
      <c r="Q2512" s="61"/>
      <c r="R2512" s="62"/>
      <c r="S2512" s="43">
        <f t="shared" si="93"/>
        <v>0</v>
      </c>
      <c r="T2512" s="44" t="str">
        <f t="shared" si="94"/>
        <v>0</v>
      </c>
      <c r="U2512" s="45">
        <f t="shared" si="95"/>
        <v>0</v>
      </c>
      <c r="V2512" s="46"/>
      <c r="W2512" s="46"/>
      <c r="X2512" s="46"/>
    </row>
    <row r="2513" spans="1:24" ht="15.75" customHeight="1" thickBot="1" x14ac:dyDescent="0.35">
      <c r="A2513" s="40"/>
      <c r="B2513" s="55"/>
      <c r="C2513" s="55"/>
      <c r="D2513" s="41"/>
      <c r="E2513" s="55"/>
      <c r="F2513" s="55"/>
      <c r="G2513" s="55"/>
      <c r="H2513" s="51"/>
      <c r="I2513" s="52"/>
      <c r="J2513" s="74"/>
      <c r="K2513" s="57"/>
      <c r="L2513" s="59"/>
      <c r="M2513" s="60"/>
      <c r="N2513" s="63"/>
      <c r="O2513" s="42"/>
      <c r="P2513" s="58"/>
      <c r="Q2513" s="61"/>
      <c r="R2513" s="62"/>
      <c r="S2513" s="43">
        <f t="shared" si="93"/>
        <v>0</v>
      </c>
      <c r="T2513" s="44" t="str">
        <f t="shared" si="94"/>
        <v>0</v>
      </c>
      <c r="U2513" s="45">
        <f t="shared" si="95"/>
        <v>0</v>
      </c>
      <c r="V2513" s="46"/>
      <c r="W2513" s="46"/>
      <c r="X2513" s="46"/>
    </row>
    <row r="2514" spans="1:24" ht="15.75" customHeight="1" thickBot="1" x14ac:dyDescent="0.35">
      <c r="A2514" s="40"/>
      <c r="B2514" s="55"/>
      <c r="C2514" s="55"/>
      <c r="D2514" s="41"/>
      <c r="E2514" s="55"/>
      <c r="F2514" s="55"/>
      <c r="G2514" s="55"/>
      <c r="H2514" s="51"/>
      <c r="I2514" s="52"/>
      <c r="J2514" s="74"/>
      <c r="K2514" s="57"/>
      <c r="L2514" s="59"/>
      <c r="M2514" s="60"/>
      <c r="N2514" s="63"/>
      <c r="O2514" s="42"/>
      <c r="P2514" s="58"/>
      <c r="Q2514" s="61"/>
      <c r="R2514" s="62"/>
      <c r="S2514" s="43">
        <f t="shared" si="93"/>
        <v>0</v>
      </c>
      <c r="T2514" s="44" t="str">
        <f t="shared" si="94"/>
        <v>0</v>
      </c>
      <c r="U2514" s="45">
        <f t="shared" si="95"/>
        <v>0</v>
      </c>
      <c r="V2514" s="46"/>
      <c r="W2514" s="46"/>
      <c r="X2514" s="46"/>
    </row>
    <row r="2515" spans="1:24" ht="15.75" customHeight="1" thickBot="1" x14ac:dyDescent="0.35">
      <c r="A2515" s="40"/>
      <c r="B2515" s="55"/>
      <c r="C2515" s="55"/>
      <c r="D2515" s="41"/>
      <c r="E2515" s="55"/>
      <c r="F2515" s="55"/>
      <c r="G2515" s="55"/>
      <c r="H2515" s="51"/>
      <c r="I2515" s="52"/>
      <c r="J2515" s="74"/>
      <c r="K2515" s="57"/>
      <c r="L2515" s="59"/>
      <c r="M2515" s="60"/>
      <c r="N2515" s="63"/>
      <c r="O2515" s="42"/>
      <c r="P2515" s="58"/>
      <c r="Q2515" s="61"/>
      <c r="R2515" s="62"/>
      <c r="S2515" s="43">
        <f t="shared" si="93"/>
        <v>0</v>
      </c>
      <c r="T2515" s="44" t="str">
        <f t="shared" si="94"/>
        <v>0</v>
      </c>
      <c r="U2515" s="45">
        <f t="shared" si="95"/>
        <v>0</v>
      </c>
      <c r="V2515" s="46"/>
      <c r="W2515" s="46"/>
      <c r="X2515" s="46"/>
    </row>
    <row r="2516" spans="1:24" ht="15.75" customHeight="1" thickBot="1" x14ac:dyDescent="0.35">
      <c r="A2516" s="40"/>
      <c r="B2516" s="55"/>
      <c r="C2516" s="55"/>
      <c r="D2516" s="41"/>
      <c r="E2516" s="55"/>
      <c r="F2516" s="55"/>
      <c r="G2516" s="55"/>
      <c r="H2516" s="51"/>
      <c r="I2516" s="52"/>
      <c r="J2516" s="74"/>
      <c r="K2516" s="57"/>
      <c r="L2516" s="59"/>
      <c r="M2516" s="60"/>
      <c r="N2516" s="63"/>
      <c r="O2516" s="42"/>
      <c r="P2516" s="58"/>
      <c r="Q2516" s="61"/>
      <c r="R2516" s="62"/>
      <c r="S2516" s="43">
        <f t="shared" si="93"/>
        <v>0</v>
      </c>
      <c r="T2516" s="44" t="str">
        <f t="shared" si="94"/>
        <v>0</v>
      </c>
      <c r="U2516" s="45">
        <f t="shared" si="95"/>
        <v>0</v>
      </c>
      <c r="V2516" s="46"/>
      <c r="W2516" s="46"/>
      <c r="X2516" s="46"/>
    </row>
    <row r="2517" spans="1:24" ht="15.75" customHeight="1" thickBot="1" x14ac:dyDescent="0.35">
      <c r="A2517" s="40"/>
      <c r="B2517" s="55"/>
      <c r="C2517" s="55"/>
      <c r="D2517" s="41"/>
      <c r="E2517" s="55"/>
      <c r="F2517" s="55"/>
      <c r="G2517" s="55"/>
      <c r="H2517" s="51"/>
      <c r="I2517" s="52"/>
      <c r="J2517" s="74"/>
      <c r="K2517" s="57"/>
      <c r="L2517" s="59"/>
      <c r="M2517" s="60"/>
      <c r="N2517" s="63"/>
      <c r="O2517" s="42"/>
      <c r="P2517" s="58"/>
      <c r="Q2517" s="61"/>
      <c r="R2517" s="62"/>
      <c r="S2517" s="43">
        <f t="shared" si="93"/>
        <v>0</v>
      </c>
      <c r="T2517" s="44" t="str">
        <f t="shared" si="94"/>
        <v>0</v>
      </c>
      <c r="U2517" s="45">
        <f t="shared" si="95"/>
        <v>0</v>
      </c>
      <c r="V2517" s="46"/>
      <c r="W2517" s="46"/>
      <c r="X2517" s="46"/>
    </row>
    <row r="2518" spans="1:24" ht="15.75" customHeight="1" thickBot="1" x14ac:dyDescent="0.35">
      <c r="A2518" s="40"/>
      <c r="B2518" s="55"/>
      <c r="C2518" s="55"/>
      <c r="D2518" s="41"/>
      <c r="E2518" s="55"/>
      <c r="F2518" s="55"/>
      <c r="G2518" s="55"/>
      <c r="H2518" s="51"/>
      <c r="I2518" s="52"/>
      <c r="J2518" s="74"/>
      <c r="K2518" s="57"/>
      <c r="L2518" s="59"/>
      <c r="M2518" s="60"/>
      <c r="N2518" s="63"/>
      <c r="O2518" s="42"/>
      <c r="P2518" s="58"/>
      <c r="Q2518" s="61"/>
      <c r="R2518" s="62"/>
      <c r="S2518" s="43">
        <f t="shared" si="93"/>
        <v>0</v>
      </c>
      <c r="T2518" s="44" t="str">
        <f t="shared" si="94"/>
        <v>0</v>
      </c>
      <c r="U2518" s="45">
        <f t="shared" si="95"/>
        <v>0</v>
      </c>
      <c r="V2518" s="46"/>
      <c r="W2518" s="46"/>
      <c r="X2518" s="46"/>
    </row>
    <row r="2519" spans="1:24" ht="15.75" customHeight="1" thickBot="1" x14ac:dyDescent="0.35">
      <c r="A2519" s="40"/>
      <c r="B2519" s="55"/>
      <c r="C2519" s="55"/>
      <c r="D2519" s="41"/>
      <c r="E2519" s="55"/>
      <c r="F2519" s="55"/>
      <c r="G2519" s="55"/>
      <c r="H2519" s="51"/>
      <c r="I2519" s="52"/>
      <c r="J2519" s="74"/>
      <c r="K2519" s="57"/>
      <c r="L2519" s="59"/>
      <c r="M2519" s="60"/>
      <c r="N2519" s="63"/>
      <c r="O2519" s="42"/>
      <c r="P2519" s="58"/>
      <c r="Q2519" s="61"/>
      <c r="R2519" s="62"/>
      <c r="S2519" s="43">
        <f t="shared" si="93"/>
        <v>0</v>
      </c>
      <c r="T2519" s="44" t="str">
        <f t="shared" si="94"/>
        <v>0</v>
      </c>
      <c r="U2519" s="45">
        <f t="shared" si="95"/>
        <v>0</v>
      </c>
      <c r="V2519" s="46"/>
      <c r="W2519" s="46"/>
      <c r="X2519" s="46"/>
    </row>
    <row r="2520" spans="1:24" ht="15.75" customHeight="1" thickBot="1" x14ac:dyDescent="0.35">
      <c r="A2520" s="40"/>
      <c r="B2520" s="55"/>
      <c r="C2520" s="55"/>
      <c r="D2520" s="41"/>
      <c r="E2520" s="55"/>
      <c r="F2520" s="55"/>
      <c r="G2520" s="55"/>
      <c r="H2520" s="51"/>
      <c r="I2520" s="52"/>
      <c r="J2520" s="74"/>
      <c r="K2520" s="57"/>
      <c r="L2520" s="59"/>
      <c r="M2520" s="60"/>
      <c r="N2520" s="63"/>
      <c r="O2520" s="42"/>
      <c r="P2520" s="58"/>
      <c r="Q2520" s="61"/>
      <c r="R2520" s="62"/>
      <c r="S2520" s="43">
        <f t="shared" si="93"/>
        <v>0</v>
      </c>
      <c r="T2520" s="44" t="str">
        <f t="shared" si="94"/>
        <v>0</v>
      </c>
      <c r="U2520" s="45">
        <f t="shared" si="95"/>
        <v>0</v>
      </c>
      <c r="V2520" s="46"/>
      <c r="W2520" s="46"/>
      <c r="X2520" s="46"/>
    </row>
    <row r="2521" spans="1:24" ht="15.75" customHeight="1" thickBot="1" x14ac:dyDescent="0.35">
      <c r="A2521" s="40"/>
      <c r="B2521" s="55"/>
      <c r="C2521" s="55"/>
      <c r="D2521" s="41"/>
      <c r="E2521" s="55"/>
      <c r="F2521" s="55"/>
      <c r="G2521" s="55"/>
      <c r="H2521" s="51"/>
      <c r="I2521" s="52"/>
      <c r="J2521" s="74"/>
      <c r="K2521" s="57"/>
      <c r="L2521" s="59"/>
      <c r="M2521" s="60"/>
      <c r="N2521" s="63"/>
      <c r="O2521" s="42"/>
      <c r="P2521" s="58"/>
      <c r="Q2521" s="61"/>
      <c r="R2521" s="62"/>
      <c r="S2521" s="43">
        <f t="shared" si="93"/>
        <v>0</v>
      </c>
      <c r="T2521" s="44" t="str">
        <f t="shared" si="94"/>
        <v>0</v>
      </c>
      <c r="U2521" s="45">
        <f t="shared" si="95"/>
        <v>0</v>
      </c>
      <c r="V2521" s="46"/>
      <c r="W2521" s="46"/>
      <c r="X2521" s="46"/>
    </row>
    <row r="2522" spans="1:24" ht="15.75" customHeight="1" thickBot="1" x14ac:dyDescent="0.35">
      <c r="A2522" s="40"/>
      <c r="B2522" s="55"/>
      <c r="C2522" s="55"/>
      <c r="D2522" s="41"/>
      <c r="E2522" s="55"/>
      <c r="F2522" s="55"/>
      <c r="G2522" s="55"/>
      <c r="H2522" s="51"/>
      <c r="I2522" s="52"/>
      <c r="J2522" s="74"/>
      <c r="K2522" s="57"/>
      <c r="L2522" s="59"/>
      <c r="M2522" s="60"/>
      <c r="N2522" s="63"/>
      <c r="O2522" s="42"/>
      <c r="P2522" s="58"/>
      <c r="Q2522" s="61"/>
      <c r="R2522" s="62"/>
      <c r="S2522" s="43">
        <f t="shared" si="93"/>
        <v>0</v>
      </c>
      <c r="T2522" s="44" t="str">
        <f t="shared" si="94"/>
        <v>0</v>
      </c>
      <c r="U2522" s="45">
        <f t="shared" si="95"/>
        <v>0</v>
      </c>
      <c r="V2522" s="46"/>
      <c r="W2522" s="46"/>
      <c r="X2522" s="46"/>
    </row>
    <row r="2523" spans="1:24" ht="15.75" customHeight="1" thickBot="1" x14ac:dyDescent="0.35">
      <c r="A2523" s="40"/>
      <c r="B2523" s="55"/>
      <c r="C2523" s="55"/>
      <c r="D2523" s="41"/>
      <c r="E2523" s="55"/>
      <c r="F2523" s="55"/>
      <c r="G2523" s="55"/>
      <c r="H2523" s="51"/>
      <c r="I2523" s="52"/>
      <c r="J2523" s="74"/>
      <c r="K2523" s="57"/>
      <c r="L2523" s="59"/>
      <c r="M2523" s="60"/>
      <c r="N2523" s="63"/>
      <c r="O2523" s="42"/>
      <c r="P2523" s="58"/>
      <c r="Q2523" s="61"/>
      <c r="R2523" s="62"/>
      <c r="S2523" s="43">
        <f t="shared" si="93"/>
        <v>0</v>
      </c>
      <c r="T2523" s="44" t="str">
        <f t="shared" si="94"/>
        <v>0</v>
      </c>
      <c r="U2523" s="45">
        <f t="shared" si="95"/>
        <v>0</v>
      </c>
      <c r="V2523" s="46"/>
      <c r="W2523" s="46"/>
      <c r="X2523" s="46"/>
    </row>
    <row r="2524" spans="1:24" ht="15.75" customHeight="1" thickBot="1" x14ac:dyDescent="0.35">
      <c r="A2524" s="40"/>
      <c r="B2524" s="55"/>
      <c r="C2524" s="55"/>
      <c r="D2524" s="41"/>
      <c r="E2524" s="55"/>
      <c r="F2524" s="55"/>
      <c r="G2524" s="55"/>
      <c r="H2524" s="51"/>
      <c r="I2524" s="52"/>
      <c r="J2524" s="74"/>
      <c r="K2524" s="57"/>
      <c r="L2524" s="59"/>
      <c r="M2524" s="60"/>
      <c r="N2524" s="63"/>
      <c r="O2524" s="42"/>
      <c r="P2524" s="58"/>
      <c r="Q2524" s="61"/>
      <c r="R2524" s="62"/>
      <c r="S2524" s="43">
        <f t="shared" si="93"/>
        <v>0</v>
      </c>
      <c r="T2524" s="44" t="str">
        <f t="shared" si="94"/>
        <v>0</v>
      </c>
      <c r="U2524" s="45">
        <f t="shared" si="95"/>
        <v>0</v>
      </c>
      <c r="V2524" s="46"/>
      <c r="W2524" s="46"/>
      <c r="X2524" s="46"/>
    </row>
    <row r="2525" spans="1:24" ht="15.75" customHeight="1" thickBot="1" x14ac:dyDescent="0.35">
      <c r="A2525" s="40"/>
      <c r="B2525" s="55"/>
      <c r="C2525" s="55"/>
      <c r="D2525" s="41"/>
      <c r="E2525" s="55"/>
      <c r="F2525" s="55"/>
      <c r="G2525" s="55"/>
      <c r="H2525" s="51"/>
      <c r="I2525" s="52"/>
      <c r="J2525" s="74"/>
      <c r="K2525" s="57"/>
      <c r="L2525" s="59"/>
      <c r="M2525" s="60"/>
      <c r="N2525" s="63"/>
      <c r="O2525" s="42"/>
      <c r="P2525" s="58"/>
      <c r="Q2525" s="61"/>
      <c r="R2525" s="62"/>
      <c r="S2525" s="43">
        <f t="shared" si="93"/>
        <v>0</v>
      </c>
      <c r="T2525" s="44" t="str">
        <f t="shared" si="94"/>
        <v>0</v>
      </c>
      <c r="U2525" s="45">
        <f t="shared" si="95"/>
        <v>0</v>
      </c>
      <c r="V2525" s="46"/>
      <c r="W2525" s="46"/>
      <c r="X2525" s="46"/>
    </row>
    <row r="2526" spans="1:24" ht="15.75" customHeight="1" thickBot="1" x14ac:dyDescent="0.35">
      <c r="A2526" s="40"/>
      <c r="B2526" s="55"/>
      <c r="C2526" s="55"/>
      <c r="D2526" s="41"/>
      <c r="E2526" s="55"/>
      <c r="F2526" s="55"/>
      <c r="G2526" s="55"/>
      <c r="H2526" s="51"/>
      <c r="I2526" s="52"/>
      <c r="J2526" s="74"/>
      <c r="K2526" s="57"/>
      <c r="L2526" s="59"/>
      <c r="M2526" s="60"/>
      <c r="N2526" s="63"/>
      <c r="O2526" s="42"/>
      <c r="P2526" s="58"/>
      <c r="Q2526" s="61"/>
      <c r="R2526" s="62"/>
      <c r="S2526" s="43">
        <f t="shared" si="93"/>
        <v>0</v>
      </c>
      <c r="T2526" s="44" t="str">
        <f t="shared" si="94"/>
        <v>0</v>
      </c>
      <c r="U2526" s="45">
        <f t="shared" si="95"/>
        <v>0</v>
      </c>
      <c r="V2526" s="46"/>
      <c r="W2526" s="46"/>
      <c r="X2526" s="46"/>
    </row>
    <row r="2527" spans="1:24" ht="15.75" customHeight="1" thickBot="1" x14ac:dyDescent="0.35">
      <c r="A2527" s="40"/>
      <c r="B2527" s="55"/>
      <c r="C2527" s="55"/>
      <c r="D2527" s="41"/>
      <c r="E2527" s="55"/>
      <c r="F2527" s="55"/>
      <c r="G2527" s="55"/>
      <c r="H2527" s="51"/>
      <c r="I2527" s="52"/>
      <c r="J2527" s="74"/>
      <c r="K2527" s="57"/>
      <c r="L2527" s="59"/>
      <c r="M2527" s="60"/>
      <c r="N2527" s="63"/>
      <c r="O2527" s="42"/>
      <c r="P2527" s="58"/>
      <c r="Q2527" s="61"/>
      <c r="R2527" s="62"/>
      <c r="S2527" s="43">
        <f t="shared" si="93"/>
        <v>0</v>
      </c>
      <c r="T2527" s="44" t="str">
        <f t="shared" si="94"/>
        <v>0</v>
      </c>
      <c r="U2527" s="45">
        <f t="shared" si="95"/>
        <v>0</v>
      </c>
      <c r="V2527" s="46"/>
      <c r="W2527" s="46"/>
      <c r="X2527" s="46"/>
    </row>
    <row r="2528" spans="1:24" ht="15.75" customHeight="1" thickBot="1" x14ac:dyDescent="0.35">
      <c r="A2528" s="40"/>
      <c r="B2528" s="55"/>
      <c r="C2528" s="55"/>
      <c r="D2528" s="41"/>
      <c r="E2528" s="55"/>
      <c r="F2528" s="55"/>
      <c r="G2528" s="55"/>
      <c r="H2528" s="51"/>
      <c r="I2528" s="52"/>
      <c r="J2528" s="74"/>
      <c r="K2528" s="57"/>
      <c r="L2528" s="59"/>
      <c r="M2528" s="60"/>
      <c r="N2528" s="63"/>
      <c r="O2528" s="42"/>
      <c r="P2528" s="58"/>
      <c r="Q2528" s="61"/>
      <c r="R2528" s="62"/>
      <c r="S2528" s="43">
        <f t="shared" si="93"/>
        <v>0</v>
      </c>
      <c r="T2528" s="44" t="str">
        <f t="shared" si="94"/>
        <v>0</v>
      </c>
      <c r="U2528" s="45">
        <f t="shared" si="95"/>
        <v>0</v>
      </c>
      <c r="V2528" s="46"/>
      <c r="W2528" s="46"/>
      <c r="X2528" s="46"/>
    </row>
    <row r="2529" spans="1:24" ht="15.75" customHeight="1" thickBot="1" x14ac:dyDescent="0.35">
      <c r="A2529" s="40"/>
      <c r="B2529" s="55"/>
      <c r="C2529" s="55"/>
      <c r="D2529" s="41"/>
      <c r="E2529" s="55"/>
      <c r="F2529" s="55"/>
      <c r="G2529" s="55"/>
      <c r="H2529" s="51"/>
      <c r="I2529" s="52"/>
      <c r="J2529" s="74"/>
      <c r="K2529" s="57"/>
      <c r="L2529" s="59"/>
      <c r="M2529" s="60"/>
      <c r="N2529" s="63"/>
      <c r="O2529" s="42"/>
      <c r="P2529" s="58"/>
      <c r="Q2529" s="61"/>
      <c r="R2529" s="62"/>
      <c r="S2529" s="43">
        <f t="shared" si="93"/>
        <v>0</v>
      </c>
      <c r="T2529" s="44" t="str">
        <f t="shared" si="94"/>
        <v>0</v>
      </c>
      <c r="U2529" s="45">
        <f t="shared" si="95"/>
        <v>0</v>
      </c>
      <c r="V2529" s="46"/>
      <c r="W2529" s="46"/>
      <c r="X2529" s="46"/>
    </row>
    <row r="2530" spans="1:24" ht="15.75" customHeight="1" thickBot="1" x14ac:dyDescent="0.35">
      <c r="A2530" s="40"/>
      <c r="B2530" s="55"/>
      <c r="C2530" s="55"/>
      <c r="D2530" s="41"/>
      <c r="E2530" s="55"/>
      <c r="F2530" s="55"/>
      <c r="G2530" s="55"/>
      <c r="H2530" s="51"/>
      <c r="I2530" s="52"/>
      <c r="J2530" s="74"/>
      <c r="K2530" s="57"/>
      <c r="L2530" s="59"/>
      <c r="M2530" s="60"/>
      <c r="N2530" s="63"/>
      <c r="O2530" s="42"/>
      <c r="P2530" s="58"/>
      <c r="Q2530" s="61"/>
      <c r="R2530" s="62"/>
      <c r="S2530" s="43">
        <f t="shared" si="93"/>
        <v>0</v>
      </c>
      <c r="T2530" s="44" t="str">
        <f t="shared" si="94"/>
        <v>0</v>
      </c>
      <c r="U2530" s="45">
        <f t="shared" si="95"/>
        <v>0</v>
      </c>
      <c r="V2530" s="46"/>
      <c r="W2530" s="46"/>
      <c r="X2530" s="46"/>
    </row>
    <row r="2531" spans="1:24" ht="15.75" customHeight="1" thickBot="1" x14ac:dyDescent="0.35">
      <c r="A2531" s="40"/>
      <c r="B2531" s="55"/>
      <c r="C2531" s="55"/>
      <c r="D2531" s="41"/>
      <c r="E2531" s="55"/>
      <c r="F2531" s="55"/>
      <c r="G2531" s="55"/>
      <c r="H2531" s="51"/>
      <c r="I2531" s="52"/>
      <c r="J2531" s="74"/>
      <c r="K2531" s="57"/>
      <c r="L2531" s="59"/>
      <c r="M2531" s="60"/>
      <c r="N2531" s="63"/>
      <c r="O2531" s="42"/>
      <c r="P2531" s="58"/>
      <c r="Q2531" s="61"/>
      <c r="R2531" s="62"/>
      <c r="S2531" s="43">
        <f t="shared" si="93"/>
        <v>0</v>
      </c>
      <c r="T2531" s="44" t="str">
        <f t="shared" si="94"/>
        <v>0</v>
      </c>
      <c r="U2531" s="45">
        <f t="shared" si="95"/>
        <v>0</v>
      </c>
      <c r="V2531" s="46"/>
      <c r="W2531" s="46"/>
      <c r="X2531" s="46"/>
    </row>
    <row r="2532" spans="1:24" ht="15.75" customHeight="1" thickBot="1" x14ac:dyDescent="0.35">
      <c r="A2532" s="40"/>
      <c r="B2532" s="55"/>
      <c r="C2532" s="55"/>
      <c r="D2532" s="41"/>
      <c r="E2532" s="55"/>
      <c r="F2532" s="55"/>
      <c r="G2532" s="55"/>
      <c r="H2532" s="51"/>
      <c r="I2532" s="52"/>
      <c r="J2532" s="74"/>
      <c r="K2532" s="57"/>
      <c r="L2532" s="59"/>
      <c r="M2532" s="60"/>
      <c r="N2532" s="63"/>
      <c r="O2532" s="42"/>
      <c r="P2532" s="58"/>
      <c r="Q2532" s="61"/>
      <c r="R2532" s="62"/>
      <c r="S2532" s="43">
        <f t="shared" si="93"/>
        <v>0</v>
      </c>
      <c r="T2532" s="44" t="str">
        <f t="shared" si="94"/>
        <v>0</v>
      </c>
      <c r="U2532" s="45">
        <f t="shared" si="95"/>
        <v>0</v>
      </c>
      <c r="V2532" s="46"/>
      <c r="W2532" s="46"/>
      <c r="X2532" s="46"/>
    </row>
    <row r="2533" spans="1:24" ht="15.75" customHeight="1" thickBot="1" x14ac:dyDescent="0.35">
      <c r="A2533" s="40"/>
      <c r="B2533" s="55"/>
      <c r="C2533" s="55"/>
      <c r="D2533" s="41"/>
      <c r="E2533" s="55"/>
      <c r="F2533" s="55"/>
      <c r="G2533" s="55"/>
      <c r="H2533" s="51"/>
      <c r="I2533" s="52"/>
      <c r="J2533" s="74"/>
      <c r="K2533" s="57"/>
      <c r="L2533" s="59"/>
      <c r="M2533" s="60"/>
      <c r="N2533" s="63"/>
      <c r="O2533" s="42"/>
      <c r="P2533" s="58"/>
      <c r="Q2533" s="61"/>
      <c r="R2533" s="62"/>
      <c r="S2533" s="43">
        <f t="shared" si="93"/>
        <v>0</v>
      </c>
      <c r="T2533" s="44" t="str">
        <f t="shared" si="94"/>
        <v>0</v>
      </c>
      <c r="U2533" s="45">
        <f t="shared" si="95"/>
        <v>0</v>
      </c>
      <c r="V2533" s="46"/>
      <c r="W2533" s="46"/>
      <c r="X2533" s="46"/>
    </row>
    <row r="2534" spans="1:24" ht="15.75" customHeight="1" thickBot="1" x14ac:dyDescent="0.35">
      <c r="A2534" s="40"/>
      <c r="B2534" s="55"/>
      <c r="C2534" s="55"/>
      <c r="D2534" s="41"/>
      <c r="E2534" s="55"/>
      <c r="F2534" s="55"/>
      <c r="G2534" s="55"/>
      <c r="H2534" s="51"/>
      <c r="I2534" s="52"/>
      <c r="J2534" s="74"/>
      <c r="K2534" s="57"/>
      <c r="L2534" s="59"/>
      <c r="M2534" s="60"/>
      <c r="N2534" s="63"/>
      <c r="O2534" s="42"/>
      <c r="P2534" s="58"/>
      <c r="Q2534" s="61"/>
      <c r="R2534" s="62"/>
      <c r="S2534" s="43">
        <f t="shared" si="93"/>
        <v>0</v>
      </c>
      <c r="T2534" s="44" t="str">
        <f t="shared" si="94"/>
        <v>0</v>
      </c>
      <c r="U2534" s="45">
        <f t="shared" si="95"/>
        <v>0</v>
      </c>
      <c r="V2534" s="46"/>
      <c r="W2534" s="46"/>
      <c r="X2534" s="46"/>
    </row>
    <row r="2535" spans="1:24" ht="15.75" customHeight="1" thickBot="1" x14ac:dyDescent="0.35">
      <c r="A2535" s="40"/>
      <c r="B2535" s="55"/>
      <c r="C2535" s="55"/>
      <c r="D2535" s="41"/>
      <c r="E2535" s="55"/>
      <c r="F2535" s="55"/>
      <c r="G2535" s="55"/>
      <c r="H2535" s="51"/>
      <c r="I2535" s="52"/>
      <c r="J2535" s="74"/>
      <c r="K2535" s="57"/>
      <c r="L2535" s="59"/>
      <c r="M2535" s="60"/>
      <c r="N2535" s="63"/>
      <c r="O2535" s="42"/>
      <c r="P2535" s="58"/>
      <c r="Q2535" s="61"/>
      <c r="R2535" s="62"/>
      <c r="S2535" s="43">
        <f t="shared" si="93"/>
        <v>0</v>
      </c>
      <c r="T2535" s="44" t="str">
        <f t="shared" si="94"/>
        <v>0</v>
      </c>
      <c r="U2535" s="45">
        <f t="shared" si="95"/>
        <v>0</v>
      </c>
      <c r="V2535" s="46"/>
      <c r="W2535" s="46"/>
      <c r="X2535" s="46"/>
    </row>
    <row r="2536" spans="1:24" ht="15.75" customHeight="1" thickBot="1" x14ac:dyDescent="0.35">
      <c r="A2536" s="40"/>
      <c r="B2536" s="55"/>
      <c r="C2536" s="55"/>
      <c r="D2536" s="41"/>
      <c r="E2536" s="55"/>
      <c r="F2536" s="55"/>
      <c r="G2536" s="55"/>
      <c r="H2536" s="51"/>
      <c r="I2536" s="52"/>
      <c r="J2536" s="74"/>
      <c r="K2536" s="57"/>
      <c r="L2536" s="59"/>
      <c r="M2536" s="60"/>
      <c r="N2536" s="63"/>
      <c r="O2536" s="42"/>
      <c r="P2536" s="58"/>
      <c r="Q2536" s="61"/>
      <c r="R2536" s="62"/>
      <c r="S2536" s="43">
        <f t="shared" si="93"/>
        <v>0</v>
      </c>
      <c r="T2536" s="44" t="str">
        <f t="shared" si="94"/>
        <v>0</v>
      </c>
      <c r="U2536" s="45">
        <f t="shared" si="95"/>
        <v>0</v>
      </c>
      <c r="V2536" s="46"/>
      <c r="W2536" s="46"/>
      <c r="X2536" s="46"/>
    </row>
    <row r="2537" spans="1:24" ht="15.75" customHeight="1" thickBot="1" x14ac:dyDescent="0.35">
      <c r="A2537" s="40"/>
      <c r="B2537" s="55"/>
      <c r="C2537" s="55"/>
      <c r="D2537" s="41"/>
      <c r="E2537" s="55"/>
      <c r="F2537" s="55"/>
      <c r="G2537" s="55"/>
      <c r="H2537" s="51"/>
      <c r="I2537" s="52"/>
      <c r="J2537" s="74"/>
      <c r="K2537" s="57"/>
      <c r="L2537" s="59"/>
      <c r="M2537" s="60"/>
      <c r="N2537" s="63"/>
      <c r="O2537" s="42"/>
      <c r="P2537" s="58"/>
      <c r="Q2537" s="61"/>
      <c r="R2537" s="62"/>
      <c r="S2537" s="43">
        <f t="shared" si="93"/>
        <v>0</v>
      </c>
      <c r="T2537" s="44" t="str">
        <f t="shared" si="94"/>
        <v>0</v>
      </c>
      <c r="U2537" s="45">
        <f t="shared" si="95"/>
        <v>0</v>
      </c>
      <c r="V2537" s="46"/>
      <c r="W2537" s="46"/>
      <c r="X2537" s="46"/>
    </row>
    <row r="2538" spans="1:24" ht="15.75" customHeight="1" thickBot="1" x14ac:dyDescent="0.35">
      <c r="A2538" s="40"/>
      <c r="B2538" s="55"/>
      <c r="C2538" s="55"/>
      <c r="D2538" s="41"/>
      <c r="E2538" s="55"/>
      <c r="F2538" s="55"/>
      <c r="G2538" s="55"/>
      <c r="H2538" s="51"/>
      <c r="I2538" s="52"/>
      <c r="J2538" s="74"/>
      <c r="K2538" s="57"/>
      <c r="L2538" s="59"/>
      <c r="M2538" s="60"/>
      <c r="N2538" s="63"/>
      <c r="O2538" s="42"/>
      <c r="P2538" s="58"/>
      <c r="Q2538" s="61"/>
      <c r="R2538" s="62"/>
      <c r="S2538" s="43">
        <f t="shared" si="93"/>
        <v>0</v>
      </c>
      <c r="T2538" s="44" t="str">
        <f t="shared" si="94"/>
        <v>0</v>
      </c>
      <c r="U2538" s="45">
        <f t="shared" si="95"/>
        <v>0</v>
      </c>
      <c r="V2538" s="46"/>
      <c r="W2538" s="46"/>
      <c r="X2538" s="46"/>
    </row>
    <row r="2539" spans="1:24" ht="15.75" customHeight="1" thickBot="1" x14ac:dyDescent="0.35">
      <c r="A2539" s="40"/>
      <c r="B2539" s="55"/>
      <c r="C2539" s="55"/>
      <c r="D2539" s="41"/>
      <c r="E2539" s="55"/>
      <c r="F2539" s="55"/>
      <c r="G2539" s="55"/>
      <c r="H2539" s="51"/>
      <c r="I2539" s="52"/>
      <c r="J2539" s="74"/>
      <c r="K2539" s="57"/>
      <c r="L2539" s="59"/>
      <c r="M2539" s="60"/>
      <c r="N2539" s="63"/>
      <c r="O2539" s="42"/>
      <c r="P2539" s="58"/>
      <c r="Q2539" s="61"/>
      <c r="R2539" s="62"/>
      <c r="S2539" s="43">
        <f t="shared" si="93"/>
        <v>0</v>
      </c>
      <c r="T2539" s="44" t="str">
        <f t="shared" si="94"/>
        <v>0</v>
      </c>
      <c r="U2539" s="45">
        <f t="shared" si="95"/>
        <v>0</v>
      </c>
      <c r="V2539" s="46"/>
      <c r="W2539" s="46"/>
      <c r="X2539" s="46"/>
    </row>
    <row r="2540" spans="1:24" ht="15.75" customHeight="1" thickBot="1" x14ac:dyDescent="0.35">
      <c r="A2540" s="40"/>
      <c r="B2540" s="55"/>
      <c r="C2540" s="55"/>
      <c r="D2540" s="41"/>
      <c r="E2540" s="55"/>
      <c r="F2540" s="55"/>
      <c r="G2540" s="55"/>
      <c r="H2540" s="51"/>
      <c r="I2540" s="52"/>
      <c r="J2540" s="74"/>
      <c r="K2540" s="57"/>
      <c r="L2540" s="59"/>
      <c r="M2540" s="60"/>
      <c r="N2540" s="63"/>
      <c r="O2540" s="42"/>
      <c r="P2540" s="58"/>
      <c r="Q2540" s="61"/>
      <c r="R2540" s="62"/>
      <c r="S2540" s="43">
        <f t="shared" si="93"/>
        <v>0</v>
      </c>
      <c r="T2540" s="44" t="str">
        <f t="shared" si="94"/>
        <v>0</v>
      </c>
      <c r="U2540" s="45">
        <f t="shared" si="95"/>
        <v>0</v>
      </c>
      <c r="V2540" s="46"/>
      <c r="W2540" s="46"/>
      <c r="X2540" s="46"/>
    </row>
    <row r="2541" spans="1:24" ht="15.75" customHeight="1" thickBot="1" x14ac:dyDescent="0.35">
      <c r="A2541" s="40"/>
      <c r="B2541" s="55"/>
      <c r="C2541" s="55"/>
      <c r="D2541" s="41"/>
      <c r="E2541" s="55"/>
      <c r="F2541" s="55"/>
      <c r="G2541" s="55"/>
      <c r="H2541" s="51"/>
      <c r="I2541" s="52"/>
      <c r="J2541" s="74"/>
      <c r="K2541" s="57"/>
      <c r="L2541" s="59"/>
      <c r="M2541" s="60"/>
      <c r="N2541" s="63"/>
      <c r="O2541" s="42"/>
      <c r="P2541" s="58"/>
      <c r="Q2541" s="61"/>
      <c r="R2541" s="62"/>
      <c r="S2541" s="43">
        <f t="shared" si="93"/>
        <v>0</v>
      </c>
      <c r="T2541" s="44" t="str">
        <f t="shared" si="94"/>
        <v>0</v>
      </c>
      <c r="U2541" s="45">
        <f t="shared" si="95"/>
        <v>0</v>
      </c>
      <c r="V2541" s="46"/>
      <c r="W2541" s="46"/>
      <c r="X2541" s="46"/>
    </row>
    <row r="2542" spans="1:24" ht="15.75" customHeight="1" thickBot="1" x14ac:dyDescent="0.35">
      <c r="A2542" s="40"/>
      <c r="B2542" s="55"/>
      <c r="C2542" s="55"/>
      <c r="D2542" s="41"/>
      <c r="E2542" s="55"/>
      <c r="F2542" s="55"/>
      <c r="G2542" s="55"/>
      <c r="H2542" s="51"/>
      <c r="I2542" s="52"/>
      <c r="J2542" s="74"/>
      <c r="K2542" s="57"/>
      <c r="L2542" s="59"/>
      <c r="M2542" s="60"/>
      <c r="N2542" s="63"/>
      <c r="O2542" s="42"/>
      <c r="P2542" s="58"/>
      <c r="Q2542" s="61"/>
      <c r="R2542" s="62"/>
      <c r="S2542" s="43">
        <f t="shared" si="93"/>
        <v>0</v>
      </c>
      <c r="T2542" s="44" t="str">
        <f t="shared" si="94"/>
        <v>0</v>
      </c>
      <c r="U2542" s="45">
        <f t="shared" si="95"/>
        <v>0</v>
      </c>
      <c r="V2542" s="46"/>
      <c r="W2542" s="46"/>
      <c r="X2542" s="46"/>
    </row>
    <row r="2543" spans="1:24" ht="15.75" customHeight="1" thickBot="1" x14ac:dyDescent="0.35">
      <c r="A2543" s="40"/>
      <c r="B2543" s="55"/>
      <c r="C2543" s="55"/>
      <c r="D2543" s="41"/>
      <c r="E2543" s="55"/>
      <c r="F2543" s="55"/>
      <c r="G2543" s="55"/>
      <c r="H2543" s="51"/>
      <c r="I2543" s="52"/>
      <c r="J2543" s="74"/>
      <c r="K2543" s="57"/>
      <c r="L2543" s="59"/>
      <c r="M2543" s="60"/>
      <c r="N2543" s="63"/>
      <c r="O2543" s="42"/>
      <c r="P2543" s="58"/>
      <c r="Q2543" s="61"/>
      <c r="R2543" s="62"/>
      <c r="S2543" s="43">
        <f t="shared" si="93"/>
        <v>0</v>
      </c>
      <c r="T2543" s="44" t="str">
        <f t="shared" si="94"/>
        <v>0</v>
      </c>
      <c r="U2543" s="45">
        <f t="shared" si="95"/>
        <v>0</v>
      </c>
      <c r="V2543" s="46"/>
      <c r="W2543" s="46"/>
      <c r="X2543" s="46"/>
    </row>
    <row r="2544" spans="1:24" ht="15.75" customHeight="1" thickBot="1" x14ac:dyDescent="0.35">
      <c r="A2544" s="40"/>
      <c r="B2544" s="55"/>
      <c r="C2544" s="55"/>
      <c r="D2544" s="41"/>
      <c r="E2544" s="55"/>
      <c r="F2544" s="55"/>
      <c r="G2544" s="55"/>
      <c r="H2544" s="51"/>
      <c r="I2544" s="52"/>
      <c r="J2544" s="74"/>
      <c r="K2544" s="57"/>
      <c r="L2544" s="59"/>
      <c r="M2544" s="60"/>
      <c r="N2544" s="63"/>
      <c r="O2544" s="42"/>
      <c r="P2544" s="58"/>
      <c r="Q2544" s="61"/>
      <c r="R2544" s="62"/>
      <c r="S2544" s="43">
        <f t="shared" si="93"/>
        <v>0</v>
      </c>
      <c r="T2544" s="44" t="str">
        <f t="shared" si="94"/>
        <v>0</v>
      </c>
      <c r="U2544" s="45">
        <f t="shared" si="95"/>
        <v>0</v>
      </c>
      <c r="V2544" s="46"/>
      <c r="W2544" s="46"/>
      <c r="X2544" s="46"/>
    </row>
    <row r="2545" spans="1:24" ht="15.75" customHeight="1" thickBot="1" x14ac:dyDescent="0.35">
      <c r="A2545" s="40"/>
      <c r="B2545" s="55"/>
      <c r="C2545" s="55"/>
      <c r="D2545" s="41"/>
      <c r="E2545" s="55"/>
      <c r="F2545" s="55"/>
      <c r="G2545" s="55"/>
      <c r="H2545" s="51"/>
      <c r="I2545" s="52"/>
      <c r="J2545" s="74"/>
      <c r="K2545" s="57"/>
      <c r="L2545" s="59"/>
      <c r="M2545" s="60"/>
      <c r="N2545" s="63"/>
      <c r="O2545" s="42"/>
      <c r="P2545" s="58"/>
      <c r="Q2545" s="61"/>
      <c r="R2545" s="62"/>
      <c r="S2545" s="43">
        <f t="shared" si="93"/>
        <v>0</v>
      </c>
      <c r="T2545" s="44" t="str">
        <f t="shared" si="94"/>
        <v>0</v>
      </c>
      <c r="U2545" s="45">
        <f t="shared" si="95"/>
        <v>0</v>
      </c>
      <c r="V2545" s="46"/>
      <c r="W2545" s="46"/>
      <c r="X2545" s="46"/>
    </row>
    <row r="2546" spans="1:24" ht="15.75" customHeight="1" thickBot="1" x14ac:dyDescent="0.35">
      <c r="A2546" s="40"/>
      <c r="B2546" s="55"/>
      <c r="C2546" s="55"/>
      <c r="D2546" s="41"/>
      <c r="E2546" s="55"/>
      <c r="F2546" s="55"/>
      <c r="G2546" s="55"/>
      <c r="H2546" s="51"/>
      <c r="I2546" s="52"/>
      <c r="J2546" s="74"/>
      <c r="K2546" s="57"/>
      <c r="L2546" s="59"/>
      <c r="M2546" s="60"/>
      <c r="N2546" s="63"/>
      <c r="O2546" s="42"/>
      <c r="P2546" s="58"/>
      <c r="Q2546" s="61"/>
      <c r="R2546" s="62"/>
      <c r="S2546" s="43">
        <f t="shared" si="93"/>
        <v>0</v>
      </c>
      <c r="T2546" s="44" t="str">
        <f t="shared" si="94"/>
        <v>0</v>
      </c>
      <c r="U2546" s="45">
        <f t="shared" si="95"/>
        <v>0</v>
      </c>
      <c r="V2546" s="46"/>
      <c r="W2546" s="46"/>
      <c r="X2546" s="46"/>
    </row>
    <row r="2547" spans="1:24" ht="15.75" customHeight="1" thickBot="1" x14ac:dyDescent="0.35">
      <c r="A2547" s="40"/>
      <c r="B2547" s="55"/>
      <c r="C2547" s="55"/>
      <c r="D2547" s="41"/>
      <c r="E2547" s="55"/>
      <c r="F2547" s="55"/>
      <c r="G2547" s="55"/>
      <c r="H2547" s="51"/>
      <c r="I2547" s="52"/>
      <c r="J2547" s="74"/>
      <c r="K2547" s="57"/>
      <c r="L2547" s="59"/>
      <c r="M2547" s="60"/>
      <c r="N2547" s="63"/>
      <c r="O2547" s="42"/>
      <c r="P2547" s="58"/>
      <c r="Q2547" s="61"/>
      <c r="R2547" s="62"/>
      <c r="S2547" s="43">
        <f t="shared" si="93"/>
        <v>0</v>
      </c>
      <c r="T2547" s="44" t="str">
        <f t="shared" si="94"/>
        <v>0</v>
      </c>
      <c r="U2547" s="45">
        <f t="shared" si="95"/>
        <v>0</v>
      </c>
      <c r="V2547" s="46"/>
      <c r="W2547" s="46"/>
      <c r="X2547" s="46"/>
    </row>
    <row r="2548" spans="1:24" ht="15.75" customHeight="1" thickBot="1" x14ac:dyDescent="0.35">
      <c r="A2548" s="40"/>
      <c r="B2548" s="55"/>
      <c r="C2548" s="55"/>
      <c r="D2548" s="41"/>
      <c r="E2548" s="55"/>
      <c r="F2548" s="55"/>
      <c r="G2548" s="55"/>
      <c r="H2548" s="51"/>
      <c r="I2548" s="52"/>
      <c r="J2548" s="74"/>
      <c r="K2548" s="57"/>
      <c r="L2548" s="59"/>
      <c r="M2548" s="60"/>
      <c r="N2548" s="63"/>
      <c r="O2548" s="42"/>
      <c r="P2548" s="58"/>
      <c r="Q2548" s="61"/>
      <c r="R2548" s="62"/>
      <c r="S2548" s="43">
        <f t="shared" si="93"/>
        <v>0</v>
      </c>
      <c r="T2548" s="44" t="str">
        <f t="shared" si="94"/>
        <v>0</v>
      </c>
      <c r="U2548" s="45">
        <f t="shared" si="95"/>
        <v>0</v>
      </c>
      <c r="V2548" s="46"/>
      <c r="W2548" s="46"/>
      <c r="X2548" s="46"/>
    </row>
    <row r="2549" spans="1:24" ht="15.75" customHeight="1" thickBot="1" x14ac:dyDescent="0.35">
      <c r="A2549" s="40"/>
      <c r="B2549" s="55"/>
      <c r="C2549" s="55"/>
      <c r="D2549" s="41"/>
      <c r="E2549" s="55"/>
      <c r="F2549" s="55"/>
      <c r="G2549" s="55"/>
      <c r="H2549" s="51"/>
      <c r="I2549" s="52"/>
      <c r="J2549" s="74"/>
      <c r="K2549" s="57"/>
      <c r="L2549" s="59"/>
      <c r="M2549" s="60"/>
      <c r="N2549" s="63"/>
      <c r="O2549" s="42"/>
      <c r="P2549" s="58"/>
      <c r="Q2549" s="61"/>
      <c r="R2549" s="62"/>
      <c r="S2549" s="43">
        <f t="shared" si="93"/>
        <v>0</v>
      </c>
      <c r="T2549" s="44" t="str">
        <f t="shared" si="94"/>
        <v>0</v>
      </c>
      <c r="U2549" s="45">
        <f t="shared" si="95"/>
        <v>0</v>
      </c>
      <c r="V2549" s="46"/>
      <c r="W2549" s="46"/>
      <c r="X2549" s="46"/>
    </row>
    <row r="2550" spans="1:24" ht="15.75" customHeight="1" thickBot="1" x14ac:dyDescent="0.35">
      <c r="A2550" s="40"/>
      <c r="B2550" s="55"/>
      <c r="C2550" s="55"/>
      <c r="D2550" s="41"/>
      <c r="E2550" s="55"/>
      <c r="F2550" s="55"/>
      <c r="G2550" s="55"/>
      <c r="H2550" s="51"/>
      <c r="I2550" s="52"/>
      <c r="J2550" s="74"/>
      <c r="K2550" s="57"/>
      <c r="L2550" s="59"/>
      <c r="M2550" s="60"/>
      <c r="N2550" s="63"/>
      <c r="O2550" s="42"/>
      <c r="P2550" s="58"/>
      <c r="Q2550" s="61"/>
      <c r="R2550" s="62"/>
      <c r="S2550" s="43">
        <f t="shared" si="93"/>
        <v>0</v>
      </c>
      <c r="T2550" s="44" t="str">
        <f t="shared" si="94"/>
        <v>0</v>
      </c>
      <c r="U2550" s="45">
        <f t="shared" si="95"/>
        <v>0</v>
      </c>
      <c r="V2550" s="46"/>
      <c r="W2550" s="46"/>
      <c r="X2550" s="46"/>
    </row>
    <row r="2551" spans="1:24" ht="15.75" customHeight="1" thickBot="1" x14ac:dyDescent="0.35">
      <c r="A2551" s="40"/>
      <c r="B2551" s="55"/>
      <c r="C2551" s="55"/>
      <c r="D2551" s="41"/>
      <c r="E2551" s="55"/>
      <c r="F2551" s="55"/>
      <c r="G2551" s="55"/>
      <c r="H2551" s="51"/>
      <c r="I2551" s="52"/>
      <c r="J2551" s="74"/>
      <c r="K2551" s="57"/>
      <c r="L2551" s="59"/>
      <c r="M2551" s="60"/>
      <c r="N2551" s="63"/>
      <c r="O2551" s="42"/>
      <c r="P2551" s="58"/>
      <c r="Q2551" s="61"/>
      <c r="R2551" s="62"/>
      <c r="S2551" s="43">
        <f t="shared" si="93"/>
        <v>0</v>
      </c>
      <c r="T2551" s="44" t="str">
        <f t="shared" si="94"/>
        <v>0</v>
      </c>
      <c r="U2551" s="45">
        <f t="shared" si="95"/>
        <v>0</v>
      </c>
      <c r="V2551" s="46"/>
      <c r="W2551" s="46"/>
      <c r="X2551" s="46"/>
    </row>
    <row r="2552" spans="1:24" ht="15.75" customHeight="1" thickBot="1" x14ac:dyDescent="0.35">
      <c r="A2552" s="40"/>
      <c r="B2552" s="55"/>
      <c r="C2552" s="55"/>
      <c r="D2552" s="41"/>
      <c r="E2552" s="55"/>
      <c r="F2552" s="55"/>
      <c r="G2552" s="55"/>
      <c r="H2552" s="51"/>
      <c r="I2552" s="52"/>
      <c r="J2552" s="74"/>
      <c r="K2552" s="57"/>
      <c r="L2552" s="59"/>
      <c r="M2552" s="60"/>
      <c r="N2552" s="63"/>
      <c r="O2552" s="42"/>
      <c r="P2552" s="58"/>
      <c r="Q2552" s="61"/>
      <c r="R2552" s="62"/>
      <c r="S2552" s="43">
        <f t="shared" si="93"/>
        <v>0</v>
      </c>
      <c r="T2552" s="44" t="str">
        <f t="shared" si="94"/>
        <v>0</v>
      </c>
      <c r="U2552" s="45">
        <f t="shared" si="95"/>
        <v>0</v>
      </c>
      <c r="V2552" s="46"/>
      <c r="W2552" s="46"/>
      <c r="X2552" s="46"/>
    </row>
    <row r="2553" spans="1:24" ht="15.75" customHeight="1" thickBot="1" x14ac:dyDescent="0.35">
      <c r="A2553" s="40"/>
      <c r="B2553" s="55"/>
      <c r="C2553" s="55"/>
      <c r="D2553" s="41"/>
      <c r="E2553" s="55"/>
      <c r="F2553" s="55"/>
      <c r="G2553" s="55"/>
      <c r="H2553" s="51"/>
      <c r="I2553" s="52"/>
      <c r="J2553" s="74"/>
      <c r="K2553" s="57"/>
      <c r="L2553" s="59"/>
      <c r="M2553" s="60"/>
      <c r="N2553" s="63"/>
      <c r="O2553" s="42"/>
      <c r="P2553" s="58"/>
      <c r="Q2553" s="61"/>
      <c r="R2553" s="62"/>
      <c r="S2553" s="43">
        <f t="shared" si="93"/>
        <v>0</v>
      </c>
      <c r="T2553" s="44" t="str">
        <f t="shared" si="94"/>
        <v>0</v>
      </c>
      <c r="U2553" s="45">
        <f t="shared" si="95"/>
        <v>0</v>
      </c>
      <c r="V2553" s="46"/>
      <c r="W2553" s="46"/>
      <c r="X2553" s="46"/>
    </row>
    <row r="2554" spans="1:24" ht="15.75" customHeight="1" thickBot="1" x14ac:dyDescent="0.35">
      <c r="A2554" s="40"/>
      <c r="B2554" s="55"/>
      <c r="C2554" s="55"/>
      <c r="D2554" s="41"/>
      <c r="E2554" s="55"/>
      <c r="F2554" s="55"/>
      <c r="G2554" s="55"/>
      <c r="H2554" s="51"/>
      <c r="I2554" s="52"/>
      <c r="J2554" s="74"/>
      <c r="K2554" s="57"/>
      <c r="L2554" s="59"/>
      <c r="M2554" s="60"/>
      <c r="N2554" s="63"/>
      <c r="O2554" s="42"/>
      <c r="P2554" s="58"/>
      <c r="Q2554" s="61"/>
      <c r="R2554" s="62"/>
      <c r="S2554" s="43">
        <f t="shared" si="93"/>
        <v>0</v>
      </c>
      <c r="T2554" s="44" t="str">
        <f t="shared" si="94"/>
        <v>0</v>
      </c>
      <c r="U2554" s="45">
        <f t="shared" si="95"/>
        <v>0</v>
      </c>
      <c r="V2554" s="46"/>
      <c r="W2554" s="46"/>
      <c r="X2554" s="46"/>
    </row>
    <row r="2555" spans="1:24" ht="15.75" customHeight="1" thickBot="1" x14ac:dyDescent="0.35">
      <c r="A2555" s="40"/>
      <c r="B2555" s="55"/>
      <c r="C2555" s="55"/>
      <c r="D2555" s="41"/>
      <c r="E2555" s="55"/>
      <c r="F2555" s="55"/>
      <c r="G2555" s="55"/>
      <c r="H2555" s="51"/>
      <c r="I2555" s="52"/>
      <c r="J2555" s="74"/>
      <c r="K2555" s="57"/>
      <c r="L2555" s="59"/>
      <c r="M2555" s="60"/>
      <c r="N2555" s="63"/>
      <c r="O2555" s="42"/>
      <c r="P2555" s="58"/>
      <c r="Q2555" s="61"/>
      <c r="R2555" s="62"/>
      <c r="S2555" s="43">
        <f t="shared" si="93"/>
        <v>0</v>
      </c>
      <c r="T2555" s="44" t="str">
        <f t="shared" si="94"/>
        <v>0</v>
      </c>
      <c r="U2555" s="45">
        <f t="shared" si="95"/>
        <v>0</v>
      </c>
      <c r="V2555" s="46"/>
      <c r="W2555" s="46"/>
      <c r="X2555" s="46"/>
    </row>
    <row r="2556" spans="1:24" ht="15.75" customHeight="1" thickBot="1" x14ac:dyDescent="0.35">
      <c r="A2556" s="40"/>
      <c r="B2556" s="55"/>
      <c r="C2556" s="55"/>
      <c r="D2556" s="41"/>
      <c r="E2556" s="55"/>
      <c r="F2556" s="55"/>
      <c r="G2556" s="55"/>
      <c r="H2556" s="51"/>
      <c r="I2556" s="52"/>
      <c r="J2556" s="74"/>
      <c r="K2556" s="57"/>
      <c r="L2556" s="59"/>
      <c r="M2556" s="60"/>
      <c r="N2556" s="63"/>
      <c r="O2556" s="42"/>
      <c r="P2556" s="58"/>
      <c r="Q2556" s="61"/>
      <c r="R2556" s="62"/>
      <c r="S2556" s="43">
        <f t="shared" si="93"/>
        <v>0</v>
      </c>
      <c r="T2556" s="44" t="str">
        <f t="shared" si="94"/>
        <v>0</v>
      </c>
      <c r="U2556" s="45">
        <f t="shared" si="95"/>
        <v>0</v>
      </c>
      <c r="V2556" s="46"/>
      <c r="W2556" s="46"/>
      <c r="X2556" s="46"/>
    </row>
    <row r="2557" spans="1:24" ht="15.75" customHeight="1" thickBot="1" x14ac:dyDescent="0.35">
      <c r="A2557" s="40"/>
      <c r="B2557" s="55"/>
      <c r="C2557" s="55"/>
      <c r="D2557" s="41"/>
      <c r="E2557" s="55"/>
      <c r="F2557" s="55"/>
      <c r="G2557" s="55"/>
      <c r="H2557" s="51"/>
      <c r="I2557" s="52"/>
      <c r="J2557" s="74"/>
      <c r="K2557" s="57"/>
      <c r="L2557" s="59"/>
      <c r="M2557" s="60"/>
      <c r="N2557" s="63"/>
      <c r="O2557" s="42"/>
      <c r="P2557" s="58"/>
      <c r="Q2557" s="61"/>
      <c r="R2557" s="62"/>
      <c r="S2557" s="43">
        <f t="shared" si="93"/>
        <v>0</v>
      </c>
      <c r="T2557" s="44" t="str">
        <f t="shared" si="94"/>
        <v>0</v>
      </c>
      <c r="U2557" s="45">
        <f t="shared" si="95"/>
        <v>0</v>
      </c>
      <c r="V2557" s="46"/>
      <c r="W2557" s="46"/>
      <c r="X2557" s="46"/>
    </row>
    <row r="2558" spans="1:24" ht="15.75" customHeight="1" thickBot="1" x14ac:dyDescent="0.35">
      <c r="A2558" s="40"/>
      <c r="B2558" s="55"/>
      <c r="C2558" s="55"/>
      <c r="D2558" s="41"/>
      <c r="E2558" s="55"/>
      <c r="F2558" s="55"/>
      <c r="G2558" s="55"/>
      <c r="H2558" s="51"/>
      <c r="I2558" s="52"/>
      <c r="J2558" s="74"/>
      <c r="K2558" s="57"/>
      <c r="L2558" s="59"/>
      <c r="M2558" s="60"/>
      <c r="N2558" s="63"/>
      <c r="O2558" s="42"/>
      <c r="P2558" s="58"/>
      <c r="Q2558" s="61"/>
      <c r="R2558" s="62"/>
      <c r="S2558" s="43">
        <f t="shared" si="93"/>
        <v>0</v>
      </c>
      <c r="T2558" s="44" t="str">
        <f t="shared" si="94"/>
        <v>0</v>
      </c>
      <c r="U2558" s="45">
        <f t="shared" si="95"/>
        <v>0</v>
      </c>
      <c r="V2558" s="46"/>
      <c r="W2558" s="46"/>
      <c r="X2558" s="46"/>
    </row>
    <row r="2559" spans="1:24" ht="15.75" customHeight="1" thickBot="1" x14ac:dyDescent="0.35">
      <c r="A2559" s="40"/>
      <c r="B2559" s="55"/>
      <c r="C2559" s="55"/>
      <c r="D2559" s="41"/>
      <c r="E2559" s="55"/>
      <c r="F2559" s="55"/>
      <c r="G2559" s="55"/>
      <c r="H2559" s="51"/>
      <c r="I2559" s="52"/>
      <c r="J2559" s="74"/>
      <c r="K2559" s="57"/>
      <c r="L2559" s="59"/>
      <c r="M2559" s="60"/>
      <c r="N2559" s="63"/>
      <c r="O2559" s="42"/>
      <c r="P2559" s="58"/>
      <c r="Q2559" s="61"/>
      <c r="R2559" s="62"/>
      <c r="S2559" s="43">
        <f t="shared" si="93"/>
        <v>0</v>
      </c>
      <c r="T2559" s="44" t="str">
        <f t="shared" si="94"/>
        <v>0</v>
      </c>
      <c r="U2559" s="45">
        <f t="shared" si="95"/>
        <v>0</v>
      </c>
      <c r="V2559" s="46"/>
      <c r="W2559" s="46"/>
      <c r="X2559" s="46"/>
    </row>
    <row r="2560" spans="1:24" ht="15.75" customHeight="1" thickBot="1" x14ac:dyDescent="0.35">
      <c r="A2560" s="40"/>
      <c r="B2560" s="55"/>
      <c r="C2560" s="55"/>
      <c r="D2560" s="41"/>
      <c r="E2560" s="55"/>
      <c r="F2560" s="55"/>
      <c r="G2560" s="55"/>
      <c r="H2560" s="51"/>
      <c r="I2560" s="52"/>
      <c r="J2560" s="74"/>
      <c r="K2560" s="57"/>
      <c r="L2560" s="59"/>
      <c r="M2560" s="60"/>
      <c r="N2560" s="63"/>
      <c r="O2560" s="42"/>
      <c r="P2560" s="58"/>
      <c r="Q2560" s="61"/>
      <c r="R2560" s="62"/>
      <c r="S2560" s="43">
        <f t="shared" si="93"/>
        <v>0</v>
      </c>
      <c r="T2560" s="44" t="str">
        <f t="shared" si="94"/>
        <v>0</v>
      </c>
      <c r="U2560" s="45">
        <f t="shared" si="95"/>
        <v>0</v>
      </c>
      <c r="V2560" s="46"/>
      <c r="W2560" s="46"/>
      <c r="X2560" s="46"/>
    </row>
    <row r="2561" spans="1:24" ht="15.75" customHeight="1" thickBot="1" x14ac:dyDescent="0.35">
      <c r="A2561" s="40"/>
      <c r="B2561" s="55"/>
      <c r="C2561" s="55"/>
      <c r="D2561" s="41"/>
      <c r="E2561" s="55"/>
      <c r="F2561" s="55"/>
      <c r="G2561" s="55"/>
      <c r="H2561" s="51"/>
      <c r="I2561" s="52"/>
      <c r="J2561" s="74"/>
      <c r="K2561" s="57"/>
      <c r="L2561" s="59"/>
      <c r="M2561" s="60"/>
      <c r="N2561" s="63"/>
      <c r="O2561" s="42"/>
      <c r="P2561" s="58"/>
      <c r="Q2561" s="61"/>
      <c r="R2561" s="62"/>
      <c r="S2561" s="43">
        <f t="shared" si="93"/>
        <v>0</v>
      </c>
      <c r="T2561" s="44" t="str">
        <f t="shared" si="94"/>
        <v>0</v>
      </c>
      <c r="U2561" s="45">
        <f t="shared" si="95"/>
        <v>0</v>
      </c>
      <c r="V2561" s="46"/>
      <c r="W2561" s="46"/>
      <c r="X2561" s="46"/>
    </row>
    <row r="2562" spans="1:24" ht="15.75" customHeight="1" thickBot="1" x14ac:dyDescent="0.35">
      <c r="A2562" s="40"/>
      <c r="B2562" s="55"/>
      <c r="C2562" s="55"/>
      <c r="D2562" s="41"/>
      <c r="E2562" s="55"/>
      <c r="F2562" s="55"/>
      <c r="G2562" s="55"/>
      <c r="H2562" s="51"/>
      <c r="I2562" s="52"/>
      <c r="J2562" s="74"/>
      <c r="K2562" s="57"/>
      <c r="L2562" s="59"/>
      <c r="M2562" s="60"/>
      <c r="N2562" s="63"/>
      <c r="O2562" s="42"/>
      <c r="P2562" s="58"/>
      <c r="Q2562" s="61"/>
      <c r="R2562" s="62"/>
      <c r="S2562" s="43">
        <f t="shared" si="93"/>
        <v>0</v>
      </c>
      <c r="T2562" s="44" t="str">
        <f t="shared" si="94"/>
        <v>0</v>
      </c>
      <c r="U2562" s="45">
        <f t="shared" si="95"/>
        <v>0</v>
      </c>
      <c r="V2562" s="46"/>
      <c r="W2562" s="46"/>
      <c r="X2562" s="46"/>
    </row>
    <row r="2563" spans="1:24" ht="15.75" customHeight="1" thickBot="1" x14ac:dyDescent="0.35">
      <c r="A2563" s="40"/>
      <c r="B2563" s="55"/>
      <c r="C2563" s="55"/>
      <c r="D2563" s="41"/>
      <c r="E2563" s="55"/>
      <c r="F2563" s="55"/>
      <c r="G2563" s="55"/>
      <c r="H2563" s="51"/>
      <c r="I2563" s="52"/>
      <c r="J2563" s="74"/>
      <c r="K2563" s="57"/>
      <c r="L2563" s="59"/>
      <c r="M2563" s="60"/>
      <c r="N2563" s="63"/>
      <c r="O2563" s="42"/>
      <c r="P2563" s="58"/>
      <c r="Q2563" s="61"/>
      <c r="R2563" s="62"/>
      <c r="S2563" s="43">
        <f t="shared" si="93"/>
        <v>0</v>
      </c>
      <c r="T2563" s="44" t="str">
        <f t="shared" si="94"/>
        <v>0</v>
      </c>
      <c r="U2563" s="45">
        <f t="shared" si="95"/>
        <v>0</v>
      </c>
      <c r="V2563" s="46"/>
      <c r="W2563" s="46"/>
      <c r="X2563" s="46"/>
    </row>
    <row r="2564" spans="1:24" ht="15.75" customHeight="1" thickBot="1" x14ac:dyDescent="0.35">
      <c r="A2564" s="40"/>
      <c r="B2564" s="55"/>
      <c r="C2564" s="55"/>
      <c r="D2564" s="41"/>
      <c r="E2564" s="55"/>
      <c r="F2564" s="55"/>
      <c r="G2564" s="55"/>
      <c r="H2564" s="51"/>
      <c r="I2564" s="52"/>
      <c r="J2564" s="74"/>
      <c r="K2564" s="57"/>
      <c r="L2564" s="59"/>
      <c r="M2564" s="60"/>
      <c r="N2564" s="63"/>
      <c r="O2564" s="42"/>
      <c r="P2564" s="58"/>
      <c r="Q2564" s="61"/>
      <c r="R2564" s="62"/>
      <c r="S2564" s="43">
        <f t="shared" si="93"/>
        <v>0</v>
      </c>
      <c r="T2564" s="44" t="str">
        <f t="shared" si="94"/>
        <v>0</v>
      </c>
      <c r="U2564" s="45">
        <f t="shared" si="95"/>
        <v>0</v>
      </c>
      <c r="V2564" s="46"/>
      <c r="W2564" s="46"/>
      <c r="X2564" s="46"/>
    </row>
    <row r="2565" spans="1:24" ht="15.75" customHeight="1" thickBot="1" x14ac:dyDescent="0.35">
      <c r="A2565" s="40"/>
      <c r="B2565" s="55"/>
      <c r="C2565" s="55"/>
      <c r="D2565" s="41"/>
      <c r="E2565" s="55"/>
      <c r="F2565" s="55"/>
      <c r="G2565" s="55"/>
      <c r="H2565" s="51"/>
      <c r="I2565" s="52"/>
      <c r="J2565" s="74"/>
      <c r="K2565" s="57"/>
      <c r="L2565" s="59"/>
      <c r="M2565" s="60"/>
      <c r="N2565" s="63"/>
      <c r="O2565" s="42"/>
      <c r="P2565" s="58"/>
      <c r="Q2565" s="61"/>
      <c r="R2565" s="62"/>
      <c r="S2565" s="43">
        <f t="shared" si="93"/>
        <v>0</v>
      </c>
      <c r="T2565" s="44" t="str">
        <f t="shared" si="94"/>
        <v>0</v>
      </c>
      <c r="U2565" s="45">
        <f t="shared" si="95"/>
        <v>0</v>
      </c>
      <c r="V2565" s="46"/>
      <c r="W2565" s="46"/>
      <c r="X2565" s="46"/>
    </row>
    <row r="2566" spans="1:24" ht="15.75" customHeight="1" thickBot="1" x14ac:dyDescent="0.35">
      <c r="A2566" s="40"/>
      <c r="B2566" s="55"/>
      <c r="C2566" s="55"/>
      <c r="D2566" s="41"/>
      <c r="E2566" s="55"/>
      <c r="F2566" s="55"/>
      <c r="G2566" s="55"/>
      <c r="H2566" s="51"/>
      <c r="I2566" s="52"/>
      <c r="J2566" s="74"/>
      <c r="K2566" s="57"/>
      <c r="L2566" s="59"/>
      <c r="M2566" s="60"/>
      <c r="N2566" s="63"/>
      <c r="O2566" s="42"/>
      <c r="P2566" s="58"/>
      <c r="Q2566" s="61"/>
      <c r="R2566" s="62"/>
      <c r="S2566" s="43">
        <f t="shared" si="93"/>
        <v>0</v>
      </c>
      <c r="T2566" s="44" t="str">
        <f t="shared" si="94"/>
        <v>0</v>
      </c>
      <c r="U2566" s="45">
        <f t="shared" si="95"/>
        <v>0</v>
      </c>
      <c r="V2566" s="46"/>
      <c r="W2566" s="46"/>
      <c r="X2566" s="46"/>
    </row>
    <row r="2567" spans="1:24" ht="15.75" customHeight="1" thickBot="1" x14ac:dyDescent="0.35">
      <c r="A2567" s="40"/>
      <c r="B2567" s="55"/>
      <c r="C2567" s="55"/>
      <c r="D2567" s="41"/>
      <c r="E2567" s="55"/>
      <c r="F2567" s="55"/>
      <c r="G2567" s="55"/>
      <c r="H2567" s="51"/>
      <c r="I2567" s="52"/>
      <c r="J2567" s="74"/>
      <c r="K2567" s="57"/>
      <c r="L2567" s="59"/>
      <c r="M2567" s="60"/>
      <c r="N2567" s="63"/>
      <c r="O2567" s="42"/>
      <c r="P2567" s="58"/>
      <c r="Q2567" s="61"/>
      <c r="R2567" s="62"/>
      <c r="S2567" s="43">
        <f t="shared" si="93"/>
        <v>0</v>
      </c>
      <c r="T2567" s="44" t="str">
        <f t="shared" si="94"/>
        <v>0</v>
      </c>
      <c r="U2567" s="45">
        <f t="shared" si="95"/>
        <v>0</v>
      </c>
      <c r="V2567" s="46"/>
      <c r="W2567" s="46"/>
      <c r="X2567" s="46"/>
    </row>
    <row r="2568" spans="1:24" ht="15.75" customHeight="1" thickBot="1" x14ac:dyDescent="0.35">
      <c r="A2568" s="40"/>
      <c r="B2568" s="55"/>
      <c r="C2568" s="55"/>
      <c r="D2568" s="41"/>
      <c r="E2568" s="55"/>
      <c r="F2568" s="55"/>
      <c r="G2568" s="55"/>
      <c r="H2568" s="51"/>
      <c r="I2568" s="52"/>
      <c r="J2568" s="74"/>
      <c r="K2568" s="57"/>
      <c r="L2568" s="59"/>
      <c r="M2568" s="60"/>
      <c r="N2568" s="63"/>
      <c r="O2568" s="42"/>
      <c r="P2568" s="58"/>
      <c r="Q2568" s="61"/>
      <c r="R2568" s="62"/>
      <c r="S2568" s="43">
        <f t="shared" si="93"/>
        <v>0</v>
      </c>
      <c r="T2568" s="44" t="str">
        <f t="shared" si="94"/>
        <v>0</v>
      </c>
      <c r="U2568" s="45">
        <f t="shared" si="95"/>
        <v>0</v>
      </c>
      <c r="V2568" s="46"/>
      <c r="W2568" s="46"/>
      <c r="X2568" s="46"/>
    </row>
    <row r="2569" spans="1:24" ht="15.75" customHeight="1" thickBot="1" x14ac:dyDescent="0.35">
      <c r="A2569" s="40"/>
      <c r="B2569" s="55"/>
      <c r="C2569" s="55"/>
      <c r="D2569" s="41"/>
      <c r="E2569" s="55"/>
      <c r="F2569" s="55"/>
      <c r="G2569" s="55"/>
      <c r="H2569" s="51"/>
      <c r="I2569" s="52"/>
      <c r="J2569" s="74"/>
      <c r="K2569" s="57"/>
      <c r="L2569" s="59"/>
      <c r="M2569" s="60"/>
      <c r="N2569" s="63"/>
      <c r="O2569" s="42"/>
      <c r="P2569" s="58"/>
      <c r="Q2569" s="61"/>
      <c r="R2569" s="62"/>
      <c r="S2569" s="43">
        <f t="shared" ref="S2569:S2632" si="96">M2569*N2569</f>
        <v>0</v>
      </c>
      <c r="T2569" s="44" t="str">
        <f t="shared" ref="T2569:T2632" si="97">CONCATENATE(S2569,Q2569,P2569)</f>
        <v>0</v>
      </c>
      <c r="U2569" s="45">
        <f t="shared" ref="U2569:U2632" si="98">L2569*M2569</f>
        <v>0</v>
      </c>
      <c r="V2569" s="46"/>
      <c r="W2569" s="46"/>
      <c r="X2569" s="46"/>
    </row>
    <row r="2570" spans="1:24" ht="15.75" customHeight="1" thickBot="1" x14ac:dyDescent="0.35">
      <c r="A2570" s="40"/>
      <c r="B2570" s="55"/>
      <c r="C2570" s="55"/>
      <c r="D2570" s="41"/>
      <c r="E2570" s="55"/>
      <c r="F2570" s="55"/>
      <c r="G2570" s="55"/>
      <c r="H2570" s="51"/>
      <c r="I2570" s="52"/>
      <c r="J2570" s="74"/>
      <c r="K2570" s="57"/>
      <c r="L2570" s="59"/>
      <c r="M2570" s="60"/>
      <c r="N2570" s="63"/>
      <c r="O2570" s="42"/>
      <c r="P2570" s="58"/>
      <c r="Q2570" s="61"/>
      <c r="R2570" s="62"/>
      <c r="S2570" s="43">
        <f t="shared" si="96"/>
        <v>0</v>
      </c>
      <c r="T2570" s="44" t="str">
        <f t="shared" si="97"/>
        <v>0</v>
      </c>
      <c r="U2570" s="45">
        <f t="shared" si="98"/>
        <v>0</v>
      </c>
      <c r="V2570" s="46"/>
      <c r="W2570" s="46"/>
      <c r="X2570" s="46"/>
    </row>
    <row r="2571" spans="1:24" ht="15.75" customHeight="1" thickBot="1" x14ac:dyDescent="0.35">
      <c r="A2571" s="40"/>
      <c r="B2571" s="55"/>
      <c r="C2571" s="55"/>
      <c r="D2571" s="41"/>
      <c r="E2571" s="55"/>
      <c r="F2571" s="55"/>
      <c r="G2571" s="55"/>
      <c r="H2571" s="51"/>
      <c r="I2571" s="52"/>
      <c r="J2571" s="74"/>
      <c r="K2571" s="57"/>
      <c r="L2571" s="59"/>
      <c r="M2571" s="60"/>
      <c r="N2571" s="63"/>
      <c r="O2571" s="42"/>
      <c r="P2571" s="58"/>
      <c r="Q2571" s="61"/>
      <c r="R2571" s="62"/>
      <c r="S2571" s="43">
        <f t="shared" si="96"/>
        <v>0</v>
      </c>
      <c r="T2571" s="44" t="str">
        <f t="shared" si="97"/>
        <v>0</v>
      </c>
      <c r="U2571" s="45">
        <f t="shared" si="98"/>
        <v>0</v>
      </c>
      <c r="V2571" s="46"/>
      <c r="W2571" s="46"/>
      <c r="X2571" s="46"/>
    </row>
    <row r="2572" spans="1:24" ht="15.75" customHeight="1" thickBot="1" x14ac:dyDescent="0.35">
      <c r="A2572" s="40"/>
      <c r="B2572" s="55"/>
      <c r="C2572" s="55"/>
      <c r="D2572" s="41"/>
      <c r="E2572" s="55"/>
      <c r="F2572" s="55"/>
      <c r="G2572" s="55"/>
      <c r="H2572" s="51"/>
      <c r="I2572" s="52"/>
      <c r="J2572" s="74"/>
      <c r="K2572" s="57"/>
      <c r="L2572" s="59"/>
      <c r="M2572" s="60"/>
      <c r="N2572" s="63"/>
      <c r="O2572" s="42"/>
      <c r="P2572" s="58"/>
      <c r="Q2572" s="61"/>
      <c r="R2572" s="62"/>
      <c r="S2572" s="43">
        <f t="shared" si="96"/>
        <v>0</v>
      </c>
      <c r="T2572" s="44" t="str">
        <f t="shared" si="97"/>
        <v>0</v>
      </c>
      <c r="U2572" s="45">
        <f t="shared" si="98"/>
        <v>0</v>
      </c>
      <c r="V2572" s="46"/>
      <c r="W2572" s="46"/>
      <c r="X2572" s="46"/>
    </row>
    <row r="2573" spans="1:24" ht="15.75" customHeight="1" thickBot="1" x14ac:dyDescent="0.35">
      <c r="A2573" s="40"/>
      <c r="B2573" s="55"/>
      <c r="C2573" s="55"/>
      <c r="D2573" s="41"/>
      <c r="E2573" s="55"/>
      <c r="F2573" s="55"/>
      <c r="G2573" s="55"/>
      <c r="H2573" s="51"/>
      <c r="I2573" s="52"/>
      <c r="J2573" s="74"/>
      <c r="K2573" s="57"/>
      <c r="L2573" s="59"/>
      <c r="M2573" s="60"/>
      <c r="N2573" s="63"/>
      <c r="O2573" s="42"/>
      <c r="P2573" s="58"/>
      <c r="Q2573" s="61"/>
      <c r="R2573" s="62"/>
      <c r="S2573" s="43">
        <f t="shared" si="96"/>
        <v>0</v>
      </c>
      <c r="T2573" s="44" t="str">
        <f t="shared" si="97"/>
        <v>0</v>
      </c>
      <c r="U2573" s="45">
        <f t="shared" si="98"/>
        <v>0</v>
      </c>
      <c r="V2573" s="46"/>
      <c r="W2573" s="46"/>
      <c r="X2573" s="46"/>
    </row>
    <row r="2574" spans="1:24" ht="15.75" customHeight="1" thickBot="1" x14ac:dyDescent="0.35">
      <c r="A2574" s="40"/>
      <c r="B2574" s="55"/>
      <c r="C2574" s="55"/>
      <c r="D2574" s="41"/>
      <c r="E2574" s="55"/>
      <c r="F2574" s="55"/>
      <c r="G2574" s="55"/>
      <c r="H2574" s="51"/>
      <c r="I2574" s="52"/>
      <c r="J2574" s="74"/>
      <c r="K2574" s="57"/>
      <c r="L2574" s="59"/>
      <c r="M2574" s="60"/>
      <c r="N2574" s="63"/>
      <c r="O2574" s="42"/>
      <c r="P2574" s="58"/>
      <c r="Q2574" s="61"/>
      <c r="R2574" s="62"/>
      <c r="S2574" s="43">
        <f t="shared" si="96"/>
        <v>0</v>
      </c>
      <c r="T2574" s="44" t="str">
        <f t="shared" si="97"/>
        <v>0</v>
      </c>
      <c r="U2574" s="45">
        <f t="shared" si="98"/>
        <v>0</v>
      </c>
      <c r="V2574" s="46"/>
      <c r="W2574" s="46"/>
      <c r="X2574" s="46"/>
    </row>
    <row r="2575" spans="1:24" ht="15.75" customHeight="1" thickBot="1" x14ac:dyDescent="0.35">
      <c r="A2575" s="40"/>
      <c r="B2575" s="55"/>
      <c r="C2575" s="55"/>
      <c r="D2575" s="41"/>
      <c r="E2575" s="55"/>
      <c r="F2575" s="55"/>
      <c r="G2575" s="55"/>
      <c r="H2575" s="51"/>
      <c r="I2575" s="52"/>
      <c r="J2575" s="74"/>
      <c r="K2575" s="57"/>
      <c r="L2575" s="59"/>
      <c r="M2575" s="60"/>
      <c r="N2575" s="63"/>
      <c r="O2575" s="42"/>
      <c r="P2575" s="58"/>
      <c r="Q2575" s="61"/>
      <c r="R2575" s="62"/>
      <c r="S2575" s="43">
        <f t="shared" si="96"/>
        <v>0</v>
      </c>
      <c r="T2575" s="44" t="str">
        <f t="shared" si="97"/>
        <v>0</v>
      </c>
      <c r="U2575" s="45">
        <f t="shared" si="98"/>
        <v>0</v>
      </c>
      <c r="V2575" s="46"/>
      <c r="W2575" s="46"/>
      <c r="X2575" s="46"/>
    </row>
    <row r="2576" spans="1:24" ht="15.75" customHeight="1" thickBot="1" x14ac:dyDescent="0.35">
      <c r="A2576" s="40"/>
      <c r="B2576" s="55"/>
      <c r="C2576" s="55"/>
      <c r="D2576" s="41"/>
      <c r="E2576" s="55"/>
      <c r="F2576" s="55"/>
      <c r="G2576" s="55"/>
      <c r="H2576" s="51"/>
      <c r="I2576" s="52"/>
      <c r="J2576" s="74"/>
      <c r="K2576" s="57"/>
      <c r="L2576" s="59"/>
      <c r="M2576" s="60"/>
      <c r="N2576" s="63"/>
      <c r="O2576" s="42"/>
      <c r="P2576" s="58"/>
      <c r="Q2576" s="61"/>
      <c r="R2576" s="62"/>
      <c r="S2576" s="43">
        <f t="shared" si="96"/>
        <v>0</v>
      </c>
      <c r="T2576" s="44" t="str">
        <f t="shared" si="97"/>
        <v>0</v>
      </c>
      <c r="U2576" s="45">
        <f t="shared" si="98"/>
        <v>0</v>
      </c>
      <c r="V2576" s="46"/>
      <c r="W2576" s="46"/>
      <c r="X2576" s="46"/>
    </row>
    <row r="2577" spans="1:24" ht="15.75" customHeight="1" thickBot="1" x14ac:dyDescent="0.35">
      <c r="A2577" s="40"/>
      <c r="B2577" s="55"/>
      <c r="C2577" s="55"/>
      <c r="D2577" s="41"/>
      <c r="E2577" s="55"/>
      <c r="F2577" s="55"/>
      <c r="G2577" s="55"/>
      <c r="H2577" s="51"/>
      <c r="I2577" s="52"/>
      <c r="J2577" s="74"/>
      <c r="K2577" s="57"/>
      <c r="L2577" s="59"/>
      <c r="M2577" s="60"/>
      <c r="N2577" s="63"/>
      <c r="O2577" s="42"/>
      <c r="P2577" s="58"/>
      <c r="Q2577" s="61"/>
      <c r="R2577" s="62"/>
      <c r="S2577" s="43">
        <f t="shared" si="96"/>
        <v>0</v>
      </c>
      <c r="T2577" s="44" t="str">
        <f t="shared" si="97"/>
        <v>0</v>
      </c>
      <c r="U2577" s="45">
        <f t="shared" si="98"/>
        <v>0</v>
      </c>
      <c r="V2577" s="46"/>
      <c r="W2577" s="46"/>
      <c r="X2577" s="46"/>
    </row>
    <row r="2578" spans="1:24" ht="15.75" customHeight="1" thickBot="1" x14ac:dyDescent="0.35">
      <c r="A2578" s="40"/>
      <c r="B2578" s="55"/>
      <c r="C2578" s="55"/>
      <c r="D2578" s="41"/>
      <c r="E2578" s="55"/>
      <c r="F2578" s="55"/>
      <c r="G2578" s="55"/>
      <c r="H2578" s="51"/>
      <c r="I2578" s="52"/>
      <c r="J2578" s="74"/>
      <c r="K2578" s="57"/>
      <c r="L2578" s="59"/>
      <c r="M2578" s="60"/>
      <c r="N2578" s="63"/>
      <c r="O2578" s="42"/>
      <c r="P2578" s="58"/>
      <c r="Q2578" s="61"/>
      <c r="R2578" s="62"/>
      <c r="S2578" s="43">
        <f t="shared" si="96"/>
        <v>0</v>
      </c>
      <c r="T2578" s="44" t="str">
        <f t="shared" si="97"/>
        <v>0</v>
      </c>
      <c r="U2578" s="45">
        <f t="shared" si="98"/>
        <v>0</v>
      </c>
      <c r="V2578" s="46"/>
      <c r="W2578" s="46"/>
      <c r="X2578" s="46"/>
    </row>
    <row r="2579" spans="1:24" ht="15.75" customHeight="1" thickBot="1" x14ac:dyDescent="0.35">
      <c r="A2579" s="40"/>
      <c r="B2579" s="55"/>
      <c r="C2579" s="55"/>
      <c r="D2579" s="41"/>
      <c r="E2579" s="55"/>
      <c r="F2579" s="55"/>
      <c r="G2579" s="55"/>
      <c r="H2579" s="51"/>
      <c r="I2579" s="52"/>
      <c r="J2579" s="74"/>
      <c r="K2579" s="57"/>
      <c r="L2579" s="59"/>
      <c r="M2579" s="60"/>
      <c r="N2579" s="63"/>
      <c r="O2579" s="42"/>
      <c r="P2579" s="58"/>
      <c r="Q2579" s="61"/>
      <c r="R2579" s="62"/>
      <c r="S2579" s="43">
        <f t="shared" si="96"/>
        <v>0</v>
      </c>
      <c r="T2579" s="44" t="str">
        <f t="shared" si="97"/>
        <v>0</v>
      </c>
      <c r="U2579" s="45">
        <f t="shared" si="98"/>
        <v>0</v>
      </c>
      <c r="V2579" s="46"/>
      <c r="W2579" s="46"/>
      <c r="X2579" s="46"/>
    </row>
    <row r="2580" spans="1:24" ht="15.75" customHeight="1" thickBot="1" x14ac:dyDescent="0.35">
      <c r="A2580" s="40"/>
      <c r="B2580" s="55"/>
      <c r="C2580" s="55"/>
      <c r="D2580" s="41"/>
      <c r="E2580" s="55"/>
      <c r="F2580" s="55"/>
      <c r="G2580" s="55"/>
      <c r="H2580" s="51"/>
      <c r="I2580" s="52"/>
      <c r="J2580" s="74"/>
      <c r="K2580" s="57"/>
      <c r="L2580" s="59"/>
      <c r="M2580" s="60"/>
      <c r="N2580" s="63"/>
      <c r="O2580" s="42"/>
      <c r="P2580" s="58"/>
      <c r="Q2580" s="61"/>
      <c r="R2580" s="62"/>
      <c r="S2580" s="43">
        <f t="shared" si="96"/>
        <v>0</v>
      </c>
      <c r="T2580" s="44" t="str">
        <f t="shared" si="97"/>
        <v>0</v>
      </c>
      <c r="U2580" s="45">
        <f t="shared" si="98"/>
        <v>0</v>
      </c>
      <c r="V2580" s="46"/>
      <c r="W2580" s="46"/>
      <c r="X2580" s="46"/>
    </row>
    <row r="2581" spans="1:24" ht="15.75" customHeight="1" thickBot="1" x14ac:dyDescent="0.35">
      <c r="A2581" s="40"/>
      <c r="B2581" s="55"/>
      <c r="C2581" s="55"/>
      <c r="D2581" s="41"/>
      <c r="E2581" s="55"/>
      <c r="F2581" s="55"/>
      <c r="G2581" s="55"/>
      <c r="H2581" s="51"/>
      <c r="I2581" s="52"/>
      <c r="J2581" s="74"/>
      <c r="K2581" s="57"/>
      <c r="L2581" s="59"/>
      <c r="M2581" s="60"/>
      <c r="N2581" s="63"/>
      <c r="O2581" s="42"/>
      <c r="P2581" s="58"/>
      <c r="Q2581" s="61"/>
      <c r="R2581" s="62"/>
      <c r="S2581" s="43">
        <f t="shared" si="96"/>
        <v>0</v>
      </c>
      <c r="T2581" s="44" t="str">
        <f t="shared" si="97"/>
        <v>0</v>
      </c>
      <c r="U2581" s="45">
        <f t="shared" si="98"/>
        <v>0</v>
      </c>
      <c r="V2581" s="46"/>
      <c r="W2581" s="46"/>
      <c r="X2581" s="46"/>
    </row>
    <row r="2582" spans="1:24" ht="15.75" customHeight="1" thickBot="1" x14ac:dyDescent="0.35">
      <c r="A2582" s="40"/>
      <c r="B2582" s="55"/>
      <c r="C2582" s="55"/>
      <c r="D2582" s="41"/>
      <c r="E2582" s="55"/>
      <c r="F2582" s="55"/>
      <c r="G2582" s="55"/>
      <c r="H2582" s="51"/>
      <c r="I2582" s="52"/>
      <c r="J2582" s="74"/>
      <c r="K2582" s="57"/>
      <c r="L2582" s="59"/>
      <c r="M2582" s="60"/>
      <c r="N2582" s="63"/>
      <c r="O2582" s="42"/>
      <c r="P2582" s="58"/>
      <c r="Q2582" s="61"/>
      <c r="R2582" s="62"/>
      <c r="S2582" s="43">
        <f t="shared" si="96"/>
        <v>0</v>
      </c>
      <c r="T2582" s="44" t="str">
        <f t="shared" si="97"/>
        <v>0</v>
      </c>
      <c r="U2582" s="45">
        <f t="shared" si="98"/>
        <v>0</v>
      </c>
      <c r="V2582" s="46"/>
      <c r="W2582" s="46"/>
      <c r="X2582" s="46"/>
    </row>
    <row r="2583" spans="1:24" ht="15.75" customHeight="1" thickBot="1" x14ac:dyDescent="0.35">
      <c r="A2583" s="40"/>
      <c r="B2583" s="55"/>
      <c r="C2583" s="55"/>
      <c r="D2583" s="41"/>
      <c r="E2583" s="55"/>
      <c r="F2583" s="55"/>
      <c r="G2583" s="55"/>
      <c r="H2583" s="51"/>
      <c r="I2583" s="52"/>
      <c r="J2583" s="74"/>
      <c r="K2583" s="57"/>
      <c r="L2583" s="59"/>
      <c r="M2583" s="60"/>
      <c r="N2583" s="63"/>
      <c r="O2583" s="42"/>
      <c r="P2583" s="58"/>
      <c r="Q2583" s="61"/>
      <c r="R2583" s="62"/>
      <c r="S2583" s="43">
        <f t="shared" si="96"/>
        <v>0</v>
      </c>
      <c r="T2583" s="44" t="str">
        <f t="shared" si="97"/>
        <v>0</v>
      </c>
      <c r="U2583" s="45">
        <f t="shared" si="98"/>
        <v>0</v>
      </c>
      <c r="V2583" s="46"/>
      <c r="W2583" s="46"/>
      <c r="X2583" s="46"/>
    </row>
    <row r="2584" spans="1:24" ht="15.75" customHeight="1" thickBot="1" x14ac:dyDescent="0.35">
      <c r="A2584" s="40"/>
      <c r="B2584" s="55"/>
      <c r="C2584" s="55"/>
      <c r="D2584" s="41"/>
      <c r="E2584" s="55"/>
      <c r="F2584" s="55"/>
      <c r="G2584" s="55"/>
      <c r="H2584" s="51"/>
      <c r="I2584" s="52"/>
      <c r="J2584" s="74"/>
      <c r="K2584" s="57"/>
      <c r="L2584" s="59"/>
      <c r="M2584" s="60"/>
      <c r="N2584" s="63"/>
      <c r="O2584" s="42"/>
      <c r="P2584" s="58"/>
      <c r="Q2584" s="61"/>
      <c r="R2584" s="62"/>
      <c r="S2584" s="43">
        <f t="shared" si="96"/>
        <v>0</v>
      </c>
      <c r="T2584" s="44" t="str">
        <f t="shared" si="97"/>
        <v>0</v>
      </c>
      <c r="U2584" s="45">
        <f t="shared" si="98"/>
        <v>0</v>
      </c>
      <c r="V2584" s="46"/>
      <c r="W2584" s="46"/>
      <c r="X2584" s="46"/>
    </row>
    <row r="2585" spans="1:24" ht="15.75" customHeight="1" thickBot="1" x14ac:dyDescent="0.35">
      <c r="A2585" s="40"/>
      <c r="B2585" s="55"/>
      <c r="C2585" s="55"/>
      <c r="D2585" s="41"/>
      <c r="E2585" s="55"/>
      <c r="F2585" s="55"/>
      <c r="G2585" s="55"/>
      <c r="H2585" s="51"/>
      <c r="I2585" s="52"/>
      <c r="J2585" s="74"/>
      <c r="K2585" s="57"/>
      <c r="L2585" s="59"/>
      <c r="M2585" s="60"/>
      <c r="N2585" s="63"/>
      <c r="O2585" s="42"/>
      <c r="P2585" s="58"/>
      <c r="Q2585" s="61"/>
      <c r="R2585" s="62"/>
      <c r="S2585" s="43">
        <f t="shared" si="96"/>
        <v>0</v>
      </c>
      <c r="T2585" s="44" t="str">
        <f t="shared" si="97"/>
        <v>0</v>
      </c>
      <c r="U2585" s="45">
        <f t="shared" si="98"/>
        <v>0</v>
      </c>
      <c r="V2585" s="46"/>
      <c r="W2585" s="46"/>
      <c r="X2585" s="46"/>
    </row>
    <row r="2586" spans="1:24" ht="15.75" customHeight="1" thickBot="1" x14ac:dyDescent="0.35">
      <c r="A2586" s="40"/>
      <c r="B2586" s="55"/>
      <c r="C2586" s="55"/>
      <c r="D2586" s="41"/>
      <c r="E2586" s="55"/>
      <c r="F2586" s="55"/>
      <c r="G2586" s="55"/>
      <c r="H2586" s="51"/>
      <c r="I2586" s="52"/>
      <c r="J2586" s="74"/>
      <c r="K2586" s="57"/>
      <c r="L2586" s="59"/>
      <c r="M2586" s="60"/>
      <c r="N2586" s="63"/>
      <c r="O2586" s="42"/>
      <c r="P2586" s="58"/>
      <c r="Q2586" s="61"/>
      <c r="R2586" s="62"/>
      <c r="S2586" s="43">
        <f t="shared" si="96"/>
        <v>0</v>
      </c>
      <c r="T2586" s="44" t="str">
        <f t="shared" si="97"/>
        <v>0</v>
      </c>
      <c r="U2586" s="45">
        <f t="shared" si="98"/>
        <v>0</v>
      </c>
      <c r="V2586" s="46"/>
      <c r="W2586" s="46"/>
      <c r="X2586" s="46"/>
    </row>
    <row r="2587" spans="1:24" ht="15.75" customHeight="1" thickBot="1" x14ac:dyDescent="0.35">
      <c r="A2587" s="40"/>
      <c r="B2587" s="55"/>
      <c r="C2587" s="55"/>
      <c r="D2587" s="41"/>
      <c r="E2587" s="55"/>
      <c r="F2587" s="55"/>
      <c r="G2587" s="55"/>
      <c r="H2587" s="51"/>
      <c r="I2587" s="52"/>
      <c r="J2587" s="74"/>
      <c r="K2587" s="57"/>
      <c r="L2587" s="59"/>
      <c r="M2587" s="60"/>
      <c r="N2587" s="63"/>
      <c r="O2587" s="42"/>
      <c r="P2587" s="58"/>
      <c r="Q2587" s="61"/>
      <c r="R2587" s="62"/>
      <c r="S2587" s="43">
        <f t="shared" si="96"/>
        <v>0</v>
      </c>
      <c r="T2587" s="44" t="str">
        <f t="shared" si="97"/>
        <v>0</v>
      </c>
      <c r="U2587" s="45">
        <f t="shared" si="98"/>
        <v>0</v>
      </c>
      <c r="V2587" s="46"/>
      <c r="W2587" s="46"/>
      <c r="X2587" s="46"/>
    </row>
    <row r="2588" spans="1:24" ht="15.75" customHeight="1" thickBot="1" x14ac:dyDescent="0.35">
      <c r="A2588" s="40"/>
      <c r="B2588" s="55"/>
      <c r="C2588" s="55"/>
      <c r="D2588" s="41"/>
      <c r="E2588" s="55"/>
      <c r="F2588" s="55"/>
      <c r="G2588" s="55"/>
      <c r="H2588" s="51"/>
      <c r="I2588" s="52"/>
      <c r="J2588" s="74"/>
      <c r="K2588" s="57"/>
      <c r="L2588" s="59"/>
      <c r="M2588" s="60"/>
      <c r="N2588" s="63"/>
      <c r="O2588" s="42"/>
      <c r="P2588" s="58"/>
      <c r="Q2588" s="61"/>
      <c r="R2588" s="62"/>
      <c r="S2588" s="43">
        <f t="shared" si="96"/>
        <v>0</v>
      </c>
      <c r="T2588" s="44" t="str">
        <f t="shared" si="97"/>
        <v>0</v>
      </c>
      <c r="U2588" s="45">
        <f t="shared" si="98"/>
        <v>0</v>
      </c>
      <c r="V2588" s="46"/>
      <c r="W2588" s="46"/>
      <c r="X2588" s="46"/>
    </row>
    <row r="2589" spans="1:24" ht="15.75" customHeight="1" thickBot="1" x14ac:dyDescent="0.35">
      <c r="A2589" s="40"/>
      <c r="B2589" s="55"/>
      <c r="C2589" s="55"/>
      <c r="D2589" s="41"/>
      <c r="E2589" s="55"/>
      <c r="F2589" s="55"/>
      <c r="G2589" s="55"/>
      <c r="H2589" s="51"/>
      <c r="I2589" s="52"/>
      <c r="J2589" s="74"/>
      <c r="K2589" s="57"/>
      <c r="L2589" s="59"/>
      <c r="M2589" s="60"/>
      <c r="N2589" s="63"/>
      <c r="O2589" s="42"/>
      <c r="P2589" s="58"/>
      <c r="Q2589" s="61"/>
      <c r="R2589" s="62"/>
      <c r="S2589" s="43">
        <f t="shared" si="96"/>
        <v>0</v>
      </c>
      <c r="T2589" s="44" t="str">
        <f t="shared" si="97"/>
        <v>0</v>
      </c>
      <c r="U2589" s="45">
        <f t="shared" si="98"/>
        <v>0</v>
      </c>
      <c r="V2589" s="46"/>
      <c r="W2589" s="46"/>
      <c r="X2589" s="46"/>
    </row>
    <row r="2590" spans="1:24" ht="15.75" customHeight="1" thickBot="1" x14ac:dyDescent="0.35">
      <c r="A2590" s="40"/>
      <c r="B2590" s="55"/>
      <c r="C2590" s="55"/>
      <c r="D2590" s="41"/>
      <c r="E2590" s="55"/>
      <c r="F2590" s="55"/>
      <c r="G2590" s="55"/>
      <c r="H2590" s="51"/>
      <c r="I2590" s="52"/>
      <c r="J2590" s="74"/>
      <c r="K2590" s="57"/>
      <c r="L2590" s="59"/>
      <c r="M2590" s="60"/>
      <c r="N2590" s="63"/>
      <c r="O2590" s="42"/>
      <c r="P2590" s="58"/>
      <c r="Q2590" s="61"/>
      <c r="R2590" s="62"/>
      <c r="S2590" s="43">
        <f t="shared" si="96"/>
        <v>0</v>
      </c>
      <c r="T2590" s="44" t="str">
        <f t="shared" si="97"/>
        <v>0</v>
      </c>
      <c r="U2590" s="45">
        <f t="shared" si="98"/>
        <v>0</v>
      </c>
      <c r="V2590" s="46"/>
      <c r="W2590" s="46"/>
      <c r="X2590" s="46"/>
    </row>
    <row r="2591" spans="1:24" ht="15.75" customHeight="1" thickBot="1" x14ac:dyDescent="0.35">
      <c r="A2591" s="40"/>
      <c r="B2591" s="55"/>
      <c r="C2591" s="55"/>
      <c r="D2591" s="41"/>
      <c r="E2591" s="55"/>
      <c r="F2591" s="55"/>
      <c r="G2591" s="55"/>
      <c r="H2591" s="51"/>
      <c r="I2591" s="52"/>
      <c r="J2591" s="74"/>
      <c r="K2591" s="57"/>
      <c r="L2591" s="59"/>
      <c r="M2591" s="60"/>
      <c r="N2591" s="63"/>
      <c r="O2591" s="42"/>
      <c r="P2591" s="58"/>
      <c r="Q2591" s="61"/>
      <c r="R2591" s="62"/>
      <c r="S2591" s="43">
        <f t="shared" si="96"/>
        <v>0</v>
      </c>
      <c r="T2591" s="44" t="str">
        <f t="shared" si="97"/>
        <v>0</v>
      </c>
      <c r="U2591" s="45">
        <f t="shared" si="98"/>
        <v>0</v>
      </c>
      <c r="V2591" s="46"/>
      <c r="W2591" s="46"/>
      <c r="X2591" s="46"/>
    </row>
    <row r="2592" spans="1:24" ht="15.75" customHeight="1" thickBot="1" x14ac:dyDescent="0.35">
      <c r="A2592" s="40"/>
      <c r="B2592" s="55"/>
      <c r="C2592" s="55"/>
      <c r="D2592" s="41"/>
      <c r="E2592" s="55"/>
      <c r="F2592" s="55"/>
      <c r="G2592" s="55"/>
      <c r="H2592" s="51"/>
      <c r="I2592" s="52"/>
      <c r="J2592" s="74"/>
      <c r="K2592" s="57"/>
      <c r="L2592" s="59"/>
      <c r="M2592" s="60"/>
      <c r="N2592" s="63"/>
      <c r="O2592" s="42"/>
      <c r="P2592" s="58"/>
      <c r="Q2592" s="61"/>
      <c r="R2592" s="62"/>
      <c r="S2592" s="43">
        <f t="shared" si="96"/>
        <v>0</v>
      </c>
      <c r="T2592" s="44" t="str">
        <f t="shared" si="97"/>
        <v>0</v>
      </c>
      <c r="U2592" s="45">
        <f t="shared" si="98"/>
        <v>0</v>
      </c>
      <c r="V2592" s="46"/>
      <c r="W2592" s="46"/>
      <c r="X2592" s="46"/>
    </row>
    <row r="2593" spans="1:24" ht="15.75" customHeight="1" thickBot="1" x14ac:dyDescent="0.35">
      <c r="A2593" s="40"/>
      <c r="B2593" s="55"/>
      <c r="C2593" s="55"/>
      <c r="D2593" s="41"/>
      <c r="E2593" s="55"/>
      <c r="F2593" s="55"/>
      <c r="G2593" s="55"/>
      <c r="H2593" s="51"/>
      <c r="I2593" s="52"/>
      <c r="J2593" s="74"/>
      <c r="K2593" s="57"/>
      <c r="L2593" s="59"/>
      <c r="M2593" s="60"/>
      <c r="N2593" s="63"/>
      <c r="O2593" s="42"/>
      <c r="P2593" s="58"/>
      <c r="Q2593" s="61"/>
      <c r="R2593" s="62"/>
      <c r="S2593" s="43">
        <f t="shared" si="96"/>
        <v>0</v>
      </c>
      <c r="T2593" s="44" t="str">
        <f t="shared" si="97"/>
        <v>0</v>
      </c>
      <c r="U2593" s="45">
        <f t="shared" si="98"/>
        <v>0</v>
      </c>
      <c r="V2593" s="46"/>
      <c r="W2593" s="46"/>
      <c r="X2593" s="46"/>
    </row>
    <row r="2594" spans="1:24" ht="15.75" customHeight="1" thickBot="1" x14ac:dyDescent="0.35">
      <c r="A2594" s="40"/>
      <c r="B2594" s="55"/>
      <c r="C2594" s="55"/>
      <c r="D2594" s="41"/>
      <c r="E2594" s="55"/>
      <c r="F2594" s="55"/>
      <c r="G2594" s="55"/>
      <c r="H2594" s="51"/>
      <c r="I2594" s="52"/>
      <c r="J2594" s="74"/>
      <c r="K2594" s="57"/>
      <c r="L2594" s="59"/>
      <c r="M2594" s="60"/>
      <c r="N2594" s="63"/>
      <c r="O2594" s="42"/>
      <c r="P2594" s="58"/>
      <c r="Q2594" s="61"/>
      <c r="R2594" s="62"/>
      <c r="S2594" s="43">
        <f t="shared" si="96"/>
        <v>0</v>
      </c>
      <c r="T2594" s="44" t="str">
        <f t="shared" si="97"/>
        <v>0</v>
      </c>
      <c r="U2594" s="45">
        <f t="shared" si="98"/>
        <v>0</v>
      </c>
      <c r="V2594" s="46"/>
      <c r="W2594" s="46"/>
      <c r="X2594" s="46"/>
    </row>
    <row r="2595" spans="1:24" ht="15.75" customHeight="1" thickBot="1" x14ac:dyDescent="0.35">
      <c r="A2595" s="40"/>
      <c r="B2595" s="55"/>
      <c r="C2595" s="55"/>
      <c r="D2595" s="41"/>
      <c r="E2595" s="55"/>
      <c r="F2595" s="55"/>
      <c r="G2595" s="55"/>
      <c r="H2595" s="51"/>
      <c r="I2595" s="52"/>
      <c r="J2595" s="74"/>
      <c r="K2595" s="57"/>
      <c r="L2595" s="59"/>
      <c r="M2595" s="60"/>
      <c r="N2595" s="63"/>
      <c r="O2595" s="42"/>
      <c r="P2595" s="58"/>
      <c r="Q2595" s="61"/>
      <c r="R2595" s="62"/>
      <c r="S2595" s="43">
        <f t="shared" si="96"/>
        <v>0</v>
      </c>
      <c r="T2595" s="44" t="str">
        <f t="shared" si="97"/>
        <v>0</v>
      </c>
      <c r="U2595" s="45">
        <f t="shared" si="98"/>
        <v>0</v>
      </c>
      <c r="V2595" s="46"/>
      <c r="W2595" s="46"/>
      <c r="X2595" s="46"/>
    </row>
    <row r="2596" spans="1:24" ht="15.75" customHeight="1" thickBot="1" x14ac:dyDescent="0.35">
      <c r="A2596" s="40"/>
      <c r="B2596" s="55"/>
      <c r="C2596" s="55"/>
      <c r="D2596" s="41"/>
      <c r="E2596" s="55"/>
      <c r="F2596" s="55"/>
      <c r="G2596" s="55"/>
      <c r="H2596" s="51"/>
      <c r="I2596" s="52"/>
      <c r="J2596" s="74"/>
      <c r="K2596" s="57"/>
      <c r="L2596" s="59"/>
      <c r="M2596" s="60"/>
      <c r="N2596" s="63"/>
      <c r="O2596" s="42"/>
      <c r="P2596" s="58"/>
      <c r="Q2596" s="61"/>
      <c r="R2596" s="62"/>
      <c r="S2596" s="43">
        <f t="shared" si="96"/>
        <v>0</v>
      </c>
      <c r="T2596" s="44" t="str">
        <f t="shared" si="97"/>
        <v>0</v>
      </c>
      <c r="U2596" s="45">
        <f t="shared" si="98"/>
        <v>0</v>
      </c>
      <c r="V2596" s="46"/>
      <c r="W2596" s="46"/>
      <c r="X2596" s="46"/>
    </row>
    <row r="2597" spans="1:24" ht="15.75" customHeight="1" thickBot="1" x14ac:dyDescent="0.35">
      <c r="A2597" s="40"/>
      <c r="B2597" s="55"/>
      <c r="C2597" s="55"/>
      <c r="D2597" s="41"/>
      <c r="E2597" s="55"/>
      <c r="F2597" s="55"/>
      <c r="G2597" s="55"/>
      <c r="H2597" s="51"/>
      <c r="I2597" s="52"/>
      <c r="J2597" s="74"/>
      <c r="K2597" s="57"/>
      <c r="L2597" s="59"/>
      <c r="M2597" s="60"/>
      <c r="N2597" s="63"/>
      <c r="O2597" s="42"/>
      <c r="P2597" s="58"/>
      <c r="Q2597" s="61"/>
      <c r="R2597" s="62"/>
      <c r="S2597" s="43">
        <f t="shared" si="96"/>
        <v>0</v>
      </c>
      <c r="T2597" s="44" t="str">
        <f t="shared" si="97"/>
        <v>0</v>
      </c>
      <c r="U2597" s="45">
        <f t="shared" si="98"/>
        <v>0</v>
      </c>
      <c r="V2597" s="46"/>
      <c r="W2597" s="46"/>
      <c r="X2597" s="46"/>
    </row>
    <row r="2598" spans="1:24" ht="15.75" customHeight="1" thickBot="1" x14ac:dyDescent="0.35">
      <c r="A2598" s="40"/>
      <c r="B2598" s="55"/>
      <c r="C2598" s="55"/>
      <c r="D2598" s="41"/>
      <c r="E2598" s="55"/>
      <c r="F2598" s="55"/>
      <c r="G2598" s="55"/>
      <c r="H2598" s="51"/>
      <c r="I2598" s="52"/>
      <c r="J2598" s="74"/>
      <c r="K2598" s="57"/>
      <c r="L2598" s="59"/>
      <c r="M2598" s="60"/>
      <c r="N2598" s="63"/>
      <c r="O2598" s="42"/>
      <c r="P2598" s="58"/>
      <c r="Q2598" s="61"/>
      <c r="R2598" s="62"/>
      <c r="S2598" s="43">
        <f t="shared" si="96"/>
        <v>0</v>
      </c>
      <c r="T2598" s="44" t="str">
        <f t="shared" si="97"/>
        <v>0</v>
      </c>
      <c r="U2598" s="45">
        <f t="shared" si="98"/>
        <v>0</v>
      </c>
      <c r="V2598" s="46"/>
      <c r="W2598" s="46"/>
      <c r="X2598" s="46"/>
    </row>
    <row r="2599" spans="1:24" ht="15.75" customHeight="1" thickBot="1" x14ac:dyDescent="0.35">
      <c r="A2599" s="40"/>
      <c r="B2599" s="55"/>
      <c r="C2599" s="55"/>
      <c r="D2599" s="41"/>
      <c r="E2599" s="55"/>
      <c r="F2599" s="55"/>
      <c r="G2599" s="55"/>
      <c r="H2599" s="51"/>
      <c r="I2599" s="52"/>
      <c r="J2599" s="74"/>
      <c r="K2599" s="57"/>
      <c r="L2599" s="59"/>
      <c r="M2599" s="60"/>
      <c r="N2599" s="63"/>
      <c r="O2599" s="42"/>
      <c r="P2599" s="58"/>
      <c r="Q2599" s="61"/>
      <c r="R2599" s="62"/>
      <c r="S2599" s="43">
        <f t="shared" si="96"/>
        <v>0</v>
      </c>
      <c r="T2599" s="44" t="str">
        <f t="shared" si="97"/>
        <v>0</v>
      </c>
      <c r="U2599" s="45">
        <f t="shared" si="98"/>
        <v>0</v>
      </c>
      <c r="V2599" s="46"/>
      <c r="W2599" s="46"/>
      <c r="X2599" s="46"/>
    </row>
    <row r="2600" spans="1:24" ht="15.75" customHeight="1" thickBot="1" x14ac:dyDescent="0.35">
      <c r="A2600" s="40"/>
      <c r="B2600" s="55"/>
      <c r="C2600" s="55"/>
      <c r="D2600" s="41"/>
      <c r="E2600" s="55"/>
      <c r="F2600" s="55"/>
      <c r="G2600" s="55"/>
      <c r="H2600" s="51"/>
      <c r="I2600" s="52"/>
      <c r="J2600" s="74"/>
      <c r="K2600" s="57"/>
      <c r="L2600" s="59"/>
      <c r="M2600" s="60"/>
      <c r="N2600" s="63"/>
      <c r="O2600" s="42"/>
      <c r="P2600" s="58"/>
      <c r="Q2600" s="61"/>
      <c r="R2600" s="62"/>
      <c r="S2600" s="43">
        <f t="shared" si="96"/>
        <v>0</v>
      </c>
      <c r="T2600" s="44" t="str">
        <f t="shared" si="97"/>
        <v>0</v>
      </c>
      <c r="U2600" s="45">
        <f t="shared" si="98"/>
        <v>0</v>
      </c>
      <c r="V2600" s="46"/>
      <c r="W2600" s="46"/>
      <c r="X2600" s="46"/>
    </row>
    <row r="2601" spans="1:24" ht="15.75" customHeight="1" thickBot="1" x14ac:dyDescent="0.35">
      <c r="A2601" s="40"/>
      <c r="B2601" s="55"/>
      <c r="C2601" s="55"/>
      <c r="D2601" s="41"/>
      <c r="E2601" s="55"/>
      <c r="F2601" s="55"/>
      <c r="G2601" s="55"/>
      <c r="H2601" s="51"/>
      <c r="I2601" s="52"/>
      <c r="J2601" s="74"/>
      <c r="K2601" s="57"/>
      <c r="L2601" s="59"/>
      <c r="M2601" s="60"/>
      <c r="N2601" s="63"/>
      <c r="O2601" s="42"/>
      <c r="P2601" s="58"/>
      <c r="Q2601" s="61"/>
      <c r="R2601" s="62"/>
      <c r="S2601" s="43">
        <f t="shared" si="96"/>
        <v>0</v>
      </c>
      <c r="T2601" s="44" t="str">
        <f t="shared" si="97"/>
        <v>0</v>
      </c>
      <c r="U2601" s="45">
        <f t="shared" si="98"/>
        <v>0</v>
      </c>
      <c r="V2601" s="46"/>
      <c r="W2601" s="46"/>
      <c r="X2601" s="46"/>
    </row>
    <row r="2602" spans="1:24" ht="15.75" customHeight="1" thickBot="1" x14ac:dyDescent="0.35">
      <c r="A2602" s="40"/>
      <c r="B2602" s="55"/>
      <c r="C2602" s="55"/>
      <c r="D2602" s="41"/>
      <c r="E2602" s="55"/>
      <c r="F2602" s="55"/>
      <c r="G2602" s="55"/>
      <c r="H2602" s="51"/>
      <c r="I2602" s="52"/>
      <c r="J2602" s="74"/>
      <c r="K2602" s="57"/>
      <c r="L2602" s="59"/>
      <c r="M2602" s="60"/>
      <c r="N2602" s="63"/>
      <c r="O2602" s="42"/>
      <c r="P2602" s="58"/>
      <c r="Q2602" s="61"/>
      <c r="R2602" s="62"/>
      <c r="S2602" s="43">
        <f t="shared" si="96"/>
        <v>0</v>
      </c>
      <c r="T2602" s="44" t="str">
        <f t="shared" si="97"/>
        <v>0</v>
      </c>
      <c r="U2602" s="45">
        <f t="shared" si="98"/>
        <v>0</v>
      </c>
      <c r="V2602" s="46"/>
      <c r="W2602" s="46"/>
      <c r="X2602" s="46"/>
    </row>
    <row r="2603" spans="1:24" ht="15.75" customHeight="1" thickBot="1" x14ac:dyDescent="0.35">
      <c r="A2603" s="40"/>
      <c r="B2603" s="55"/>
      <c r="C2603" s="55"/>
      <c r="D2603" s="41"/>
      <c r="E2603" s="55"/>
      <c r="F2603" s="55"/>
      <c r="G2603" s="55"/>
      <c r="H2603" s="51"/>
      <c r="I2603" s="52"/>
      <c r="J2603" s="74"/>
      <c r="K2603" s="57"/>
      <c r="L2603" s="59"/>
      <c r="M2603" s="60"/>
      <c r="N2603" s="63"/>
      <c r="O2603" s="42"/>
      <c r="P2603" s="58"/>
      <c r="Q2603" s="61"/>
      <c r="R2603" s="62"/>
      <c r="S2603" s="43">
        <f t="shared" si="96"/>
        <v>0</v>
      </c>
      <c r="T2603" s="44" t="str">
        <f t="shared" si="97"/>
        <v>0</v>
      </c>
      <c r="U2603" s="45">
        <f t="shared" si="98"/>
        <v>0</v>
      </c>
      <c r="V2603" s="46"/>
      <c r="W2603" s="46"/>
      <c r="X2603" s="46"/>
    </row>
    <row r="2604" spans="1:24" ht="15.75" customHeight="1" thickBot="1" x14ac:dyDescent="0.35">
      <c r="A2604" s="40"/>
      <c r="B2604" s="55"/>
      <c r="C2604" s="55"/>
      <c r="D2604" s="41"/>
      <c r="E2604" s="55"/>
      <c r="F2604" s="55"/>
      <c r="G2604" s="55"/>
      <c r="H2604" s="51"/>
      <c r="I2604" s="52"/>
      <c r="J2604" s="74"/>
      <c r="K2604" s="57"/>
      <c r="L2604" s="59"/>
      <c r="M2604" s="60"/>
      <c r="N2604" s="63"/>
      <c r="O2604" s="42"/>
      <c r="P2604" s="58"/>
      <c r="Q2604" s="61"/>
      <c r="R2604" s="62"/>
      <c r="S2604" s="43">
        <f t="shared" si="96"/>
        <v>0</v>
      </c>
      <c r="T2604" s="44" t="str">
        <f t="shared" si="97"/>
        <v>0</v>
      </c>
      <c r="U2604" s="45">
        <f t="shared" si="98"/>
        <v>0</v>
      </c>
      <c r="V2604" s="46"/>
      <c r="W2604" s="46"/>
      <c r="X2604" s="46"/>
    </row>
    <row r="2605" spans="1:24" ht="15.75" customHeight="1" thickBot="1" x14ac:dyDescent="0.35">
      <c r="A2605" s="40"/>
      <c r="B2605" s="55"/>
      <c r="C2605" s="55"/>
      <c r="D2605" s="41"/>
      <c r="E2605" s="55"/>
      <c r="F2605" s="55"/>
      <c r="G2605" s="55"/>
      <c r="H2605" s="51"/>
      <c r="I2605" s="52"/>
      <c r="J2605" s="74"/>
      <c r="K2605" s="57"/>
      <c r="L2605" s="59"/>
      <c r="M2605" s="60"/>
      <c r="N2605" s="63"/>
      <c r="O2605" s="42"/>
      <c r="P2605" s="58"/>
      <c r="Q2605" s="61"/>
      <c r="R2605" s="62"/>
      <c r="S2605" s="43">
        <f t="shared" si="96"/>
        <v>0</v>
      </c>
      <c r="T2605" s="44" t="str">
        <f t="shared" si="97"/>
        <v>0</v>
      </c>
      <c r="U2605" s="45">
        <f t="shared" si="98"/>
        <v>0</v>
      </c>
      <c r="V2605" s="46"/>
      <c r="W2605" s="46"/>
      <c r="X2605" s="46"/>
    </row>
    <row r="2606" spans="1:24" ht="15.75" customHeight="1" thickBot="1" x14ac:dyDescent="0.35">
      <c r="A2606" s="40"/>
      <c r="B2606" s="55"/>
      <c r="C2606" s="55"/>
      <c r="D2606" s="41"/>
      <c r="E2606" s="55"/>
      <c r="F2606" s="55"/>
      <c r="G2606" s="55"/>
      <c r="H2606" s="51"/>
      <c r="I2606" s="52"/>
      <c r="J2606" s="74"/>
      <c r="K2606" s="57"/>
      <c r="L2606" s="59"/>
      <c r="M2606" s="60"/>
      <c r="N2606" s="63"/>
      <c r="O2606" s="42"/>
      <c r="P2606" s="58"/>
      <c r="Q2606" s="61"/>
      <c r="R2606" s="62"/>
      <c r="S2606" s="43">
        <f t="shared" si="96"/>
        <v>0</v>
      </c>
      <c r="T2606" s="44" t="str">
        <f t="shared" si="97"/>
        <v>0</v>
      </c>
      <c r="U2606" s="45">
        <f t="shared" si="98"/>
        <v>0</v>
      </c>
      <c r="V2606" s="46"/>
      <c r="W2606" s="46"/>
      <c r="X2606" s="46"/>
    </row>
    <row r="2607" spans="1:24" ht="15.75" customHeight="1" thickBot="1" x14ac:dyDescent="0.35">
      <c r="A2607" s="40"/>
      <c r="B2607" s="55"/>
      <c r="C2607" s="55"/>
      <c r="D2607" s="41"/>
      <c r="E2607" s="55"/>
      <c r="F2607" s="55"/>
      <c r="G2607" s="55"/>
      <c r="H2607" s="51"/>
      <c r="I2607" s="52"/>
      <c r="J2607" s="74"/>
      <c r="K2607" s="57"/>
      <c r="L2607" s="59"/>
      <c r="M2607" s="60"/>
      <c r="N2607" s="63"/>
      <c r="O2607" s="42"/>
      <c r="P2607" s="58"/>
      <c r="Q2607" s="61"/>
      <c r="R2607" s="62"/>
      <c r="S2607" s="43">
        <f t="shared" si="96"/>
        <v>0</v>
      </c>
      <c r="T2607" s="44" t="str">
        <f t="shared" si="97"/>
        <v>0</v>
      </c>
      <c r="U2607" s="45">
        <f t="shared" si="98"/>
        <v>0</v>
      </c>
      <c r="V2607" s="46"/>
      <c r="W2607" s="46"/>
      <c r="X2607" s="46"/>
    </row>
    <row r="2608" spans="1:24" ht="15.75" customHeight="1" thickBot="1" x14ac:dyDescent="0.35">
      <c r="A2608" s="40"/>
      <c r="B2608" s="55"/>
      <c r="C2608" s="55"/>
      <c r="D2608" s="41"/>
      <c r="E2608" s="55"/>
      <c r="F2608" s="55"/>
      <c r="G2608" s="55"/>
      <c r="H2608" s="51"/>
      <c r="I2608" s="52"/>
      <c r="J2608" s="74"/>
      <c r="K2608" s="57"/>
      <c r="L2608" s="59"/>
      <c r="M2608" s="60"/>
      <c r="N2608" s="63"/>
      <c r="O2608" s="42"/>
      <c r="P2608" s="58"/>
      <c r="Q2608" s="61"/>
      <c r="R2608" s="62"/>
      <c r="S2608" s="43">
        <f t="shared" si="96"/>
        <v>0</v>
      </c>
      <c r="T2608" s="44" t="str">
        <f t="shared" si="97"/>
        <v>0</v>
      </c>
      <c r="U2608" s="45">
        <f t="shared" si="98"/>
        <v>0</v>
      </c>
      <c r="V2608" s="46"/>
      <c r="W2608" s="46"/>
      <c r="X2608" s="46"/>
    </row>
    <row r="2609" spans="1:24" ht="15.75" customHeight="1" thickBot="1" x14ac:dyDescent="0.35">
      <c r="A2609" s="40"/>
      <c r="B2609" s="55"/>
      <c r="C2609" s="55"/>
      <c r="D2609" s="41"/>
      <c r="E2609" s="55"/>
      <c r="F2609" s="55"/>
      <c r="G2609" s="55"/>
      <c r="H2609" s="51"/>
      <c r="I2609" s="52"/>
      <c r="J2609" s="74"/>
      <c r="K2609" s="57"/>
      <c r="L2609" s="59"/>
      <c r="M2609" s="60"/>
      <c r="N2609" s="63"/>
      <c r="O2609" s="42"/>
      <c r="P2609" s="58"/>
      <c r="Q2609" s="61"/>
      <c r="R2609" s="62"/>
      <c r="S2609" s="43">
        <f t="shared" si="96"/>
        <v>0</v>
      </c>
      <c r="T2609" s="44" t="str">
        <f t="shared" si="97"/>
        <v>0</v>
      </c>
      <c r="U2609" s="45">
        <f t="shared" si="98"/>
        <v>0</v>
      </c>
      <c r="V2609" s="46"/>
      <c r="W2609" s="46"/>
      <c r="X2609" s="46"/>
    </row>
    <row r="2610" spans="1:24" ht="15.75" customHeight="1" thickBot="1" x14ac:dyDescent="0.35">
      <c r="A2610" s="40"/>
      <c r="B2610" s="55"/>
      <c r="C2610" s="55"/>
      <c r="D2610" s="41"/>
      <c r="E2610" s="55"/>
      <c r="F2610" s="55"/>
      <c r="G2610" s="55"/>
      <c r="H2610" s="51"/>
      <c r="I2610" s="52"/>
      <c r="J2610" s="74"/>
      <c r="K2610" s="57"/>
      <c r="L2610" s="59"/>
      <c r="M2610" s="60"/>
      <c r="N2610" s="63"/>
      <c r="O2610" s="42"/>
      <c r="P2610" s="58"/>
      <c r="Q2610" s="61"/>
      <c r="R2610" s="62"/>
      <c r="S2610" s="43">
        <f t="shared" si="96"/>
        <v>0</v>
      </c>
      <c r="T2610" s="44" t="str">
        <f t="shared" si="97"/>
        <v>0</v>
      </c>
      <c r="U2610" s="45">
        <f t="shared" si="98"/>
        <v>0</v>
      </c>
      <c r="V2610" s="46"/>
      <c r="W2610" s="46"/>
      <c r="X2610" s="46"/>
    </row>
    <row r="2611" spans="1:24" ht="15.75" customHeight="1" thickBot="1" x14ac:dyDescent="0.35">
      <c r="A2611" s="40"/>
      <c r="B2611" s="55"/>
      <c r="C2611" s="55"/>
      <c r="D2611" s="41"/>
      <c r="E2611" s="55"/>
      <c r="F2611" s="55"/>
      <c r="G2611" s="55"/>
      <c r="H2611" s="51"/>
      <c r="I2611" s="52"/>
      <c r="J2611" s="74"/>
      <c r="K2611" s="57"/>
      <c r="L2611" s="59"/>
      <c r="M2611" s="60"/>
      <c r="N2611" s="63"/>
      <c r="O2611" s="42"/>
      <c r="P2611" s="58"/>
      <c r="Q2611" s="61"/>
      <c r="R2611" s="62"/>
      <c r="S2611" s="43">
        <f t="shared" si="96"/>
        <v>0</v>
      </c>
      <c r="T2611" s="44" t="str">
        <f t="shared" si="97"/>
        <v>0</v>
      </c>
      <c r="U2611" s="45">
        <f t="shared" si="98"/>
        <v>0</v>
      </c>
      <c r="V2611" s="46"/>
      <c r="W2611" s="46"/>
      <c r="X2611" s="46"/>
    </row>
    <row r="2612" spans="1:24" ht="15.75" customHeight="1" thickBot="1" x14ac:dyDescent="0.35">
      <c r="A2612" s="40"/>
      <c r="B2612" s="55"/>
      <c r="C2612" s="55"/>
      <c r="D2612" s="41"/>
      <c r="E2612" s="55"/>
      <c r="F2612" s="55"/>
      <c r="G2612" s="55"/>
      <c r="H2612" s="51"/>
      <c r="I2612" s="52"/>
      <c r="J2612" s="74"/>
      <c r="K2612" s="57"/>
      <c r="L2612" s="59"/>
      <c r="M2612" s="60"/>
      <c r="N2612" s="63"/>
      <c r="O2612" s="42"/>
      <c r="P2612" s="58"/>
      <c r="Q2612" s="61"/>
      <c r="R2612" s="62"/>
      <c r="S2612" s="43">
        <f t="shared" si="96"/>
        <v>0</v>
      </c>
      <c r="T2612" s="44" t="str">
        <f t="shared" si="97"/>
        <v>0</v>
      </c>
      <c r="U2612" s="45">
        <f t="shared" si="98"/>
        <v>0</v>
      </c>
      <c r="V2612" s="46"/>
      <c r="W2612" s="46"/>
      <c r="X2612" s="46"/>
    </row>
    <row r="2613" spans="1:24" ht="15.75" customHeight="1" thickBot="1" x14ac:dyDescent="0.35">
      <c r="A2613" s="40"/>
      <c r="B2613" s="55"/>
      <c r="C2613" s="55"/>
      <c r="D2613" s="41"/>
      <c r="E2613" s="55"/>
      <c r="F2613" s="55"/>
      <c r="G2613" s="55"/>
      <c r="H2613" s="51"/>
      <c r="I2613" s="52"/>
      <c r="J2613" s="74"/>
      <c r="K2613" s="57"/>
      <c r="L2613" s="59"/>
      <c r="M2613" s="60"/>
      <c r="N2613" s="63"/>
      <c r="O2613" s="42"/>
      <c r="P2613" s="58"/>
      <c r="Q2613" s="61"/>
      <c r="R2613" s="62"/>
      <c r="S2613" s="43">
        <f t="shared" si="96"/>
        <v>0</v>
      </c>
      <c r="T2613" s="44" t="str">
        <f t="shared" si="97"/>
        <v>0</v>
      </c>
      <c r="U2613" s="45">
        <f t="shared" si="98"/>
        <v>0</v>
      </c>
      <c r="V2613" s="46"/>
      <c r="W2613" s="46"/>
      <c r="X2613" s="46"/>
    </row>
    <row r="2614" spans="1:24" ht="15.75" customHeight="1" thickBot="1" x14ac:dyDescent="0.35">
      <c r="A2614" s="40"/>
      <c r="B2614" s="55"/>
      <c r="C2614" s="55"/>
      <c r="D2614" s="41"/>
      <c r="E2614" s="55"/>
      <c r="F2614" s="55"/>
      <c r="G2614" s="55"/>
      <c r="H2614" s="51"/>
      <c r="I2614" s="52"/>
      <c r="J2614" s="74"/>
      <c r="K2614" s="57"/>
      <c r="L2614" s="59"/>
      <c r="M2614" s="60"/>
      <c r="N2614" s="63"/>
      <c r="O2614" s="42"/>
      <c r="P2614" s="58"/>
      <c r="Q2614" s="61"/>
      <c r="R2614" s="62"/>
      <c r="S2614" s="43">
        <f t="shared" si="96"/>
        <v>0</v>
      </c>
      <c r="T2614" s="44" t="str">
        <f t="shared" si="97"/>
        <v>0</v>
      </c>
      <c r="U2614" s="45">
        <f t="shared" si="98"/>
        <v>0</v>
      </c>
      <c r="V2614" s="46"/>
      <c r="W2614" s="46"/>
      <c r="X2614" s="46"/>
    </row>
    <row r="2615" spans="1:24" ht="15.75" customHeight="1" thickBot="1" x14ac:dyDescent="0.35">
      <c r="A2615" s="40"/>
      <c r="B2615" s="55"/>
      <c r="C2615" s="55"/>
      <c r="D2615" s="41"/>
      <c r="E2615" s="55"/>
      <c r="F2615" s="55"/>
      <c r="G2615" s="55"/>
      <c r="H2615" s="51"/>
      <c r="I2615" s="52"/>
      <c r="J2615" s="74"/>
      <c r="K2615" s="57"/>
      <c r="L2615" s="59"/>
      <c r="M2615" s="60"/>
      <c r="N2615" s="63"/>
      <c r="O2615" s="42"/>
      <c r="P2615" s="58"/>
      <c r="Q2615" s="61"/>
      <c r="R2615" s="62"/>
      <c r="S2615" s="43">
        <f t="shared" si="96"/>
        <v>0</v>
      </c>
      <c r="T2615" s="44" t="str">
        <f t="shared" si="97"/>
        <v>0</v>
      </c>
      <c r="U2615" s="45">
        <f t="shared" si="98"/>
        <v>0</v>
      </c>
      <c r="V2615" s="46"/>
      <c r="W2615" s="46"/>
      <c r="X2615" s="46"/>
    </row>
    <row r="2616" spans="1:24" ht="15.75" customHeight="1" thickBot="1" x14ac:dyDescent="0.35">
      <c r="A2616" s="40"/>
      <c r="B2616" s="55"/>
      <c r="C2616" s="55"/>
      <c r="D2616" s="41"/>
      <c r="E2616" s="55"/>
      <c r="F2616" s="55"/>
      <c r="G2616" s="55"/>
      <c r="H2616" s="51"/>
      <c r="I2616" s="52"/>
      <c r="J2616" s="74"/>
      <c r="K2616" s="57"/>
      <c r="L2616" s="59"/>
      <c r="M2616" s="60"/>
      <c r="N2616" s="63"/>
      <c r="O2616" s="42"/>
      <c r="P2616" s="58"/>
      <c r="Q2616" s="61"/>
      <c r="R2616" s="62"/>
      <c r="S2616" s="43">
        <f t="shared" si="96"/>
        <v>0</v>
      </c>
      <c r="T2616" s="44" t="str">
        <f t="shared" si="97"/>
        <v>0</v>
      </c>
      <c r="U2616" s="45">
        <f t="shared" si="98"/>
        <v>0</v>
      </c>
      <c r="V2616" s="46"/>
      <c r="W2616" s="46"/>
      <c r="X2616" s="46"/>
    </row>
    <row r="2617" spans="1:24" ht="15.75" customHeight="1" thickBot="1" x14ac:dyDescent="0.35">
      <c r="A2617" s="40"/>
      <c r="B2617" s="55"/>
      <c r="C2617" s="55"/>
      <c r="D2617" s="41"/>
      <c r="E2617" s="55"/>
      <c r="F2617" s="55"/>
      <c r="G2617" s="55"/>
      <c r="H2617" s="51"/>
      <c r="I2617" s="52"/>
      <c r="J2617" s="74"/>
      <c r="K2617" s="57"/>
      <c r="L2617" s="59"/>
      <c r="M2617" s="60"/>
      <c r="N2617" s="63"/>
      <c r="O2617" s="42"/>
      <c r="P2617" s="58"/>
      <c r="Q2617" s="61"/>
      <c r="R2617" s="62"/>
      <c r="S2617" s="43">
        <f t="shared" si="96"/>
        <v>0</v>
      </c>
      <c r="T2617" s="44" t="str">
        <f t="shared" si="97"/>
        <v>0</v>
      </c>
      <c r="U2617" s="45">
        <f t="shared" si="98"/>
        <v>0</v>
      </c>
      <c r="V2617" s="46"/>
      <c r="W2617" s="46"/>
      <c r="X2617" s="46"/>
    </row>
    <row r="2618" spans="1:24" ht="15.75" customHeight="1" thickBot="1" x14ac:dyDescent="0.35">
      <c r="A2618" s="40"/>
      <c r="B2618" s="55"/>
      <c r="C2618" s="55"/>
      <c r="D2618" s="41"/>
      <c r="E2618" s="55"/>
      <c r="F2618" s="55"/>
      <c r="G2618" s="55"/>
      <c r="H2618" s="51"/>
      <c r="I2618" s="52"/>
      <c r="J2618" s="74"/>
      <c r="K2618" s="57"/>
      <c r="L2618" s="59"/>
      <c r="M2618" s="60"/>
      <c r="N2618" s="63"/>
      <c r="O2618" s="42"/>
      <c r="P2618" s="58"/>
      <c r="Q2618" s="61"/>
      <c r="R2618" s="62"/>
      <c r="S2618" s="43">
        <f t="shared" si="96"/>
        <v>0</v>
      </c>
      <c r="T2618" s="44" t="str">
        <f t="shared" si="97"/>
        <v>0</v>
      </c>
      <c r="U2618" s="45">
        <f t="shared" si="98"/>
        <v>0</v>
      </c>
      <c r="V2618" s="46"/>
      <c r="W2618" s="46"/>
      <c r="X2618" s="46"/>
    </row>
    <row r="2619" spans="1:24" ht="15.75" customHeight="1" thickBot="1" x14ac:dyDescent="0.35">
      <c r="A2619" s="40"/>
      <c r="B2619" s="55"/>
      <c r="C2619" s="55"/>
      <c r="D2619" s="41"/>
      <c r="E2619" s="55"/>
      <c r="F2619" s="55"/>
      <c r="G2619" s="55"/>
      <c r="H2619" s="51"/>
      <c r="I2619" s="52"/>
      <c r="J2619" s="74"/>
      <c r="K2619" s="57"/>
      <c r="L2619" s="59"/>
      <c r="M2619" s="60"/>
      <c r="N2619" s="63"/>
      <c r="O2619" s="42"/>
      <c r="P2619" s="58"/>
      <c r="Q2619" s="61"/>
      <c r="R2619" s="62"/>
      <c r="S2619" s="43">
        <f t="shared" si="96"/>
        <v>0</v>
      </c>
      <c r="T2619" s="44" t="str">
        <f t="shared" si="97"/>
        <v>0</v>
      </c>
      <c r="U2619" s="45">
        <f t="shared" si="98"/>
        <v>0</v>
      </c>
      <c r="V2619" s="46"/>
      <c r="W2619" s="46"/>
      <c r="X2619" s="46"/>
    </row>
    <row r="2620" spans="1:24" ht="15.75" customHeight="1" thickBot="1" x14ac:dyDescent="0.35">
      <c r="A2620" s="40"/>
      <c r="B2620" s="55"/>
      <c r="C2620" s="55"/>
      <c r="D2620" s="41"/>
      <c r="E2620" s="55"/>
      <c r="F2620" s="55"/>
      <c r="G2620" s="55"/>
      <c r="H2620" s="51"/>
      <c r="I2620" s="52"/>
      <c r="J2620" s="74"/>
      <c r="K2620" s="57"/>
      <c r="L2620" s="59"/>
      <c r="M2620" s="60"/>
      <c r="N2620" s="63"/>
      <c r="O2620" s="42"/>
      <c r="P2620" s="58"/>
      <c r="Q2620" s="61"/>
      <c r="R2620" s="62"/>
      <c r="S2620" s="43">
        <f t="shared" si="96"/>
        <v>0</v>
      </c>
      <c r="T2620" s="44" t="str">
        <f t="shared" si="97"/>
        <v>0</v>
      </c>
      <c r="U2620" s="45">
        <f t="shared" si="98"/>
        <v>0</v>
      </c>
      <c r="V2620" s="46"/>
      <c r="W2620" s="46"/>
      <c r="X2620" s="46"/>
    </row>
    <row r="2621" spans="1:24" ht="15.75" customHeight="1" thickBot="1" x14ac:dyDescent="0.35">
      <c r="A2621" s="40"/>
      <c r="B2621" s="55"/>
      <c r="C2621" s="55"/>
      <c r="D2621" s="41"/>
      <c r="E2621" s="55"/>
      <c r="F2621" s="55"/>
      <c r="G2621" s="55"/>
      <c r="H2621" s="51"/>
      <c r="I2621" s="52"/>
      <c r="J2621" s="74"/>
      <c r="K2621" s="57"/>
      <c r="L2621" s="59"/>
      <c r="M2621" s="60"/>
      <c r="N2621" s="63"/>
      <c r="O2621" s="42"/>
      <c r="P2621" s="58"/>
      <c r="Q2621" s="61"/>
      <c r="R2621" s="62"/>
      <c r="S2621" s="43">
        <f t="shared" si="96"/>
        <v>0</v>
      </c>
      <c r="T2621" s="44" t="str">
        <f t="shared" si="97"/>
        <v>0</v>
      </c>
      <c r="U2621" s="45">
        <f t="shared" si="98"/>
        <v>0</v>
      </c>
      <c r="V2621" s="46"/>
      <c r="W2621" s="46"/>
      <c r="X2621" s="46"/>
    </row>
    <row r="2622" spans="1:24" ht="15.75" customHeight="1" thickBot="1" x14ac:dyDescent="0.35">
      <c r="A2622" s="40"/>
      <c r="B2622" s="55"/>
      <c r="C2622" s="55"/>
      <c r="D2622" s="41"/>
      <c r="E2622" s="55"/>
      <c r="F2622" s="55"/>
      <c r="G2622" s="55"/>
      <c r="H2622" s="51"/>
      <c r="I2622" s="52"/>
      <c r="J2622" s="74"/>
      <c r="K2622" s="57"/>
      <c r="L2622" s="59"/>
      <c r="M2622" s="60"/>
      <c r="N2622" s="63"/>
      <c r="O2622" s="42"/>
      <c r="P2622" s="58"/>
      <c r="Q2622" s="61"/>
      <c r="R2622" s="62"/>
      <c r="S2622" s="43">
        <f t="shared" si="96"/>
        <v>0</v>
      </c>
      <c r="T2622" s="44" t="str">
        <f t="shared" si="97"/>
        <v>0</v>
      </c>
      <c r="U2622" s="45">
        <f t="shared" si="98"/>
        <v>0</v>
      </c>
      <c r="V2622" s="46"/>
      <c r="W2622" s="46"/>
      <c r="X2622" s="46"/>
    </row>
    <row r="2623" spans="1:24" ht="15.75" customHeight="1" thickBot="1" x14ac:dyDescent="0.35">
      <c r="A2623" s="40"/>
      <c r="B2623" s="55"/>
      <c r="C2623" s="55"/>
      <c r="D2623" s="41"/>
      <c r="E2623" s="55"/>
      <c r="F2623" s="55"/>
      <c r="G2623" s="55"/>
      <c r="H2623" s="51"/>
      <c r="I2623" s="52"/>
      <c r="J2623" s="74"/>
      <c r="K2623" s="57"/>
      <c r="L2623" s="59"/>
      <c r="M2623" s="60"/>
      <c r="N2623" s="63"/>
      <c r="O2623" s="42"/>
      <c r="P2623" s="58"/>
      <c r="Q2623" s="61"/>
      <c r="R2623" s="62"/>
      <c r="S2623" s="43">
        <f t="shared" si="96"/>
        <v>0</v>
      </c>
      <c r="T2623" s="44" t="str">
        <f t="shared" si="97"/>
        <v>0</v>
      </c>
      <c r="U2623" s="45">
        <f t="shared" si="98"/>
        <v>0</v>
      </c>
      <c r="V2623" s="46"/>
      <c r="W2623" s="46"/>
      <c r="X2623" s="46"/>
    </row>
    <row r="2624" spans="1:24" ht="15.75" customHeight="1" thickBot="1" x14ac:dyDescent="0.35">
      <c r="A2624" s="40"/>
      <c r="B2624" s="55"/>
      <c r="C2624" s="55"/>
      <c r="D2624" s="41"/>
      <c r="E2624" s="55"/>
      <c r="F2624" s="55"/>
      <c r="G2624" s="55"/>
      <c r="H2624" s="51"/>
      <c r="I2624" s="52"/>
      <c r="J2624" s="74"/>
      <c r="K2624" s="57"/>
      <c r="L2624" s="59"/>
      <c r="M2624" s="60"/>
      <c r="N2624" s="63"/>
      <c r="O2624" s="42"/>
      <c r="P2624" s="58"/>
      <c r="Q2624" s="61"/>
      <c r="R2624" s="62"/>
      <c r="S2624" s="43">
        <f t="shared" si="96"/>
        <v>0</v>
      </c>
      <c r="T2624" s="44" t="str">
        <f t="shared" si="97"/>
        <v>0</v>
      </c>
      <c r="U2624" s="45">
        <f t="shared" si="98"/>
        <v>0</v>
      </c>
      <c r="V2624" s="46"/>
      <c r="W2624" s="46"/>
      <c r="X2624" s="46"/>
    </row>
    <row r="2625" spans="1:24" ht="15.75" customHeight="1" thickBot="1" x14ac:dyDescent="0.35">
      <c r="A2625" s="40"/>
      <c r="B2625" s="55"/>
      <c r="C2625" s="55"/>
      <c r="D2625" s="41"/>
      <c r="E2625" s="55"/>
      <c r="F2625" s="55"/>
      <c r="G2625" s="55"/>
      <c r="H2625" s="51"/>
      <c r="I2625" s="52"/>
      <c r="J2625" s="74"/>
      <c r="K2625" s="57"/>
      <c r="L2625" s="59"/>
      <c r="M2625" s="60"/>
      <c r="N2625" s="63"/>
      <c r="O2625" s="42"/>
      <c r="P2625" s="58"/>
      <c r="Q2625" s="61"/>
      <c r="R2625" s="62"/>
      <c r="S2625" s="43">
        <f t="shared" si="96"/>
        <v>0</v>
      </c>
      <c r="T2625" s="44" t="str">
        <f t="shared" si="97"/>
        <v>0</v>
      </c>
      <c r="U2625" s="45">
        <f t="shared" si="98"/>
        <v>0</v>
      </c>
      <c r="V2625" s="46"/>
      <c r="W2625" s="46"/>
      <c r="X2625" s="46"/>
    </row>
    <row r="2626" spans="1:24" ht="15.75" customHeight="1" thickBot="1" x14ac:dyDescent="0.35">
      <c r="A2626" s="40"/>
      <c r="B2626" s="55"/>
      <c r="C2626" s="55"/>
      <c r="D2626" s="41"/>
      <c r="E2626" s="55"/>
      <c r="F2626" s="55"/>
      <c r="G2626" s="55"/>
      <c r="H2626" s="51"/>
      <c r="I2626" s="52"/>
      <c r="J2626" s="74"/>
      <c r="K2626" s="57"/>
      <c r="L2626" s="59"/>
      <c r="M2626" s="60"/>
      <c r="N2626" s="63"/>
      <c r="O2626" s="42"/>
      <c r="P2626" s="58"/>
      <c r="Q2626" s="61"/>
      <c r="R2626" s="62"/>
      <c r="S2626" s="43">
        <f t="shared" si="96"/>
        <v>0</v>
      </c>
      <c r="T2626" s="44" t="str">
        <f t="shared" si="97"/>
        <v>0</v>
      </c>
      <c r="U2626" s="45">
        <f t="shared" si="98"/>
        <v>0</v>
      </c>
      <c r="V2626" s="46"/>
      <c r="W2626" s="46"/>
      <c r="X2626" s="46"/>
    </row>
    <row r="2627" spans="1:24" ht="15.75" customHeight="1" thickBot="1" x14ac:dyDescent="0.35">
      <c r="A2627" s="40"/>
      <c r="B2627" s="55"/>
      <c r="C2627" s="55"/>
      <c r="D2627" s="41"/>
      <c r="E2627" s="55"/>
      <c r="F2627" s="55"/>
      <c r="G2627" s="55"/>
      <c r="H2627" s="51"/>
      <c r="I2627" s="52"/>
      <c r="J2627" s="74"/>
      <c r="K2627" s="57"/>
      <c r="L2627" s="59"/>
      <c r="M2627" s="60"/>
      <c r="N2627" s="63"/>
      <c r="O2627" s="42"/>
      <c r="P2627" s="58"/>
      <c r="Q2627" s="61"/>
      <c r="R2627" s="62"/>
      <c r="S2627" s="43">
        <f t="shared" si="96"/>
        <v>0</v>
      </c>
      <c r="T2627" s="44" t="str">
        <f t="shared" si="97"/>
        <v>0</v>
      </c>
      <c r="U2627" s="45">
        <f t="shared" si="98"/>
        <v>0</v>
      </c>
      <c r="V2627" s="46"/>
      <c r="W2627" s="46"/>
      <c r="X2627" s="46"/>
    </row>
    <row r="2628" spans="1:24" ht="15.75" customHeight="1" thickBot="1" x14ac:dyDescent="0.35">
      <c r="A2628" s="40"/>
      <c r="B2628" s="55"/>
      <c r="C2628" s="55"/>
      <c r="D2628" s="41"/>
      <c r="E2628" s="55"/>
      <c r="F2628" s="55"/>
      <c r="G2628" s="55"/>
      <c r="H2628" s="51"/>
      <c r="I2628" s="52"/>
      <c r="J2628" s="74"/>
      <c r="K2628" s="57"/>
      <c r="L2628" s="59"/>
      <c r="M2628" s="60"/>
      <c r="N2628" s="63"/>
      <c r="O2628" s="42"/>
      <c r="P2628" s="58"/>
      <c r="Q2628" s="61"/>
      <c r="R2628" s="62"/>
      <c r="S2628" s="43">
        <f t="shared" si="96"/>
        <v>0</v>
      </c>
      <c r="T2628" s="44" t="str">
        <f t="shared" si="97"/>
        <v>0</v>
      </c>
      <c r="U2628" s="45">
        <f t="shared" si="98"/>
        <v>0</v>
      </c>
      <c r="V2628" s="46"/>
      <c r="W2628" s="46"/>
      <c r="X2628" s="46"/>
    </row>
    <row r="2629" spans="1:24" ht="15.75" customHeight="1" thickBot="1" x14ac:dyDescent="0.35">
      <c r="A2629" s="40"/>
      <c r="B2629" s="55"/>
      <c r="C2629" s="55"/>
      <c r="D2629" s="41"/>
      <c r="E2629" s="55"/>
      <c r="F2629" s="55"/>
      <c r="G2629" s="55"/>
      <c r="H2629" s="51"/>
      <c r="I2629" s="52"/>
      <c r="J2629" s="74"/>
      <c r="K2629" s="57"/>
      <c r="L2629" s="59"/>
      <c r="M2629" s="60"/>
      <c r="N2629" s="63"/>
      <c r="O2629" s="42"/>
      <c r="P2629" s="58"/>
      <c r="Q2629" s="61"/>
      <c r="R2629" s="62"/>
      <c r="S2629" s="43">
        <f t="shared" si="96"/>
        <v>0</v>
      </c>
      <c r="T2629" s="44" t="str">
        <f t="shared" si="97"/>
        <v>0</v>
      </c>
      <c r="U2629" s="45">
        <f t="shared" si="98"/>
        <v>0</v>
      </c>
      <c r="V2629" s="46"/>
      <c r="W2629" s="46"/>
      <c r="X2629" s="46"/>
    </row>
    <row r="2630" spans="1:24" ht="15.75" customHeight="1" thickBot="1" x14ac:dyDescent="0.35">
      <c r="A2630" s="40"/>
      <c r="B2630" s="55"/>
      <c r="C2630" s="55"/>
      <c r="D2630" s="41"/>
      <c r="E2630" s="55"/>
      <c r="F2630" s="55"/>
      <c r="G2630" s="55"/>
      <c r="H2630" s="51"/>
      <c r="I2630" s="52"/>
      <c r="J2630" s="74"/>
      <c r="K2630" s="57"/>
      <c r="L2630" s="59"/>
      <c r="M2630" s="60"/>
      <c r="N2630" s="63"/>
      <c r="O2630" s="42"/>
      <c r="P2630" s="58"/>
      <c r="Q2630" s="61"/>
      <c r="R2630" s="62"/>
      <c r="S2630" s="43">
        <f t="shared" si="96"/>
        <v>0</v>
      </c>
      <c r="T2630" s="44" t="str">
        <f t="shared" si="97"/>
        <v>0</v>
      </c>
      <c r="U2630" s="45">
        <f t="shared" si="98"/>
        <v>0</v>
      </c>
      <c r="V2630" s="46"/>
      <c r="W2630" s="46"/>
      <c r="X2630" s="46"/>
    </row>
    <row r="2631" spans="1:24" ht="15.75" customHeight="1" thickBot="1" x14ac:dyDescent="0.35">
      <c r="A2631" s="40"/>
      <c r="B2631" s="55"/>
      <c r="C2631" s="55"/>
      <c r="D2631" s="41"/>
      <c r="E2631" s="55"/>
      <c r="F2631" s="55"/>
      <c r="G2631" s="55"/>
      <c r="H2631" s="51"/>
      <c r="I2631" s="52"/>
      <c r="J2631" s="74"/>
      <c r="K2631" s="57"/>
      <c r="L2631" s="59"/>
      <c r="M2631" s="60"/>
      <c r="N2631" s="63"/>
      <c r="O2631" s="42"/>
      <c r="P2631" s="58"/>
      <c r="Q2631" s="61"/>
      <c r="R2631" s="62"/>
      <c r="S2631" s="43">
        <f t="shared" si="96"/>
        <v>0</v>
      </c>
      <c r="T2631" s="44" t="str">
        <f t="shared" si="97"/>
        <v>0</v>
      </c>
      <c r="U2631" s="45">
        <f t="shared" si="98"/>
        <v>0</v>
      </c>
      <c r="V2631" s="46"/>
      <c r="W2631" s="46"/>
      <c r="X2631" s="46"/>
    </row>
    <row r="2632" spans="1:24" ht="15.75" customHeight="1" thickBot="1" x14ac:dyDescent="0.35">
      <c r="A2632" s="40"/>
      <c r="B2632" s="55"/>
      <c r="C2632" s="55"/>
      <c r="D2632" s="41"/>
      <c r="E2632" s="55"/>
      <c r="F2632" s="55"/>
      <c r="G2632" s="55"/>
      <c r="H2632" s="51"/>
      <c r="I2632" s="52"/>
      <c r="J2632" s="74"/>
      <c r="K2632" s="57"/>
      <c r="L2632" s="59"/>
      <c r="M2632" s="60"/>
      <c r="N2632" s="63"/>
      <c r="O2632" s="42"/>
      <c r="P2632" s="58"/>
      <c r="Q2632" s="61"/>
      <c r="R2632" s="62"/>
      <c r="S2632" s="43">
        <f t="shared" si="96"/>
        <v>0</v>
      </c>
      <c r="T2632" s="44" t="str">
        <f t="shared" si="97"/>
        <v>0</v>
      </c>
      <c r="U2632" s="45">
        <f t="shared" si="98"/>
        <v>0</v>
      </c>
      <c r="V2632" s="46"/>
      <c r="W2632" s="46"/>
      <c r="X2632" s="46"/>
    </row>
    <row r="2633" spans="1:24" ht="15.75" customHeight="1" thickBot="1" x14ac:dyDescent="0.35">
      <c r="A2633" s="40"/>
      <c r="B2633" s="55"/>
      <c r="C2633" s="55"/>
      <c r="D2633" s="41"/>
      <c r="E2633" s="55"/>
      <c r="F2633" s="55"/>
      <c r="G2633" s="55"/>
      <c r="H2633" s="51"/>
      <c r="I2633" s="52"/>
      <c r="J2633" s="74"/>
      <c r="K2633" s="57"/>
      <c r="L2633" s="59"/>
      <c r="M2633" s="60"/>
      <c r="N2633" s="63"/>
      <c r="O2633" s="42"/>
      <c r="P2633" s="58"/>
      <c r="Q2633" s="61"/>
      <c r="R2633" s="62"/>
      <c r="S2633" s="43">
        <f t="shared" ref="S2633:S2696" si="99">M2633*N2633</f>
        <v>0</v>
      </c>
      <c r="T2633" s="44" t="str">
        <f t="shared" ref="T2633:T2696" si="100">CONCATENATE(S2633,Q2633,P2633)</f>
        <v>0</v>
      </c>
      <c r="U2633" s="45">
        <f t="shared" ref="U2633:U2696" si="101">L2633*M2633</f>
        <v>0</v>
      </c>
      <c r="V2633" s="46"/>
      <c r="W2633" s="46"/>
      <c r="X2633" s="46"/>
    </row>
    <row r="2634" spans="1:24" ht="15.75" customHeight="1" thickBot="1" x14ac:dyDescent="0.35">
      <c r="A2634" s="40"/>
      <c r="B2634" s="55"/>
      <c r="C2634" s="55"/>
      <c r="D2634" s="41"/>
      <c r="E2634" s="55"/>
      <c r="F2634" s="55"/>
      <c r="G2634" s="55"/>
      <c r="H2634" s="51"/>
      <c r="I2634" s="52"/>
      <c r="J2634" s="74"/>
      <c r="K2634" s="57"/>
      <c r="L2634" s="59"/>
      <c r="M2634" s="60"/>
      <c r="N2634" s="63"/>
      <c r="O2634" s="42"/>
      <c r="P2634" s="58"/>
      <c r="Q2634" s="61"/>
      <c r="R2634" s="62"/>
      <c r="S2634" s="43">
        <f t="shared" si="99"/>
        <v>0</v>
      </c>
      <c r="T2634" s="44" t="str">
        <f t="shared" si="100"/>
        <v>0</v>
      </c>
      <c r="U2634" s="45">
        <f t="shared" si="101"/>
        <v>0</v>
      </c>
      <c r="V2634" s="46"/>
      <c r="W2634" s="46"/>
      <c r="X2634" s="46"/>
    </row>
    <row r="2635" spans="1:24" ht="15.75" customHeight="1" thickBot="1" x14ac:dyDescent="0.35">
      <c r="A2635" s="40"/>
      <c r="B2635" s="55"/>
      <c r="C2635" s="55"/>
      <c r="D2635" s="41"/>
      <c r="E2635" s="55"/>
      <c r="F2635" s="55"/>
      <c r="G2635" s="55"/>
      <c r="H2635" s="51"/>
      <c r="I2635" s="52"/>
      <c r="J2635" s="74"/>
      <c r="K2635" s="57"/>
      <c r="L2635" s="59"/>
      <c r="M2635" s="60"/>
      <c r="N2635" s="63"/>
      <c r="O2635" s="42"/>
      <c r="P2635" s="58"/>
      <c r="Q2635" s="61"/>
      <c r="R2635" s="62"/>
      <c r="S2635" s="43">
        <f t="shared" si="99"/>
        <v>0</v>
      </c>
      <c r="T2635" s="44" t="str">
        <f t="shared" si="100"/>
        <v>0</v>
      </c>
      <c r="U2635" s="45">
        <f t="shared" si="101"/>
        <v>0</v>
      </c>
      <c r="V2635" s="46"/>
      <c r="W2635" s="46"/>
      <c r="X2635" s="46"/>
    </row>
    <row r="2636" spans="1:24" ht="15.75" customHeight="1" thickBot="1" x14ac:dyDescent="0.35">
      <c r="A2636" s="40"/>
      <c r="B2636" s="55"/>
      <c r="C2636" s="55"/>
      <c r="D2636" s="41"/>
      <c r="E2636" s="55"/>
      <c r="F2636" s="55"/>
      <c r="G2636" s="55"/>
      <c r="H2636" s="51"/>
      <c r="I2636" s="52"/>
      <c r="J2636" s="74"/>
      <c r="K2636" s="57"/>
      <c r="L2636" s="59"/>
      <c r="M2636" s="60"/>
      <c r="N2636" s="63"/>
      <c r="O2636" s="42"/>
      <c r="P2636" s="58"/>
      <c r="Q2636" s="61"/>
      <c r="R2636" s="62"/>
      <c r="S2636" s="43">
        <f t="shared" si="99"/>
        <v>0</v>
      </c>
      <c r="T2636" s="44" t="str">
        <f t="shared" si="100"/>
        <v>0</v>
      </c>
      <c r="U2636" s="45">
        <f t="shared" si="101"/>
        <v>0</v>
      </c>
      <c r="V2636" s="46"/>
      <c r="W2636" s="46"/>
      <c r="X2636" s="46"/>
    </row>
    <row r="2637" spans="1:24" ht="15.75" customHeight="1" thickBot="1" x14ac:dyDescent="0.35">
      <c r="A2637" s="40"/>
      <c r="B2637" s="55"/>
      <c r="C2637" s="55"/>
      <c r="D2637" s="41"/>
      <c r="E2637" s="55"/>
      <c r="F2637" s="55"/>
      <c r="G2637" s="55"/>
      <c r="H2637" s="51"/>
      <c r="I2637" s="52"/>
      <c r="J2637" s="74"/>
      <c r="K2637" s="57"/>
      <c r="L2637" s="59"/>
      <c r="M2637" s="60"/>
      <c r="N2637" s="63"/>
      <c r="O2637" s="42"/>
      <c r="P2637" s="58"/>
      <c r="Q2637" s="61"/>
      <c r="R2637" s="62"/>
      <c r="S2637" s="43">
        <f t="shared" si="99"/>
        <v>0</v>
      </c>
      <c r="T2637" s="44" t="str">
        <f t="shared" si="100"/>
        <v>0</v>
      </c>
      <c r="U2637" s="45">
        <f t="shared" si="101"/>
        <v>0</v>
      </c>
      <c r="V2637" s="46"/>
      <c r="W2637" s="46"/>
      <c r="X2637" s="46"/>
    </row>
    <row r="2638" spans="1:24" ht="15.75" customHeight="1" thickBot="1" x14ac:dyDescent="0.35">
      <c r="A2638" s="40"/>
      <c r="B2638" s="55"/>
      <c r="C2638" s="55"/>
      <c r="D2638" s="41"/>
      <c r="E2638" s="55"/>
      <c r="F2638" s="55"/>
      <c r="G2638" s="55"/>
      <c r="H2638" s="51"/>
      <c r="I2638" s="52"/>
      <c r="J2638" s="74"/>
      <c r="K2638" s="57"/>
      <c r="L2638" s="59"/>
      <c r="M2638" s="60"/>
      <c r="N2638" s="63"/>
      <c r="O2638" s="42"/>
      <c r="P2638" s="58"/>
      <c r="Q2638" s="61"/>
      <c r="R2638" s="62"/>
      <c r="S2638" s="43">
        <f t="shared" si="99"/>
        <v>0</v>
      </c>
      <c r="T2638" s="44" t="str">
        <f t="shared" si="100"/>
        <v>0</v>
      </c>
      <c r="U2638" s="45">
        <f t="shared" si="101"/>
        <v>0</v>
      </c>
      <c r="V2638" s="46"/>
      <c r="W2638" s="46"/>
      <c r="X2638" s="46"/>
    </row>
    <row r="2639" spans="1:24" ht="15.75" customHeight="1" thickBot="1" x14ac:dyDescent="0.35">
      <c r="A2639" s="40"/>
      <c r="B2639" s="55"/>
      <c r="C2639" s="55"/>
      <c r="D2639" s="41"/>
      <c r="E2639" s="55"/>
      <c r="F2639" s="55"/>
      <c r="G2639" s="55"/>
      <c r="H2639" s="51"/>
      <c r="I2639" s="52"/>
      <c r="J2639" s="74"/>
      <c r="K2639" s="57"/>
      <c r="L2639" s="59"/>
      <c r="M2639" s="60"/>
      <c r="N2639" s="63"/>
      <c r="O2639" s="42"/>
      <c r="P2639" s="58"/>
      <c r="Q2639" s="61"/>
      <c r="R2639" s="62"/>
      <c r="S2639" s="43">
        <f t="shared" si="99"/>
        <v>0</v>
      </c>
      <c r="T2639" s="44" t="str">
        <f t="shared" si="100"/>
        <v>0</v>
      </c>
      <c r="U2639" s="45">
        <f t="shared" si="101"/>
        <v>0</v>
      </c>
      <c r="V2639" s="46"/>
      <c r="W2639" s="46"/>
      <c r="X2639" s="46"/>
    </row>
    <row r="2640" spans="1:24" ht="15.75" customHeight="1" thickBot="1" x14ac:dyDescent="0.35">
      <c r="A2640" s="40"/>
      <c r="B2640" s="55"/>
      <c r="C2640" s="55"/>
      <c r="D2640" s="41"/>
      <c r="E2640" s="55"/>
      <c r="F2640" s="55"/>
      <c r="G2640" s="55"/>
      <c r="H2640" s="51"/>
      <c r="I2640" s="52"/>
      <c r="J2640" s="74"/>
      <c r="K2640" s="57"/>
      <c r="L2640" s="59"/>
      <c r="M2640" s="60"/>
      <c r="N2640" s="63"/>
      <c r="O2640" s="42"/>
      <c r="P2640" s="58"/>
      <c r="Q2640" s="61"/>
      <c r="R2640" s="62"/>
      <c r="S2640" s="43">
        <f t="shared" si="99"/>
        <v>0</v>
      </c>
      <c r="T2640" s="44" t="str">
        <f t="shared" si="100"/>
        <v>0</v>
      </c>
      <c r="U2640" s="45">
        <f t="shared" si="101"/>
        <v>0</v>
      </c>
      <c r="V2640" s="46"/>
      <c r="W2640" s="46"/>
      <c r="X2640" s="46"/>
    </row>
    <row r="2641" spans="1:24" ht="15.75" customHeight="1" thickBot="1" x14ac:dyDescent="0.35">
      <c r="A2641" s="40"/>
      <c r="B2641" s="55"/>
      <c r="C2641" s="55"/>
      <c r="D2641" s="41"/>
      <c r="E2641" s="55"/>
      <c r="F2641" s="55"/>
      <c r="G2641" s="55"/>
      <c r="H2641" s="51"/>
      <c r="I2641" s="52"/>
      <c r="J2641" s="74"/>
      <c r="K2641" s="57"/>
      <c r="L2641" s="59"/>
      <c r="M2641" s="60"/>
      <c r="N2641" s="63"/>
      <c r="O2641" s="42"/>
      <c r="P2641" s="58"/>
      <c r="Q2641" s="61"/>
      <c r="R2641" s="62"/>
      <c r="S2641" s="43">
        <f t="shared" si="99"/>
        <v>0</v>
      </c>
      <c r="T2641" s="44" t="str">
        <f t="shared" si="100"/>
        <v>0</v>
      </c>
      <c r="U2641" s="45">
        <f t="shared" si="101"/>
        <v>0</v>
      </c>
      <c r="V2641" s="46"/>
      <c r="W2641" s="46"/>
      <c r="X2641" s="46"/>
    </row>
    <row r="2642" spans="1:24" ht="15.75" customHeight="1" thickBot="1" x14ac:dyDescent="0.35">
      <c r="A2642" s="40"/>
      <c r="B2642" s="55"/>
      <c r="C2642" s="55"/>
      <c r="D2642" s="41"/>
      <c r="E2642" s="55"/>
      <c r="F2642" s="55"/>
      <c r="G2642" s="55"/>
      <c r="H2642" s="51"/>
      <c r="I2642" s="52"/>
      <c r="J2642" s="74"/>
      <c r="K2642" s="57"/>
      <c r="L2642" s="59"/>
      <c r="M2642" s="60"/>
      <c r="N2642" s="63"/>
      <c r="O2642" s="42"/>
      <c r="P2642" s="58"/>
      <c r="Q2642" s="61"/>
      <c r="R2642" s="62"/>
      <c r="S2642" s="43">
        <f t="shared" si="99"/>
        <v>0</v>
      </c>
      <c r="T2642" s="44" t="str">
        <f t="shared" si="100"/>
        <v>0</v>
      </c>
      <c r="U2642" s="45">
        <f t="shared" si="101"/>
        <v>0</v>
      </c>
      <c r="V2642" s="46"/>
      <c r="W2642" s="46"/>
      <c r="X2642" s="46"/>
    </row>
    <row r="2643" spans="1:24" ht="15.75" customHeight="1" thickBot="1" x14ac:dyDescent="0.35">
      <c r="A2643" s="40"/>
      <c r="B2643" s="55"/>
      <c r="C2643" s="55"/>
      <c r="D2643" s="41"/>
      <c r="E2643" s="55"/>
      <c r="F2643" s="55"/>
      <c r="G2643" s="55"/>
      <c r="H2643" s="51"/>
      <c r="I2643" s="52"/>
      <c r="J2643" s="74"/>
      <c r="K2643" s="57"/>
      <c r="L2643" s="59"/>
      <c r="M2643" s="60"/>
      <c r="N2643" s="63"/>
      <c r="O2643" s="42"/>
      <c r="P2643" s="58"/>
      <c r="Q2643" s="61"/>
      <c r="R2643" s="62"/>
      <c r="S2643" s="43">
        <f t="shared" si="99"/>
        <v>0</v>
      </c>
      <c r="T2643" s="44" t="str">
        <f t="shared" si="100"/>
        <v>0</v>
      </c>
      <c r="U2643" s="45">
        <f t="shared" si="101"/>
        <v>0</v>
      </c>
      <c r="V2643" s="46"/>
      <c r="W2643" s="46"/>
      <c r="X2643" s="46"/>
    </row>
    <row r="2644" spans="1:24" ht="15.75" customHeight="1" thickBot="1" x14ac:dyDescent="0.35">
      <c r="A2644" s="40"/>
      <c r="B2644" s="55"/>
      <c r="C2644" s="55"/>
      <c r="D2644" s="41"/>
      <c r="E2644" s="55"/>
      <c r="F2644" s="55"/>
      <c r="G2644" s="55"/>
      <c r="H2644" s="51"/>
      <c r="I2644" s="52"/>
      <c r="J2644" s="74"/>
      <c r="K2644" s="57"/>
      <c r="L2644" s="59"/>
      <c r="M2644" s="60"/>
      <c r="N2644" s="63"/>
      <c r="O2644" s="42"/>
      <c r="P2644" s="58"/>
      <c r="Q2644" s="61"/>
      <c r="R2644" s="62"/>
      <c r="S2644" s="43">
        <f t="shared" si="99"/>
        <v>0</v>
      </c>
      <c r="T2644" s="44" t="str">
        <f t="shared" si="100"/>
        <v>0</v>
      </c>
      <c r="U2644" s="45">
        <f t="shared" si="101"/>
        <v>0</v>
      </c>
      <c r="V2644" s="46"/>
      <c r="W2644" s="46"/>
      <c r="X2644" s="46"/>
    </row>
    <row r="2645" spans="1:24" ht="15.75" customHeight="1" thickBot="1" x14ac:dyDescent="0.35">
      <c r="A2645" s="40"/>
      <c r="B2645" s="55"/>
      <c r="C2645" s="55"/>
      <c r="D2645" s="41"/>
      <c r="E2645" s="55"/>
      <c r="F2645" s="55"/>
      <c r="G2645" s="55"/>
      <c r="H2645" s="51"/>
      <c r="I2645" s="52"/>
      <c r="J2645" s="74"/>
      <c r="K2645" s="57"/>
      <c r="L2645" s="59"/>
      <c r="M2645" s="60"/>
      <c r="N2645" s="63"/>
      <c r="O2645" s="42"/>
      <c r="P2645" s="58"/>
      <c r="Q2645" s="61"/>
      <c r="R2645" s="62"/>
      <c r="S2645" s="43">
        <f t="shared" si="99"/>
        <v>0</v>
      </c>
      <c r="T2645" s="44" t="str">
        <f t="shared" si="100"/>
        <v>0</v>
      </c>
      <c r="U2645" s="45">
        <f t="shared" si="101"/>
        <v>0</v>
      </c>
      <c r="V2645" s="46"/>
      <c r="W2645" s="46"/>
      <c r="X2645" s="46"/>
    </row>
    <row r="2646" spans="1:24" ht="15.75" customHeight="1" thickBot="1" x14ac:dyDescent="0.35">
      <c r="A2646" s="40"/>
      <c r="B2646" s="55"/>
      <c r="C2646" s="55"/>
      <c r="D2646" s="41"/>
      <c r="E2646" s="55"/>
      <c r="F2646" s="55"/>
      <c r="G2646" s="55"/>
      <c r="H2646" s="51"/>
      <c r="I2646" s="52"/>
      <c r="J2646" s="74"/>
      <c r="K2646" s="57"/>
      <c r="L2646" s="59"/>
      <c r="M2646" s="60"/>
      <c r="N2646" s="63"/>
      <c r="O2646" s="42"/>
      <c r="P2646" s="58"/>
      <c r="Q2646" s="61"/>
      <c r="R2646" s="62"/>
      <c r="S2646" s="43">
        <f t="shared" si="99"/>
        <v>0</v>
      </c>
      <c r="T2646" s="44" t="str">
        <f t="shared" si="100"/>
        <v>0</v>
      </c>
      <c r="U2646" s="45">
        <f t="shared" si="101"/>
        <v>0</v>
      </c>
      <c r="V2646" s="46"/>
      <c r="W2646" s="46"/>
      <c r="X2646" s="46"/>
    </row>
    <row r="2647" spans="1:24" ht="15.75" customHeight="1" thickBot="1" x14ac:dyDescent="0.35">
      <c r="A2647" s="40"/>
      <c r="B2647" s="55"/>
      <c r="C2647" s="55"/>
      <c r="D2647" s="41"/>
      <c r="E2647" s="55"/>
      <c r="F2647" s="55"/>
      <c r="G2647" s="55"/>
      <c r="H2647" s="51"/>
      <c r="I2647" s="52"/>
      <c r="J2647" s="74"/>
      <c r="K2647" s="57"/>
      <c r="L2647" s="59"/>
      <c r="M2647" s="60"/>
      <c r="N2647" s="63"/>
      <c r="O2647" s="42"/>
      <c r="P2647" s="58"/>
      <c r="Q2647" s="61"/>
      <c r="R2647" s="62"/>
      <c r="S2647" s="43">
        <f t="shared" si="99"/>
        <v>0</v>
      </c>
      <c r="T2647" s="44" t="str">
        <f t="shared" si="100"/>
        <v>0</v>
      </c>
      <c r="U2647" s="45">
        <f t="shared" si="101"/>
        <v>0</v>
      </c>
      <c r="V2647" s="46"/>
      <c r="W2647" s="46"/>
      <c r="X2647" s="46"/>
    </row>
    <row r="2648" spans="1:24" ht="15.75" customHeight="1" thickBot="1" x14ac:dyDescent="0.35">
      <c r="A2648" s="40"/>
      <c r="B2648" s="55"/>
      <c r="C2648" s="55"/>
      <c r="D2648" s="41"/>
      <c r="E2648" s="55"/>
      <c r="F2648" s="55"/>
      <c r="G2648" s="55"/>
      <c r="H2648" s="51"/>
      <c r="I2648" s="52"/>
      <c r="J2648" s="74"/>
      <c r="K2648" s="57"/>
      <c r="L2648" s="59"/>
      <c r="M2648" s="60"/>
      <c r="N2648" s="63"/>
      <c r="O2648" s="42"/>
      <c r="P2648" s="58"/>
      <c r="Q2648" s="61"/>
      <c r="R2648" s="62"/>
      <c r="S2648" s="43">
        <f t="shared" si="99"/>
        <v>0</v>
      </c>
      <c r="T2648" s="44" t="str">
        <f t="shared" si="100"/>
        <v>0</v>
      </c>
      <c r="U2648" s="45">
        <f t="shared" si="101"/>
        <v>0</v>
      </c>
      <c r="V2648" s="46"/>
      <c r="W2648" s="46"/>
      <c r="X2648" s="46"/>
    </row>
    <row r="2649" spans="1:24" ht="15.75" customHeight="1" thickBot="1" x14ac:dyDescent="0.35">
      <c r="A2649" s="40"/>
      <c r="B2649" s="55"/>
      <c r="C2649" s="55"/>
      <c r="D2649" s="41"/>
      <c r="E2649" s="55"/>
      <c r="F2649" s="55"/>
      <c r="G2649" s="55"/>
      <c r="H2649" s="51"/>
      <c r="I2649" s="52"/>
      <c r="J2649" s="74"/>
      <c r="K2649" s="57"/>
      <c r="L2649" s="59"/>
      <c r="M2649" s="60"/>
      <c r="N2649" s="63"/>
      <c r="O2649" s="42"/>
      <c r="P2649" s="58"/>
      <c r="Q2649" s="61"/>
      <c r="R2649" s="62"/>
      <c r="S2649" s="43">
        <f t="shared" si="99"/>
        <v>0</v>
      </c>
      <c r="T2649" s="44" t="str">
        <f t="shared" si="100"/>
        <v>0</v>
      </c>
      <c r="U2649" s="45">
        <f t="shared" si="101"/>
        <v>0</v>
      </c>
      <c r="V2649" s="46"/>
      <c r="W2649" s="46"/>
      <c r="X2649" s="46"/>
    </row>
    <row r="2650" spans="1:24" ht="15.75" customHeight="1" thickBot="1" x14ac:dyDescent="0.35">
      <c r="A2650" s="40"/>
      <c r="B2650" s="55"/>
      <c r="C2650" s="55"/>
      <c r="D2650" s="41"/>
      <c r="E2650" s="55"/>
      <c r="F2650" s="55"/>
      <c r="G2650" s="55"/>
      <c r="H2650" s="51"/>
      <c r="I2650" s="52"/>
      <c r="J2650" s="74"/>
      <c r="K2650" s="57"/>
      <c r="L2650" s="59"/>
      <c r="M2650" s="60"/>
      <c r="N2650" s="63"/>
      <c r="O2650" s="42"/>
      <c r="P2650" s="58"/>
      <c r="Q2650" s="61"/>
      <c r="R2650" s="62"/>
      <c r="S2650" s="43">
        <f t="shared" si="99"/>
        <v>0</v>
      </c>
      <c r="T2650" s="44" t="str">
        <f t="shared" si="100"/>
        <v>0</v>
      </c>
      <c r="U2650" s="45">
        <f t="shared" si="101"/>
        <v>0</v>
      </c>
      <c r="V2650" s="46"/>
      <c r="W2650" s="46"/>
      <c r="X2650" s="46"/>
    </row>
    <row r="2651" spans="1:24" ht="15.75" customHeight="1" thickBot="1" x14ac:dyDescent="0.35">
      <c r="A2651" s="40"/>
      <c r="B2651" s="55"/>
      <c r="C2651" s="55"/>
      <c r="D2651" s="41"/>
      <c r="E2651" s="55"/>
      <c r="F2651" s="55"/>
      <c r="G2651" s="55"/>
      <c r="H2651" s="51"/>
      <c r="I2651" s="52"/>
      <c r="J2651" s="74"/>
      <c r="K2651" s="57"/>
      <c r="L2651" s="59"/>
      <c r="M2651" s="60"/>
      <c r="N2651" s="63"/>
      <c r="O2651" s="42"/>
      <c r="P2651" s="58"/>
      <c r="Q2651" s="61"/>
      <c r="R2651" s="62"/>
      <c r="S2651" s="43">
        <f t="shared" si="99"/>
        <v>0</v>
      </c>
      <c r="T2651" s="44" t="str">
        <f t="shared" si="100"/>
        <v>0</v>
      </c>
      <c r="U2651" s="45">
        <f t="shared" si="101"/>
        <v>0</v>
      </c>
      <c r="V2651" s="46"/>
      <c r="W2651" s="46"/>
      <c r="X2651" s="46"/>
    </row>
    <row r="2652" spans="1:24" ht="15.75" customHeight="1" thickBot="1" x14ac:dyDescent="0.35">
      <c r="A2652" s="40"/>
      <c r="B2652" s="55"/>
      <c r="C2652" s="55"/>
      <c r="D2652" s="41"/>
      <c r="E2652" s="55"/>
      <c r="F2652" s="55"/>
      <c r="G2652" s="55"/>
      <c r="H2652" s="51"/>
      <c r="I2652" s="52"/>
      <c r="J2652" s="74"/>
      <c r="K2652" s="57"/>
      <c r="L2652" s="59"/>
      <c r="M2652" s="60"/>
      <c r="N2652" s="63"/>
      <c r="O2652" s="42"/>
      <c r="P2652" s="58"/>
      <c r="Q2652" s="61"/>
      <c r="R2652" s="62"/>
      <c r="S2652" s="43">
        <f t="shared" si="99"/>
        <v>0</v>
      </c>
      <c r="T2652" s="44" t="str">
        <f t="shared" si="100"/>
        <v>0</v>
      </c>
      <c r="U2652" s="45">
        <f t="shared" si="101"/>
        <v>0</v>
      </c>
      <c r="V2652" s="46"/>
      <c r="W2652" s="46"/>
      <c r="X2652" s="46"/>
    </row>
    <row r="2653" spans="1:24" ht="15.75" customHeight="1" thickBot="1" x14ac:dyDescent="0.35">
      <c r="A2653" s="40"/>
      <c r="B2653" s="55"/>
      <c r="C2653" s="55"/>
      <c r="D2653" s="41"/>
      <c r="E2653" s="55"/>
      <c r="F2653" s="55"/>
      <c r="G2653" s="55"/>
      <c r="H2653" s="51"/>
      <c r="I2653" s="52"/>
      <c r="J2653" s="74"/>
      <c r="K2653" s="57"/>
      <c r="L2653" s="59"/>
      <c r="M2653" s="60"/>
      <c r="N2653" s="63"/>
      <c r="O2653" s="42"/>
      <c r="P2653" s="58"/>
      <c r="Q2653" s="61"/>
      <c r="R2653" s="62"/>
      <c r="S2653" s="43">
        <f t="shared" si="99"/>
        <v>0</v>
      </c>
      <c r="T2653" s="44" t="str">
        <f t="shared" si="100"/>
        <v>0</v>
      </c>
      <c r="U2653" s="45">
        <f t="shared" si="101"/>
        <v>0</v>
      </c>
      <c r="V2653" s="46"/>
      <c r="W2653" s="46"/>
      <c r="X2653" s="46"/>
    </row>
    <row r="2654" spans="1:24" ht="15.75" customHeight="1" thickBot="1" x14ac:dyDescent="0.35">
      <c r="A2654" s="40"/>
      <c r="B2654" s="55"/>
      <c r="C2654" s="55"/>
      <c r="D2654" s="41"/>
      <c r="E2654" s="55"/>
      <c r="F2654" s="55"/>
      <c r="G2654" s="55"/>
      <c r="H2654" s="51"/>
      <c r="I2654" s="52"/>
      <c r="J2654" s="74"/>
      <c r="K2654" s="57"/>
      <c r="L2654" s="59"/>
      <c r="M2654" s="60"/>
      <c r="N2654" s="63"/>
      <c r="O2654" s="42"/>
      <c r="P2654" s="58"/>
      <c r="Q2654" s="61"/>
      <c r="R2654" s="62"/>
      <c r="S2654" s="43">
        <f t="shared" si="99"/>
        <v>0</v>
      </c>
      <c r="T2654" s="44" t="str">
        <f t="shared" si="100"/>
        <v>0</v>
      </c>
      <c r="U2654" s="45">
        <f t="shared" si="101"/>
        <v>0</v>
      </c>
      <c r="V2654" s="46"/>
      <c r="W2654" s="46"/>
      <c r="X2654" s="46"/>
    </row>
    <row r="2655" spans="1:24" ht="15.75" customHeight="1" thickBot="1" x14ac:dyDescent="0.35">
      <c r="A2655" s="40"/>
      <c r="B2655" s="55"/>
      <c r="C2655" s="55"/>
      <c r="D2655" s="41"/>
      <c r="E2655" s="55"/>
      <c r="F2655" s="55"/>
      <c r="G2655" s="55"/>
      <c r="H2655" s="51"/>
      <c r="I2655" s="52"/>
      <c r="J2655" s="74"/>
      <c r="K2655" s="57"/>
      <c r="L2655" s="59"/>
      <c r="M2655" s="60"/>
      <c r="N2655" s="63"/>
      <c r="O2655" s="42"/>
      <c r="P2655" s="58"/>
      <c r="Q2655" s="61"/>
      <c r="R2655" s="62"/>
      <c r="S2655" s="43">
        <f t="shared" si="99"/>
        <v>0</v>
      </c>
      <c r="T2655" s="44" t="str">
        <f t="shared" si="100"/>
        <v>0</v>
      </c>
      <c r="U2655" s="45">
        <f t="shared" si="101"/>
        <v>0</v>
      </c>
      <c r="V2655" s="46"/>
      <c r="W2655" s="46"/>
      <c r="X2655" s="46"/>
    </row>
    <row r="2656" spans="1:24" ht="15.75" customHeight="1" thickBot="1" x14ac:dyDescent="0.35">
      <c r="A2656" s="40"/>
      <c r="B2656" s="55"/>
      <c r="C2656" s="55"/>
      <c r="D2656" s="41"/>
      <c r="E2656" s="55"/>
      <c r="F2656" s="55"/>
      <c r="G2656" s="55"/>
      <c r="H2656" s="51"/>
      <c r="I2656" s="52"/>
      <c r="J2656" s="74"/>
      <c r="K2656" s="57"/>
      <c r="L2656" s="59"/>
      <c r="M2656" s="60"/>
      <c r="N2656" s="63"/>
      <c r="O2656" s="42"/>
      <c r="P2656" s="58"/>
      <c r="Q2656" s="61"/>
      <c r="R2656" s="62"/>
      <c r="S2656" s="43">
        <f t="shared" si="99"/>
        <v>0</v>
      </c>
      <c r="T2656" s="44" t="str">
        <f t="shared" si="100"/>
        <v>0</v>
      </c>
      <c r="U2656" s="45">
        <f t="shared" si="101"/>
        <v>0</v>
      </c>
      <c r="V2656" s="46"/>
      <c r="W2656" s="46"/>
      <c r="X2656" s="46"/>
    </row>
    <row r="2657" spans="1:24" ht="15.75" customHeight="1" thickBot="1" x14ac:dyDescent="0.35">
      <c r="A2657" s="40"/>
      <c r="B2657" s="55"/>
      <c r="C2657" s="55"/>
      <c r="D2657" s="41"/>
      <c r="E2657" s="55"/>
      <c r="F2657" s="55"/>
      <c r="G2657" s="55"/>
      <c r="H2657" s="51"/>
      <c r="I2657" s="52"/>
      <c r="J2657" s="74"/>
      <c r="K2657" s="57"/>
      <c r="L2657" s="59"/>
      <c r="M2657" s="60"/>
      <c r="N2657" s="63"/>
      <c r="O2657" s="42"/>
      <c r="P2657" s="58"/>
      <c r="Q2657" s="61"/>
      <c r="R2657" s="62"/>
      <c r="S2657" s="43">
        <f t="shared" si="99"/>
        <v>0</v>
      </c>
      <c r="T2657" s="44" t="str">
        <f t="shared" si="100"/>
        <v>0</v>
      </c>
      <c r="U2657" s="45">
        <f t="shared" si="101"/>
        <v>0</v>
      </c>
      <c r="V2657" s="46"/>
      <c r="W2657" s="46"/>
      <c r="X2657" s="46"/>
    </row>
    <row r="2658" spans="1:24" ht="15.75" customHeight="1" thickBot="1" x14ac:dyDescent="0.35">
      <c r="A2658" s="40"/>
      <c r="B2658" s="55"/>
      <c r="C2658" s="55"/>
      <c r="D2658" s="41"/>
      <c r="E2658" s="55"/>
      <c r="F2658" s="55"/>
      <c r="G2658" s="55"/>
      <c r="H2658" s="51"/>
      <c r="I2658" s="52"/>
      <c r="J2658" s="74"/>
      <c r="K2658" s="57"/>
      <c r="L2658" s="59"/>
      <c r="M2658" s="60"/>
      <c r="N2658" s="63"/>
      <c r="O2658" s="42"/>
      <c r="P2658" s="58"/>
      <c r="Q2658" s="61"/>
      <c r="R2658" s="62"/>
      <c r="S2658" s="43">
        <f t="shared" si="99"/>
        <v>0</v>
      </c>
      <c r="T2658" s="44" t="str">
        <f t="shared" si="100"/>
        <v>0</v>
      </c>
      <c r="U2658" s="45">
        <f t="shared" si="101"/>
        <v>0</v>
      </c>
      <c r="V2658" s="46"/>
      <c r="W2658" s="46"/>
      <c r="X2658" s="46"/>
    </row>
    <row r="2659" spans="1:24" ht="15.75" customHeight="1" thickBot="1" x14ac:dyDescent="0.35">
      <c r="A2659" s="40"/>
      <c r="B2659" s="55"/>
      <c r="C2659" s="55"/>
      <c r="D2659" s="41"/>
      <c r="E2659" s="55"/>
      <c r="F2659" s="55"/>
      <c r="G2659" s="55"/>
      <c r="H2659" s="51"/>
      <c r="I2659" s="52"/>
      <c r="J2659" s="74"/>
      <c r="K2659" s="57"/>
      <c r="L2659" s="59"/>
      <c r="M2659" s="60"/>
      <c r="N2659" s="63"/>
      <c r="O2659" s="42"/>
      <c r="P2659" s="58"/>
      <c r="Q2659" s="61"/>
      <c r="R2659" s="62"/>
      <c r="S2659" s="43">
        <f t="shared" si="99"/>
        <v>0</v>
      </c>
      <c r="T2659" s="44" t="str">
        <f t="shared" si="100"/>
        <v>0</v>
      </c>
      <c r="U2659" s="45">
        <f t="shared" si="101"/>
        <v>0</v>
      </c>
      <c r="V2659" s="46"/>
      <c r="W2659" s="46"/>
      <c r="X2659" s="46"/>
    </row>
    <row r="2660" spans="1:24" ht="15.75" customHeight="1" thickBot="1" x14ac:dyDescent="0.35">
      <c r="A2660" s="40"/>
      <c r="B2660" s="55"/>
      <c r="C2660" s="55"/>
      <c r="D2660" s="41"/>
      <c r="E2660" s="55"/>
      <c r="F2660" s="55"/>
      <c r="G2660" s="55"/>
      <c r="H2660" s="51"/>
      <c r="I2660" s="52"/>
      <c r="J2660" s="74"/>
      <c r="K2660" s="57"/>
      <c r="L2660" s="59"/>
      <c r="M2660" s="60"/>
      <c r="N2660" s="63"/>
      <c r="O2660" s="42"/>
      <c r="P2660" s="58"/>
      <c r="Q2660" s="61"/>
      <c r="R2660" s="62"/>
      <c r="S2660" s="43">
        <f t="shared" si="99"/>
        <v>0</v>
      </c>
      <c r="T2660" s="44" t="str">
        <f t="shared" si="100"/>
        <v>0</v>
      </c>
      <c r="U2660" s="45">
        <f t="shared" si="101"/>
        <v>0</v>
      </c>
      <c r="V2660" s="46"/>
      <c r="W2660" s="46"/>
      <c r="X2660" s="46"/>
    </row>
    <row r="2661" spans="1:24" ht="15.75" customHeight="1" thickBot="1" x14ac:dyDescent="0.35">
      <c r="A2661" s="40"/>
      <c r="B2661" s="55"/>
      <c r="C2661" s="55"/>
      <c r="D2661" s="41"/>
      <c r="E2661" s="55"/>
      <c r="F2661" s="55"/>
      <c r="G2661" s="55"/>
      <c r="H2661" s="51"/>
      <c r="I2661" s="52"/>
      <c r="J2661" s="74"/>
      <c r="K2661" s="57"/>
      <c r="L2661" s="59"/>
      <c r="M2661" s="60"/>
      <c r="N2661" s="63"/>
      <c r="O2661" s="42"/>
      <c r="P2661" s="58"/>
      <c r="Q2661" s="61"/>
      <c r="R2661" s="62"/>
      <c r="S2661" s="43">
        <f t="shared" si="99"/>
        <v>0</v>
      </c>
      <c r="T2661" s="44" t="str">
        <f t="shared" si="100"/>
        <v>0</v>
      </c>
      <c r="U2661" s="45">
        <f t="shared" si="101"/>
        <v>0</v>
      </c>
      <c r="V2661" s="46"/>
      <c r="W2661" s="46"/>
      <c r="X2661" s="46"/>
    </row>
    <row r="2662" spans="1:24" ht="15.75" customHeight="1" thickBot="1" x14ac:dyDescent="0.35">
      <c r="A2662" s="40"/>
      <c r="B2662" s="55"/>
      <c r="C2662" s="55"/>
      <c r="D2662" s="41"/>
      <c r="E2662" s="55"/>
      <c r="F2662" s="55"/>
      <c r="G2662" s="55"/>
      <c r="H2662" s="51"/>
      <c r="I2662" s="52"/>
      <c r="J2662" s="74"/>
      <c r="K2662" s="57"/>
      <c r="L2662" s="59"/>
      <c r="M2662" s="60"/>
      <c r="N2662" s="63"/>
      <c r="O2662" s="42"/>
      <c r="P2662" s="58"/>
      <c r="Q2662" s="61"/>
      <c r="R2662" s="62"/>
      <c r="S2662" s="43">
        <f t="shared" si="99"/>
        <v>0</v>
      </c>
      <c r="T2662" s="44" t="str">
        <f t="shared" si="100"/>
        <v>0</v>
      </c>
      <c r="U2662" s="45">
        <f t="shared" si="101"/>
        <v>0</v>
      </c>
      <c r="V2662" s="46"/>
      <c r="W2662" s="46"/>
      <c r="X2662" s="46"/>
    </row>
    <row r="2663" spans="1:24" ht="15.75" customHeight="1" thickBot="1" x14ac:dyDescent="0.35">
      <c r="A2663" s="40"/>
      <c r="B2663" s="55"/>
      <c r="C2663" s="55"/>
      <c r="D2663" s="41"/>
      <c r="E2663" s="55"/>
      <c r="F2663" s="55"/>
      <c r="G2663" s="55"/>
      <c r="H2663" s="51"/>
      <c r="I2663" s="52"/>
      <c r="J2663" s="74"/>
      <c r="K2663" s="57"/>
      <c r="L2663" s="59"/>
      <c r="M2663" s="60"/>
      <c r="N2663" s="63"/>
      <c r="O2663" s="42"/>
      <c r="P2663" s="58"/>
      <c r="Q2663" s="61"/>
      <c r="R2663" s="62"/>
      <c r="S2663" s="43">
        <f t="shared" si="99"/>
        <v>0</v>
      </c>
      <c r="T2663" s="44" t="str">
        <f t="shared" si="100"/>
        <v>0</v>
      </c>
      <c r="U2663" s="45">
        <f t="shared" si="101"/>
        <v>0</v>
      </c>
      <c r="V2663" s="46"/>
      <c r="W2663" s="46"/>
      <c r="X2663" s="46"/>
    </row>
    <row r="2664" spans="1:24" ht="15.75" customHeight="1" thickBot="1" x14ac:dyDescent="0.35">
      <c r="A2664" s="40"/>
      <c r="B2664" s="55"/>
      <c r="C2664" s="55"/>
      <c r="D2664" s="41"/>
      <c r="E2664" s="55"/>
      <c r="F2664" s="55"/>
      <c r="G2664" s="55"/>
      <c r="H2664" s="51"/>
      <c r="I2664" s="52"/>
      <c r="J2664" s="74"/>
      <c r="K2664" s="57"/>
      <c r="L2664" s="59"/>
      <c r="M2664" s="60"/>
      <c r="N2664" s="63"/>
      <c r="O2664" s="42"/>
      <c r="P2664" s="58"/>
      <c r="Q2664" s="61"/>
      <c r="R2664" s="62"/>
      <c r="S2664" s="43">
        <f t="shared" si="99"/>
        <v>0</v>
      </c>
      <c r="T2664" s="44" t="str">
        <f t="shared" si="100"/>
        <v>0</v>
      </c>
      <c r="U2664" s="45">
        <f t="shared" si="101"/>
        <v>0</v>
      </c>
      <c r="V2664" s="46"/>
      <c r="W2664" s="46"/>
      <c r="X2664" s="46"/>
    </row>
    <row r="2665" spans="1:24" ht="15.75" customHeight="1" thickBot="1" x14ac:dyDescent="0.35">
      <c r="A2665" s="40"/>
      <c r="B2665" s="55"/>
      <c r="C2665" s="55"/>
      <c r="D2665" s="41"/>
      <c r="E2665" s="55"/>
      <c r="F2665" s="55"/>
      <c r="G2665" s="55"/>
      <c r="H2665" s="51"/>
      <c r="I2665" s="52"/>
      <c r="J2665" s="74"/>
      <c r="K2665" s="57"/>
      <c r="L2665" s="59"/>
      <c r="M2665" s="60"/>
      <c r="N2665" s="63"/>
      <c r="O2665" s="42"/>
      <c r="P2665" s="58"/>
      <c r="Q2665" s="61"/>
      <c r="R2665" s="62"/>
      <c r="S2665" s="43">
        <f t="shared" si="99"/>
        <v>0</v>
      </c>
      <c r="T2665" s="44" t="str">
        <f t="shared" si="100"/>
        <v>0</v>
      </c>
      <c r="U2665" s="45">
        <f t="shared" si="101"/>
        <v>0</v>
      </c>
      <c r="V2665" s="46"/>
      <c r="W2665" s="46"/>
      <c r="X2665" s="46"/>
    </row>
    <row r="2666" spans="1:24" ht="15.75" customHeight="1" thickBot="1" x14ac:dyDescent="0.35">
      <c r="A2666" s="40"/>
      <c r="B2666" s="55"/>
      <c r="C2666" s="55"/>
      <c r="D2666" s="41"/>
      <c r="E2666" s="55"/>
      <c r="F2666" s="55"/>
      <c r="G2666" s="55"/>
      <c r="H2666" s="51"/>
      <c r="I2666" s="52"/>
      <c r="J2666" s="74"/>
      <c r="K2666" s="57"/>
      <c r="L2666" s="59"/>
      <c r="M2666" s="60"/>
      <c r="N2666" s="63"/>
      <c r="O2666" s="42"/>
      <c r="P2666" s="58"/>
      <c r="Q2666" s="61"/>
      <c r="R2666" s="62"/>
      <c r="S2666" s="43">
        <f t="shared" si="99"/>
        <v>0</v>
      </c>
      <c r="T2666" s="44" t="str">
        <f t="shared" si="100"/>
        <v>0</v>
      </c>
      <c r="U2666" s="45">
        <f t="shared" si="101"/>
        <v>0</v>
      </c>
      <c r="V2666" s="46"/>
      <c r="W2666" s="46"/>
      <c r="X2666" s="46"/>
    </row>
    <row r="2667" spans="1:24" ht="15.75" customHeight="1" thickBot="1" x14ac:dyDescent="0.35">
      <c r="A2667" s="40"/>
      <c r="B2667" s="55"/>
      <c r="C2667" s="55"/>
      <c r="D2667" s="41"/>
      <c r="E2667" s="55"/>
      <c r="F2667" s="55"/>
      <c r="G2667" s="55"/>
      <c r="H2667" s="51"/>
      <c r="I2667" s="52"/>
      <c r="J2667" s="74"/>
      <c r="K2667" s="57"/>
      <c r="L2667" s="59"/>
      <c r="M2667" s="60"/>
      <c r="N2667" s="63"/>
      <c r="O2667" s="42"/>
      <c r="P2667" s="58"/>
      <c r="Q2667" s="61"/>
      <c r="R2667" s="62"/>
      <c r="S2667" s="43">
        <f t="shared" si="99"/>
        <v>0</v>
      </c>
      <c r="T2667" s="44" t="str">
        <f t="shared" si="100"/>
        <v>0</v>
      </c>
      <c r="U2667" s="45">
        <f t="shared" si="101"/>
        <v>0</v>
      </c>
      <c r="V2667" s="46"/>
      <c r="W2667" s="46"/>
      <c r="X2667" s="46"/>
    </row>
    <row r="2668" spans="1:24" ht="15.75" customHeight="1" thickBot="1" x14ac:dyDescent="0.35">
      <c r="A2668" s="40"/>
      <c r="B2668" s="55"/>
      <c r="C2668" s="55"/>
      <c r="D2668" s="41"/>
      <c r="E2668" s="55"/>
      <c r="F2668" s="55"/>
      <c r="G2668" s="55"/>
      <c r="H2668" s="51"/>
      <c r="I2668" s="52"/>
      <c r="J2668" s="74"/>
      <c r="K2668" s="57"/>
      <c r="L2668" s="59"/>
      <c r="M2668" s="60"/>
      <c r="N2668" s="63"/>
      <c r="O2668" s="42"/>
      <c r="P2668" s="58"/>
      <c r="Q2668" s="61"/>
      <c r="R2668" s="62"/>
      <c r="S2668" s="43">
        <f t="shared" si="99"/>
        <v>0</v>
      </c>
      <c r="T2668" s="44" t="str">
        <f t="shared" si="100"/>
        <v>0</v>
      </c>
      <c r="U2668" s="45">
        <f t="shared" si="101"/>
        <v>0</v>
      </c>
      <c r="V2668" s="46"/>
      <c r="W2668" s="46"/>
      <c r="X2668" s="46"/>
    </row>
    <row r="2669" spans="1:24" ht="15.75" customHeight="1" thickBot="1" x14ac:dyDescent="0.35">
      <c r="A2669" s="40"/>
      <c r="B2669" s="55"/>
      <c r="C2669" s="55"/>
      <c r="D2669" s="41"/>
      <c r="E2669" s="55"/>
      <c r="F2669" s="55"/>
      <c r="G2669" s="55"/>
      <c r="H2669" s="51"/>
      <c r="I2669" s="52"/>
      <c r="J2669" s="74"/>
      <c r="K2669" s="57"/>
      <c r="L2669" s="59"/>
      <c r="M2669" s="60"/>
      <c r="N2669" s="63"/>
      <c r="O2669" s="42"/>
      <c r="P2669" s="58"/>
      <c r="Q2669" s="61"/>
      <c r="R2669" s="62"/>
      <c r="S2669" s="43">
        <f t="shared" si="99"/>
        <v>0</v>
      </c>
      <c r="T2669" s="44" t="str">
        <f t="shared" si="100"/>
        <v>0</v>
      </c>
      <c r="U2669" s="45">
        <f t="shared" si="101"/>
        <v>0</v>
      </c>
      <c r="V2669" s="46"/>
      <c r="W2669" s="46"/>
      <c r="X2669" s="46"/>
    </row>
    <row r="2670" spans="1:24" ht="15.75" customHeight="1" thickBot="1" x14ac:dyDescent="0.35">
      <c r="A2670" s="40"/>
      <c r="B2670" s="55"/>
      <c r="C2670" s="55"/>
      <c r="D2670" s="41"/>
      <c r="E2670" s="55"/>
      <c r="F2670" s="55"/>
      <c r="G2670" s="55"/>
      <c r="H2670" s="51"/>
      <c r="I2670" s="52"/>
      <c r="J2670" s="74"/>
      <c r="K2670" s="57"/>
      <c r="L2670" s="59"/>
      <c r="M2670" s="60"/>
      <c r="N2670" s="63"/>
      <c r="O2670" s="42"/>
      <c r="P2670" s="58"/>
      <c r="Q2670" s="61"/>
      <c r="R2670" s="62"/>
      <c r="S2670" s="43">
        <f t="shared" si="99"/>
        <v>0</v>
      </c>
      <c r="T2670" s="44" t="str">
        <f t="shared" si="100"/>
        <v>0</v>
      </c>
      <c r="U2670" s="45">
        <f t="shared" si="101"/>
        <v>0</v>
      </c>
      <c r="V2670" s="46"/>
      <c r="W2670" s="46"/>
      <c r="X2670" s="46"/>
    </row>
    <row r="2671" spans="1:24" ht="15.75" customHeight="1" thickBot="1" x14ac:dyDescent="0.35">
      <c r="A2671" s="40"/>
      <c r="B2671" s="55"/>
      <c r="C2671" s="55"/>
      <c r="D2671" s="41"/>
      <c r="E2671" s="55"/>
      <c r="F2671" s="55"/>
      <c r="G2671" s="55"/>
      <c r="H2671" s="51"/>
      <c r="I2671" s="52"/>
      <c r="J2671" s="74"/>
      <c r="K2671" s="57"/>
      <c r="L2671" s="59"/>
      <c r="M2671" s="60"/>
      <c r="N2671" s="63"/>
      <c r="O2671" s="42"/>
      <c r="P2671" s="58"/>
      <c r="Q2671" s="61"/>
      <c r="R2671" s="62"/>
      <c r="S2671" s="43">
        <f t="shared" si="99"/>
        <v>0</v>
      </c>
      <c r="T2671" s="44" t="str">
        <f t="shared" si="100"/>
        <v>0</v>
      </c>
      <c r="U2671" s="45">
        <f t="shared" si="101"/>
        <v>0</v>
      </c>
      <c r="V2671" s="46"/>
      <c r="W2671" s="46"/>
      <c r="X2671" s="46"/>
    </row>
    <row r="2672" spans="1:24" ht="15.75" customHeight="1" thickBot="1" x14ac:dyDescent="0.35">
      <c r="A2672" s="40"/>
      <c r="B2672" s="55"/>
      <c r="C2672" s="55"/>
      <c r="D2672" s="41"/>
      <c r="E2672" s="55"/>
      <c r="F2672" s="55"/>
      <c r="G2672" s="55"/>
      <c r="H2672" s="51"/>
      <c r="I2672" s="52"/>
      <c r="J2672" s="74"/>
      <c r="K2672" s="57"/>
      <c r="L2672" s="59"/>
      <c r="M2672" s="60"/>
      <c r="N2672" s="63"/>
      <c r="O2672" s="42"/>
      <c r="P2672" s="58"/>
      <c r="Q2672" s="61"/>
      <c r="R2672" s="62"/>
      <c r="S2672" s="43">
        <f t="shared" si="99"/>
        <v>0</v>
      </c>
      <c r="T2672" s="44" t="str">
        <f t="shared" si="100"/>
        <v>0</v>
      </c>
      <c r="U2672" s="45">
        <f t="shared" si="101"/>
        <v>0</v>
      </c>
      <c r="V2672" s="46"/>
      <c r="W2672" s="46"/>
      <c r="X2672" s="46"/>
    </row>
    <row r="2673" spans="1:24" ht="15.75" customHeight="1" thickBot="1" x14ac:dyDescent="0.35">
      <c r="A2673" s="40"/>
      <c r="B2673" s="55"/>
      <c r="C2673" s="55"/>
      <c r="D2673" s="41"/>
      <c r="E2673" s="55"/>
      <c r="F2673" s="55"/>
      <c r="G2673" s="55"/>
      <c r="H2673" s="51"/>
      <c r="I2673" s="52"/>
      <c r="J2673" s="74"/>
      <c r="K2673" s="57"/>
      <c r="L2673" s="59"/>
      <c r="M2673" s="60"/>
      <c r="N2673" s="63"/>
      <c r="O2673" s="42"/>
      <c r="P2673" s="58"/>
      <c r="Q2673" s="61"/>
      <c r="R2673" s="62"/>
      <c r="S2673" s="43">
        <f t="shared" si="99"/>
        <v>0</v>
      </c>
      <c r="T2673" s="44" t="str">
        <f t="shared" si="100"/>
        <v>0</v>
      </c>
      <c r="U2673" s="45">
        <f t="shared" si="101"/>
        <v>0</v>
      </c>
      <c r="V2673" s="46"/>
      <c r="W2673" s="46"/>
      <c r="X2673" s="46"/>
    </row>
    <row r="2674" spans="1:24" ht="15.75" customHeight="1" thickBot="1" x14ac:dyDescent="0.35">
      <c r="A2674" s="40"/>
      <c r="B2674" s="55"/>
      <c r="C2674" s="55"/>
      <c r="D2674" s="41"/>
      <c r="E2674" s="55"/>
      <c r="F2674" s="55"/>
      <c r="G2674" s="55"/>
      <c r="H2674" s="51"/>
      <c r="I2674" s="52"/>
      <c r="J2674" s="74"/>
      <c r="K2674" s="57"/>
      <c r="L2674" s="59"/>
      <c r="M2674" s="60"/>
      <c r="N2674" s="63"/>
      <c r="O2674" s="42"/>
      <c r="P2674" s="58"/>
      <c r="Q2674" s="61"/>
      <c r="R2674" s="62"/>
      <c r="S2674" s="43">
        <f t="shared" si="99"/>
        <v>0</v>
      </c>
      <c r="T2674" s="44" t="str">
        <f t="shared" si="100"/>
        <v>0</v>
      </c>
      <c r="U2674" s="45">
        <f t="shared" si="101"/>
        <v>0</v>
      </c>
      <c r="V2674" s="46"/>
      <c r="W2674" s="46"/>
      <c r="X2674" s="46"/>
    </row>
    <row r="2675" spans="1:24" ht="15.75" customHeight="1" thickBot="1" x14ac:dyDescent="0.35">
      <c r="A2675" s="40"/>
      <c r="B2675" s="55"/>
      <c r="C2675" s="55"/>
      <c r="D2675" s="41"/>
      <c r="E2675" s="55"/>
      <c r="F2675" s="55"/>
      <c r="G2675" s="55"/>
      <c r="H2675" s="51"/>
      <c r="I2675" s="52"/>
      <c r="J2675" s="74"/>
      <c r="K2675" s="57"/>
      <c r="L2675" s="59"/>
      <c r="M2675" s="60"/>
      <c r="N2675" s="63"/>
      <c r="O2675" s="42"/>
      <c r="P2675" s="58"/>
      <c r="Q2675" s="61"/>
      <c r="R2675" s="62"/>
      <c r="S2675" s="43">
        <f t="shared" si="99"/>
        <v>0</v>
      </c>
      <c r="T2675" s="44" t="str">
        <f t="shared" si="100"/>
        <v>0</v>
      </c>
      <c r="U2675" s="45">
        <f t="shared" si="101"/>
        <v>0</v>
      </c>
      <c r="V2675" s="46"/>
      <c r="W2675" s="46"/>
      <c r="X2675" s="46"/>
    </row>
    <row r="2676" spans="1:24" ht="15.75" customHeight="1" thickBot="1" x14ac:dyDescent="0.35">
      <c r="A2676" s="40"/>
      <c r="B2676" s="55"/>
      <c r="C2676" s="55"/>
      <c r="D2676" s="41"/>
      <c r="E2676" s="55"/>
      <c r="F2676" s="55"/>
      <c r="G2676" s="55"/>
      <c r="H2676" s="51"/>
      <c r="I2676" s="52"/>
      <c r="J2676" s="74"/>
      <c r="K2676" s="57"/>
      <c r="L2676" s="59"/>
      <c r="M2676" s="60"/>
      <c r="N2676" s="63"/>
      <c r="O2676" s="42"/>
      <c r="P2676" s="58"/>
      <c r="Q2676" s="61"/>
      <c r="R2676" s="62"/>
      <c r="S2676" s="43">
        <f t="shared" si="99"/>
        <v>0</v>
      </c>
      <c r="T2676" s="44" t="str">
        <f t="shared" si="100"/>
        <v>0</v>
      </c>
      <c r="U2676" s="45">
        <f t="shared" si="101"/>
        <v>0</v>
      </c>
      <c r="V2676" s="46"/>
      <c r="W2676" s="46"/>
      <c r="X2676" s="46"/>
    </row>
    <row r="2677" spans="1:24" ht="15.75" customHeight="1" thickBot="1" x14ac:dyDescent="0.35">
      <c r="A2677" s="40"/>
      <c r="B2677" s="55"/>
      <c r="C2677" s="55"/>
      <c r="D2677" s="41"/>
      <c r="E2677" s="55"/>
      <c r="F2677" s="55"/>
      <c r="G2677" s="55"/>
      <c r="H2677" s="51"/>
      <c r="I2677" s="52"/>
      <c r="J2677" s="74"/>
      <c r="K2677" s="57"/>
      <c r="L2677" s="59"/>
      <c r="M2677" s="60"/>
      <c r="N2677" s="63"/>
      <c r="O2677" s="42"/>
      <c r="P2677" s="58"/>
      <c r="Q2677" s="61"/>
      <c r="R2677" s="62"/>
      <c r="S2677" s="43">
        <f t="shared" si="99"/>
        <v>0</v>
      </c>
      <c r="T2677" s="44" t="str">
        <f t="shared" si="100"/>
        <v>0</v>
      </c>
      <c r="U2677" s="45">
        <f t="shared" si="101"/>
        <v>0</v>
      </c>
      <c r="V2677" s="46"/>
      <c r="W2677" s="46"/>
      <c r="X2677" s="46"/>
    </row>
    <row r="2678" spans="1:24" ht="15.75" customHeight="1" thickBot="1" x14ac:dyDescent="0.35">
      <c r="A2678" s="40"/>
      <c r="B2678" s="55"/>
      <c r="C2678" s="55"/>
      <c r="D2678" s="41"/>
      <c r="E2678" s="55"/>
      <c r="F2678" s="55"/>
      <c r="G2678" s="55"/>
      <c r="H2678" s="51"/>
      <c r="I2678" s="52"/>
      <c r="J2678" s="74"/>
      <c r="K2678" s="57"/>
      <c r="L2678" s="59"/>
      <c r="M2678" s="60"/>
      <c r="N2678" s="63"/>
      <c r="O2678" s="42"/>
      <c r="P2678" s="58"/>
      <c r="Q2678" s="61"/>
      <c r="R2678" s="62"/>
      <c r="S2678" s="43">
        <f t="shared" si="99"/>
        <v>0</v>
      </c>
      <c r="T2678" s="44" t="str">
        <f t="shared" si="100"/>
        <v>0</v>
      </c>
      <c r="U2678" s="45">
        <f t="shared" si="101"/>
        <v>0</v>
      </c>
      <c r="V2678" s="46"/>
      <c r="W2678" s="46"/>
      <c r="X2678" s="46"/>
    </row>
    <row r="2679" spans="1:24" ht="15.75" customHeight="1" thickBot="1" x14ac:dyDescent="0.35">
      <c r="A2679" s="40"/>
      <c r="B2679" s="55"/>
      <c r="C2679" s="55"/>
      <c r="D2679" s="41"/>
      <c r="E2679" s="55"/>
      <c r="F2679" s="55"/>
      <c r="G2679" s="55"/>
      <c r="H2679" s="51"/>
      <c r="I2679" s="52"/>
      <c r="J2679" s="74"/>
      <c r="K2679" s="57"/>
      <c r="L2679" s="59"/>
      <c r="M2679" s="60"/>
      <c r="N2679" s="63"/>
      <c r="O2679" s="42"/>
      <c r="P2679" s="58"/>
      <c r="Q2679" s="61"/>
      <c r="R2679" s="62"/>
      <c r="S2679" s="43">
        <f t="shared" si="99"/>
        <v>0</v>
      </c>
      <c r="T2679" s="44" t="str">
        <f t="shared" si="100"/>
        <v>0</v>
      </c>
      <c r="U2679" s="45">
        <f t="shared" si="101"/>
        <v>0</v>
      </c>
      <c r="V2679" s="46"/>
      <c r="W2679" s="46"/>
      <c r="X2679" s="46"/>
    </row>
    <row r="2680" spans="1:24" ht="15.75" customHeight="1" thickBot="1" x14ac:dyDescent="0.35">
      <c r="A2680" s="40"/>
      <c r="B2680" s="55"/>
      <c r="C2680" s="55"/>
      <c r="D2680" s="41"/>
      <c r="E2680" s="55"/>
      <c r="F2680" s="55"/>
      <c r="G2680" s="55"/>
      <c r="H2680" s="51"/>
      <c r="I2680" s="52"/>
      <c r="J2680" s="74"/>
      <c r="K2680" s="57"/>
      <c r="L2680" s="59"/>
      <c r="M2680" s="60"/>
      <c r="N2680" s="63"/>
      <c r="O2680" s="42"/>
      <c r="P2680" s="58"/>
      <c r="Q2680" s="61"/>
      <c r="R2680" s="62"/>
      <c r="S2680" s="43">
        <f t="shared" si="99"/>
        <v>0</v>
      </c>
      <c r="T2680" s="44" t="str">
        <f t="shared" si="100"/>
        <v>0</v>
      </c>
      <c r="U2680" s="45">
        <f t="shared" si="101"/>
        <v>0</v>
      </c>
      <c r="V2680" s="46"/>
      <c r="W2680" s="46"/>
      <c r="X2680" s="46"/>
    </row>
    <row r="2681" spans="1:24" ht="15.75" customHeight="1" thickBot="1" x14ac:dyDescent="0.35">
      <c r="A2681" s="40"/>
      <c r="B2681" s="55"/>
      <c r="C2681" s="55"/>
      <c r="D2681" s="41"/>
      <c r="E2681" s="55"/>
      <c r="F2681" s="55"/>
      <c r="G2681" s="55"/>
      <c r="H2681" s="51"/>
      <c r="I2681" s="52"/>
      <c r="J2681" s="74"/>
      <c r="K2681" s="57"/>
      <c r="L2681" s="59"/>
      <c r="M2681" s="60"/>
      <c r="N2681" s="63"/>
      <c r="O2681" s="42"/>
      <c r="P2681" s="58"/>
      <c r="Q2681" s="61"/>
      <c r="R2681" s="62"/>
      <c r="S2681" s="43">
        <f t="shared" si="99"/>
        <v>0</v>
      </c>
      <c r="T2681" s="44" t="str">
        <f t="shared" si="100"/>
        <v>0</v>
      </c>
      <c r="U2681" s="45">
        <f t="shared" si="101"/>
        <v>0</v>
      </c>
      <c r="V2681" s="46"/>
      <c r="W2681" s="46"/>
      <c r="X2681" s="46"/>
    </row>
    <row r="2682" spans="1:24" ht="15.75" customHeight="1" thickBot="1" x14ac:dyDescent="0.35">
      <c r="A2682" s="40"/>
      <c r="B2682" s="55"/>
      <c r="C2682" s="55"/>
      <c r="D2682" s="41"/>
      <c r="E2682" s="55"/>
      <c r="F2682" s="55"/>
      <c r="G2682" s="55"/>
      <c r="H2682" s="51"/>
      <c r="I2682" s="52"/>
      <c r="J2682" s="74"/>
      <c r="K2682" s="57"/>
      <c r="L2682" s="59"/>
      <c r="M2682" s="60"/>
      <c r="N2682" s="63"/>
      <c r="O2682" s="42"/>
      <c r="P2682" s="58"/>
      <c r="Q2682" s="61"/>
      <c r="R2682" s="62"/>
      <c r="S2682" s="43">
        <f t="shared" si="99"/>
        <v>0</v>
      </c>
      <c r="T2682" s="44" t="str">
        <f t="shared" si="100"/>
        <v>0</v>
      </c>
      <c r="U2682" s="45">
        <f t="shared" si="101"/>
        <v>0</v>
      </c>
      <c r="V2682" s="46"/>
      <c r="W2682" s="46"/>
      <c r="X2682" s="46"/>
    </row>
    <row r="2683" spans="1:24" ht="15.75" customHeight="1" thickBot="1" x14ac:dyDescent="0.35">
      <c r="A2683" s="40"/>
      <c r="B2683" s="55"/>
      <c r="C2683" s="55"/>
      <c r="D2683" s="41"/>
      <c r="E2683" s="55"/>
      <c r="F2683" s="55"/>
      <c r="G2683" s="55"/>
      <c r="H2683" s="51"/>
      <c r="I2683" s="52"/>
      <c r="J2683" s="74"/>
      <c r="K2683" s="57"/>
      <c r="L2683" s="59"/>
      <c r="M2683" s="60"/>
      <c r="N2683" s="63"/>
      <c r="O2683" s="42"/>
      <c r="P2683" s="58"/>
      <c r="Q2683" s="61"/>
      <c r="R2683" s="62"/>
      <c r="S2683" s="43">
        <f t="shared" si="99"/>
        <v>0</v>
      </c>
      <c r="T2683" s="44" t="str">
        <f t="shared" si="100"/>
        <v>0</v>
      </c>
      <c r="U2683" s="45">
        <f t="shared" si="101"/>
        <v>0</v>
      </c>
      <c r="V2683" s="46"/>
      <c r="W2683" s="46"/>
      <c r="X2683" s="46"/>
    </row>
    <row r="2684" spans="1:24" ht="15.75" customHeight="1" thickBot="1" x14ac:dyDescent="0.35">
      <c r="A2684" s="40"/>
      <c r="B2684" s="55"/>
      <c r="C2684" s="55"/>
      <c r="D2684" s="41"/>
      <c r="E2684" s="55"/>
      <c r="F2684" s="55"/>
      <c r="G2684" s="55"/>
      <c r="H2684" s="51"/>
      <c r="I2684" s="52"/>
      <c r="J2684" s="74"/>
      <c r="K2684" s="57"/>
      <c r="L2684" s="59"/>
      <c r="M2684" s="60"/>
      <c r="N2684" s="63"/>
      <c r="O2684" s="42"/>
      <c r="P2684" s="58"/>
      <c r="Q2684" s="61"/>
      <c r="R2684" s="62"/>
      <c r="S2684" s="43">
        <f t="shared" si="99"/>
        <v>0</v>
      </c>
      <c r="T2684" s="44" t="str">
        <f t="shared" si="100"/>
        <v>0</v>
      </c>
      <c r="U2684" s="45">
        <f t="shared" si="101"/>
        <v>0</v>
      </c>
      <c r="V2684" s="46"/>
      <c r="W2684" s="46"/>
      <c r="X2684" s="46"/>
    </row>
    <row r="2685" spans="1:24" ht="15.75" customHeight="1" thickBot="1" x14ac:dyDescent="0.35">
      <c r="A2685" s="40"/>
      <c r="B2685" s="55"/>
      <c r="C2685" s="55"/>
      <c r="D2685" s="41"/>
      <c r="E2685" s="55"/>
      <c r="F2685" s="55"/>
      <c r="G2685" s="55"/>
      <c r="H2685" s="51"/>
      <c r="I2685" s="52"/>
      <c r="J2685" s="74"/>
      <c r="K2685" s="57"/>
      <c r="L2685" s="59"/>
      <c r="M2685" s="60"/>
      <c r="N2685" s="63"/>
      <c r="O2685" s="42"/>
      <c r="P2685" s="58"/>
      <c r="Q2685" s="61"/>
      <c r="R2685" s="62"/>
      <c r="S2685" s="43">
        <f t="shared" si="99"/>
        <v>0</v>
      </c>
      <c r="T2685" s="44" t="str">
        <f t="shared" si="100"/>
        <v>0</v>
      </c>
      <c r="U2685" s="45">
        <f t="shared" si="101"/>
        <v>0</v>
      </c>
      <c r="V2685" s="46"/>
      <c r="W2685" s="46"/>
      <c r="X2685" s="46"/>
    </row>
    <row r="2686" spans="1:24" ht="15.75" customHeight="1" thickBot="1" x14ac:dyDescent="0.35">
      <c r="A2686" s="40"/>
      <c r="B2686" s="55"/>
      <c r="C2686" s="55"/>
      <c r="D2686" s="41"/>
      <c r="E2686" s="55"/>
      <c r="F2686" s="55"/>
      <c r="G2686" s="55"/>
      <c r="H2686" s="51"/>
      <c r="I2686" s="52"/>
      <c r="J2686" s="74"/>
      <c r="K2686" s="57"/>
      <c r="L2686" s="59"/>
      <c r="M2686" s="60"/>
      <c r="N2686" s="63"/>
      <c r="O2686" s="42"/>
      <c r="P2686" s="58"/>
      <c r="Q2686" s="61"/>
      <c r="R2686" s="62"/>
      <c r="S2686" s="43">
        <f t="shared" si="99"/>
        <v>0</v>
      </c>
      <c r="T2686" s="44" t="str">
        <f t="shared" si="100"/>
        <v>0</v>
      </c>
      <c r="U2686" s="45">
        <f t="shared" si="101"/>
        <v>0</v>
      </c>
      <c r="V2686" s="46"/>
      <c r="W2686" s="46"/>
      <c r="X2686" s="46"/>
    </row>
    <row r="2687" spans="1:24" ht="15.75" customHeight="1" thickBot="1" x14ac:dyDescent="0.35">
      <c r="A2687" s="40"/>
      <c r="B2687" s="55"/>
      <c r="C2687" s="55"/>
      <c r="D2687" s="41"/>
      <c r="E2687" s="55"/>
      <c r="F2687" s="55"/>
      <c r="G2687" s="55"/>
      <c r="H2687" s="51"/>
      <c r="I2687" s="52"/>
      <c r="J2687" s="74"/>
      <c r="K2687" s="57"/>
      <c r="L2687" s="59"/>
      <c r="M2687" s="60"/>
      <c r="N2687" s="63"/>
      <c r="O2687" s="42"/>
      <c r="P2687" s="58"/>
      <c r="Q2687" s="61"/>
      <c r="R2687" s="62"/>
      <c r="S2687" s="43">
        <f t="shared" si="99"/>
        <v>0</v>
      </c>
      <c r="T2687" s="44" t="str">
        <f t="shared" si="100"/>
        <v>0</v>
      </c>
      <c r="U2687" s="45">
        <f t="shared" si="101"/>
        <v>0</v>
      </c>
      <c r="V2687" s="46"/>
      <c r="W2687" s="46"/>
      <c r="X2687" s="46"/>
    </row>
    <row r="2688" spans="1:24" ht="15.75" customHeight="1" thickBot="1" x14ac:dyDescent="0.35">
      <c r="A2688" s="40"/>
      <c r="B2688" s="55"/>
      <c r="C2688" s="55"/>
      <c r="D2688" s="41"/>
      <c r="E2688" s="55"/>
      <c r="F2688" s="55"/>
      <c r="G2688" s="55"/>
      <c r="H2688" s="51"/>
      <c r="I2688" s="52"/>
      <c r="J2688" s="74"/>
      <c r="K2688" s="57"/>
      <c r="L2688" s="59"/>
      <c r="M2688" s="60"/>
      <c r="N2688" s="63"/>
      <c r="O2688" s="42"/>
      <c r="P2688" s="58"/>
      <c r="Q2688" s="61"/>
      <c r="R2688" s="62"/>
      <c r="S2688" s="43">
        <f t="shared" si="99"/>
        <v>0</v>
      </c>
      <c r="T2688" s="44" t="str">
        <f t="shared" si="100"/>
        <v>0</v>
      </c>
      <c r="U2688" s="45">
        <f t="shared" si="101"/>
        <v>0</v>
      </c>
      <c r="V2688" s="46"/>
      <c r="W2688" s="46"/>
      <c r="X2688" s="46"/>
    </row>
    <row r="2689" spans="1:24" ht="15.75" customHeight="1" thickBot="1" x14ac:dyDescent="0.35">
      <c r="A2689" s="40"/>
      <c r="B2689" s="55"/>
      <c r="C2689" s="55"/>
      <c r="D2689" s="41"/>
      <c r="E2689" s="55"/>
      <c r="F2689" s="55"/>
      <c r="G2689" s="55"/>
      <c r="H2689" s="51"/>
      <c r="I2689" s="52"/>
      <c r="J2689" s="74"/>
      <c r="K2689" s="57"/>
      <c r="L2689" s="59"/>
      <c r="M2689" s="60"/>
      <c r="N2689" s="63"/>
      <c r="O2689" s="42"/>
      <c r="P2689" s="58"/>
      <c r="Q2689" s="61"/>
      <c r="R2689" s="62"/>
      <c r="S2689" s="43">
        <f t="shared" si="99"/>
        <v>0</v>
      </c>
      <c r="T2689" s="44" t="str">
        <f t="shared" si="100"/>
        <v>0</v>
      </c>
      <c r="U2689" s="45">
        <f t="shared" si="101"/>
        <v>0</v>
      </c>
      <c r="V2689" s="46"/>
      <c r="W2689" s="46"/>
      <c r="X2689" s="46"/>
    </row>
    <row r="2690" spans="1:24" ht="15.75" customHeight="1" thickBot="1" x14ac:dyDescent="0.35">
      <c r="A2690" s="40"/>
      <c r="B2690" s="55"/>
      <c r="C2690" s="55"/>
      <c r="D2690" s="41"/>
      <c r="E2690" s="55"/>
      <c r="F2690" s="55"/>
      <c r="G2690" s="55"/>
      <c r="H2690" s="51"/>
      <c r="I2690" s="52"/>
      <c r="J2690" s="74"/>
      <c r="K2690" s="57"/>
      <c r="L2690" s="59"/>
      <c r="M2690" s="60"/>
      <c r="N2690" s="63"/>
      <c r="O2690" s="42"/>
      <c r="P2690" s="58"/>
      <c r="Q2690" s="61"/>
      <c r="R2690" s="62"/>
      <c r="S2690" s="43">
        <f t="shared" si="99"/>
        <v>0</v>
      </c>
      <c r="T2690" s="44" t="str">
        <f t="shared" si="100"/>
        <v>0</v>
      </c>
      <c r="U2690" s="45">
        <f t="shared" si="101"/>
        <v>0</v>
      </c>
      <c r="V2690" s="46"/>
      <c r="W2690" s="46"/>
      <c r="X2690" s="46"/>
    </row>
    <row r="2691" spans="1:24" ht="15.75" customHeight="1" thickBot="1" x14ac:dyDescent="0.35">
      <c r="A2691" s="40"/>
      <c r="B2691" s="55"/>
      <c r="C2691" s="55"/>
      <c r="D2691" s="41"/>
      <c r="E2691" s="55"/>
      <c r="F2691" s="55"/>
      <c r="G2691" s="55"/>
      <c r="H2691" s="51"/>
      <c r="I2691" s="52"/>
      <c r="J2691" s="74"/>
      <c r="K2691" s="57"/>
      <c r="L2691" s="59"/>
      <c r="M2691" s="60"/>
      <c r="N2691" s="63"/>
      <c r="O2691" s="42"/>
      <c r="P2691" s="58"/>
      <c r="Q2691" s="61"/>
      <c r="R2691" s="62"/>
      <c r="S2691" s="43">
        <f t="shared" si="99"/>
        <v>0</v>
      </c>
      <c r="T2691" s="44" t="str">
        <f t="shared" si="100"/>
        <v>0</v>
      </c>
      <c r="U2691" s="45">
        <f t="shared" si="101"/>
        <v>0</v>
      </c>
      <c r="V2691" s="46"/>
      <c r="W2691" s="46"/>
      <c r="X2691" s="46"/>
    </row>
    <row r="2692" spans="1:24" ht="15.75" customHeight="1" thickBot="1" x14ac:dyDescent="0.35">
      <c r="A2692" s="40"/>
      <c r="B2692" s="55"/>
      <c r="C2692" s="55"/>
      <c r="D2692" s="41"/>
      <c r="E2692" s="55"/>
      <c r="F2692" s="55"/>
      <c r="G2692" s="55"/>
      <c r="H2692" s="51"/>
      <c r="I2692" s="52"/>
      <c r="J2692" s="74"/>
      <c r="K2692" s="57"/>
      <c r="L2692" s="59"/>
      <c r="M2692" s="60"/>
      <c r="N2692" s="63"/>
      <c r="O2692" s="42"/>
      <c r="P2692" s="58"/>
      <c r="Q2692" s="61"/>
      <c r="R2692" s="62"/>
      <c r="S2692" s="43">
        <f t="shared" si="99"/>
        <v>0</v>
      </c>
      <c r="T2692" s="44" t="str">
        <f t="shared" si="100"/>
        <v>0</v>
      </c>
      <c r="U2692" s="45">
        <f t="shared" si="101"/>
        <v>0</v>
      </c>
      <c r="V2692" s="46"/>
      <c r="W2692" s="46"/>
      <c r="X2692" s="46"/>
    </row>
    <row r="2693" spans="1:24" ht="15.75" customHeight="1" thickBot="1" x14ac:dyDescent="0.35">
      <c r="A2693" s="40"/>
      <c r="B2693" s="55"/>
      <c r="C2693" s="55"/>
      <c r="D2693" s="41"/>
      <c r="E2693" s="55"/>
      <c r="F2693" s="55"/>
      <c r="G2693" s="55"/>
      <c r="H2693" s="51"/>
      <c r="I2693" s="52"/>
      <c r="J2693" s="74"/>
      <c r="K2693" s="57"/>
      <c r="L2693" s="59"/>
      <c r="M2693" s="60"/>
      <c r="N2693" s="63"/>
      <c r="O2693" s="42"/>
      <c r="P2693" s="58"/>
      <c r="Q2693" s="61"/>
      <c r="R2693" s="62"/>
      <c r="S2693" s="43">
        <f t="shared" si="99"/>
        <v>0</v>
      </c>
      <c r="T2693" s="44" t="str">
        <f t="shared" si="100"/>
        <v>0</v>
      </c>
      <c r="U2693" s="45">
        <f t="shared" si="101"/>
        <v>0</v>
      </c>
      <c r="V2693" s="46"/>
      <c r="W2693" s="46"/>
      <c r="X2693" s="46"/>
    </row>
    <row r="2694" spans="1:24" ht="15.75" customHeight="1" thickBot="1" x14ac:dyDescent="0.35">
      <c r="A2694" s="40"/>
      <c r="B2694" s="55"/>
      <c r="C2694" s="55"/>
      <c r="D2694" s="41"/>
      <c r="E2694" s="55"/>
      <c r="F2694" s="55"/>
      <c r="G2694" s="55"/>
      <c r="H2694" s="51"/>
      <c r="I2694" s="52"/>
      <c r="J2694" s="74"/>
      <c r="K2694" s="57"/>
      <c r="L2694" s="59"/>
      <c r="M2694" s="60"/>
      <c r="N2694" s="63"/>
      <c r="O2694" s="42"/>
      <c r="P2694" s="58"/>
      <c r="Q2694" s="61"/>
      <c r="R2694" s="62"/>
      <c r="S2694" s="43">
        <f t="shared" si="99"/>
        <v>0</v>
      </c>
      <c r="T2694" s="44" t="str">
        <f t="shared" si="100"/>
        <v>0</v>
      </c>
      <c r="U2694" s="45">
        <f t="shared" si="101"/>
        <v>0</v>
      </c>
      <c r="V2694" s="46"/>
      <c r="W2694" s="46"/>
      <c r="X2694" s="46"/>
    </row>
    <row r="2695" spans="1:24" ht="15.75" customHeight="1" thickBot="1" x14ac:dyDescent="0.35">
      <c r="A2695" s="40"/>
      <c r="B2695" s="55"/>
      <c r="C2695" s="55"/>
      <c r="D2695" s="41"/>
      <c r="E2695" s="55"/>
      <c r="F2695" s="55"/>
      <c r="G2695" s="55"/>
      <c r="H2695" s="51"/>
      <c r="I2695" s="52"/>
      <c r="J2695" s="74"/>
      <c r="K2695" s="57"/>
      <c r="L2695" s="59"/>
      <c r="M2695" s="60"/>
      <c r="N2695" s="63"/>
      <c r="O2695" s="42"/>
      <c r="P2695" s="58"/>
      <c r="Q2695" s="61"/>
      <c r="R2695" s="62"/>
      <c r="S2695" s="43">
        <f t="shared" si="99"/>
        <v>0</v>
      </c>
      <c r="T2695" s="44" t="str">
        <f t="shared" si="100"/>
        <v>0</v>
      </c>
      <c r="U2695" s="45">
        <f t="shared" si="101"/>
        <v>0</v>
      </c>
      <c r="V2695" s="46"/>
      <c r="W2695" s="46"/>
      <c r="X2695" s="46"/>
    </row>
    <row r="2696" spans="1:24" ht="15.75" customHeight="1" thickBot="1" x14ac:dyDescent="0.35">
      <c r="A2696" s="40"/>
      <c r="B2696" s="55"/>
      <c r="C2696" s="55"/>
      <c r="D2696" s="41"/>
      <c r="E2696" s="55"/>
      <c r="F2696" s="55"/>
      <c r="G2696" s="55"/>
      <c r="H2696" s="51"/>
      <c r="I2696" s="52"/>
      <c r="J2696" s="74"/>
      <c r="K2696" s="57"/>
      <c r="L2696" s="59"/>
      <c r="M2696" s="60"/>
      <c r="N2696" s="63"/>
      <c r="O2696" s="42"/>
      <c r="P2696" s="58"/>
      <c r="Q2696" s="61"/>
      <c r="R2696" s="62"/>
      <c r="S2696" s="43">
        <f t="shared" si="99"/>
        <v>0</v>
      </c>
      <c r="T2696" s="44" t="str">
        <f t="shared" si="100"/>
        <v>0</v>
      </c>
      <c r="U2696" s="45">
        <f t="shared" si="101"/>
        <v>0</v>
      </c>
      <c r="V2696" s="46"/>
      <c r="W2696" s="46"/>
      <c r="X2696" s="46"/>
    </row>
    <row r="2697" spans="1:24" ht="15.75" customHeight="1" thickBot="1" x14ac:dyDescent="0.35">
      <c r="A2697" s="40"/>
      <c r="B2697" s="55"/>
      <c r="C2697" s="55"/>
      <c r="D2697" s="41"/>
      <c r="E2697" s="55"/>
      <c r="F2697" s="55"/>
      <c r="G2697" s="55"/>
      <c r="H2697" s="51"/>
      <c r="I2697" s="52"/>
      <c r="J2697" s="74"/>
      <c r="K2697" s="57"/>
      <c r="L2697" s="59"/>
      <c r="M2697" s="60"/>
      <c r="N2697" s="63"/>
      <c r="O2697" s="42"/>
      <c r="P2697" s="58"/>
      <c r="Q2697" s="61"/>
      <c r="R2697" s="62"/>
      <c r="S2697" s="43">
        <f t="shared" ref="S2697:S2706" si="102">M2697*N2697</f>
        <v>0</v>
      </c>
      <c r="T2697" s="44" t="str">
        <f t="shared" ref="T2697:T2706" si="103">CONCATENATE(S2697,Q2697,P2697)</f>
        <v>0</v>
      </c>
      <c r="U2697" s="45">
        <f t="shared" ref="U2697:U2706" si="104">L2697*M2697</f>
        <v>0</v>
      </c>
      <c r="V2697" s="46"/>
      <c r="W2697" s="46"/>
      <c r="X2697" s="46"/>
    </row>
    <row r="2698" spans="1:24" ht="15.75" customHeight="1" thickBot="1" x14ac:dyDescent="0.35">
      <c r="A2698" s="40"/>
      <c r="B2698" s="55"/>
      <c r="C2698" s="55"/>
      <c r="D2698" s="41"/>
      <c r="E2698" s="55"/>
      <c r="F2698" s="55"/>
      <c r="G2698" s="55"/>
      <c r="H2698" s="51"/>
      <c r="I2698" s="52"/>
      <c r="J2698" s="74"/>
      <c r="K2698" s="57"/>
      <c r="L2698" s="59"/>
      <c r="M2698" s="60"/>
      <c r="N2698" s="63"/>
      <c r="O2698" s="42"/>
      <c r="P2698" s="58"/>
      <c r="Q2698" s="61"/>
      <c r="R2698" s="62"/>
      <c r="S2698" s="43">
        <f t="shared" si="102"/>
        <v>0</v>
      </c>
      <c r="T2698" s="44" t="str">
        <f t="shared" si="103"/>
        <v>0</v>
      </c>
      <c r="U2698" s="45">
        <f t="shared" si="104"/>
        <v>0</v>
      </c>
      <c r="V2698" s="46"/>
      <c r="W2698" s="46"/>
      <c r="X2698" s="46"/>
    </row>
    <row r="2699" spans="1:24" ht="15.75" customHeight="1" thickBot="1" x14ac:dyDescent="0.35">
      <c r="A2699" s="40"/>
      <c r="B2699" s="55"/>
      <c r="C2699" s="55"/>
      <c r="D2699" s="41"/>
      <c r="E2699" s="55"/>
      <c r="F2699" s="55"/>
      <c r="G2699" s="55"/>
      <c r="H2699" s="51"/>
      <c r="I2699" s="52"/>
      <c r="J2699" s="74"/>
      <c r="K2699" s="57"/>
      <c r="L2699" s="59"/>
      <c r="M2699" s="60"/>
      <c r="N2699" s="63"/>
      <c r="O2699" s="42"/>
      <c r="P2699" s="58"/>
      <c r="Q2699" s="61"/>
      <c r="R2699" s="62"/>
      <c r="S2699" s="43">
        <f t="shared" si="102"/>
        <v>0</v>
      </c>
      <c r="T2699" s="44" t="str">
        <f t="shared" si="103"/>
        <v>0</v>
      </c>
      <c r="U2699" s="45">
        <f t="shared" si="104"/>
        <v>0</v>
      </c>
      <c r="V2699" s="46"/>
      <c r="W2699" s="46"/>
      <c r="X2699" s="46"/>
    </row>
    <row r="2700" spans="1:24" ht="15.75" customHeight="1" thickBot="1" x14ac:dyDescent="0.35">
      <c r="A2700" s="40"/>
      <c r="B2700" s="55"/>
      <c r="C2700" s="55"/>
      <c r="D2700" s="41"/>
      <c r="E2700" s="55"/>
      <c r="F2700" s="55"/>
      <c r="G2700" s="55"/>
      <c r="H2700" s="51"/>
      <c r="I2700" s="52"/>
      <c r="J2700" s="74"/>
      <c r="K2700" s="57"/>
      <c r="L2700" s="59"/>
      <c r="M2700" s="60"/>
      <c r="N2700" s="63"/>
      <c r="O2700" s="42"/>
      <c r="P2700" s="58"/>
      <c r="Q2700" s="61"/>
      <c r="R2700" s="62"/>
      <c r="S2700" s="43">
        <f t="shared" si="102"/>
        <v>0</v>
      </c>
      <c r="T2700" s="44" t="str">
        <f t="shared" si="103"/>
        <v>0</v>
      </c>
      <c r="U2700" s="45">
        <f t="shared" si="104"/>
        <v>0</v>
      </c>
      <c r="V2700" s="46"/>
      <c r="W2700" s="46"/>
      <c r="X2700" s="46"/>
    </row>
    <row r="2701" spans="1:24" ht="15.75" customHeight="1" thickBot="1" x14ac:dyDescent="0.35">
      <c r="A2701" s="40"/>
      <c r="B2701" s="55"/>
      <c r="C2701" s="55"/>
      <c r="D2701" s="41"/>
      <c r="E2701" s="55"/>
      <c r="F2701" s="55"/>
      <c r="G2701" s="55"/>
      <c r="H2701" s="51"/>
      <c r="I2701" s="52"/>
      <c r="J2701" s="74"/>
      <c r="K2701" s="57"/>
      <c r="L2701" s="59"/>
      <c r="M2701" s="60"/>
      <c r="N2701" s="63"/>
      <c r="O2701" s="42"/>
      <c r="P2701" s="58"/>
      <c r="Q2701" s="61"/>
      <c r="R2701" s="62"/>
      <c r="S2701" s="43">
        <f t="shared" si="102"/>
        <v>0</v>
      </c>
      <c r="T2701" s="44" t="str">
        <f t="shared" si="103"/>
        <v>0</v>
      </c>
      <c r="U2701" s="45">
        <f t="shared" si="104"/>
        <v>0</v>
      </c>
      <c r="V2701" s="46"/>
      <c r="W2701" s="46"/>
      <c r="X2701" s="46"/>
    </row>
    <row r="2702" spans="1:24" ht="15.75" customHeight="1" thickBot="1" x14ac:dyDescent="0.35">
      <c r="A2702" s="40"/>
      <c r="B2702" s="55"/>
      <c r="C2702" s="55"/>
      <c r="D2702" s="41"/>
      <c r="E2702" s="55"/>
      <c r="F2702" s="55"/>
      <c r="G2702" s="55"/>
      <c r="H2702" s="51"/>
      <c r="I2702" s="52"/>
      <c r="J2702" s="74"/>
      <c r="K2702" s="57"/>
      <c r="L2702" s="59"/>
      <c r="M2702" s="60"/>
      <c r="N2702" s="63"/>
      <c r="O2702" s="42"/>
      <c r="P2702" s="58"/>
      <c r="Q2702" s="61"/>
      <c r="R2702" s="62"/>
      <c r="S2702" s="43">
        <f t="shared" si="102"/>
        <v>0</v>
      </c>
      <c r="T2702" s="44" t="str">
        <f t="shared" si="103"/>
        <v>0</v>
      </c>
      <c r="U2702" s="45">
        <f t="shared" si="104"/>
        <v>0</v>
      </c>
      <c r="V2702" s="46"/>
      <c r="W2702" s="46"/>
      <c r="X2702" s="46"/>
    </row>
    <row r="2703" spans="1:24" ht="15.75" customHeight="1" thickBot="1" x14ac:dyDescent="0.35">
      <c r="A2703" s="40"/>
      <c r="B2703" s="55"/>
      <c r="C2703" s="55"/>
      <c r="D2703" s="41"/>
      <c r="E2703" s="55"/>
      <c r="F2703" s="55"/>
      <c r="G2703" s="55"/>
      <c r="H2703" s="51"/>
      <c r="I2703" s="52"/>
      <c r="J2703" s="74"/>
      <c r="K2703" s="57"/>
      <c r="L2703" s="59"/>
      <c r="M2703" s="60"/>
      <c r="N2703" s="63"/>
      <c r="O2703" s="42"/>
      <c r="P2703" s="58"/>
      <c r="Q2703" s="61"/>
      <c r="R2703" s="62"/>
      <c r="S2703" s="43">
        <f t="shared" si="102"/>
        <v>0</v>
      </c>
      <c r="T2703" s="44" t="str">
        <f t="shared" si="103"/>
        <v>0</v>
      </c>
      <c r="U2703" s="45">
        <f t="shared" si="104"/>
        <v>0</v>
      </c>
      <c r="V2703" s="46"/>
      <c r="W2703" s="46"/>
      <c r="X2703" s="46"/>
    </row>
    <row r="2704" spans="1:24" ht="15.75" customHeight="1" thickBot="1" x14ac:dyDescent="0.35">
      <c r="A2704" s="40"/>
      <c r="B2704" s="55"/>
      <c r="C2704" s="55"/>
      <c r="D2704" s="41"/>
      <c r="E2704" s="55"/>
      <c r="F2704" s="55"/>
      <c r="G2704" s="55"/>
      <c r="H2704" s="51"/>
      <c r="I2704" s="52"/>
      <c r="J2704" s="74"/>
      <c r="K2704" s="57"/>
      <c r="L2704" s="59"/>
      <c r="M2704" s="60"/>
      <c r="N2704" s="63"/>
      <c r="O2704" s="42"/>
      <c r="P2704" s="58"/>
      <c r="Q2704" s="61"/>
      <c r="R2704" s="62"/>
      <c r="S2704" s="43">
        <f t="shared" si="102"/>
        <v>0</v>
      </c>
      <c r="T2704" s="44" t="str">
        <f t="shared" si="103"/>
        <v>0</v>
      </c>
      <c r="U2704" s="45">
        <f t="shared" si="104"/>
        <v>0</v>
      </c>
      <c r="V2704" s="46"/>
      <c r="W2704" s="46"/>
      <c r="X2704" s="46"/>
    </row>
    <row r="2705" spans="1:24" ht="15.75" customHeight="1" thickBot="1" x14ac:dyDescent="0.35">
      <c r="A2705" s="40"/>
      <c r="B2705" s="55"/>
      <c r="C2705" s="55"/>
      <c r="D2705" s="41"/>
      <c r="E2705" s="55"/>
      <c r="F2705" s="55"/>
      <c r="G2705" s="55"/>
      <c r="H2705" s="51"/>
      <c r="I2705" s="52"/>
      <c r="J2705" s="74"/>
      <c r="K2705" s="57"/>
      <c r="L2705" s="59"/>
      <c r="M2705" s="60"/>
      <c r="N2705" s="63"/>
      <c r="O2705" s="42"/>
      <c r="P2705" s="58"/>
      <c r="Q2705" s="61"/>
      <c r="R2705" s="62"/>
      <c r="S2705" s="43">
        <f t="shared" si="102"/>
        <v>0</v>
      </c>
      <c r="T2705" s="44" t="str">
        <f t="shared" si="103"/>
        <v>0</v>
      </c>
      <c r="U2705" s="45">
        <f t="shared" si="104"/>
        <v>0</v>
      </c>
      <c r="V2705" s="46"/>
      <c r="W2705" s="46"/>
      <c r="X2705" s="46"/>
    </row>
    <row r="2706" spans="1:24" ht="15" customHeight="1" x14ac:dyDescent="0.3">
      <c r="B2706" s="55"/>
      <c r="C2706" s="55"/>
      <c r="D2706" s="41"/>
      <c r="E2706" s="55"/>
      <c r="F2706" s="55"/>
      <c r="G2706" s="55"/>
      <c r="H2706" s="51"/>
      <c r="I2706" s="52"/>
      <c r="J2706" s="74"/>
      <c r="K2706" s="57"/>
      <c r="L2706" s="59"/>
      <c r="M2706" s="60"/>
      <c r="N2706" s="63"/>
      <c r="O2706" s="42"/>
      <c r="P2706" s="58"/>
      <c r="Q2706" s="61"/>
      <c r="R2706" s="62"/>
      <c r="S2706" s="43">
        <f t="shared" si="102"/>
        <v>0</v>
      </c>
      <c r="T2706" s="44" t="str">
        <f t="shared" si="103"/>
        <v>0</v>
      </c>
      <c r="U2706" s="45">
        <f t="shared" si="104"/>
        <v>0</v>
      </c>
      <c r="V2706" s="46"/>
      <c r="W2706" s="46"/>
      <c r="X2706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93"/>
  <sheetViews>
    <sheetView topLeftCell="A572" zoomScale="66" workbookViewId="0">
      <selection activeCell="F593" sqref="F593"/>
    </sheetView>
  </sheetViews>
  <sheetFormatPr defaultRowHeight="14.4" x14ac:dyDescent="0.3"/>
  <cols>
    <col min="6" max="6" width="12" bestFit="1" customWidth="1"/>
  </cols>
  <sheetData>
    <row r="1" spans="1:7" x14ac:dyDescent="0.3">
      <c r="A1" t="s">
        <v>796</v>
      </c>
      <c r="B1" t="s">
        <v>21</v>
      </c>
      <c r="C1" t="s">
        <v>27</v>
      </c>
      <c r="D1" t="s">
        <v>24</v>
      </c>
      <c r="E1" t="s">
        <v>797</v>
      </c>
      <c r="F1" t="s">
        <v>798</v>
      </c>
      <c r="G1" t="s">
        <v>799</v>
      </c>
    </row>
    <row r="2" spans="1:7" x14ac:dyDescent="0.3">
      <c r="A2">
        <v>1</v>
      </c>
      <c r="B2" t="s">
        <v>35</v>
      </c>
      <c r="C2" t="s">
        <v>37</v>
      </c>
      <c r="D2" t="s">
        <v>38</v>
      </c>
      <c r="E2">
        <v>117</v>
      </c>
      <c r="F2">
        <v>3779.099999999999</v>
      </c>
      <c r="G2">
        <v>32.299999999999997</v>
      </c>
    </row>
    <row r="3" spans="1:7" x14ac:dyDescent="0.3">
      <c r="A3">
        <v>2</v>
      </c>
      <c r="B3" t="s">
        <v>39</v>
      </c>
      <c r="C3" t="s">
        <v>40</v>
      </c>
      <c r="D3" t="s">
        <v>36</v>
      </c>
      <c r="E3">
        <v>3.6</v>
      </c>
      <c r="F3">
        <v>576</v>
      </c>
      <c r="G3">
        <v>160</v>
      </c>
    </row>
    <row r="4" spans="1:7" x14ac:dyDescent="0.3">
      <c r="A4">
        <v>3</v>
      </c>
      <c r="B4" t="s">
        <v>41</v>
      </c>
      <c r="D4" t="s">
        <v>36</v>
      </c>
      <c r="E4">
        <v>2012</v>
      </c>
      <c r="F4">
        <v>650</v>
      </c>
      <c r="G4">
        <v>0.32306163021868789</v>
      </c>
    </row>
    <row r="5" spans="1:7" x14ac:dyDescent="0.3">
      <c r="A5">
        <v>4</v>
      </c>
      <c r="B5" t="s">
        <v>42</v>
      </c>
      <c r="C5" t="s">
        <v>44</v>
      </c>
      <c r="D5" t="s">
        <v>38</v>
      </c>
      <c r="E5">
        <v>321</v>
      </c>
      <c r="F5">
        <v>2657.88</v>
      </c>
      <c r="G5">
        <v>8.2800000000000011</v>
      </c>
    </row>
    <row r="6" spans="1:7" x14ac:dyDescent="0.3">
      <c r="A6">
        <v>4</v>
      </c>
      <c r="B6" t="s">
        <v>42</v>
      </c>
      <c r="D6" t="s">
        <v>38</v>
      </c>
      <c r="E6">
        <v>157</v>
      </c>
      <c r="F6">
        <v>1444.4</v>
      </c>
      <c r="G6">
        <v>9.1999999999999993</v>
      </c>
    </row>
    <row r="7" spans="1:7" x14ac:dyDescent="0.3">
      <c r="A7">
        <v>5</v>
      </c>
      <c r="B7" t="s">
        <v>45</v>
      </c>
      <c r="C7" t="s">
        <v>46</v>
      </c>
      <c r="D7" t="s">
        <v>36</v>
      </c>
      <c r="E7">
        <v>11500</v>
      </c>
      <c r="F7">
        <v>2741.6</v>
      </c>
      <c r="G7">
        <v>0.2384</v>
      </c>
    </row>
    <row r="8" spans="1:7" x14ac:dyDescent="0.3">
      <c r="A8">
        <v>5</v>
      </c>
      <c r="B8" t="s">
        <v>45</v>
      </c>
      <c r="C8" t="s">
        <v>43</v>
      </c>
      <c r="D8" t="s">
        <v>47</v>
      </c>
      <c r="E8">
        <v>30</v>
      </c>
      <c r="F8">
        <v>1839.6</v>
      </c>
      <c r="G8">
        <v>61.32</v>
      </c>
    </row>
    <row r="9" spans="1:7" x14ac:dyDescent="0.3">
      <c r="A9">
        <v>5</v>
      </c>
      <c r="B9" t="s">
        <v>45</v>
      </c>
      <c r="C9" t="s">
        <v>48</v>
      </c>
      <c r="D9" t="s">
        <v>47</v>
      </c>
      <c r="E9">
        <v>22</v>
      </c>
      <c r="F9">
        <v>1024.76</v>
      </c>
      <c r="G9">
        <v>46.58</v>
      </c>
    </row>
    <row r="10" spans="1:7" x14ac:dyDescent="0.3">
      <c r="A10">
        <v>5</v>
      </c>
      <c r="B10" t="s">
        <v>45</v>
      </c>
      <c r="C10" t="s">
        <v>49</v>
      </c>
      <c r="D10" t="s">
        <v>47</v>
      </c>
      <c r="E10">
        <v>6500</v>
      </c>
      <c r="F10">
        <v>1594.32</v>
      </c>
      <c r="G10">
        <v>0.24528</v>
      </c>
    </row>
    <row r="11" spans="1:7" x14ac:dyDescent="0.3">
      <c r="A11">
        <v>6</v>
      </c>
      <c r="B11" t="s">
        <v>50</v>
      </c>
      <c r="C11" t="s">
        <v>52</v>
      </c>
      <c r="D11" t="s">
        <v>53</v>
      </c>
      <c r="E11">
        <v>8</v>
      </c>
      <c r="F11">
        <v>3298.24</v>
      </c>
      <c r="G11">
        <v>412.28</v>
      </c>
    </row>
    <row r="12" spans="1:7" x14ac:dyDescent="0.3">
      <c r="A12">
        <v>6</v>
      </c>
      <c r="B12" t="s">
        <v>50</v>
      </c>
      <c r="D12" t="s">
        <v>53</v>
      </c>
      <c r="E12">
        <v>3</v>
      </c>
      <c r="F12">
        <v>1261.8</v>
      </c>
      <c r="G12">
        <v>420.60000000000008</v>
      </c>
    </row>
    <row r="13" spans="1:7" x14ac:dyDescent="0.3">
      <c r="A13">
        <v>7</v>
      </c>
      <c r="B13" t="s">
        <v>54</v>
      </c>
      <c r="C13" t="s">
        <v>56</v>
      </c>
      <c r="D13" t="s">
        <v>36</v>
      </c>
      <c r="E13">
        <v>5000</v>
      </c>
      <c r="F13">
        <v>400</v>
      </c>
      <c r="G13">
        <v>0.08</v>
      </c>
    </row>
    <row r="14" spans="1:7" x14ac:dyDescent="0.3">
      <c r="A14">
        <v>7</v>
      </c>
      <c r="B14" t="s">
        <v>54</v>
      </c>
      <c r="C14" t="s">
        <v>55</v>
      </c>
      <c r="D14" t="s">
        <v>36</v>
      </c>
      <c r="E14">
        <v>22</v>
      </c>
      <c r="F14">
        <v>1311.2</v>
      </c>
      <c r="G14">
        <v>59.6</v>
      </c>
    </row>
    <row r="15" spans="1:7" x14ac:dyDescent="0.3">
      <c r="A15">
        <v>7</v>
      </c>
      <c r="B15" t="s">
        <v>54</v>
      </c>
      <c r="C15" t="s">
        <v>57</v>
      </c>
      <c r="D15" t="s">
        <v>36</v>
      </c>
      <c r="E15">
        <v>2</v>
      </c>
      <c r="F15">
        <v>91.08</v>
      </c>
      <c r="G15">
        <v>45.54</v>
      </c>
    </row>
    <row r="16" spans="1:7" x14ac:dyDescent="0.3">
      <c r="A16">
        <v>7</v>
      </c>
      <c r="B16" t="s">
        <v>54</v>
      </c>
      <c r="C16" t="s">
        <v>58</v>
      </c>
      <c r="D16" t="s">
        <v>36</v>
      </c>
      <c r="E16">
        <v>4500</v>
      </c>
      <c r="F16">
        <v>783</v>
      </c>
      <c r="G16">
        <v>0.17399999999999999</v>
      </c>
    </row>
    <row r="17" spans="1:7" x14ac:dyDescent="0.3">
      <c r="A17">
        <v>7</v>
      </c>
      <c r="B17" t="s">
        <v>54</v>
      </c>
      <c r="C17" t="s">
        <v>59</v>
      </c>
      <c r="D17" t="s">
        <v>36</v>
      </c>
      <c r="E17">
        <v>750</v>
      </c>
      <c r="F17">
        <v>36</v>
      </c>
      <c r="G17">
        <v>4.8000000000000001E-2</v>
      </c>
    </row>
    <row r="18" spans="1:7" x14ac:dyDescent="0.3">
      <c r="A18">
        <v>8</v>
      </c>
      <c r="B18" t="s">
        <v>60</v>
      </c>
      <c r="C18" t="s">
        <v>61</v>
      </c>
      <c r="D18" t="s">
        <v>36</v>
      </c>
      <c r="E18">
        <v>26</v>
      </c>
      <c r="F18">
        <v>1248</v>
      </c>
      <c r="G18">
        <v>48</v>
      </c>
    </row>
    <row r="19" spans="1:7" x14ac:dyDescent="0.3">
      <c r="A19">
        <v>9</v>
      </c>
      <c r="B19" t="s">
        <v>62</v>
      </c>
      <c r="C19" t="s">
        <v>63</v>
      </c>
      <c r="D19" t="s">
        <v>36</v>
      </c>
      <c r="E19">
        <v>0.25</v>
      </c>
      <c r="F19">
        <v>162.5</v>
      </c>
      <c r="G19">
        <v>650</v>
      </c>
    </row>
    <row r="20" spans="1:7" x14ac:dyDescent="0.3">
      <c r="A20">
        <v>10</v>
      </c>
      <c r="B20" t="s">
        <v>64</v>
      </c>
      <c r="C20" t="s">
        <v>65</v>
      </c>
      <c r="D20" t="s">
        <v>36</v>
      </c>
      <c r="E20">
        <v>1020</v>
      </c>
      <c r="F20">
        <v>90</v>
      </c>
      <c r="G20">
        <v>8.8235294117647065E-2</v>
      </c>
    </row>
    <row r="21" spans="1:7" x14ac:dyDescent="0.3">
      <c r="A21">
        <v>11</v>
      </c>
      <c r="B21" t="s">
        <v>66</v>
      </c>
      <c r="D21" t="s">
        <v>47</v>
      </c>
      <c r="E21">
        <v>1450</v>
      </c>
      <c r="F21">
        <v>250</v>
      </c>
      <c r="G21">
        <v>0.17241379310344829</v>
      </c>
    </row>
    <row r="22" spans="1:7" x14ac:dyDescent="0.3">
      <c r="A22">
        <v>12</v>
      </c>
      <c r="B22" t="s">
        <v>67</v>
      </c>
      <c r="C22" t="s">
        <v>68</v>
      </c>
      <c r="D22" t="s">
        <v>36</v>
      </c>
      <c r="E22">
        <v>2</v>
      </c>
      <c r="F22">
        <v>416</v>
      </c>
      <c r="G22">
        <v>208</v>
      </c>
    </row>
    <row r="23" spans="1:7" x14ac:dyDescent="0.3">
      <c r="A23">
        <v>13</v>
      </c>
      <c r="B23" t="s">
        <v>69</v>
      </c>
      <c r="C23" t="s">
        <v>70</v>
      </c>
      <c r="D23" t="s">
        <v>36</v>
      </c>
      <c r="E23">
        <v>2</v>
      </c>
      <c r="F23">
        <v>64.2</v>
      </c>
      <c r="G23">
        <v>32.1</v>
      </c>
    </row>
    <row r="24" spans="1:7" x14ac:dyDescent="0.3">
      <c r="A24">
        <v>14</v>
      </c>
      <c r="B24" t="s">
        <v>71</v>
      </c>
      <c r="C24" t="s">
        <v>72</v>
      </c>
      <c r="D24" t="s">
        <v>47</v>
      </c>
      <c r="E24">
        <v>1</v>
      </c>
      <c r="F24">
        <v>255</v>
      </c>
      <c r="G24">
        <v>255</v>
      </c>
    </row>
    <row r="25" spans="1:7" x14ac:dyDescent="0.3">
      <c r="A25">
        <v>15</v>
      </c>
      <c r="B25" t="s">
        <v>73</v>
      </c>
      <c r="C25" t="s">
        <v>74</v>
      </c>
      <c r="D25" t="s">
        <v>36</v>
      </c>
      <c r="E25">
        <v>10000</v>
      </c>
      <c r="F25">
        <v>2680</v>
      </c>
      <c r="G25">
        <v>0.26800000000000002</v>
      </c>
    </row>
    <row r="26" spans="1:7" x14ac:dyDescent="0.3">
      <c r="A26">
        <v>16</v>
      </c>
      <c r="B26" t="s">
        <v>75</v>
      </c>
      <c r="C26" t="s">
        <v>76</v>
      </c>
      <c r="D26" t="s">
        <v>77</v>
      </c>
      <c r="E26">
        <v>30</v>
      </c>
      <c r="F26">
        <v>568.20000000000005</v>
      </c>
      <c r="G26">
        <v>18.940000000000001</v>
      </c>
    </row>
    <row r="27" spans="1:7" x14ac:dyDescent="0.3">
      <c r="A27">
        <v>17</v>
      </c>
      <c r="B27" t="s">
        <v>78</v>
      </c>
      <c r="C27" t="s">
        <v>79</v>
      </c>
      <c r="D27" t="s">
        <v>38</v>
      </c>
      <c r="E27">
        <v>132</v>
      </c>
      <c r="F27">
        <v>1428.24</v>
      </c>
      <c r="G27">
        <v>10.82</v>
      </c>
    </row>
    <row r="28" spans="1:7" x14ac:dyDescent="0.3">
      <c r="A28">
        <v>18</v>
      </c>
      <c r="B28" t="s">
        <v>80</v>
      </c>
      <c r="C28" t="s">
        <v>79</v>
      </c>
      <c r="D28" t="s">
        <v>38</v>
      </c>
      <c r="E28">
        <v>26</v>
      </c>
      <c r="F28">
        <v>439.4</v>
      </c>
      <c r="G28">
        <v>16.899999999999999</v>
      </c>
    </row>
    <row r="29" spans="1:7" x14ac:dyDescent="0.3">
      <c r="A29">
        <v>18</v>
      </c>
      <c r="B29" t="s">
        <v>81</v>
      </c>
      <c r="D29" t="s">
        <v>38</v>
      </c>
      <c r="E29">
        <v>16</v>
      </c>
      <c r="F29">
        <v>301.60000000000002</v>
      </c>
      <c r="G29">
        <v>18.850000000000001</v>
      </c>
    </row>
    <row r="30" spans="1:7" x14ac:dyDescent="0.3">
      <c r="A30">
        <v>19</v>
      </c>
      <c r="B30" t="s">
        <v>82</v>
      </c>
      <c r="C30" t="s">
        <v>83</v>
      </c>
      <c r="D30" t="s">
        <v>38</v>
      </c>
      <c r="E30">
        <v>20</v>
      </c>
      <c r="F30">
        <v>475</v>
      </c>
      <c r="G30">
        <v>23.75</v>
      </c>
    </row>
    <row r="31" spans="1:7" x14ac:dyDescent="0.3">
      <c r="A31">
        <v>20</v>
      </c>
      <c r="B31" t="s">
        <v>84</v>
      </c>
      <c r="C31" t="s">
        <v>85</v>
      </c>
      <c r="D31" t="s">
        <v>38</v>
      </c>
      <c r="E31">
        <v>374</v>
      </c>
      <c r="F31">
        <v>4046.68</v>
      </c>
      <c r="G31">
        <v>10.82</v>
      </c>
    </row>
    <row r="32" spans="1:7" x14ac:dyDescent="0.3">
      <c r="A32">
        <v>20</v>
      </c>
      <c r="B32" t="s">
        <v>84</v>
      </c>
      <c r="D32" t="s">
        <v>38</v>
      </c>
      <c r="E32">
        <v>256</v>
      </c>
      <c r="F32">
        <v>2816</v>
      </c>
      <c r="G32">
        <v>11</v>
      </c>
    </row>
    <row r="33" spans="1:7" x14ac:dyDescent="0.3">
      <c r="A33">
        <v>21</v>
      </c>
      <c r="B33" t="s">
        <v>86</v>
      </c>
      <c r="C33" t="s">
        <v>87</v>
      </c>
      <c r="D33" t="s">
        <v>88</v>
      </c>
      <c r="E33">
        <v>30</v>
      </c>
      <c r="F33">
        <v>9900</v>
      </c>
      <c r="G33">
        <v>330</v>
      </c>
    </row>
    <row r="34" spans="1:7" x14ac:dyDescent="0.3">
      <c r="A34">
        <v>21</v>
      </c>
      <c r="B34" t="s">
        <v>86</v>
      </c>
      <c r="D34" t="s">
        <v>88</v>
      </c>
      <c r="E34">
        <v>39</v>
      </c>
      <c r="F34">
        <v>12363</v>
      </c>
      <c r="G34">
        <v>317</v>
      </c>
    </row>
    <row r="35" spans="1:7" x14ac:dyDescent="0.3">
      <c r="A35">
        <v>22</v>
      </c>
      <c r="B35" t="s">
        <v>89</v>
      </c>
      <c r="C35" t="s">
        <v>90</v>
      </c>
      <c r="D35" t="s">
        <v>36</v>
      </c>
      <c r="E35">
        <v>97.92</v>
      </c>
      <c r="F35">
        <v>2923.8912</v>
      </c>
      <c r="G35">
        <v>29.86</v>
      </c>
    </row>
    <row r="36" spans="1:7" x14ac:dyDescent="0.3">
      <c r="A36">
        <v>23</v>
      </c>
      <c r="B36" t="s">
        <v>91</v>
      </c>
      <c r="D36" t="s">
        <v>38</v>
      </c>
      <c r="E36">
        <v>8</v>
      </c>
      <c r="F36">
        <v>67.84</v>
      </c>
      <c r="G36">
        <v>8.48</v>
      </c>
    </row>
    <row r="37" spans="1:7" x14ac:dyDescent="0.3">
      <c r="A37">
        <v>24</v>
      </c>
      <c r="B37" t="s">
        <v>92</v>
      </c>
      <c r="D37" t="s">
        <v>38</v>
      </c>
      <c r="E37">
        <v>1500</v>
      </c>
      <c r="F37">
        <v>462</v>
      </c>
      <c r="G37">
        <v>0.308</v>
      </c>
    </row>
    <row r="38" spans="1:7" x14ac:dyDescent="0.3">
      <c r="A38">
        <v>25</v>
      </c>
      <c r="B38" t="s">
        <v>93</v>
      </c>
      <c r="C38" t="s">
        <v>94</v>
      </c>
      <c r="D38" t="s">
        <v>36</v>
      </c>
      <c r="E38">
        <v>7000</v>
      </c>
      <c r="F38">
        <v>700</v>
      </c>
      <c r="G38">
        <v>0.1</v>
      </c>
    </row>
    <row r="39" spans="1:7" x14ac:dyDescent="0.3">
      <c r="A39">
        <v>25</v>
      </c>
      <c r="B39" t="s">
        <v>93</v>
      </c>
      <c r="C39" t="s">
        <v>95</v>
      </c>
      <c r="D39" t="s">
        <v>36</v>
      </c>
      <c r="E39">
        <v>9</v>
      </c>
      <c r="F39">
        <v>348.3</v>
      </c>
      <c r="G39">
        <v>38.700000000000003</v>
      </c>
    </row>
    <row r="40" spans="1:7" x14ac:dyDescent="0.3">
      <c r="A40">
        <v>25</v>
      </c>
      <c r="B40" t="s">
        <v>93</v>
      </c>
      <c r="D40" t="s">
        <v>36</v>
      </c>
      <c r="E40">
        <v>1000</v>
      </c>
      <c r="F40">
        <v>83.8</v>
      </c>
      <c r="G40">
        <v>8.3799999999999999E-2</v>
      </c>
    </row>
    <row r="41" spans="1:7" x14ac:dyDescent="0.3">
      <c r="A41">
        <v>26</v>
      </c>
      <c r="B41" t="s">
        <v>96</v>
      </c>
      <c r="C41" t="s">
        <v>97</v>
      </c>
      <c r="D41" t="s">
        <v>38</v>
      </c>
      <c r="E41">
        <v>50</v>
      </c>
      <c r="F41">
        <v>291</v>
      </c>
      <c r="G41">
        <v>5.82</v>
      </c>
    </row>
    <row r="42" spans="1:7" x14ac:dyDescent="0.3">
      <c r="A42">
        <v>27</v>
      </c>
      <c r="B42" t="s">
        <v>98</v>
      </c>
      <c r="C42" t="s">
        <v>99</v>
      </c>
      <c r="D42" t="s">
        <v>38</v>
      </c>
      <c r="E42">
        <v>366</v>
      </c>
      <c r="F42">
        <v>2141.1</v>
      </c>
      <c r="G42">
        <v>5.85</v>
      </c>
    </row>
    <row r="43" spans="1:7" x14ac:dyDescent="0.3">
      <c r="A43">
        <v>28</v>
      </c>
      <c r="B43" t="s">
        <v>100</v>
      </c>
      <c r="C43" t="s">
        <v>97</v>
      </c>
      <c r="D43" t="s">
        <v>38</v>
      </c>
      <c r="E43">
        <v>370</v>
      </c>
      <c r="F43">
        <v>2109</v>
      </c>
      <c r="G43">
        <v>5.7</v>
      </c>
    </row>
    <row r="44" spans="1:7" x14ac:dyDescent="0.3">
      <c r="A44">
        <v>28</v>
      </c>
      <c r="B44" t="s">
        <v>100</v>
      </c>
      <c r="D44" t="s">
        <v>38</v>
      </c>
      <c r="E44">
        <v>120</v>
      </c>
      <c r="F44">
        <v>740.4</v>
      </c>
      <c r="G44">
        <v>6.17</v>
      </c>
    </row>
    <row r="45" spans="1:7" x14ac:dyDescent="0.3">
      <c r="A45">
        <v>29</v>
      </c>
      <c r="B45" t="s">
        <v>101</v>
      </c>
      <c r="C45" t="s">
        <v>102</v>
      </c>
      <c r="D45" t="s">
        <v>38</v>
      </c>
      <c r="E45">
        <v>380</v>
      </c>
      <c r="F45">
        <v>2166.6</v>
      </c>
      <c r="G45">
        <v>5.7015789473684206</v>
      </c>
    </row>
    <row r="46" spans="1:7" x14ac:dyDescent="0.3">
      <c r="A46">
        <v>30</v>
      </c>
      <c r="B46" t="s">
        <v>103</v>
      </c>
      <c r="C46" t="s">
        <v>104</v>
      </c>
      <c r="D46" t="s">
        <v>38</v>
      </c>
      <c r="E46">
        <v>469</v>
      </c>
      <c r="F46">
        <v>4100.18</v>
      </c>
      <c r="G46">
        <v>8.7423880597014936</v>
      </c>
    </row>
    <row r="47" spans="1:7" x14ac:dyDescent="0.3">
      <c r="A47">
        <v>30</v>
      </c>
      <c r="B47" t="s">
        <v>103</v>
      </c>
      <c r="D47" t="s">
        <v>38</v>
      </c>
      <c r="E47">
        <v>206</v>
      </c>
      <c r="F47">
        <v>1802.5</v>
      </c>
      <c r="G47">
        <v>8.75</v>
      </c>
    </row>
    <row r="48" spans="1:7" x14ac:dyDescent="0.3">
      <c r="A48">
        <v>31</v>
      </c>
      <c r="B48" t="s">
        <v>105</v>
      </c>
      <c r="C48" t="s">
        <v>106</v>
      </c>
      <c r="D48" t="s">
        <v>36</v>
      </c>
      <c r="E48">
        <v>1</v>
      </c>
      <c r="F48">
        <v>31.1</v>
      </c>
      <c r="G48">
        <v>31.1</v>
      </c>
    </row>
    <row r="49" spans="1:7" x14ac:dyDescent="0.3">
      <c r="A49">
        <v>31</v>
      </c>
      <c r="B49" t="s">
        <v>105</v>
      </c>
      <c r="D49" t="s">
        <v>36</v>
      </c>
      <c r="E49">
        <v>5220</v>
      </c>
      <c r="F49">
        <v>898.99999999999989</v>
      </c>
      <c r="G49">
        <v>0.17222222222222219</v>
      </c>
    </row>
    <row r="50" spans="1:7" x14ac:dyDescent="0.3">
      <c r="A50">
        <v>32</v>
      </c>
      <c r="B50" t="s">
        <v>107</v>
      </c>
      <c r="C50" t="s">
        <v>108</v>
      </c>
      <c r="D50" t="s">
        <v>38</v>
      </c>
      <c r="E50">
        <v>239</v>
      </c>
      <c r="F50">
        <v>1761.43</v>
      </c>
      <c r="G50">
        <v>7.37</v>
      </c>
    </row>
    <row r="51" spans="1:7" x14ac:dyDescent="0.3">
      <c r="A51">
        <v>33</v>
      </c>
      <c r="B51" t="s">
        <v>109</v>
      </c>
      <c r="C51" t="s">
        <v>110</v>
      </c>
      <c r="D51" t="s">
        <v>36</v>
      </c>
      <c r="E51">
        <v>330</v>
      </c>
      <c r="F51">
        <v>164.5</v>
      </c>
      <c r="G51">
        <v>0.49848484848484848</v>
      </c>
    </row>
    <row r="52" spans="1:7" x14ac:dyDescent="0.3">
      <c r="A52">
        <v>34</v>
      </c>
      <c r="B52" t="s">
        <v>111</v>
      </c>
      <c r="C52" t="s">
        <v>112</v>
      </c>
      <c r="D52" t="s">
        <v>36</v>
      </c>
      <c r="E52">
        <v>0.5</v>
      </c>
      <c r="F52">
        <v>295</v>
      </c>
      <c r="G52">
        <v>590</v>
      </c>
    </row>
    <row r="53" spans="1:7" x14ac:dyDescent="0.3">
      <c r="A53">
        <v>35</v>
      </c>
      <c r="B53" t="s">
        <v>113</v>
      </c>
      <c r="C53" t="s">
        <v>108</v>
      </c>
      <c r="D53" t="s">
        <v>38</v>
      </c>
      <c r="E53">
        <v>180</v>
      </c>
      <c r="F53">
        <v>1476</v>
      </c>
      <c r="G53">
        <v>8.1999999999999993</v>
      </c>
    </row>
    <row r="54" spans="1:7" x14ac:dyDescent="0.3">
      <c r="A54">
        <v>36</v>
      </c>
      <c r="B54" t="s">
        <v>114</v>
      </c>
      <c r="C54" t="s">
        <v>115</v>
      </c>
      <c r="D54" t="s">
        <v>53</v>
      </c>
      <c r="E54">
        <v>1</v>
      </c>
      <c r="F54">
        <v>127</v>
      </c>
      <c r="G54">
        <v>127</v>
      </c>
    </row>
    <row r="55" spans="1:7" x14ac:dyDescent="0.3">
      <c r="A55">
        <v>37</v>
      </c>
      <c r="B55" t="s">
        <v>116</v>
      </c>
      <c r="C55" t="s">
        <v>117</v>
      </c>
      <c r="D55" t="s">
        <v>38</v>
      </c>
      <c r="E55">
        <v>100</v>
      </c>
      <c r="F55">
        <v>409.99999999999989</v>
      </c>
      <c r="G55">
        <v>4.0999999999999996</v>
      </c>
    </row>
    <row r="56" spans="1:7" x14ac:dyDescent="0.3">
      <c r="A56">
        <v>37</v>
      </c>
      <c r="B56" t="s">
        <v>116</v>
      </c>
      <c r="D56" t="s">
        <v>38</v>
      </c>
      <c r="E56">
        <v>196</v>
      </c>
      <c r="F56">
        <v>842.21199999999999</v>
      </c>
      <c r="G56">
        <v>4.2969999999999997</v>
      </c>
    </row>
    <row r="57" spans="1:7" x14ac:dyDescent="0.3">
      <c r="A57">
        <v>38</v>
      </c>
      <c r="B57" t="s">
        <v>118</v>
      </c>
      <c r="C57" t="s">
        <v>119</v>
      </c>
      <c r="D57" t="s">
        <v>36</v>
      </c>
      <c r="E57">
        <v>9</v>
      </c>
      <c r="F57">
        <v>1288.8</v>
      </c>
      <c r="G57">
        <v>143.19999999999999</v>
      </c>
    </row>
    <row r="58" spans="1:7" x14ac:dyDescent="0.3">
      <c r="A58">
        <v>38</v>
      </c>
      <c r="B58" t="s">
        <v>118</v>
      </c>
      <c r="C58" t="s">
        <v>120</v>
      </c>
      <c r="D58" t="s">
        <v>36</v>
      </c>
      <c r="E58">
        <v>13400</v>
      </c>
      <c r="F58">
        <v>2211</v>
      </c>
      <c r="G58">
        <v>0.16500000000000001</v>
      </c>
    </row>
    <row r="59" spans="1:7" x14ac:dyDescent="0.3">
      <c r="A59">
        <v>39</v>
      </c>
      <c r="B59" t="s">
        <v>121</v>
      </c>
      <c r="D59" t="s">
        <v>36</v>
      </c>
      <c r="E59">
        <v>2</v>
      </c>
      <c r="F59">
        <v>98</v>
      </c>
      <c r="G59">
        <v>49</v>
      </c>
    </row>
    <row r="60" spans="1:7" x14ac:dyDescent="0.3">
      <c r="A60">
        <v>40</v>
      </c>
      <c r="B60" t="s">
        <v>122</v>
      </c>
      <c r="C60" t="s">
        <v>123</v>
      </c>
      <c r="D60" t="s">
        <v>36</v>
      </c>
      <c r="E60">
        <v>2000</v>
      </c>
      <c r="F60">
        <v>1400</v>
      </c>
      <c r="G60">
        <v>0.7</v>
      </c>
    </row>
    <row r="61" spans="1:7" x14ac:dyDescent="0.3">
      <c r="A61">
        <v>40</v>
      </c>
      <c r="B61" t="s">
        <v>122</v>
      </c>
      <c r="C61" t="s">
        <v>124</v>
      </c>
      <c r="D61" t="s">
        <v>36</v>
      </c>
      <c r="E61">
        <v>3</v>
      </c>
      <c r="F61">
        <v>1050</v>
      </c>
      <c r="G61">
        <v>350</v>
      </c>
    </row>
    <row r="62" spans="1:7" x14ac:dyDescent="0.3">
      <c r="A62">
        <v>40</v>
      </c>
      <c r="B62" t="s">
        <v>122</v>
      </c>
      <c r="D62" t="s">
        <v>36</v>
      </c>
      <c r="E62">
        <v>2000</v>
      </c>
      <c r="F62">
        <v>1200</v>
      </c>
      <c r="G62">
        <v>0.6</v>
      </c>
    </row>
    <row r="63" spans="1:7" x14ac:dyDescent="0.3">
      <c r="A63">
        <v>41</v>
      </c>
      <c r="B63" t="s">
        <v>125</v>
      </c>
      <c r="C63" t="s">
        <v>126</v>
      </c>
      <c r="D63" t="s">
        <v>36</v>
      </c>
      <c r="E63">
        <v>240</v>
      </c>
      <c r="F63">
        <v>136</v>
      </c>
      <c r="G63">
        <v>0.56666666666666665</v>
      </c>
    </row>
    <row r="64" spans="1:7" x14ac:dyDescent="0.3">
      <c r="A64">
        <v>41</v>
      </c>
      <c r="B64" t="s">
        <v>125</v>
      </c>
      <c r="C64" t="s">
        <v>127</v>
      </c>
      <c r="D64" t="s">
        <v>47</v>
      </c>
      <c r="E64">
        <v>30</v>
      </c>
      <c r="F64">
        <v>65.000000000000014</v>
      </c>
      <c r="G64">
        <v>2.166666666666667</v>
      </c>
    </row>
    <row r="65" spans="1:7" x14ac:dyDescent="0.3">
      <c r="A65">
        <v>41</v>
      </c>
      <c r="B65" t="s">
        <v>125</v>
      </c>
      <c r="C65" t="s">
        <v>128</v>
      </c>
      <c r="D65" t="s">
        <v>36</v>
      </c>
      <c r="E65">
        <v>2</v>
      </c>
      <c r="F65">
        <v>70.400000000000006</v>
      </c>
      <c r="G65">
        <v>35.200000000000003</v>
      </c>
    </row>
    <row r="66" spans="1:7" x14ac:dyDescent="0.3">
      <c r="A66">
        <v>42</v>
      </c>
      <c r="B66" t="s">
        <v>129</v>
      </c>
      <c r="C66" t="s">
        <v>130</v>
      </c>
      <c r="D66" t="s">
        <v>36</v>
      </c>
      <c r="E66">
        <v>240</v>
      </c>
      <c r="F66">
        <v>136.4</v>
      </c>
      <c r="G66">
        <v>0.56833333333333336</v>
      </c>
    </row>
    <row r="67" spans="1:7" x14ac:dyDescent="0.3">
      <c r="A67">
        <v>42</v>
      </c>
      <c r="B67" t="s">
        <v>129</v>
      </c>
      <c r="C67" t="s">
        <v>128</v>
      </c>
      <c r="D67" t="s">
        <v>36</v>
      </c>
      <c r="E67">
        <v>3</v>
      </c>
      <c r="F67">
        <v>105.6</v>
      </c>
      <c r="G67">
        <v>35.200000000000003</v>
      </c>
    </row>
    <row r="68" spans="1:7" x14ac:dyDescent="0.3">
      <c r="A68">
        <v>43</v>
      </c>
      <c r="B68" t="s">
        <v>131</v>
      </c>
      <c r="C68" t="s">
        <v>130</v>
      </c>
      <c r="D68" t="s">
        <v>36</v>
      </c>
      <c r="E68">
        <v>120</v>
      </c>
      <c r="F68">
        <v>68.2</v>
      </c>
      <c r="G68">
        <v>0.56833333333333336</v>
      </c>
    </row>
    <row r="69" spans="1:7" x14ac:dyDescent="0.3">
      <c r="A69">
        <v>44</v>
      </c>
      <c r="B69" t="s">
        <v>132</v>
      </c>
      <c r="D69" t="s">
        <v>77</v>
      </c>
      <c r="E69">
        <v>4</v>
      </c>
      <c r="F69">
        <v>188</v>
      </c>
      <c r="G69">
        <v>47</v>
      </c>
    </row>
    <row r="70" spans="1:7" x14ac:dyDescent="0.3">
      <c r="A70">
        <v>45</v>
      </c>
      <c r="B70" t="s">
        <v>133</v>
      </c>
      <c r="D70" t="s">
        <v>77</v>
      </c>
      <c r="E70">
        <v>3</v>
      </c>
      <c r="F70">
        <v>135</v>
      </c>
      <c r="G70">
        <v>45</v>
      </c>
    </row>
    <row r="71" spans="1:7" x14ac:dyDescent="0.3">
      <c r="A71">
        <v>46</v>
      </c>
      <c r="B71" t="s">
        <v>134</v>
      </c>
      <c r="C71" t="s">
        <v>135</v>
      </c>
      <c r="D71" t="s">
        <v>38</v>
      </c>
      <c r="E71">
        <v>60</v>
      </c>
      <c r="F71">
        <v>1275.5999999999999</v>
      </c>
      <c r="G71">
        <v>21.26</v>
      </c>
    </row>
    <row r="72" spans="1:7" x14ac:dyDescent="0.3">
      <c r="A72">
        <v>47</v>
      </c>
      <c r="B72" t="s">
        <v>136</v>
      </c>
      <c r="C72" t="s">
        <v>137</v>
      </c>
      <c r="D72" t="s">
        <v>138</v>
      </c>
      <c r="E72">
        <v>23.204999999999998</v>
      </c>
      <c r="F72">
        <v>1336.84005</v>
      </c>
      <c r="G72">
        <v>57.609999999999992</v>
      </c>
    </row>
    <row r="73" spans="1:7" x14ac:dyDescent="0.3">
      <c r="A73">
        <v>48</v>
      </c>
      <c r="B73" t="s">
        <v>139</v>
      </c>
      <c r="C73" t="s">
        <v>140</v>
      </c>
      <c r="D73" t="s">
        <v>38</v>
      </c>
      <c r="E73">
        <v>317</v>
      </c>
      <c r="F73">
        <v>3959.33</v>
      </c>
      <c r="G73">
        <v>12.49</v>
      </c>
    </row>
    <row r="74" spans="1:7" x14ac:dyDescent="0.3">
      <c r="A74">
        <v>49</v>
      </c>
      <c r="B74" t="s">
        <v>141</v>
      </c>
      <c r="C74" t="s">
        <v>142</v>
      </c>
      <c r="D74" t="s">
        <v>36</v>
      </c>
      <c r="E74">
        <v>5002</v>
      </c>
      <c r="F74">
        <v>530</v>
      </c>
      <c r="G74">
        <v>0.1059576169532187</v>
      </c>
    </row>
    <row r="75" spans="1:7" x14ac:dyDescent="0.3">
      <c r="A75">
        <v>50</v>
      </c>
      <c r="B75" t="s">
        <v>143</v>
      </c>
      <c r="C75" t="s">
        <v>144</v>
      </c>
      <c r="D75" t="s">
        <v>38</v>
      </c>
      <c r="E75">
        <v>6</v>
      </c>
      <c r="F75">
        <v>46.08</v>
      </c>
      <c r="G75">
        <v>7.68</v>
      </c>
    </row>
    <row r="76" spans="1:7" x14ac:dyDescent="0.3">
      <c r="A76">
        <v>50</v>
      </c>
      <c r="B76" t="s">
        <v>143</v>
      </c>
      <c r="C76" t="s">
        <v>145</v>
      </c>
      <c r="D76" t="s">
        <v>38</v>
      </c>
      <c r="E76">
        <v>14</v>
      </c>
      <c r="F76">
        <v>107.38</v>
      </c>
      <c r="G76">
        <v>7.67</v>
      </c>
    </row>
    <row r="77" spans="1:7" x14ac:dyDescent="0.3">
      <c r="A77">
        <v>51</v>
      </c>
      <c r="B77" t="s">
        <v>146</v>
      </c>
      <c r="C77" t="s">
        <v>63</v>
      </c>
      <c r="D77" t="s">
        <v>36</v>
      </c>
      <c r="E77">
        <v>2</v>
      </c>
      <c r="F77">
        <v>150</v>
      </c>
      <c r="G77">
        <v>75</v>
      </c>
    </row>
    <row r="78" spans="1:7" x14ac:dyDescent="0.3">
      <c r="A78">
        <v>52</v>
      </c>
      <c r="B78" t="s">
        <v>147</v>
      </c>
      <c r="C78" t="s">
        <v>142</v>
      </c>
      <c r="D78" t="s">
        <v>36</v>
      </c>
      <c r="E78">
        <v>4</v>
      </c>
      <c r="F78">
        <v>580</v>
      </c>
      <c r="G78">
        <v>145</v>
      </c>
    </row>
    <row r="79" spans="1:7" x14ac:dyDescent="0.3">
      <c r="A79">
        <v>53</v>
      </c>
      <c r="B79" t="s">
        <v>148</v>
      </c>
      <c r="D79" t="s">
        <v>38</v>
      </c>
      <c r="E79">
        <v>1</v>
      </c>
      <c r="F79">
        <v>124.35</v>
      </c>
      <c r="G79">
        <v>124.35</v>
      </c>
    </row>
    <row r="80" spans="1:7" x14ac:dyDescent="0.3">
      <c r="A80">
        <v>54</v>
      </c>
      <c r="B80" t="s">
        <v>149</v>
      </c>
      <c r="D80" t="s">
        <v>47</v>
      </c>
      <c r="E80">
        <v>1200</v>
      </c>
      <c r="F80">
        <v>172.98</v>
      </c>
      <c r="G80">
        <v>0.14415</v>
      </c>
    </row>
    <row r="81" spans="1:7" x14ac:dyDescent="0.3">
      <c r="A81">
        <v>55</v>
      </c>
      <c r="B81" t="s">
        <v>150</v>
      </c>
      <c r="C81" t="s">
        <v>151</v>
      </c>
      <c r="D81" t="s">
        <v>36</v>
      </c>
      <c r="E81">
        <v>3022</v>
      </c>
      <c r="F81">
        <v>3652.58</v>
      </c>
      <c r="G81">
        <v>1.2086631369953671</v>
      </c>
    </row>
    <row r="82" spans="1:7" x14ac:dyDescent="0.3">
      <c r="A82">
        <v>55</v>
      </c>
      <c r="B82" t="s">
        <v>150</v>
      </c>
      <c r="D82" t="s">
        <v>36</v>
      </c>
      <c r="E82">
        <v>10000</v>
      </c>
      <c r="F82">
        <v>1814.6</v>
      </c>
      <c r="G82">
        <v>0.18146000000000001</v>
      </c>
    </row>
    <row r="83" spans="1:7" x14ac:dyDescent="0.3">
      <c r="A83">
        <v>56</v>
      </c>
      <c r="B83" t="s">
        <v>152</v>
      </c>
      <c r="C83" t="s">
        <v>153</v>
      </c>
      <c r="D83" t="s">
        <v>38</v>
      </c>
      <c r="E83">
        <v>12</v>
      </c>
      <c r="F83">
        <v>182.28</v>
      </c>
      <c r="G83">
        <v>15.19</v>
      </c>
    </row>
    <row r="84" spans="1:7" x14ac:dyDescent="0.3">
      <c r="A84">
        <v>57</v>
      </c>
      <c r="B84" t="s">
        <v>154</v>
      </c>
      <c r="D84" t="s">
        <v>36</v>
      </c>
      <c r="E84">
        <v>1040</v>
      </c>
      <c r="F84">
        <v>183.6</v>
      </c>
      <c r="G84">
        <v>0.17653846153846151</v>
      </c>
    </row>
    <row r="85" spans="1:7" x14ac:dyDescent="0.3">
      <c r="A85">
        <v>58</v>
      </c>
      <c r="B85" t="s">
        <v>155</v>
      </c>
      <c r="C85" t="s">
        <v>142</v>
      </c>
      <c r="D85" t="s">
        <v>36</v>
      </c>
      <c r="E85">
        <v>3</v>
      </c>
      <c r="F85">
        <v>360</v>
      </c>
      <c r="G85">
        <v>120</v>
      </c>
    </row>
    <row r="86" spans="1:7" x14ac:dyDescent="0.3">
      <c r="A86">
        <v>59</v>
      </c>
      <c r="B86" t="s">
        <v>156</v>
      </c>
      <c r="C86" t="s">
        <v>63</v>
      </c>
      <c r="D86" t="s">
        <v>36</v>
      </c>
      <c r="E86">
        <v>1010</v>
      </c>
      <c r="F86">
        <v>805</v>
      </c>
      <c r="G86">
        <v>0.79702970297029707</v>
      </c>
    </row>
    <row r="87" spans="1:7" x14ac:dyDescent="0.3">
      <c r="A87">
        <v>60</v>
      </c>
      <c r="B87" t="s">
        <v>157</v>
      </c>
      <c r="C87" t="s">
        <v>158</v>
      </c>
      <c r="D87" t="s">
        <v>53</v>
      </c>
      <c r="E87">
        <v>41</v>
      </c>
      <c r="F87">
        <v>3608</v>
      </c>
      <c r="G87">
        <v>88</v>
      </c>
    </row>
    <row r="88" spans="1:7" x14ac:dyDescent="0.3">
      <c r="A88">
        <v>61</v>
      </c>
      <c r="B88" t="s">
        <v>159</v>
      </c>
      <c r="D88" t="s">
        <v>36</v>
      </c>
      <c r="E88">
        <v>30</v>
      </c>
      <c r="F88">
        <v>33.999999999999993</v>
      </c>
      <c r="G88">
        <v>1.1333333333333331</v>
      </c>
    </row>
    <row r="89" spans="1:7" x14ac:dyDescent="0.3">
      <c r="A89">
        <v>62</v>
      </c>
      <c r="B89" t="s">
        <v>160</v>
      </c>
      <c r="D89" t="s">
        <v>36</v>
      </c>
      <c r="E89">
        <v>2520</v>
      </c>
      <c r="F89">
        <v>580.19999999999982</v>
      </c>
      <c r="G89">
        <v>0.23023809523809519</v>
      </c>
    </row>
    <row r="90" spans="1:7" x14ac:dyDescent="0.3">
      <c r="A90">
        <v>63</v>
      </c>
      <c r="B90" t="s">
        <v>161</v>
      </c>
      <c r="C90" t="s">
        <v>162</v>
      </c>
      <c r="D90" t="s">
        <v>38</v>
      </c>
      <c r="E90">
        <v>1022</v>
      </c>
      <c r="F90">
        <v>9033.9600000000009</v>
      </c>
      <c r="G90">
        <v>8.8394911937377696</v>
      </c>
    </row>
    <row r="91" spans="1:7" x14ac:dyDescent="0.3">
      <c r="A91">
        <v>64</v>
      </c>
      <c r="B91" t="s">
        <v>163</v>
      </c>
      <c r="D91" t="s">
        <v>38</v>
      </c>
      <c r="E91">
        <v>24</v>
      </c>
      <c r="F91">
        <v>624</v>
      </c>
      <c r="G91">
        <v>26</v>
      </c>
    </row>
    <row r="92" spans="1:7" x14ac:dyDescent="0.3">
      <c r="A92">
        <v>65</v>
      </c>
      <c r="B92" t="s">
        <v>164</v>
      </c>
      <c r="C92" t="s">
        <v>165</v>
      </c>
      <c r="D92" t="s">
        <v>36</v>
      </c>
      <c r="E92">
        <v>12832</v>
      </c>
      <c r="F92">
        <v>3956.48</v>
      </c>
      <c r="G92">
        <v>0.30832917705735657</v>
      </c>
    </row>
    <row r="93" spans="1:7" x14ac:dyDescent="0.3">
      <c r="A93">
        <v>65</v>
      </c>
      <c r="B93" t="s">
        <v>164</v>
      </c>
      <c r="C93" t="s">
        <v>166</v>
      </c>
      <c r="D93" t="s">
        <v>36</v>
      </c>
      <c r="E93">
        <v>24</v>
      </c>
      <c r="F93">
        <v>859.68000000000006</v>
      </c>
      <c r="G93">
        <v>35.82</v>
      </c>
    </row>
    <row r="94" spans="1:7" x14ac:dyDescent="0.3">
      <c r="A94">
        <v>66</v>
      </c>
      <c r="B94" t="s">
        <v>167</v>
      </c>
      <c r="D94" t="s">
        <v>38</v>
      </c>
      <c r="E94">
        <v>25</v>
      </c>
      <c r="F94">
        <v>393.1</v>
      </c>
      <c r="G94">
        <v>15.724</v>
      </c>
    </row>
    <row r="95" spans="1:7" x14ac:dyDescent="0.3">
      <c r="A95">
        <v>67</v>
      </c>
      <c r="B95" t="s">
        <v>168</v>
      </c>
      <c r="D95" t="s">
        <v>38</v>
      </c>
      <c r="E95">
        <v>23</v>
      </c>
      <c r="F95">
        <v>436.30999999999989</v>
      </c>
      <c r="G95">
        <v>18.97</v>
      </c>
    </row>
    <row r="96" spans="1:7" x14ac:dyDescent="0.3">
      <c r="A96">
        <v>68</v>
      </c>
      <c r="B96" t="s">
        <v>169</v>
      </c>
      <c r="C96" t="s">
        <v>170</v>
      </c>
      <c r="D96" t="s">
        <v>36</v>
      </c>
      <c r="E96">
        <v>6</v>
      </c>
      <c r="F96">
        <v>111</v>
      </c>
      <c r="G96">
        <v>18.5</v>
      </c>
    </row>
    <row r="97" spans="1:7" x14ac:dyDescent="0.3">
      <c r="A97">
        <v>69</v>
      </c>
      <c r="B97" t="s">
        <v>171</v>
      </c>
      <c r="D97" t="s">
        <v>38</v>
      </c>
      <c r="E97">
        <v>25</v>
      </c>
      <c r="F97">
        <v>386.8</v>
      </c>
      <c r="G97">
        <v>15.472</v>
      </c>
    </row>
    <row r="98" spans="1:7" x14ac:dyDescent="0.3">
      <c r="A98">
        <v>70</v>
      </c>
      <c r="B98" t="s">
        <v>172</v>
      </c>
      <c r="C98" t="s">
        <v>173</v>
      </c>
      <c r="D98" t="s">
        <v>38</v>
      </c>
      <c r="E98">
        <v>60</v>
      </c>
      <c r="F98">
        <v>928.30000000000007</v>
      </c>
      <c r="G98">
        <v>15.471666666666669</v>
      </c>
    </row>
    <row r="99" spans="1:7" x14ac:dyDescent="0.3">
      <c r="A99">
        <v>71</v>
      </c>
      <c r="B99" t="s">
        <v>174</v>
      </c>
      <c r="C99" t="s">
        <v>175</v>
      </c>
      <c r="D99" t="s">
        <v>38</v>
      </c>
      <c r="E99">
        <v>24</v>
      </c>
      <c r="F99">
        <v>1041.5999999999999</v>
      </c>
      <c r="G99">
        <v>43.4</v>
      </c>
    </row>
    <row r="100" spans="1:7" x14ac:dyDescent="0.3">
      <c r="A100">
        <v>71</v>
      </c>
      <c r="B100" t="s">
        <v>174</v>
      </c>
      <c r="C100" t="s">
        <v>176</v>
      </c>
      <c r="D100" t="s">
        <v>38</v>
      </c>
      <c r="E100">
        <v>62</v>
      </c>
      <c r="F100">
        <v>1001.18</v>
      </c>
      <c r="G100">
        <v>16.148064516129029</v>
      </c>
    </row>
    <row r="101" spans="1:7" x14ac:dyDescent="0.3">
      <c r="A101">
        <v>71</v>
      </c>
      <c r="B101" t="s">
        <v>174</v>
      </c>
      <c r="D101" t="s">
        <v>38</v>
      </c>
      <c r="E101">
        <v>3</v>
      </c>
      <c r="F101">
        <v>46.17</v>
      </c>
      <c r="G101">
        <v>15.39</v>
      </c>
    </row>
    <row r="102" spans="1:7" x14ac:dyDescent="0.3">
      <c r="A102">
        <v>72</v>
      </c>
      <c r="B102" t="s">
        <v>177</v>
      </c>
      <c r="D102" t="s">
        <v>38</v>
      </c>
      <c r="E102">
        <v>4</v>
      </c>
      <c r="F102">
        <v>105.4</v>
      </c>
      <c r="G102">
        <v>26.35</v>
      </c>
    </row>
    <row r="103" spans="1:7" x14ac:dyDescent="0.3">
      <c r="A103">
        <v>73</v>
      </c>
      <c r="B103" t="s">
        <v>178</v>
      </c>
      <c r="C103" t="s">
        <v>179</v>
      </c>
      <c r="D103" t="s">
        <v>36</v>
      </c>
      <c r="E103">
        <v>12</v>
      </c>
      <c r="F103">
        <v>696</v>
      </c>
      <c r="G103">
        <v>58</v>
      </c>
    </row>
    <row r="104" spans="1:7" x14ac:dyDescent="0.3">
      <c r="A104">
        <v>74</v>
      </c>
      <c r="B104" t="s">
        <v>180</v>
      </c>
      <c r="C104" t="s">
        <v>181</v>
      </c>
      <c r="D104" t="s">
        <v>36</v>
      </c>
      <c r="E104">
        <v>7000</v>
      </c>
      <c r="F104">
        <v>840</v>
      </c>
      <c r="G104">
        <v>0.12</v>
      </c>
    </row>
    <row r="105" spans="1:7" x14ac:dyDescent="0.3">
      <c r="A105">
        <v>74</v>
      </c>
      <c r="B105" t="s">
        <v>180</v>
      </c>
      <c r="C105" t="s">
        <v>182</v>
      </c>
      <c r="D105" t="s">
        <v>88</v>
      </c>
      <c r="E105">
        <v>5</v>
      </c>
      <c r="F105">
        <v>1425</v>
      </c>
      <c r="G105">
        <v>285</v>
      </c>
    </row>
    <row r="106" spans="1:7" x14ac:dyDescent="0.3">
      <c r="A106">
        <v>75</v>
      </c>
      <c r="B106" t="s">
        <v>183</v>
      </c>
      <c r="C106" t="s">
        <v>184</v>
      </c>
      <c r="D106" t="s">
        <v>88</v>
      </c>
      <c r="E106">
        <v>173</v>
      </c>
      <c r="F106">
        <v>23874</v>
      </c>
      <c r="G106">
        <v>138</v>
      </c>
    </row>
    <row r="107" spans="1:7" x14ac:dyDescent="0.3">
      <c r="A107">
        <v>75</v>
      </c>
      <c r="B107" t="s">
        <v>183</v>
      </c>
      <c r="D107" t="s">
        <v>88</v>
      </c>
      <c r="E107">
        <v>40</v>
      </c>
      <c r="F107">
        <v>5560</v>
      </c>
      <c r="G107">
        <v>139</v>
      </c>
    </row>
    <row r="108" spans="1:7" x14ac:dyDescent="0.3">
      <c r="A108">
        <v>76</v>
      </c>
      <c r="B108" t="s">
        <v>185</v>
      </c>
      <c r="C108" t="s">
        <v>184</v>
      </c>
      <c r="D108" t="s">
        <v>88</v>
      </c>
      <c r="E108">
        <v>58</v>
      </c>
      <c r="F108">
        <v>9802</v>
      </c>
      <c r="G108">
        <v>169</v>
      </c>
    </row>
    <row r="109" spans="1:7" x14ac:dyDescent="0.3">
      <c r="A109">
        <v>76</v>
      </c>
      <c r="B109" t="s">
        <v>185</v>
      </c>
      <c r="D109" t="s">
        <v>88</v>
      </c>
      <c r="E109">
        <v>19</v>
      </c>
      <c r="F109">
        <v>3192</v>
      </c>
      <c r="G109">
        <v>168</v>
      </c>
    </row>
    <row r="110" spans="1:7" x14ac:dyDescent="0.3">
      <c r="A110">
        <v>77</v>
      </c>
      <c r="B110" t="s">
        <v>186</v>
      </c>
      <c r="C110" t="s">
        <v>142</v>
      </c>
      <c r="D110" t="s">
        <v>88</v>
      </c>
      <c r="E110">
        <v>30</v>
      </c>
      <c r="F110">
        <v>5040</v>
      </c>
      <c r="G110">
        <v>168</v>
      </c>
    </row>
    <row r="111" spans="1:7" x14ac:dyDescent="0.3">
      <c r="A111">
        <v>78</v>
      </c>
      <c r="B111" t="s">
        <v>187</v>
      </c>
      <c r="C111" t="s">
        <v>188</v>
      </c>
      <c r="D111" t="s">
        <v>36</v>
      </c>
      <c r="E111">
        <v>1</v>
      </c>
      <c r="F111">
        <v>240</v>
      </c>
      <c r="G111">
        <v>240</v>
      </c>
    </row>
    <row r="112" spans="1:7" x14ac:dyDescent="0.3">
      <c r="A112">
        <v>79</v>
      </c>
      <c r="B112" t="s">
        <v>189</v>
      </c>
      <c r="C112" t="s">
        <v>190</v>
      </c>
      <c r="D112" t="s">
        <v>36</v>
      </c>
      <c r="E112">
        <v>60</v>
      </c>
      <c r="F112">
        <v>87.6</v>
      </c>
      <c r="G112">
        <v>1.46</v>
      </c>
    </row>
    <row r="113" spans="1:7" x14ac:dyDescent="0.3">
      <c r="A113">
        <v>80</v>
      </c>
      <c r="B113" t="s">
        <v>191</v>
      </c>
      <c r="C113" t="s">
        <v>192</v>
      </c>
      <c r="D113" t="s">
        <v>38</v>
      </c>
      <c r="E113">
        <v>13</v>
      </c>
      <c r="F113">
        <v>88.27</v>
      </c>
      <c r="G113">
        <v>6.79</v>
      </c>
    </row>
    <row r="114" spans="1:7" x14ac:dyDescent="0.3">
      <c r="A114">
        <v>80</v>
      </c>
      <c r="B114" t="s">
        <v>191</v>
      </c>
      <c r="D114" t="s">
        <v>38</v>
      </c>
      <c r="E114">
        <v>50</v>
      </c>
      <c r="F114">
        <v>1165.6500000000001</v>
      </c>
      <c r="G114">
        <v>23.312999999999999</v>
      </c>
    </row>
    <row r="115" spans="1:7" x14ac:dyDescent="0.3">
      <c r="A115">
        <v>81</v>
      </c>
      <c r="B115" t="s">
        <v>193</v>
      </c>
      <c r="C115" t="s">
        <v>194</v>
      </c>
      <c r="D115" t="s">
        <v>38</v>
      </c>
      <c r="E115">
        <v>139</v>
      </c>
      <c r="F115">
        <v>2675.75</v>
      </c>
      <c r="G115">
        <v>19.25</v>
      </c>
    </row>
    <row r="116" spans="1:7" x14ac:dyDescent="0.3">
      <c r="A116">
        <v>82</v>
      </c>
      <c r="B116" t="s">
        <v>195</v>
      </c>
      <c r="C116" t="s">
        <v>196</v>
      </c>
      <c r="D116" t="s">
        <v>38</v>
      </c>
      <c r="E116">
        <v>379</v>
      </c>
      <c r="F116">
        <v>682.2</v>
      </c>
      <c r="G116">
        <v>1.8</v>
      </c>
    </row>
    <row r="117" spans="1:7" x14ac:dyDescent="0.3">
      <c r="A117">
        <v>83</v>
      </c>
      <c r="B117" t="s">
        <v>197</v>
      </c>
      <c r="D117" t="s">
        <v>38</v>
      </c>
      <c r="E117">
        <v>4</v>
      </c>
      <c r="F117">
        <v>10.32583333333333</v>
      </c>
      <c r="G117">
        <v>2.581458333333333</v>
      </c>
    </row>
    <row r="118" spans="1:7" x14ac:dyDescent="0.3">
      <c r="A118">
        <v>84</v>
      </c>
      <c r="B118" t="s">
        <v>198</v>
      </c>
      <c r="C118" t="s">
        <v>199</v>
      </c>
      <c r="D118" t="s">
        <v>47</v>
      </c>
      <c r="E118">
        <v>750</v>
      </c>
      <c r="F118">
        <v>128</v>
      </c>
      <c r="G118">
        <v>0.17066666666666669</v>
      </c>
    </row>
    <row r="119" spans="1:7" x14ac:dyDescent="0.3">
      <c r="A119">
        <v>85</v>
      </c>
      <c r="B119" t="s">
        <v>200</v>
      </c>
      <c r="D119" t="s">
        <v>38</v>
      </c>
      <c r="E119">
        <v>36</v>
      </c>
      <c r="F119">
        <v>298.08</v>
      </c>
      <c r="G119">
        <v>8.2799999999999994</v>
      </c>
    </row>
    <row r="120" spans="1:7" x14ac:dyDescent="0.3">
      <c r="A120">
        <v>86</v>
      </c>
      <c r="B120" t="s">
        <v>201</v>
      </c>
      <c r="D120" t="s">
        <v>38</v>
      </c>
      <c r="E120">
        <v>28</v>
      </c>
      <c r="F120">
        <v>473.19999999999987</v>
      </c>
      <c r="G120">
        <v>16.899999999999999</v>
      </c>
    </row>
    <row r="121" spans="1:7" x14ac:dyDescent="0.3">
      <c r="A121">
        <v>87</v>
      </c>
      <c r="B121" t="s">
        <v>202</v>
      </c>
      <c r="C121" t="s">
        <v>203</v>
      </c>
      <c r="D121" t="s">
        <v>77</v>
      </c>
      <c r="E121">
        <v>4</v>
      </c>
      <c r="F121">
        <v>400</v>
      </c>
      <c r="G121">
        <v>100</v>
      </c>
    </row>
    <row r="122" spans="1:7" x14ac:dyDescent="0.3">
      <c r="A122">
        <v>88</v>
      </c>
      <c r="B122" t="s">
        <v>204</v>
      </c>
      <c r="C122" t="s">
        <v>205</v>
      </c>
      <c r="D122" t="s">
        <v>38</v>
      </c>
      <c r="E122">
        <v>144</v>
      </c>
      <c r="F122">
        <v>1120.32</v>
      </c>
      <c r="G122">
        <v>7.7799999999999994</v>
      </c>
    </row>
    <row r="123" spans="1:7" x14ac:dyDescent="0.3">
      <c r="A123">
        <v>89</v>
      </c>
      <c r="B123" t="s">
        <v>206</v>
      </c>
      <c r="D123" t="s">
        <v>38</v>
      </c>
      <c r="E123">
        <v>419</v>
      </c>
      <c r="F123">
        <v>884.55555555555554</v>
      </c>
      <c r="G123">
        <v>2.1111111111111112</v>
      </c>
    </row>
    <row r="124" spans="1:7" x14ac:dyDescent="0.3">
      <c r="A124">
        <v>90</v>
      </c>
      <c r="B124" t="s">
        <v>207</v>
      </c>
      <c r="D124" t="s">
        <v>38</v>
      </c>
      <c r="E124">
        <v>37</v>
      </c>
      <c r="F124">
        <v>1197.56</v>
      </c>
      <c r="G124">
        <v>32.366486486486487</v>
      </c>
    </row>
    <row r="125" spans="1:7" x14ac:dyDescent="0.3">
      <c r="A125">
        <v>91</v>
      </c>
      <c r="B125" t="s">
        <v>208</v>
      </c>
      <c r="D125" t="s">
        <v>36</v>
      </c>
      <c r="E125">
        <v>50</v>
      </c>
      <c r="F125">
        <v>28.55</v>
      </c>
      <c r="G125">
        <v>0.57100000000000006</v>
      </c>
    </row>
    <row r="126" spans="1:7" x14ac:dyDescent="0.3">
      <c r="A126">
        <v>92</v>
      </c>
      <c r="B126" t="s">
        <v>209</v>
      </c>
      <c r="C126" t="s">
        <v>210</v>
      </c>
      <c r="D126" t="s">
        <v>36</v>
      </c>
      <c r="E126">
        <v>2350</v>
      </c>
      <c r="F126">
        <v>1482.85</v>
      </c>
      <c r="G126">
        <v>0.63100000000000001</v>
      </c>
    </row>
    <row r="127" spans="1:7" x14ac:dyDescent="0.3">
      <c r="A127">
        <v>93</v>
      </c>
      <c r="B127" t="s">
        <v>211</v>
      </c>
      <c r="D127" t="s">
        <v>38</v>
      </c>
      <c r="E127">
        <v>20</v>
      </c>
      <c r="F127">
        <v>285</v>
      </c>
      <c r="G127">
        <v>14.25</v>
      </c>
    </row>
    <row r="128" spans="1:7" x14ac:dyDescent="0.3">
      <c r="A128">
        <v>94</v>
      </c>
      <c r="B128" t="s">
        <v>212</v>
      </c>
      <c r="C128" t="s">
        <v>213</v>
      </c>
      <c r="D128" t="s">
        <v>38</v>
      </c>
      <c r="E128">
        <v>1492</v>
      </c>
      <c r="F128">
        <v>3043.68</v>
      </c>
      <c r="G128">
        <v>2.04</v>
      </c>
    </row>
    <row r="129" spans="1:7" x14ac:dyDescent="0.3">
      <c r="A129">
        <v>94</v>
      </c>
      <c r="B129" t="s">
        <v>212</v>
      </c>
      <c r="D129" t="s">
        <v>38</v>
      </c>
      <c r="E129">
        <v>720</v>
      </c>
      <c r="F129">
        <v>1468.8</v>
      </c>
      <c r="G129">
        <v>2.04</v>
      </c>
    </row>
    <row r="130" spans="1:7" x14ac:dyDescent="0.3">
      <c r="A130">
        <v>95</v>
      </c>
      <c r="B130" t="s">
        <v>214</v>
      </c>
      <c r="D130" t="s">
        <v>38</v>
      </c>
      <c r="E130">
        <v>684</v>
      </c>
      <c r="F130">
        <v>1347.48</v>
      </c>
      <c r="G130">
        <v>1.97</v>
      </c>
    </row>
    <row r="131" spans="1:7" x14ac:dyDescent="0.3">
      <c r="A131">
        <v>96</v>
      </c>
      <c r="B131" t="s">
        <v>215</v>
      </c>
      <c r="D131" t="s">
        <v>38</v>
      </c>
      <c r="E131">
        <v>828</v>
      </c>
      <c r="F131">
        <v>2194.1999999999998</v>
      </c>
      <c r="G131">
        <v>2.65</v>
      </c>
    </row>
    <row r="132" spans="1:7" x14ac:dyDescent="0.3">
      <c r="A132">
        <v>97</v>
      </c>
      <c r="B132" t="s">
        <v>216</v>
      </c>
      <c r="C132" t="s">
        <v>217</v>
      </c>
      <c r="D132" t="s">
        <v>38</v>
      </c>
      <c r="E132">
        <v>5888</v>
      </c>
      <c r="F132">
        <v>16785.12</v>
      </c>
      <c r="G132">
        <v>2.850733695652174</v>
      </c>
    </row>
    <row r="133" spans="1:7" x14ac:dyDescent="0.3">
      <c r="A133">
        <v>98</v>
      </c>
      <c r="B133" t="s">
        <v>218</v>
      </c>
      <c r="C133" t="s">
        <v>219</v>
      </c>
      <c r="D133" t="s">
        <v>77</v>
      </c>
      <c r="E133">
        <v>20</v>
      </c>
      <c r="F133">
        <v>266</v>
      </c>
      <c r="G133">
        <v>13.3</v>
      </c>
    </row>
    <row r="134" spans="1:7" x14ac:dyDescent="0.3">
      <c r="A134">
        <v>99</v>
      </c>
      <c r="B134" t="s">
        <v>220</v>
      </c>
      <c r="C134" t="s">
        <v>221</v>
      </c>
      <c r="D134" t="s">
        <v>36</v>
      </c>
      <c r="E134">
        <v>800</v>
      </c>
      <c r="F134">
        <v>206.6</v>
      </c>
      <c r="G134">
        <v>0.25824999999999998</v>
      </c>
    </row>
    <row r="135" spans="1:7" x14ac:dyDescent="0.3">
      <c r="A135">
        <v>99</v>
      </c>
      <c r="B135" t="s">
        <v>220</v>
      </c>
      <c r="C135" t="s">
        <v>222</v>
      </c>
      <c r="D135" t="s">
        <v>38</v>
      </c>
      <c r="E135">
        <v>1553</v>
      </c>
      <c r="F135">
        <v>3016.45</v>
      </c>
      <c r="G135">
        <v>1.9423374114616869</v>
      </c>
    </row>
    <row r="136" spans="1:7" x14ac:dyDescent="0.3">
      <c r="A136">
        <v>100</v>
      </c>
      <c r="B136" t="s">
        <v>223</v>
      </c>
      <c r="C136" t="s">
        <v>224</v>
      </c>
      <c r="D136" t="s">
        <v>38</v>
      </c>
      <c r="E136">
        <v>135</v>
      </c>
      <c r="F136">
        <v>2249.1</v>
      </c>
      <c r="G136">
        <v>16.66</v>
      </c>
    </row>
    <row r="137" spans="1:7" x14ac:dyDescent="0.3">
      <c r="A137">
        <v>101</v>
      </c>
      <c r="B137" t="s">
        <v>225</v>
      </c>
      <c r="C137" t="s">
        <v>226</v>
      </c>
      <c r="D137" t="s">
        <v>36</v>
      </c>
      <c r="E137">
        <v>9620</v>
      </c>
      <c r="F137">
        <v>1390.22</v>
      </c>
      <c r="G137">
        <v>0.14451351351351349</v>
      </c>
    </row>
    <row r="138" spans="1:7" x14ac:dyDescent="0.3">
      <c r="A138">
        <v>101</v>
      </c>
      <c r="B138" t="s">
        <v>225</v>
      </c>
      <c r="C138" t="s">
        <v>227</v>
      </c>
      <c r="D138" t="s">
        <v>36</v>
      </c>
      <c r="E138">
        <v>3502</v>
      </c>
      <c r="F138">
        <v>596.70000000000005</v>
      </c>
      <c r="G138">
        <v>0.17038834951456311</v>
      </c>
    </row>
    <row r="139" spans="1:7" x14ac:dyDescent="0.3">
      <c r="A139">
        <v>102</v>
      </c>
      <c r="B139" t="s">
        <v>228</v>
      </c>
      <c r="C139" t="s">
        <v>229</v>
      </c>
      <c r="D139" t="s">
        <v>47</v>
      </c>
      <c r="E139">
        <v>28875</v>
      </c>
      <c r="F139">
        <v>3234</v>
      </c>
      <c r="G139">
        <v>0.112</v>
      </c>
    </row>
    <row r="140" spans="1:7" x14ac:dyDescent="0.3">
      <c r="A140">
        <v>102</v>
      </c>
      <c r="B140" t="s">
        <v>228</v>
      </c>
      <c r="C140" t="s">
        <v>230</v>
      </c>
      <c r="D140" t="s">
        <v>47</v>
      </c>
      <c r="E140">
        <v>163.63999999999999</v>
      </c>
      <c r="F140">
        <v>6663.420799999999</v>
      </c>
      <c r="G140">
        <v>40.72</v>
      </c>
    </row>
    <row r="141" spans="1:7" x14ac:dyDescent="0.3">
      <c r="A141">
        <v>103</v>
      </c>
      <c r="B141" t="s">
        <v>231</v>
      </c>
      <c r="C141" t="s">
        <v>232</v>
      </c>
      <c r="D141" t="s">
        <v>47</v>
      </c>
      <c r="E141">
        <v>780</v>
      </c>
      <c r="F141">
        <v>112.8</v>
      </c>
      <c r="G141">
        <v>0.14461538461538459</v>
      </c>
    </row>
    <row r="142" spans="1:7" x14ac:dyDescent="0.3">
      <c r="A142">
        <v>104</v>
      </c>
      <c r="B142" t="s">
        <v>233</v>
      </c>
      <c r="C142" t="s">
        <v>232</v>
      </c>
      <c r="D142" t="s">
        <v>47</v>
      </c>
      <c r="E142">
        <v>1</v>
      </c>
      <c r="F142">
        <v>62.7</v>
      </c>
      <c r="G142">
        <v>62.7</v>
      </c>
    </row>
    <row r="143" spans="1:7" x14ac:dyDescent="0.3">
      <c r="A143">
        <v>105</v>
      </c>
      <c r="B143" t="s">
        <v>234</v>
      </c>
      <c r="C143" t="s">
        <v>232</v>
      </c>
      <c r="D143" t="s">
        <v>47</v>
      </c>
      <c r="E143">
        <v>390</v>
      </c>
      <c r="F143">
        <v>56.399999999999991</v>
      </c>
      <c r="G143">
        <v>0.14461538461538459</v>
      </c>
    </row>
    <row r="144" spans="1:7" x14ac:dyDescent="0.3">
      <c r="A144">
        <v>106</v>
      </c>
      <c r="B144" t="s">
        <v>235</v>
      </c>
      <c r="C144" t="s">
        <v>236</v>
      </c>
      <c r="D144" t="s">
        <v>36</v>
      </c>
      <c r="E144">
        <v>2.2200000000000002</v>
      </c>
      <c r="F144">
        <v>777.00000000000011</v>
      </c>
      <c r="G144">
        <v>350</v>
      </c>
    </row>
    <row r="145" spans="1:7" x14ac:dyDescent="0.3">
      <c r="A145">
        <v>107</v>
      </c>
      <c r="B145" t="s">
        <v>237</v>
      </c>
      <c r="C145" t="s">
        <v>238</v>
      </c>
      <c r="D145" t="s">
        <v>36</v>
      </c>
      <c r="E145">
        <v>21</v>
      </c>
      <c r="F145">
        <v>1449</v>
      </c>
      <c r="G145">
        <v>69</v>
      </c>
    </row>
    <row r="146" spans="1:7" x14ac:dyDescent="0.3">
      <c r="A146">
        <v>108</v>
      </c>
      <c r="B146" t="s">
        <v>239</v>
      </c>
      <c r="C146" t="s">
        <v>240</v>
      </c>
      <c r="D146" t="s">
        <v>47</v>
      </c>
      <c r="E146">
        <v>486000</v>
      </c>
      <c r="F146">
        <v>5775.2999999999984</v>
      </c>
      <c r="G146">
        <v>1.1883333333333331E-2</v>
      </c>
    </row>
    <row r="147" spans="1:7" x14ac:dyDescent="0.3">
      <c r="A147">
        <v>108</v>
      </c>
      <c r="B147" t="s">
        <v>239</v>
      </c>
      <c r="D147" t="s">
        <v>47</v>
      </c>
      <c r="E147">
        <v>10800</v>
      </c>
      <c r="F147">
        <v>1283.4000000000001</v>
      </c>
      <c r="G147">
        <v>0.1188333333333333</v>
      </c>
    </row>
    <row r="148" spans="1:7" x14ac:dyDescent="0.3">
      <c r="A148">
        <v>109</v>
      </c>
      <c r="B148" t="s">
        <v>241</v>
      </c>
      <c r="C148" t="s">
        <v>242</v>
      </c>
      <c r="D148" t="s">
        <v>88</v>
      </c>
      <c r="E148">
        <v>112</v>
      </c>
      <c r="F148">
        <v>11760</v>
      </c>
      <c r="G148">
        <v>105</v>
      </c>
    </row>
    <row r="149" spans="1:7" x14ac:dyDescent="0.3">
      <c r="A149">
        <v>110</v>
      </c>
      <c r="B149" t="s">
        <v>243</v>
      </c>
      <c r="C149" t="s">
        <v>244</v>
      </c>
      <c r="D149" t="s">
        <v>47</v>
      </c>
      <c r="E149">
        <v>1</v>
      </c>
      <c r="F149">
        <v>227</v>
      </c>
      <c r="G149">
        <v>227</v>
      </c>
    </row>
    <row r="150" spans="1:7" x14ac:dyDescent="0.3">
      <c r="A150">
        <v>111</v>
      </c>
      <c r="B150" t="s">
        <v>245</v>
      </c>
      <c r="C150" t="s">
        <v>246</v>
      </c>
      <c r="D150" t="s">
        <v>36</v>
      </c>
      <c r="E150">
        <v>8</v>
      </c>
      <c r="F150">
        <v>440.4</v>
      </c>
      <c r="G150">
        <v>55.05</v>
      </c>
    </row>
    <row r="151" spans="1:7" x14ac:dyDescent="0.3">
      <c r="A151">
        <v>112</v>
      </c>
      <c r="B151" t="s">
        <v>247</v>
      </c>
      <c r="D151" t="s">
        <v>36</v>
      </c>
      <c r="E151">
        <v>48</v>
      </c>
      <c r="F151">
        <v>1338.72</v>
      </c>
      <c r="G151">
        <v>27.89</v>
      </c>
    </row>
    <row r="152" spans="1:7" x14ac:dyDescent="0.3">
      <c r="A152">
        <v>113</v>
      </c>
      <c r="B152" t="s">
        <v>248</v>
      </c>
      <c r="D152" t="s">
        <v>38</v>
      </c>
      <c r="E152">
        <v>48</v>
      </c>
      <c r="F152">
        <v>1338.72</v>
      </c>
      <c r="G152">
        <v>27.89</v>
      </c>
    </row>
    <row r="153" spans="1:7" x14ac:dyDescent="0.3">
      <c r="A153">
        <v>114</v>
      </c>
      <c r="B153" t="s">
        <v>249</v>
      </c>
      <c r="C153" t="s">
        <v>250</v>
      </c>
      <c r="D153" t="s">
        <v>36</v>
      </c>
      <c r="E153">
        <v>7228</v>
      </c>
      <c r="F153">
        <v>1842.4</v>
      </c>
      <c r="G153">
        <v>0.25489762036524632</v>
      </c>
    </row>
    <row r="154" spans="1:7" x14ac:dyDescent="0.3">
      <c r="A154">
        <v>115</v>
      </c>
      <c r="B154" t="s">
        <v>251</v>
      </c>
      <c r="C154" t="s">
        <v>252</v>
      </c>
      <c r="D154" t="s">
        <v>36</v>
      </c>
      <c r="E154">
        <v>15</v>
      </c>
      <c r="F154">
        <v>538.5</v>
      </c>
      <c r="G154">
        <v>35.9</v>
      </c>
    </row>
    <row r="155" spans="1:7" x14ac:dyDescent="0.3">
      <c r="A155">
        <v>116</v>
      </c>
      <c r="B155" t="s">
        <v>253</v>
      </c>
      <c r="C155" t="s">
        <v>254</v>
      </c>
      <c r="D155" t="s">
        <v>38</v>
      </c>
      <c r="E155">
        <v>25</v>
      </c>
      <c r="F155">
        <v>339.1</v>
      </c>
      <c r="G155">
        <v>13.564</v>
      </c>
    </row>
    <row r="156" spans="1:7" x14ac:dyDescent="0.3">
      <c r="A156">
        <v>117</v>
      </c>
      <c r="B156" t="s">
        <v>255</v>
      </c>
      <c r="D156" t="s">
        <v>36</v>
      </c>
      <c r="E156">
        <v>10000</v>
      </c>
      <c r="F156">
        <v>1120</v>
      </c>
      <c r="G156">
        <v>0.112</v>
      </c>
    </row>
    <row r="157" spans="1:7" x14ac:dyDescent="0.3">
      <c r="A157">
        <v>118</v>
      </c>
      <c r="B157" t="s">
        <v>256</v>
      </c>
      <c r="C157" t="s">
        <v>257</v>
      </c>
      <c r="D157" t="s">
        <v>38</v>
      </c>
      <c r="E157">
        <v>11</v>
      </c>
      <c r="F157">
        <v>89.21</v>
      </c>
      <c r="G157">
        <v>8.11</v>
      </c>
    </row>
    <row r="158" spans="1:7" x14ac:dyDescent="0.3">
      <c r="A158">
        <v>119</v>
      </c>
      <c r="B158" t="s">
        <v>258</v>
      </c>
      <c r="C158" t="s">
        <v>259</v>
      </c>
      <c r="D158" t="s">
        <v>38</v>
      </c>
      <c r="E158">
        <v>15</v>
      </c>
      <c r="F158">
        <v>105.45</v>
      </c>
      <c r="G158">
        <v>7.03</v>
      </c>
    </row>
    <row r="159" spans="1:7" x14ac:dyDescent="0.3">
      <c r="A159">
        <v>120</v>
      </c>
      <c r="B159" t="s">
        <v>260</v>
      </c>
      <c r="C159" t="s">
        <v>261</v>
      </c>
      <c r="D159" t="s">
        <v>36</v>
      </c>
      <c r="E159">
        <v>2550</v>
      </c>
      <c r="F159">
        <v>258</v>
      </c>
      <c r="G159">
        <v>0.1011764705882353</v>
      </c>
    </row>
    <row r="160" spans="1:7" x14ac:dyDescent="0.3">
      <c r="A160">
        <v>120</v>
      </c>
      <c r="B160" t="s">
        <v>260</v>
      </c>
      <c r="C160" t="s">
        <v>262</v>
      </c>
      <c r="D160" t="s">
        <v>36</v>
      </c>
      <c r="E160">
        <v>17</v>
      </c>
      <c r="F160">
        <v>731</v>
      </c>
      <c r="G160">
        <v>43</v>
      </c>
    </row>
    <row r="161" spans="1:7" x14ac:dyDescent="0.3">
      <c r="A161">
        <v>120</v>
      </c>
      <c r="B161" t="s">
        <v>260</v>
      </c>
      <c r="D161" t="s">
        <v>36</v>
      </c>
      <c r="E161">
        <v>2125</v>
      </c>
      <c r="F161">
        <v>289.99999999999989</v>
      </c>
      <c r="G161">
        <v>0.13647058823529409</v>
      </c>
    </row>
    <row r="162" spans="1:7" x14ac:dyDescent="0.3">
      <c r="A162">
        <v>121</v>
      </c>
      <c r="B162" t="s">
        <v>263</v>
      </c>
      <c r="C162" t="s">
        <v>264</v>
      </c>
      <c r="D162" t="s">
        <v>36</v>
      </c>
      <c r="E162">
        <v>952</v>
      </c>
      <c r="F162">
        <v>1937.2</v>
      </c>
      <c r="G162">
        <v>2.0348739495798318</v>
      </c>
    </row>
    <row r="163" spans="1:7" x14ac:dyDescent="0.3">
      <c r="A163">
        <v>122</v>
      </c>
      <c r="B163" t="s">
        <v>265</v>
      </c>
      <c r="C163" t="s">
        <v>266</v>
      </c>
      <c r="D163" t="s">
        <v>38</v>
      </c>
      <c r="E163">
        <v>13</v>
      </c>
      <c r="F163">
        <v>91.91</v>
      </c>
      <c r="G163">
        <v>7.0699999999999994</v>
      </c>
    </row>
    <row r="164" spans="1:7" x14ac:dyDescent="0.3">
      <c r="A164">
        <v>123</v>
      </c>
      <c r="B164" t="s">
        <v>267</v>
      </c>
      <c r="C164" t="s">
        <v>268</v>
      </c>
      <c r="D164" t="s">
        <v>38</v>
      </c>
      <c r="E164">
        <v>7</v>
      </c>
      <c r="F164">
        <v>68.180000000000007</v>
      </c>
      <c r="G164">
        <v>9.74</v>
      </c>
    </row>
    <row r="165" spans="1:7" x14ac:dyDescent="0.3">
      <c r="A165">
        <v>123</v>
      </c>
      <c r="B165" t="s">
        <v>267</v>
      </c>
      <c r="C165" t="s">
        <v>266</v>
      </c>
      <c r="D165" t="s">
        <v>38</v>
      </c>
      <c r="E165">
        <v>162</v>
      </c>
      <c r="F165">
        <v>1101.6300000000001</v>
      </c>
      <c r="G165">
        <v>6.8001851851851862</v>
      </c>
    </row>
    <row r="166" spans="1:7" x14ac:dyDescent="0.3">
      <c r="A166">
        <v>123</v>
      </c>
      <c r="B166" t="s">
        <v>267</v>
      </c>
      <c r="D166" t="s">
        <v>38</v>
      </c>
      <c r="E166">
        <v>38</v>
      </c>
      <c r="F166">
        <v>311.98</v>
      </c>
      <c r="G166">
        <v>8.2099999999999991</v>
      </c>
    </row>
    <row r="167" spans="1:7" x14ac:dyDescent="0.3">
      <c r="A167">
        <v>124</v>
      </c>
      <c r="B167" t="s">
        <v>269</v>
      </c>
      <c r="D167" t="s">
        <v>38</v>
      </c>
      <c r="E167">
        <v>18</v>
      </c>
      <c r="F167">
        <v>169.2</v>
      </c>
      <c r="G167">
        <v>9.4</v>
      </c>
    </row>
    <row r="168" spans="1:7" x14ac:dyDescent="0.3">
      <c r="A168">
        <v>125</v>
      </c>
      <c r="B168" t="s">
        <v>270</v>
      </c>
      <c r="C168" t="s">
        <v>271</v>
      </c>
      <c r="D168" t="s">
        <v>38</v>
      </c>
      <c r="E168">
        <v>410</v>
      </c>
      <c r="F168">
        <v>2460</v>
      </c>
      <c r="G168">
        <v>6</v>
      </c>
    </row>
    <row r="169" spans="1:7" x14ac:dyDescent="0.3">
      <c r="A169">
        <v>126</v>
      </c>
      <c r="B169" t="s">
        <v>272</v>
      </c>
      <c r="C169" t="s">
        <v>273</v>
      </c>
      <c r="D169" t="s">
        <v>38</v>
      </c>
      <c r="E169">
        <v>497</v>
      </c>
      <c r="F169">
        <v>3911.39</v>
      </c>
      <c r="G169">
        <v>7.87</v>
      </c>
    </row>
    <row r="170" spans="1:7" x14ac:dyDescent="0.3">
      <c r="A170">
        <v>126</v>
      </c>
      <c r="B170" t="s">
        <v>272</v>
      </c>
      <c r="D170" t="s">
        <v>38</v>
      </c>
      <c r="E170">
        <v>65</v>
      </c>
      <c r="F170">
        <v>511.55</v>
      </c>
      <c r="G170">
        <v>7.87</v>
      </c>
    </row>
    <row r="171" spans="1:7" x14ac:dyDescent="0.3">
      <c r="A171">
        <v>127</v>
      </c>
      <c r="B171" t="s">
        <v>274</v>
      </c>
      <c r="C171" t="s">
        <v>275</v>
      </c>
      <c r="D171" t="s">
        <v>38</v>
      </c>
      <c r="E171">
        <v>167</v>
      </c>
      <c r="F171">
        <v>1392.78</v>
      </c>
      <c r="G171">
        <v>8.34</v>
      </c>
    </row>
    <row r="172" spans="1:7" x14ac:dyDescent="0.3">
      <c r="A172">
        <v>128</v>
      </c>
      <c r="B172" t="s">
        <v>276</v>
      </c>
      <c r="D172" t="s">
        <v>36</v>
      </c>
      <c r="E172">
        <v>676</v>
      </c>
      <c r="F172">
        <v>232.9075630252101</v>
      </c>
      <c r="G172">
        <v>0.34453781512605042</v>
      </c>
    </row>
    <row r="173" spans="1:7" x14ac:dyDescent="0.3">
      <c r="A173">
        <v>129</v>
      </c>
      <c r="B173" t="s">
        <v>277</v>
      </c>
      <c r="C173" t="s">
        <v>278</v>
      </c>
      <c r="D173" t="s">
        <v>36</v>
      </c>
      <c r="E173">
        <v>248</v>
      </c>
      <c r="F173">
        <v>66.8</v>
      </c>
      <c r="G173">
        <v>0.26935483870967741</v>
      </c>
    </row>
    <row r="174" spans="1:7" x14ac:dyDescent="0.3">
      <c r="A174">
        <v>130</v>
      </c>
      <c r="B174" t="s">
        <v>279</v>
      </c>
      <c r="C174" t="s">
        <v>280</v>
      </c>
      <c r="D174" t="s">
        <v>36</v>
      </c>
      <c r="E174">
        <v>200</v>
      </c>
      <c r="F174">
        <v>47</v>
      </c>
      <c r="G174">
        <v>0.23499999999999999</v>
      </c>
    </row>
    <row r="175" spans="1:7" x14ac:dyDescent="0.3">
      <c r="A175">
        <v>131</v>
      </c>
      <c r="B175" t="s">
        <v>281</v>
      </c>
      <c r="C175" t="s">
        <v>282</v>
      </c>
      <c r="D175" t="s">
        <v>36</v>
      </c>
      <c r="E175">
        <v>2</v>
      </c>
      <c r="F175">
        <v>36.5</v>
      </c>
      <c r="G175">
        <v>18.25</v>
      </c>
    </row>
    <row r="176" spans="1:7" x14ac:dyDescent="0.3">
      <c r="A176">
        <v>131</v>
      </c>
      <c r="B176" t="s">
        <v>281</v>
      </c>
      <c r="D176" t="s">
        <v>36</v>
      </c>
      <c r="E176">
        <v>40</v>
      </c>
      <c r="F176">
        <v>36.5</v>
      </c>
      <c r="G176">
        <v>0.91249999999999998</v>
      </c>
    </row>
    <row r="177" spans="1:7" x14ac:dyDescent="0.3">
      <c r="A177">
        <v>132</v>
      </c>
      <c r="B177" t="s">
        <v>283</v>
      </c>
      <c r="C177" t="s">
        <v>284</v>
      </c>
      <c r="D177" t="s">
        <v>38</v>
      </c>
      <c r="E177">
        <v>300</v>
      </c>
      <c r="F177">
        <v>375</v>
      </c>
      <c r="G177">
        <v>1.25</v>
      </c>
    </row>
    <row r="178" spans="1:7" x14ac:dyDescent="0.3">
      <c r="A178">
        <v>133</v>
      </c>
      <c r="B178" t="s">
        <v>285</v>
      </c>
      <c r="C178" t="s">
        <v>286</v>
      </c>
      <c r="D178" t="s">
        <v>38</v>
      </c>
      <c r="E178">
        <v>48</v>
      </c>
      <c r="F178">
        <v>1197.1199999999999</v>
      </c>
      <c r="G178">
        <v>24.94</v>
      </c>
    </row>
    <row r="179" spans="1:7" x14ac:dyDescent="0.3">
      <c r="A179">
        <v>134</v>
      </c>
      <c r="B179" t="s">
        <v>287</v>
      </c>
      <c r="C179" t="s">
        <v>286</v>
      </c>
      <c r="D179" t="s">
        <v>38</v>
      </c>
      <c r="E179">
        <v>48</v>
      </c>
      <c r="F179">
        <v>1188.96</v>
      </c>
      <c r="G179">
        <v>24.77</v>
      </c>
    </row>
    <row r="180" spans="1:7" x14ac:dyDescent="0.3">
      <c r="A180">
        <v>135</v>
      </c>
      <c r="B180" t="s">
        <v>288</v>
      </c>
      <c r="C180" t="s">
        <v>289</v>
      </c>
      <c r="D180" t="s">
        <v>36</v>
      </c>
      <c r="E180">
        <v>2</v>
      </c>
      <c r="F180">
        <v>440</v>
      </c>
      <c r="G180">
        <v>220</v>
      </c>
    </row>
    <row r="181" spans="1:7" x14ac:dyDescent="0.3">
      <c r="A181">
        <v>136</v>
      </c>
      <c r="B181" t="s">
        <v>290</v>
      </c>
      <c r="C181" t="s">
        <v>291</v>
      </c>
      <c r="D181" t="s">
        <v>36</v>
      </c>
      <c r="E181">
        <v>1000</v>
      </c>
      <c r="F181">
        <v>220</v>
      </c>
      <c r="G181">
        <v>0.22</v>
      </c>
    </row>
    <row r="182" spans="1:7" x14ac:dyDescent="0.3">
      <c r="A182">
        <v>136</v>
      </c>
      <c r="B182" t="s">
        <v>290</v>
      </c>
      <c r="C182" t="s">
        <v>292</v>
      </c>
      <c r="D182" t="s">
        <v>36</v>
      </c>
      <c r="E182">
        <v>150</v>
      </c>
      <c r="F182">
        <v>159</v>
      </c>
      <c r="G182">
        <v>1.06</v>
      </c>
    </row>
    <row r="183" spans="1:7" x14ac:dyDescent="0.3">
      <c r="A183">
        <v>136</v>
      </c>
      <c r="B183" t="s">
        <v>290</v>
      </c>
      <c r="C183" t="s">
        <v>293</v>
      </c>
      <c r="D183" t="s">
        <v>36</v>
      </c>
      <c r="E183">
        <v>7</v>
      </c>
      <c r="F183">
        <v>791</v>
      </c>
      <c r="G183">
        <v>113</v>
      </c>
    </row>
    <row r="184" spans="1:7" x14ac:dyDescent="0.3">
      <c r="A184">
        <v>137</v>
      </c>
      <c r="B184" t="s">
        <v>294</v>
      </c>
      <c r="C184" t="s">
        <v>295</v>
      </c>
      <c r="D184" t="s">
        <v>36</v>
      </c>
      <c r="E184">
        <v>1</v>
      </c>
      <c r="F184">
        <v>450</v>
      </c>
      <c r="G184">
        <v>450</v>
      </c>
    </row>
    <row r="185" spans="1:7" x14ac:dyDescent="0.3">
      <c r="A185">
        <v>137</v>
      </c>
      <c r="B185" t="s">
        <v>294</v>
      </c>
      <c r="D185" t="s">
        <v>36</v>
      </c>
      <c r="E185">
        <v>500</v>
      </c>
      <c r="F185">
        <v>280</v>
      </c>
      <c r="G185">
        <v>0.56000000000000005</v>
      </c>
    </row>
    <row r="186" spans="1:7" x14ac:dyDescent="0.3">
      <c r="A186">
        <v>138</v>
      </c>
      <c r="B186" t="s">
        <v>296</v>
      </c>
      <c r="C186" t="s">
        <v>297</v>
      </c>
      <c r="D186" t="s">
        <v>38</v>
      </c>
      <c r="E186">
        <v>400</v>
      </c>
      <c r="F186">
        <v>2860</v>
      </c>
      <c r="G186">
        <v>7.15</v>
      </c>
    </row>
    <row r="187" spans="1:7" x14ac:dyDescent="0.3">
      <c r="A187">
        <v>139</v>
      </c>
      <c r="B187" t="s">
        <v>298</v>
      </c>
      <c r="C187" t="s">
        <v>299</v>
      </c>
      <c r="D187" t="s">
        <v>38</v>
      </c>
      <c r="E187">
        <v>459</v>
      </c>
      <c r="F187">
        <v>3609.54</v>
      </c>
      <c r="G187">
        <v>7.8639215686274513</v>
      </c>
    </row>
    <row r="188" spans="1:7" x14ac:dyDescent="0.3">
      <c r="A188">
        <v>140</v>
      </c>
      <c r="B188" t="s">
        <v>300</v>
      </c>
      <c r="C188" t="s">
        <v>115</v>
      </c>
      <c r="D188" t="s">
        <v>53</v>
      </c>
      <c r="E188">
        <v>16</v>
      </c>
      <c r="F188">
        <v>4944</v>
      </c>
      <c r="G188">
        <v>309</v>
      </c>
    </row>
    <row r="189" spans="1:7" x14ac:dyDescent="0.3">
      <c r="A189">
        <v>141</v>
      </c>
      <c r="B189" t="s">
        <v>301</v>
      </c>
      <c r="D189" t="s">
        <v>36</v>
      </c>
      <c r="E189">
        <v>1300</v>
      </c>
      <c r="F189">
        <v>416</v>
      </c>
      <c r="G189">
        <v>0.32</v>
      </c>
    </row>
    <row r="190" spans="1:7" x14ac:dyDescent="0.3">
      <c r="A190">
        <v>142</v>
      </c>
      <c r="B190" t="s">
        <v>302</v>
      </c>
      <c r="C190" t="s">
        <v>63</v>
      </c>
      <c r="D190" t="s">
        <v>36</v>
      </c>
      <c r="E190">
        <v>250</v>
      </c>
      <c r="F190">
        <v>156.25</v>
      </c>
      <c r="G190">
        <v>0.625</v>
      </c>
    </row>
    <row r="191" spans="1:7" x14ac:dyDescent="0.3">
      <c r="A191">
        <v>142</v>
      </c>
      <c r="B191" t="s">
        <v>302</v>
      </c>
      <c r="D191" t="s">
        <v>36</v>
      </c>
      <c r="E191">
        <v>100</v>
      </c>
      <c r="F191">
        <v>35</v>
      </c>
      <c r="G191">
        <v>0.35</v>
      </c>
    </row>
    <row r="192" spans="1:7" x14ac:dyDescent="0.3">
      <c r="A192">
        <v>143</v>
      </c>
      <c r="B192" t="s">
        <v>303</v>
      </c>
      <c r="C192" t="s">
        <v>304</v>
      </c>
      <c r="D192" t="s">
        <v>36</v>
      </c>
      <c r="E192">
        <v>10000</v>
      </c>
      <c r="F192">
        <v>1800</v>
      </c>
      <c r="G192">
        <v>0.18</v>
      </c>
    </row>
    <row r="193" spans="1:7" x14ac:dyDescent="0.3">
      <c r="A193">
        <v>144</v>
      </c>
      <c r="B193" t="s">
        <v>305</v>
      </c>
      <c r="D193" t="s">
        <v>38</v>
      </c>
      <c r="E193">
        <v>4</v>
      </c>
      <c r="F193">
        <v>78.099999999999994</v>
      </c>
      <c r="G193">
        <v>19.524999999999999</v>
      </c>
    </row>
    <row r="194" spans="1:7" x14ac:dyDescent="0.3">
      <c r="A194">
        <v>145</v>
      </c>
      <c r="B194" t="s">
        <v>306</v>
      </c>
      <c r="D194" t="s">
        <v>38</v>
      </c>
      <c r="E194">
        <v>4</v>
      </c>
      <c r="F194">
        <v>78.099999999999994</v>
      </c>
      <c r="G194">
        <v>19.524999999999999</v>
      </c>
    </row>
    <row r="195" spans="1:7" x14ac:dyDescent="0.3">
      <c r="A195">
        <v>146</v>
      </c>
      <c r="B195" t="s">
        <v>307</v>
      </c>
      <c r="D195" t="s">
        <v>53</v>
      </c>
      <c r="E195">
        <v>17</v>
      </c>
      <c r="F195">
        <v>11152</v>
      </c>
      <c r="G195">
        <v>656</v>
      </c>
    </row>
    <row r="196" spans="1:7" x14ac:dyDescent="0.3">
      <c r="A196">
        <v>147</v>
      </c>
      <c r="B196" t="s">
        <v>308</v>
      </c>
      <c r="C196" t="s">
        <v>309</v>
      </c>
      <c r="D196" t="s">
        <v>47</v>
      </c>
      <c r="E196">
        <v>350</v>
      </c>
      <c r="F196">
        <v>85.000000000000014</v>
      </c>
      <c r="G196">
        <v>0.24285714285714291</v>
      </c>
    </row>
    <row r="197" spans="1:7" x14ac:dyDescent="0.3">
      <c r="A197">
        <v>147</v>
      </c>
      <c r="B197" t="s">
        <v>308</v>
      </c>
      <c r="C197" t="s">
        <v>310</v>
      </c>
      <c r="D197" t="s">
        <v>38</v>
      </c>
      <c r="E197">
        <v>8940</v>
      </c>
      <c r="F197">
        <v>60953.1</v>
      </c>
      <c r="G197">
        <v>6.8180201342281874</v>
      </c>
    </row>
    <row r="198" spans="1:7" x14ac:dyDescent="0.3">
      <c r="A198">
        <v>147</v>
      </c>
      <c r="B198" t="s">
        <v>308</v>
      </c>
      <c r="D198" t="s">
        <v>38</v>
      </c>
      <c r="E198">
        <v>1485</v>
      </c>
      <c r="F198">
        <v>11385</v>
      </c>
      <c r="G198">
        <v>7.666666666666667</v>
      </c>
    </row>
    <row r="199" spans="1:7" x14ac:dyDescent="0.3">
      <c r="A199">
        <v>148</v>
      </c>
      <c r="B199" t="s">
        <v>311</v>
      </c>
      <c r="D199" t="s">
        <v>38</v>
      </c>
      <c r="E199">
        <v>47</v>
      </c>
      <c r="F199">
        <v>427.7</v>
      </c>
      <c r="G199">
        <v>9.1</v>
      </c>
    </row>
    <row r="200" spans="1:7" x14ac:dyDescent="0.3">
      <c r="A200">
        <v>149</v>
      </c>
      <c r="B200" t="s">
        <v>312</v>
      </c>
      <c r="C200" t="s">
        <v>313</v>
      </c>
      <c r="D200" t="s">
        <v>38</v>
      </c>
      <c r="E200">
        <v>19</v>
      </c>
      <c r="F200">
        <v>161.69</v>
      </c>
      <c r="G200">
        <v>8.51</v>
      </c>
    </row>
    <row r="201" spans="1:7" x14ac:dyDescent="0.3">
      <c r="A201">
        <v>149</v>
      </c>
      <c r="B201" t="s">
        <v>312</v>
      </c>
      <c r="D201" t="s">
        <v>38</v>
      </c>
      <c r="E201">
        <v>86</v>
      </c>
      <c r="F201">
        <v>748.19999999999993</v>
      </c>
      <c r="G201">
        <v>8.6999999999999993</v>
      </c>
    </row>
    <row r="202" spans="1:7" x14ac:dyDescent="0.3">
      <c r="A202">
        <v>150</v>
      </c>
      <c r="B202" t="s">
        <v>314</v>
      </c>
      <c r="D202" t="s">
        <v>38</v>
      </c>
      <c r="E202">
        <v>60</v>
      </c>
      <c r="F202">
        <v>522</v>
      </c>
      <c r="G202">
        <v>8.6999999999999993</v>
      </c>
    </row>
    <row r="203" spans="1:7" x14ac:dyDescent="0.3">
      <c r="A203">
        <v>151</v>
      </c>
      <c r="B203" t="s">
        <v>315</v>
      </c>
      <c r="C203" t="s">
        <v>313</v>
      </c>
      <c r="D203" t="s">
        <v>38</v>
      </c>
      <c r="E203">
        <v>250</v>
      </c>
      <c r="F203">
        <v>2127.5</v>
      </c>
      <c r="G203">
        <v>8.51</v>
      </c>
    </row>
    <row r="204" spans="1:7" x14ac:dyDescent="0.3">
      <c r="A204">
        <v>151</v>
      </c>
      <c r="B204" t="s">
        <v>315</v>
      </c>
      <c r="D204" t="s">
        <v>38</v>
      </c>
      <c r="E204">
        <v>71</v>
      </c>
      <c r="F204">
        <v>617.69999999999993</v>
      </c>
      <c r="G204">
        <v>8.6999999999999993</v>
      </c>
    </row>
    <row r="205" spans="1:7" x14ac:dyDescent="0.3">
      <c r="A205">
        <v>152</v>
      </c>
      <c r="B205" t="s">
        <v>316</v>
      </c>
      <c r="C205" t="s">
        <v>317</v>
      </c>
      <c r="D205" t="s">
        <v>47</v>
      </c>
      <c r="E205">
        <v>42480</v>
      </c>
      <c r="F205">
        <v>3961.26</v>
      </c>
      <c r="G205">
        <v>9.325E-2</v>
      </c>
    </row>
    <row r="206" spans="1:7" x14ac:dyDescent="0.3">
      <c r="A206">
        <v>152</v>
      </c>
      <c r="B206" t="s">
        <v>316</v>
      </c>
      <c r="C206" t="s">
        <v>318</v>
      </c>
      <c r="D206" t="s">
        <v>47</v>
      </c>
      <c r="E206">
        <v>191.73</v>
      </c>
      <c r="F206">
        <v>5680.9598999999998</v>
      </c>
      <c r="G206">
        <v>29.63</v>
      </c>
    </row>
    <row r="207" spans="1:7" x14ac:dyDescent="0.3">
      <c r="A207">
        <v>152</v>
      </c>
      <c r="B207" t="s">
        <v>316</v>
      </c>
      <c r="C207" t="s">
        <v>319</v>
      </c>
      <c r="D207" t="s">
        <v>47</v>
      </c>
      <c r="E207">
        <v>4000</v>
      </c>
      <c r="F207">
        <v>360.4</v>
      </c>
      <c r="G207">
        <v>9.01E-2</v>
      </c>
    </row>
    <row r="208" spans="1:7" x14ac:dyDescent="0.3">
      <c r="A208">
        <v>152</v>
      </c>
      <c r="B208" t="s">
        <v>316</v>
      </c>
      <c r="C208" t="s">
        <v>320</v>
      </c>
      <c r="D208" t="s">
        <v>47</v>
      </c>
      <c r="E208">
        <v>370</v>
      </c>
      <c r="F208">
        <v>55.602777777777781</v>
      </c>
      <c r="G208">
        <v>0.15027777777777779</v>
      </c>
    </row>
    <row r="209" spans="1:7" x14ac:dyDescent="0.3">
      <c r="A209">
        <v>153</v>
      </c>
      <c r="B209" t="s">
        <v>321</v>
      </c>
      <c r="C209" t="s">
        <v>322</v>
      </c>
      <c r="D209" t="s">
        <v>36</v>
      </c>
      <c r="E209">
        <v>12</v>
      </c>
      <c r="F209">
        <v>960</v>
      </c>
      <c r="G209">
        <v>80</v>
      </c>
    </row>
    <row r="210" spans="1:7" x14ac:dyDescent="0.3">
      <c r="A210">
        <v>154</v>
      </c>
      <c r="B210" t="s">
        <v>323</v>
      </c>
      <c r="C210" t="s">
        <v>158</v>
      </c>
      <c r="D210" t="s">
        <v>53</v>
      </c>
      <c r="E210">
        <v>12</v>
      </c>
      <c r="F210">
        <v>876</v>
      </c>
      <c r="G210">
        <v>73</v>
      </c>
    </row>
    <row r="211" spans="1:7" x14ac:dyDescent="0.3">
      <c r="A211">
        <v>154</v>
      </c>
      <c r="B211" t="s">
        <v>323</v>
      </c>
      <c r="D211" t="s">
        <v>53</v>
      </c>
      <c r="E211">
        <v>8</v>
      </c>
      <c r="F211">
        <v>584</v>
      </c>
      <c r="G211">
        <v>73</v>
      </c>
    </row>
    <row r="212" spans="1:7" x14ac:dyDescent="0.3">
      <c r="A212">
        <v>155</v>
      </c>
      <c r="B212" t="s">
        <v>324</v>
      </c>
      <c r="C212" t="s">
        <v>325</v>
      </c>
      <c r="D212" t="s">
        <v>38</v>
      </c>
      <c r="E212">
        <v>7</v>
      </c>
      <c r="F212">
        <v>143.78</v>
      </c>
      <c r="G212">
        <v>20.54</v>
      </c>
    </row>
    <row r="213" spans="1:7" x14ac:dyDescent="0.3">
      <c r="A213">
        <v>156</v>
      </c>
      <c r="B213" t="s">
        <v>326</v>
      </c>
      <c r="C213" t="s">
        <v>327</v>
      </c>
      <c r="D213" t="s">
        <v>38</v>
      </c>
      <c r="E213">
        <v>50</v>
      </c>
      <c r="F213">
        <v>1309.8</v>
      </c>
      <c r="G213">
        <v>26.196000000000002</v>
      </c>
    </row>
    <row r="214" spans="1:7" x14ac:dyDescent="0.3">
      <c r="A214">
        <v>157</v>
      </c>
      <c r="B214" t="s">
        <v>328</v>
      </c>
      <c r="C214" t="s">
        <v>329</v>
      </c>
      <c r="D214" t="s">
        <v>38</v>
      </c>
      <c r="E214">
        <v>170</v>
      </c>
      <c r="F214">
        <v>950.3</v>
      </c>
      <c r="G214">
        <v>5.59</v>
      </c>
    </row>
    <row r="215" spans="1:7" x14ac:dyDescent="0.3">
      <c r="A215">
        <v>158</v>
      </c>
      <c r="B215" t="s">
        <v>330</v>
      </c>
      <c r="C215" t="s">
        <v>331</v>
      </c>
      <c r="D215" t="s">
        <v>38</v>
      </c>
      <c r="E215">
        <v>480</v>
      </c>
      <c r="F215">
        <v>2683.2</v>
      </c>
      <c r="G215">
        <v>5.59</v>
      </c>
    </row>
    <row r="216" spans="1:7" x14ac:dyDescent="0.3">
      <c r="A216">
        <v>159</v>
      </c>
      <c r="B216" t="s">
        <v>332</v>
      </c>
      <c r="C216" t="s">
        <v>333</v>
      </c>
      <c r="D216" t="s">
        <v>36</v>
      </c>
      <c r="E216">
        <v>125</v>
      </c>
      <c r="F216">
        <v>145</v>
      </c>
      <c r="G216">
        <v>1.1599999999999999</v>
      </c>
    </row>
    <row r="217" spans="1:7" x14ac:dyDescent="0.3">
      <c r="A217">
        <v>160</v>
      </c>
      <c r="B217" t="s">
        <v>334</v>
      </c>
      <c r="C217" t="s">
        <v>335</v>
      </c>
      <c r="D217" t="s">
        <v>36</v>
      </c>
      <c r="E217">
        <v>300</v>
      </c>
      <c r="F217">
        <v>121.5</v>
      </c>
      <c r="G217">
        <v>0.40500000000000003</v>
      </c>
    </row>
    <row r="218" spans="1:7" x14ac:dyDescent="0.3">
      <c r="A218">
        <v>161</v>
      </c>
      <c r="B218" t="s">
        <v>336</v>
      </c>
      <c r="D218" t="s">
        <v>38</v>
      </c>
      <c r="E218">
        <v>24</v>
      </c>
      <c r="F218">
        <v>4353.3599999999997</v>
      </c>
      <c r="G218">
        <v>181.39</v>
      </c>
    </row>
    <row r="219" spans="1:7" x14ac:dyDescent="0.3">
      <c r="A219">
        <v>162</v>
      </c>
      <c r="B219" t="s">
        <v>337</v>
      </c>
      <c r="C219" t="s">
        <v>338</v>
      </c>
      <c r="D219" t="s">
        <v>36</v>
      </c>
      <c r="E219">
        <v>422</v>
      </c>
      <c r="F219">
        <v>86.600000000000009</v>
      </c>
      <c r="G219">
        <v>0.2052132701421801</v>
      </c>
    </row>
    <row r="220" spans="1:7" x14ac:dyDescent="0.3">
      <c r="A220">
        <v>162</v>
      </c>
      <c r="B220" t="s">
        <v>337</v>
      </c>
      <c r="C220" t="s">
        <v>339</v>
      </c>
      <c r="D220" t="s">
        <v>36</v>
      </c>
      <c r="E220">
        <v>2</v>
      </c>
      <c r="F220">
        <v>506.66</v>
      </c>
      <c r="G220">
        <v>253.33</v>
      </c>
    </row>
    <row r="221" spans="1:7" x14ac:dyDescent="0.3">
      <c r="A221">
        <v>162</v>
      </c>
      <c r="B221" t="s">
        <v>337</v>
      </c>
      <c r="D221" t="s">
        <v>36</v>
      </c>
      <c r="E221">
        <v>3104</v>
      </c>
      <c r="F221">
        <v>506.66000000000008</v>
      </c>
      <c r="G221">
        <v>0.1632280927835052</v>
      </c>
    </row>
    <row r="222" spans="1:7" x14ac:dyDescent="0.3">
      <c r="A222">
        <v>163</v>
      </c>
      <c r="B222" t="s">
        <v>340</v>
      </c>
      <c r="D222" t="s">
        <v>38</v>
      </c>
      <c r="E222">
        <v>60</v>
      </c>
      <c r="F222">
        <v>57.5</v>
      </c>
      <c r="G222">
        <v>0.95833333333333337</v>
      </c>
    </row>
    <row r="223" spans="1:7" x14ac:dyDescent="0.3">
      <c r="A223">
        <v>164</v>
      </c>
      <c r="B223" t="s">
        <v>341</v>
      </c>
      <c r="D223" t="s">
        <v>38</v>
      </c>
      <c r="E223">
        <v>49</v>
      </c>
      <c r="F223">
        <v>46.958333333333343</v>
      </c>
      <c r="G223">
        <v>0.95833333333333337</v>
      </c>
    </row>
    <row r="224" spans="1:7" x14ac:dyDescent="0.3">
      <c r="A224">
        <v>165</v>
      </c>
      <c r="B224" t="s">
        <v>342</v>
      </c>
      <c r="D224" t="s">
        <v>38</v>
      </c>
      <c r="E224">
        <v>41</v>
      </c>
      <c r="F224">
        <v>439.52</v>
      </c>
      <c r="G224">
        <v>10.72</v>
      </c>
    </row>
    <row r="225" spans="1:7" x14ac:dyDescent="0.3">
      <c r="A225">
        <v>166</v>
      </c>
      <c r="B225" t="s">
        <v>343</v>
      </c>
      <c r="D225" t="s">
        <v>38</v>
      </c>
      <c r="E225">
        <v>54</v>
      </c>
      <c r="F225">
        <v>466.56000000000012</v>
      </c>
      <c r="G225">
        <v>8.64</v>
      </c>
    </row>
    <row r="226" spans="1:7" x14ac:dyDescent="0.3">
      <c r="A226">
        <v>167</v>
      </c>
      <c r="B226" t="s">
        <v>344</v>
      </c>
      <c r="C226" t="s">
        <v>345</v>
      </c>
      <c r="D226" t="s">
        <v>38</v>
      </c>
      <c r="E226">
        <v>320</v>
      </c>
      <c r="F226">
        <v>2403.1999999999998</v>
      </c>
      <c r="G226">
        <v>7.51</v>
      </c>
    </row>
    <row r="227" spans="1:7" x14ac:dyDescent="0.3">
      <c r="A227">
        <v>168</v>
      </c>
      <c r="B227" t="s">
        <v>346</v>
      </c>
      <c r="D227" t="s">
        <v>36</v>
      </c>
      <c r="E227">
        <v>500</v>
      </c>
      <c r="F227">
        <v>105</v>
      </c>
      <c r="G227">
        <v>0.21</v>
      </c>
    </row>
    <row r="228" spans="1:7" x14ac:dyDescent="0.3">
      <c r="A228">
        <v>169</v>
      </c>
      <c r="B228" t="s">
        <v>347</v>
      </c>
      <c r="C228" t="s">
        <v>348</v>
      </c>
      <c r="D228" t="s">
        <v>138</v>
      </c>
      <c r="E228">
        <v>1351</v>
      </c>
      <c r="F228">
        <v>188.8</v>
      </c>
      <c r="G228">
        <v>0.1397483345669874</v>
      </c>
    </row>
    <row r="229" spans="1:7" x14ac:dyDescent="0.3">
      <c r="A229">
        <v>169</v>
      </c>
      <c r="B229" t="s">
        <v>347</v>
      </c>
      <c r="D229" t="s">
        <v>36</v>
      </c>
      <c r="E229">
        <v>791</v>
      </c>
      <c r="F229">
        <v>190.4</v>
      </c>
      <c r="G229">
        <v>0.24070796460176991</v>
      </c>
    </row>
    <row r="230" spans="1:7" x14ac:dyDescent="0.3">
      <c r="A230">
        <v>170</v>
      </c>
      <c r="B230" t="s">
        <v>349</v>
      </c>
      <c r="C230" t="s">
        <v>142</v>
      </c>
      <c r="D230" t="s">
        <v>36</v>
      </c>
      <c r="E230">
        <v>2</v>
      </c>
      <c r="F230">
        <v>286</v>
      </c>
      <c r="G230">
        <v>143</v>
      </c>
    </row>
    <row r="231" spans="1:7" x14ac:dyDescent="0.3">
      <c r="A231">
        <v>171</v>
      </c>
      <c r="B231" t="s">
        <v>350</v>
      </c>
      <c r="C231" t="s">
        <v>351</v>
      </c>
      <c r="D231" t="s">
        <v>38</v>
      </c>
      <c r="E231">
        <v>24</v>
      </c>
      <c r="F231">
        <v>1570.56</v>
      </c>
      <c r="G231">
        <v>65.44</v>
      </c>
    </row>
    <row r="232" spans="1:7" x14ac:dyDescent="0.3">
      <c r="A232">
        <v>172</v>
      </c>
      <c r="B232" t="s">
        <v>352</v>
      </c>
      <c r="C232" t="s">
        <v>353</v>
      </c>
      <c r="D232" t="s">
        <v>36</v>
      </c>
      <c r="E232">
        <v>2</v>
      </c>
      <c r="F232">
        <v>40.5</v>
      </c>
      <c r="G232">
        <v>20.25</v>
      </c>
    </row>
    <row r="233" spans="1:7" x14ac:dyDescent="0.3">
      <c r="A233">
        <v>173</v>
      </c>
      <c r="B233" t="s">
        <v>354</v>
      </c>
      <c r="C233" t="s">
        <v>175</v>
      </c>
      <c r="D233" t="s">
        <v>38</v>
      </c>
      <c r="E233">
        <v>69</v>
      </c>
      <c r="F233">
        <v>2319.7800000000002</v>
      </c>
      <c r="G233">
        <v>33.619999999999997</v>
      </c>
    </row>
    <row r="234" spans="1:7" x14ac:dyDescent="0.3">
      <c r="A234">
        <v>174</v>
      </c>
      <c r="B234" t="s">
        <v>355</v>
      </c>
      <c r="D234" t="s">
        <v>53</v>
      </c>
      <c r="E234">
        <v>1</v>
      </c>
      <c r="F234">
        <v>342</v>
      </c>
      <c r="G234">
        <v>342</v>
      </c>
    </row>
    <row r="235" spans="1:7" x14ac:dyDescent="0.3">
      <c r="A235">
        <v>175</v>
      </c>
      <c r="B235" t="s">
        <v>356</v>
      </c>
      <c r="C235" t="s">
        <v>142</v>
      </c>
      <c r="D235" t="s">
        <v>36</v>
      </c>
      <c r="E235">
        <v>3</v>
      </c>
      <c r="F235">
        <v>390</v>
      </c>
      <c r="G235">
        <v>130</v>
      </c>
    </row>
    <row r="236" spans="1:7" x14ac:dyDescent="0.3">
      <c r="A236">
        <v>176</v>
      </c>
      <c r="B236" t="s">
        <v>357</v>
      </c>
      <c r="D236" t="s">
        <v>36</v>
      </c>
      <c r="E236">
        <v>750</v>
      </c>
      <c r="F236">
        <v>124.8</v>
      </c>
      <c r="G236">
        <v>0.16639999999999999</v>
      </c>
    </row>
    <row r="237" spans="1:7" x14ac:dyDescent="0.3">
      <c r="A237">
        <v>177</v>
      </c>
      <c r="B237" t="s">
        <v>358</v>
      </c>
      <c r="C237" t="s">
        <v>359</v>
      </c>
      <c r="D237" t="s">
        <v>36</v>
      </c>
      <c r="E237">
        <v>2002</v>
      </c>
      <c r="F237">
        <v>345</v>
      </c>
      <c r="G237">
        <v>0.17232767232767229</v>
      </c>
    </row>
    <row r="238" spans="1:7" x14ac:dyDescent="0.3">
      <c r="A238">
        <v>177</v>
      </c>
      <c r="B238" t="s">
        <v>358</v>
      </c>
      <c r="C238" t="s">
        <v>360</v>
      </c>
      <c r="D238" t="s">
        <v>36</v>
      </c>
      <c r="E238">
        <v>3000</v>
      </c>
      <c r="F238">
        <v>570</v>
      </c>
      <c r="G238">
        <v>0.19</v>
      </c>
    </row>
    <row r="239" spans="1:7" x14ac:dyDescent="0.3">
      <c r="A239">
        <v>178</v>
      </c>
      <c r="B239" t="s">
        <v>361</v>
      </c>
      <c r="D239" t="s">
        <v>88</v>
      </c>
      <c r="E239">
        <v>20</v>
      </c>
      <c r="F239">
        <v>3720</v>
      </c>
      <c r="G239">
        <v>186</v>
      </c>
    </row>
    <row r="240" spans="1:7" x14ac:dyDescent="0.3">
      <c r="A240">
        <v>179</v>
      </c>
      <c r="B240" t="s">
        <v>362</v>
      </c>
      <c r="D240" t="s">
        <v>38</v>
      </c>
      <c r="E240">
        <v>2</v>
      </c>
      <c r="F240">
        <v>354.8</v>
      </c>
      <c r="G240">
        <v>177.4</v>
      </c>
    </row>
    <row r="241" spans="1:7" x14ac:dyDescent="0.3">
      <c r="A241">
        <v>180</v>
      </c>
      <c r="B241" t="s">
        <v>363</v>
      </c>
      <c r="D241" t="s">
        <v>38</v>
      </c>
      <c r="E241">
        <v>3</v>
      </c>
      <c r="F241">
        <v>354</v>
      </c>
      <c r="G241">
        <v>118</v>
      </c>
    </row>
    <row r="242" spans="1:7" x14ac:dyDescent="0.3">
      <c r="A242">
        <v>181</v>
      </c>
      <c r="B242" t="s">
        <v>364</v>
      </c>
      <c r="C242" t="s">
        <v>365</v>
      </c>
      <c r="D242" t="s">
        <v>38</v>
      </c>
      <c r="E242">
        <v>15</v>
      </c>
      <c r="F242">
        <v>628.5</v>
      </c>
      <c r="G242">
        <v>41.9</v>
      </c>
    </row>
    <row r="243" spans="1:7" x14ac:dyDescent="0.3">
      <c r="A243">
        <v>181</v>
      </c>
      <c r="B243" t="s">
        <v>364</v>
      </c>
      <c r="D243" t="s">
        <v>38</v>
      </c>
      <c r="E243">
        <v>9</v>
      </c>
      <c r="F243">
        <v>377.1</v>
      </c>
      <c r="G243">
        <v>41.9</v>
      </c>
    </row>
    <row r="244" spans="1:7" x14ac:dyDescent="0.3">
      <c r="A244">
        <v>182</v>
      </c>
      <c r="B244" t="s">
        <v>366</v>
      </c>
      <c r="C244" t="s">
        <v>367</v>
      </c>
      <c r="D244" t="s">
        <v>38</v>
      </c>
      <c r="E244">
        <v>6</v>
      </c>
      <c r="F244">
        <v>277.7</v>
      </c>
      <c r="G244">
        <v>46.283333333333331</v>
      </c>
    </row>
    <row r="245" spans="1:7" x14ac:dyDescent="0.3">
      <c r="A245">
        <v>183</v>
      </c>
      <c r="B245" t="s">
        <v>368</v>
      </c>
      <c r="C245" t="s">
        <v>369</v>
      </c>
      <c r="D245" t="s">
        <v>36</v>
      </c>
      <c r="E245">
        <v>1080</v>
      </c>
      <c r="F245">
        <v>102</v>
      </c>
      <c r="G245">
        <v>9.4444444444444442E-2</v>
      </c>
    </row>
    <row r="246" spans="1:7" x14ac:dyDescent="0.3">
      <c r="A246">
        <v>183</v>
      </c>
      <c r="B246" t="s">
        <v>368</v>
      </c>
      <c r="D246" t="s">
        <v>36</v>
      </c>
      <c r="E246">
        <v>1620</v>
      </c>
      <c r="F246">
        <v>156</v>
      </c>
      <c r="G246">
        <v>9.6296296296296297E-2</v>
      </c>
    </row>
    <row r="247" spans="1:7" x14ac:dyDescent="0.3">
      <c r="A247">
        <v>184</v>
      </c>
      <c r="B247" t="s">
        <v>370</v>
      </c>
      <c r="C247" t="s">
        <v>371</v>
      </c>
      <c r="D247" t="s">
        <v>38</v>
      </c>
      <c r="E247">
        <v>314</v>
      </c>
      <c r="F247">
        <v>2424.08</v>
      </c>
      <c r="G247">
        <v>7.72</v>
      </c>
    </row>
    <row r="248" spans="1:7" x14ac:dyDescent="0.3">
      <c r="A248">
        <v>184</v>
      </c>
      <c r="B248" t="s">
        <v>372</v>
      </c>
      <c r="D248" t="s">
        <v>38</v>
      </c>
      <c r="E248">
        <v>30</v>
      </c>
      <c r="F248">
        <v>237</v>
      </c>
      <c r="G248">
        <v>7.9</v>
      </c>
    </row>
    <row r="249" spans="1:7" x14ac:dyDescent="0.3">
      <c r="A249">
        <v>185</v>
      </c>
      <c r="B249" t="s">
        <v>373</v>
      </c>
      <c r="C249" t="s">
        <v>374</v>
      </c>
      <c r="D249" t="s">
        <v>38</v>
      </c>
      <c r="E249">
        <v>12</v>
      </c>
      <c r="F249">
        <v>103.08</v>
      </c>
      <c r="G249">
        <v>8.59</v>
      </c>
    </row>
    <row r="250" spans="1:7" x14ac:dyDescent="0.3">
      <c r="A250">
        <v>185</v>
      </c>
      <c r="B250" t="s">
        <v>373</v>
      </c>
      <c r="D250" t="s">
        <v>38</v>
      </c>
      <c r="E250">
        <v>50</v>
      </c>
      <c r="F250">
        <v>1702.8571428571429</v>
      </c>
      <c r="G250">
        <v>34.057142857142857</v>
      </c>
    </row>
    <row r="251" spans="1:7" x14ac:dyDescent="0.3">
      <c r="A251">
        <v>186</v>
      </c>
      <c r="B251" t="s">
        <v>375</v>
      </c>
      <c r="D251" t="s">
        <v>36</v>
      </c>
      <c r="E251">
        <v>30</v>
      </c>
      <c r="F251">
        <v>59.000000000000007</v>
      </c>
      <c r="G251">
        <v>1.966666666666667</v>
      </c>
    </row>
    <row r="252" spans="1:7" x14ac:dyDescent="0.3">
      <c r="A252">
        <v>187</v>
      </c>
      <c r="B252" t="s">
        <v>376</v>
      </c>
      <c r="C252" t="s">
        <v>377</v>
      </c>
      <c r="D252" t="s">
        <v>36</v>
      </c>
      <c r="E252">
        <v>600</v>
      </c>
      <c r="F252">
        <v>303.36</v>
      </c>
      <c r="G252">
        <v>0.50560000000000005</v>
      </c>
    </row>
    <row r="253" spans="1:7" x14ac:dyDescent="0.3">
      <c r="A253">
        <v>188</v>
      </c>
      <c r="B253" t="s">
        <v>378</v>
      </c>
      <c r="C253" t="s">
        <v>377</v>
      </c>
      <c r="D253" t="s">
        <v>36</v>
      </c>
      <c r="E253">
        <v>200</v>
      </c>
      <c r="F253">
        <v>102.56</v>
      </c>
      <c r="G253">
        <v>0.51280000000000003</v>
      </c>
    </row>
    <row r="254" spans="1:7" x14ac:dyDescent="0.3">
      <c r="A254">
        <v>189</v>
      </c>
      <c r="B254" t="s">
        <v>379</v>
      </c>
      <c r="C254" t="s">
        <v>377</v>
      </c>
      <c r="D254" t="s">
        <v>36</v>
      </c>
      <c r="E254">
        <v>34</v>
      </c>
      <c r="F254">
        <v>170.768</v>
      </c>
      <c r="G254">
        <v>5.0225882352941174</v>
      </c>
    </row>
    <row r="255" spans="1:7" x14ac:dyDescent="0.3">
      <c r="A255">
        <v>190</v>
      </c>
      <c r="B255" t="s">
        <v>380</v>
      </c>
      <c r="C255" t="s">
        <v>377</v>
      </c>
      <c r="D255" t="s">
        <v>36</v>
      </c>
      <c r="E255">
        <v>20</v>
      </c>
      <c r="F255">
        <v>280</v>
      </c>
      <c r="G255">
        <v>14</v>
      </c>
    </row>
    <row r="256" spans="1:7" x14ac:dyDescent="0.3">
      <c r="A256">
        <v>191</v>
      </c>
      <c r="B256" t="s">
        <v>381</v>
      </c>
      <c r="C256" t="s">
        <v>377</v>
      </c>
      <c r="D256" t="s">
        <v>36</v>
      </c>
      <c r="E256">
        <v>15</v>
      </c>
      <c r="F256">
        <v>195.5</v>
      </c>
      <c r="G256">
        <v>13.03333333333333</v>
      </c>
    </row>
    <row r="257" spans="1:7" x14ac:dyDescent="0.3">
      <c r="A257">
        <v>192</v>
      </c>
      <c r="B257" t="s">
        <v>382</v>
      </c>
      <c r="C257" t="s">
        <v>377</v>
      </c>
      <c r="D257" t="s">
        <v>36</v>
      </c>
      <c r="E257">
        <v>64</v>
      </c>
      <c r="F257">
        <v>832.2</v>
      </c>
      <c r="G257">
        <v>13.003125000000001</v>
      </c>
    </row>
    <row r="258" spans="1:7" x14ac:dyDescent="0.3">
      <c r="A258">
        <v>193</v>
      </c>
      <c r="B258" t="s">
        <v>383</v>
      </c>
      <c r="C258" t="s">
        <v>377</v>
      </c>
      <c r="D258" t="s">
        <v>36</v>
      </c>
      <c r="E258">
        <v>12</v>
      </c>
      <c r="F258">
        <v>62.75</v>
      </c>
      <c r="G258">
        <v>5.229166666666667</v>
      </c>
    </row>
    <row r="259" spans="1:7" x14ac:dyDescent="0.3">
      <c r="A259">
        <v>194</v>
      </c>
      <c r="B259" t="s">
        <v>384</v>
      </c>
      <c r="C259" t="s">
        <v>268</v>
      </c>
      <c r="D259" t="s">
        <v>38</v>
      </c>
      <c r="E259">
        <v>190</v>
      </c>
      <c r="F259">
        <v>1683.4</v>
      </c>
      <c r="G259">
        <v>8.86</v>
      </c>
    </row>
    <row r="260" spans="1:7" x14ac:dyDescent="0.3">
      <c r="A260">
        <v>195</v>
      </c>
      <c r="B260" t="s">
        <v>385</v>
      </c>
      <c r="C260" t="s">
        <v>386</v>
      </c>
      <c r="D260" t="s">
        <v>38</v>
      </c>
      <c r="E260">
        <v>20</v>
      </c>
      <c r="F260">
        <v>980</v>
      </c>
      <c r="G260">
        <v>49</v>
      </c>
    </row>
    <row r="261" spans="1:7" x14ac:dyDescent="0.3">
      <c r="A261">
        <v>196</v>
      </c>
      <c r="B261" t="s">
        <v>387</v>
      </c>
      <c r="D261" t="s">
        <v>53</v>
      </c>
      <c r="E261">
        <v>0.5</v>
      </c>
      <c r="F261">
        <v>303.5</v>
      </c>
      <c r="G261">
        <v>607</v>
      </c>
    </row>
    <row r="262" spans="1:7" x14ac:dyDescent="0.3">
      <c r="A262">
        <v>197</v>
      </c>
      <c r="B262" t="s">
        <v>388</v>
      </c>
      <c r="C262" t="s">
        <v>389</v>
      </c>
      <c r="D262" t="s">
        <v>38</v>
      </c>
      <c r="E262">
        <v>600</v>
      </c>
      <c r="F262">
        <v>3480</v>
      </c>
      <c r="G262">
        <v>5.8</v>
      </c>
    </row>
    <row r="263" spans="1:7" x14ac:dyDescent="0.3">
      <c r="A263">
        <v>198</v>
      </c>
      <c r="B263" t="s">
        <v>390</v>
      </c>
      <c r="C263" t="s">
        <v>391</v>
      </c>
      <c r="D263" t="s">
        <v>38</v>
      </c>
      <c r="E263">
        <v>200</v>
      </c>
      <c r="F263">
        <v>1158</v>
      </c>
      <c r="G263">
        <v>5.79</v>
      </c>
    </row>
    <row r="264" spans="1:7" x14ac:dyDescent="0.3">
      <c r="A264">
        <v>199</v>
      </c>
      <c r="B264" t="s">
        <v>392</v>
      </c>
      <c r="C264" t="s">
        <v>391</v>
      </c>
      <c r="D264" t="s">
        <v>38</v>
      </c>
      <c r="E264">
        <v>220</v>
      </c>
      <c r="F264">
        <v>1273.8</v>
      </c>
      <c r="G264">
        <v>5.79</v>
      </c>
    </row>
    <row r="265" spans="1:7" x14ac:dyDescent="0.3">
      <c r="A265">
        <v>200</v>
      </c>
      <c r="B265" t="s">
        <v>393</v>
      </c>
      <c r="D265" t="s">
        <v>77</v>
      </c>
      <c r="E265">
        <v>785</v>
      </c>
      <c r="F265">
        <v>50.37083333333333</v>
      </c>
      <c r="G265">
        <v>6.4166666666666664E-2</v>
      </c>
    </row>
    <row r="266" spans="1:7" x14ac:dyDescent="0.3">
      <c r="A266">
        <v>201</v>
      </c>
      <c r="B266" t="s">
        <v>394</v>
      </c>
      <c r="D266" t="s">
        <v>38</v>
      </c>
      <c r="E266">
        <v>5</v>
      </c>
      <c r="F266">
        <v>25.6</v>
      </c>
      <c r="G266">
        <v>5.12</v>
      </c>
    </row>
    <row r="267" spans="1:7" x14ac:dyDescent="0.3">
      <c r="A267">
        <v>202</v>
      </c>
      <c r="B267" t="s">
        <v>395</v>
      </c>
      <c r="C267" t="s">
        <v>396</v>
      </c>
      <c r="D267" t="s">
        <v>38</v>
      </c>
      <c r="E267">
        <v>28</v>
      </c>
      <c r="F267">
        <v>183.68</v>
      </c>
      <c r="G267">
        <v>6.56</v>
      </c>
    </row>
    <row r="268" spans="1:7" x14ac:dyDescent="0.3">
      <c r="A268">
        <v>203</v>
      </c>
      <c r="B268" t="s">
        <v>397</v>
      </c>
      <c r="D268" t="s">
        <v>38</v>
      </c>
      <c r="E268">
        <v>2</v>
      </c>
      <c r="F268">
        <v>28.405999999999999</v>
      </c>
      <c r="G268">
        <v>14.202999999999999</v>
      </c>
    </row>
    <row r="269" spans="1:7" x14ac:dyDescent="0.3">
      <c r="A269">
        <v>204</v>
      </c>
      <c r="B269" t="s">
        <v>398</v>
      </c>
      <c r="D269" t="s">
        <v>36</v>
      </c>
      <c r="E269">
        <v>1000</v>
      </c>
      <c r="F269">
        <v>520</v>
      </c>
      <c r="G269">
        <v>0.52</v>
      </c>
    </row>
    <row r="270" spans="1:7" x14ac:dyDescent="0.3">
      <c r="A270">
        <v>205</v>
      </c>
      <c r="B270" t="s">
        <v>399</v>
      </c>
      <c r="C270" t="s">
        <v>400</v>
      </c>
      <c r="D270" t="s">
        <v>38</v>
      </c>
      <c r="E270">
        <v>361</v>
      </c>
      <c r="F270">
        <v>2172</v>
      </c>
      <c r="G270">
        <v>6.0166204986149587</v>
      </c>
    </row>
    <row r="271" spans="1:7" x14ac:dyDescent="0.3">
      <c r="A271">
        <v>205</v>
      </c>
      <c r="B271" t="s">
        <v>399</v>
      </c>
      <c r="D271" t="s">
        <v>38</v>
      </c>
      <c r="E271">
        <v>80</v>
      </c>
      <c r="F271">
        <v>495.2</v>
      </c>
      <c r="G271">
        <v>6.19</v>
      </c>
    </row>
    <row r="272" spans="1:7" x14ac:dyDescent="0.3">
      <c r="A272">
        <v>206</v>
      </c>
      <c r="B272" t="s">
        <v>401</v>
      </c>
      <c r="C272" t="s">
        <v>389</v>
      </c>
      <c r="D272" t="s">
        <v>38</v>
      </c>
      <c r="E272">
        <v>200</v>
      </c>
      <c r="F272">
        <v>1160</v>
      </c>
      <c r="G272">
        <v>5.8</v>
      </c>
    </row>
    <row r="273" spans="1:7" x14ac:dyDescent="0.3">
      <c r="A273">
        <v>207</v>
      </c>
      <c r="B273" t="s">
        <v>402</v>
      </c>
      <c r="C273" t="s">
        <v>403</v>
      </c>
      <c r="D273" t="s">
        <v>36</v>
      </c>
      <c r="E273">
        <v>1</v>
      </c>
      <c r="F273">
        <v>56.2</v>
      </c>
      <c r="G273">
        <v>56.2</v>
      </c>
    </row>
    <row r="274" spans="1:7" x14ac:dyDescent="0.3">
      <c r="A274">
        <v>208</v>
      </c>
      <c r="B274" t="s">
        <v>404</v>
      </c>
      <c r="C274" t="s">
        <v>405</v>
      </c>
      <c r="D274" t="s">
        <v>36</v>
      </c>
      <c r="E274">
        <v>5.6</v>
      </c>
      <c r="F274">
        <v>1013.6</v>
      </c>
      <c r="G274">
        <v>181</v>
      </c>
    </row>
    <row r="275" spans="1:7" x14ac:dyDescent="0.3">
      <c r="A275">
        <v>209</v>
      </c>
      <c r="B275" t="s">
        <v>406</v>
      </c>
      <c r="C275" t="s">
        <v>405</v>
      </c>
      <c r="D275" t="s">
        <v>36</v>
      </c>
      <c r="E275">
        <v>24000</v>
      </c>
      <c r="F275">
        <v>4104</v>
      </c>
      <c r="G275">
        <v>0.17100000000000001</v>
      </c>
    </row>
    <row r="276" spans="1:7" x14ac:dyDescent="0.3">
      <c r="A276">
        <v>210</v>
      </c>
      <c r="B276" t="s">
        <v>407</v>
      </c>
      <c r="C276" t="s">
        <v>408</v>
      </c>
      <c r="D276" t="s">
        <v>36</v>
      </c>
      <c r="E276">
        <v>600</v>
      </c>
      <c r="F276">
        <v>84.51</v>
      </c>
      <c r="G276">
        <v>0.14085</v>
      </c>
    </row>
    <row r="277" spans="1:7" x14ac:dyDescent="0.3">
      <c r="A277">
        <v>211</v>
      </c>
      <c r="B277" t="s">
        <v>409</v>
      </c>
      <c r="C277" t="s">
        <v>410</v>
      </c>
      <c r="D277" t="s">
        <v>36</v>
      </c>
      <c r="E277">
        <v>1800</v>
      </c>
      <c r="F277">
        <v>180.59999999999991</v>
      </c>
      <c r="G277">
        <v>0.1003333333333333</v>
      </c>
    </row>
    <row r="278" spans="1:7" x14ac:dyDescent="0.3">
      <c r="A278">
        <v>212</v>
      </c>
      <c r="B278" t="s">
        <v>411</v>
      </c>
      <c r="C278" t="s">
        <v>412</v>
      </c>
      <c r="D278" t="s">
        <v>36</v>
      </c>
      <c r="E278">
        <v>11560</v>
      </c>
      <c r="F278">
        <v>5603.5399999999991</v>
      </c>
      <c r="G278">
        <v>0.48473529411764699</v>
      </c>
    </row>
    <row r="279" spans="1:7" x14ac:dyDescent="0.3">
      <c r="A279">
        <v>212</v>
      </c>
      <c r="B279" t="s">
        <v>411</v>
      </c>
      <c r="C279" t="s">
        <v>413</v>
      </c>
      <c r="D279" t="s">
        <v>36</v>
      </c>
      <c r="E279">
        <v>29</v>
      </c>
      <c r="F279">
        <v>4826.47</v>
      </c>
      <c r="G279">
        <v>166.43</v>
      </c>
    </row>
    <row r="280" spans="1:7" x14ac:dyDescent="0.3">
      <c r="A280">
        <v>212</v>
      </c>
      <c r="B280" t="s">
        <v>411</v>
      </c>
      <c r="D280" t="s">
        <v>36</v>
      </c>
      <c r="E280">
        <v>8160</v>
      </c>
      <c r="F280">
        <v>3595.92</v>
      </c>
      <c r="G280">
        <v>0.44067647058823528</v>
      </c>
    </row>
    <row r="281" spans="1:7" x14ac:dyDescent="0.3">
      <c r="A281">
        <v>213</v>
      </c>
      <c r="B281" t="s">
        <v>414</v>
      </c>
      <c r="C281" t="s">
        <v>415</v>
      </c>
      <c r="D281" t="s">
        <v>38</v>
      </c>
      <c r="E281">
        <v>201</v>
      </c>
      <c r="F281">
        <v>1748.7</v>
      </c>
      <c r="G281">
        <v>8.6999999999999993</v>
      </c>
    </row>
    <row r="282" spans="1:7" x14ac:dyDescent="0.3">
      <c r="A282">
        <v>214</v>
      </c>
      <c r="B282" t="s">
        <v>416</v>
      </c>
      <c r="D282" t="s">
        <v>38</v>
      </c>
      <c r="E282">
        <v>30</v>
      </c>
      <c r="F282">
        <v>261</v>
      </c>
      <c r="G282">
        <v>8.6999999999999993</v>
      </c>
    </row>
    <row r="283" spans="1:7" x14ac:dyDescent="0.3">
      <c r="A283">
        <v>215</v>
      </c>
      <c r="B283" t="s">
        <v>417</v>
      </c>
      <c r="D283" t="s">
        <v>47</v>
      </c>
      <c r="E283">
        <v>6500</v>
      </c>
      <c r="F283">
        <v>2722.2</v>
      </c>
      <c r="G283">
        <v>0.41880000000000001</v>
      </c>
    </row>
    <row r="284" spans="1:7" x14ac:dyDescent="0.3">
      <c r="A284">
        <v>216</v>
      </c>
      <c r="B284" t="s">
        <v>418</v>
      </c>
      <c r="C284" t="s">
        <v>419</v>
      </c>
      <c r="D284" t="s">
        <v>47</v>
      </c>
      <c r="E284">
        <v>0.7</v>
      </c>
      <c r="F284">
        <v>273</v>
      </c>
      <c r="G284">
        <v>390</v>
      </c>
    </row>
    <row r="285" spans="1:7" x14ac:dyDescent="0.3">
      <c r="A285">
        <v>217</v>
      </c>
      <c r="B285" t="s">
        <v>420</v>
      </c>
      <c r="C285" t="s">
        <v>415</v>
      </c>
      <c r="D285" t="s">
        <v>38</v>
      </c>
      <c r="E285">
        <v>8</v>
      </c>
      <c r="F285">
        <v>512</v>
      </c>
      <c r="G285">
        <v>64</v>
      </c>
    </row>
    <row r="286" spans="1:7" x14ac:dyDescent="0.3">
      <c r="A286">
        <v>218</v>
      </c>
      <c r="B286" t="s">
        <v>421</v>
      </c>
      <c r="D286" t="s">
        <v>88</v>
      </c>
      <c r="E286">
        <v>16</v>
      </c>
      <c r="F286">
        <v>4826</v>
      </c>
      <c r="G286">
        <v>301.625</v>
      </c>
    </row>
    <row r="287" spans="1:7" x14ac:dyDescent="0.3">
      <c r="A287">
        <v>218</v>
      </c>
      <c r="B287" t="s">
        <v>421</v>
      </c>
      <c r="C287" t="s">
        <v>422</v>
      </c>
      <c r="D287" t="s">
        <v>88</v>
      </c>
      <c r="E287">
        <v>1</v>
      </c>
      <c r="F287">
        <v>189</v>
      </c>
      <c r="G287">
        <v>189</v>
      </c>
    </row>
    <row r="288" spans="1:7" x14ac:dyDescent="0.3">
      <c r="A288">
        <v>219</v>
      </c>
      <c r="B288" t="s">
        <v>423</v>
      </c>
      <c r="C288" t="s">
        <v>424</v>
      </c>
      <c r="D288" t="s">
        <v>47</v>
      </c>
      <c r="E288">
        <v>1500</v>
      </c>
      <c r="F288">
        <v>840.00000000000011</v>
      </c>
      <c r="G288">
        <v>0.56000000000000005</v>
      </c>
    </row>
    <row r="289" spans="1:7" x14ac:dyDescent="0.3">
      <c r="A289">
        <v>220</v>
      </c>
      <c r="B289" t="s">
        <v>425</v>
      </c>
      <c r="C289" t="s">
        <v>426</v>
      </c>
      <c r="D289" t="s">
        <v>88</v>
      </c>
      <c r="E289">
        <v>405</v>
      </c>
      <c r="F289">
        <v>19764</v>
      </c>
      <c r="G289">
        <v>48.8</v>
      </c>
    </row>
    <row r="290" spans="1:7" x14ac:dyDescent="0.3">
      <c r="A290">
        <v>221</v>
      </c>
      <c r="B290" t="s">
        <v>427</v>
      </c>
      <c r="D290" t="s">
        <v>53</v>
      </c>
      <c r="E290">
        <v>0.5</v>
      </c>
      <c r="F290">
        <v>930</v>
      </c>
      <c r="G290">
        <v>1860</v>
      </c>
    </row>
    <row r="291" spans="1:7" x14ac:dyDescent="0.3">
      <c r="A291">
        <v>222</v>
      </c>
      <c r="B291" t="s">
        <v>428</v>
      </c>
      <c r="D291" t="s">
        <v>38</v>
      </c>
      <c r="E291">
        <v>4</v>
      </c>
      <c r="F291">
        <v>25.92</v>
      </c>
      <c r="G291">
        <v>6.48</v>
      </c>
    </row>
    <row r="292" spans="1:7" x14ac:dyDescent="0.3">
      <c r="A292">
        <v>223</v>
      </c>
      <c r="B292" t="s">
        <v>429</v>
      </c>
      <c r="C292" t="s">
        <v>430</v>
      </c>
      <c r="D292" t="s">
        <v>36</v>
      </c>
      <c r="E292">
        <v>22.47</v>
      </c>
      <c r="F292">
        <v>943.74</v>
      </c>
      <c r="G292">
        <v>42</v>
      </c>
    </row>
    <row r="293" spans="1:7" x14ac:dyDescent="0.3">
      <c r="A293">
        <v>223</v>
      </c>
      <c r="B293" t="s">
        <v>429</v>
      </c>
      <c r="D293" t="s">
        <v>36</v>
      </c>
      <c r="E293">
        <v>250</v>
      </c>
      <c r="F293">
        <v>43.02</v>
      </c>
      <c r="G293">
        <v>0.17208000000000001</v>
      </c>
    </row>
    <row r="294" spans="1:7" x14ac:dyDescent="0.3">
      <c r="A294">
        <v>224</v>
      </c>
      <c r="B294" t="s">
        <v>431</v>
      </c>
      <c r="C294" t="s">
        <v>432</v>
      </c>
      <c r="D294" t="s">
        <v>36</v>
      </c>
      <c r="E294">
        <v>0.5</v>
      </c>
      <c r="F294">
        <v>57.5</v>
      </c>
      <c r="G294">
        <v>115</v>
      </c>
    </row>
    <row r="295" spans="1:7" x14ac:dyDescent="0.3">
      <c r="A295">
        <v>225</v>
      </c>
      <c r="B295" t="s">
        <v>433</v>
      </c>
      <c r="C295" t="s">
        <v>434</v>
      </c>
      <c r="D295" t="s">
        <v>38</v>
      </c>
      <c r="E295">
        <v>139</v>
      </c>
      <c r="F295">
        <v>1024.43</v>
      </c>
      <c r="G295">
        <v>7.37</v>
      </c>
    </row>
    <row r="296" spans="1:7" x14ac:dyDescent="0.3">
      <c r="A296">
        <v>225</v>
      </c>
      <c r="B296" t="s">
        <v>433</v>
      </c>
      <c r="C296" t="s">
        <v>435</v>
      </c>
      <c r="D296" t="s">
        <v>38</v>
      </c>
      <c r="E296">
        <v>240</v>
      </c>
      <c r="F296">
        <v>1680</v>
      </c>
      <c r="G296">
        <v>7</v>
      </c>
    </row>
    <row r="297" spans="1:7" x14ac:dyDescent="0.3">
      <c r="A297">
        <v>225</v>
      </c>
      <c r="B297" t="s">
        <v>433</v>
      </c>
      <c r="D297" t="s">
        <v>38</v>
      </c>
      <c r="E297">
        <v>489</v>
      </c>
      <c r="F297">
        <v>3784.86</v>
      </c>
      <c r="G297">
        <v>7.74</v>
      </c>
    </row>
    <row r="298" spans="1:7" x14ac:dyDescent="0.3">
      <c r="A298">
        <v>226</v>
      </c>
      <c r="B298" t="s">
        <v>436</v>
      </c>
      <c r="C298" t="s">
        <v>434</v>
      </c>
      <c r="D298" t="s">
        <v>38</v>
      </c>
      <c r="E298">
        <v>170</v>
      </c>
      <c r="F298">
        <v>1394</v>
      </c>
      <c r="G298">
        <v>8.1999999999999993</v>
      </c>
    </row>
    <row r="299" spans="1:7" x14ac:dyDescent="0.3">
      <c r="A299">
        <v>226</v>
      </c>
      <c r="B299" t="s">
        <v>436</v>
      </c>
      <c r="D299" t="s">
        <v>38</v>
      </c>
      <c r="E299">
        <v>4</v>
      </c>
      <c r="F299">
        <v>35</v>
      </c>
      <c r="G299">
        <v>8.75</v>
      </c>
    </row>
    <row r="300" spans="1:7" x14ac:dyDescent="0.3">
      <c r="A300">
        <v>227</v>
      </c>
      <c r="B300" t="s">
        <v>437</v>
      </c>
      <c r="C300" t="s">
        <v>438</v>
      </c>
      <c r="D300" t="s">
        <v>38</v>
      </c>
      <c r="E300">
        <v>351</v>
      </c>
      <c r="F300">
        <v>2457</v>
      </c>
      <c r="G300">
        <v>7</v>
      </c>
    </row>
    <row r="301" spans="1:7" x14ac:dyDescent="0.3">
      <c r="A301">
        <v>227</v>
      </c>
      <c r="B301" t="s">
        <v>437</v>
      </c>
      <c r="D301" t="s">
        <v>38</v>
      </c>
      <c r="E301">
        <v>311</v>
      </c>
      <c r="F301">
        <v>2394.6999999999998</v>
      </c>
      <c r="G301">
        <v>7.7000000000000011</v>
      </c>
    </row>
    <row r="302" spans="1:7" x14ac:dyDescent="0.3">
      <c r="A302">
        <v>228</v>
      </c>
      <c r="B302" t="s">
        <v>439</v>
      </c>
      <c r="C302" t="s">
        <v>440</v>
      </c>
      <c r="D302" t="s">
        <v>38</v>
      </c>
      <c r="E302">
        <v>176</v>
      </c>
      <c r="F302">
        <v>1364.52</v>
      </c>
      <c r="G302">
        <v>7.7529545454545454</v>
      </c>
    </row>
    <row r="303" spans="1:7" x14ac:dyDescent="0.3">
      <c r="A303">
        <v>229</v>
      </c>
      <c r="B303" t="s">
        <v>441</v>
      </c>
      <c r="D303" t="s">
        <v>38</v>
      </c>
      <c r="E303">
        <v>24</v>
      </c>
      <c r="F303">
        <v>806.69999999999993</v>
      </c>
      <c r="G303">
        <v>33.612499999999997</v>
      </c>
    </row>
    <row r="304" spans="1:7" x14ac:dyDescent="0.3">
      <c r="A304">
        <v>230</v>
      </c>
      <c r="B304" t="s">
        <v>442</v>
      </c>
      <c r="C304" t="s">
        <v>443</v>
      </c>
      <c r="D304" t="s">
        <v>36</v>
      </c>
      <c r="E304">
        <v>0.14000000000000001</v>
      </c>
      <c r="F304">
        <v>201.6</v>
      </c>
      <c r="G304">
        <v>1440</v>
      </c>
    </row>
    <row r="305" spans="1:7" x14ac:dyDescent="0.3">
      <c r="A305">
        <v>231</v>
      </c>
      <c r="B305" t="s">
        <v>444</v>
      </c>
      <c r="C305" t="s">
        <v>445</v>
      </c>
      <c r="D305" t="s">
        <v>36</v>
      </c>
      <c r="E305">
        <v>1816</v>
      </c>
      <c r="F305">
        <v>523.6</v>
      </c>
      <c r="G305">
        <v>0.28832599118942731</v>
      </c>
    </row>
    <row r="306" spans="1:7" x14ac:dyDescent="0.3">
      <c r="A306">
        <v>232</v>
      </c>
      <c r="B306" t="s">
        <v>446</v>
      </c>
      <c r="D306" t="s">
        <v>36</v>
      </c>
      <c r="E306">
        <v>750</v>
      </c>
      <c r="F306">
        <v>292.5</v>
      </c>
      <c r="G306">
        <v>0.39</v>
      </c>
    </row>
    <row r="307" spans="1:7" x14ac:dyDescent="0.3">
      <c r="A307">
        <v>233</v>
      </c>
      <c r="B307" t="s">
        <v>447</v>
      </c>
      <c r="C307" t="s">
        <v>448</v>
      </c>
      <c r="D307" t="s">
        <v>36</v>
      </c>
      <c r="E307">
        <v>1670</v>
      </c>
      <c r="F307">
        <v>1120.0999999999999</v>
      </c>
      <c r="G307">
        <v>0.67071856287425147</v>
      </c>
    </row>
    <row r="308" spans="1:7" x14ac:dyDescent="0.3">
      <c r="A308">
        <v>234</v>
      </c>
      <c r="B308" t="s">
        <v>449</v>
      </c>
      <c r="C308" t="s">
        <v>450</v>
      </c>
      <c r="D308" t="s">
        <v>47</v>
      </c>
      <c r="E308">
        <v>3</v>
      </c>
      <c r="F308">
        <v>165</v>
      </c>
      <c r="G308">
        <v>55</v>
      </c>
    </row>
    <row r="309" spans="1:7" x14ac:dyDescent="0.3">
      <c r="A309">
        <v>235</v>
      </c>
      <c r="B309" t="s">
        <v>451</v>
      </c>
      <c r="C309" t="s">
        <v>452</v>
      </c>
      <c r="D309" t="s">
        <v>47</v>
      </c>
      <c r="E309">
        <v>1125</v>
      </c>
      <c r="F309">
        <v>150</v>
      </c>
      <c r="G309">
        <v>0.1333333333333333</v>
      </c>
    </row>
    <row r="310" spans="1:7" x14ac:dyDescent="0.3">
      <c r="A310">
        <v>236</v>
      </c>
      <c r="B310" t="s">
        <v>453</v>
      </c>
      <c r="D310" t="s">
        <v>53</v>
      </c>
      <c r="E310">
        <v>1.5</v>
      </c>
      <c r="F310">
        <v>7081.6649999999991</v>
      </c>
      <c r="G310">
        <v>4721.1099999999997</v>
      </c>
    </row>
    <row r="311" spans="1:7" x14ac:dyDescent="0.3">
      <c r="A311">
        <v>237</v>
      </c>
      <c r="B311" t="s">
        <v>454</v>
      </c>
      <c r="C311" t="s">
        <v>455</v>
      </c>
      <c r="D311" t="s">
        <v>47</v>
      </c>
      <c r="E311">
        <v>1000</v>
      </c>
      <c r="F311">
        <v>316.60000000000002</v>
      </c>
      <c r="G311">
        <v>0.31659999999999999</v>
      </c>
    </row>
    <row r="312" spans="1:7" x14ac:dyDescent="0.3">
      <c r="A312">
        <v>237</v>
      </c>
      <c r="B312" t="s">
        <v>454</v>
      </c>
      <c r="C312" t="s">
        <v>456</v>
      </c>
      <c r="D312" t="s">
        <v>47</v>
      </c>
      <c r="E312">
        <v>2</v>
      </c>
      <c r="F312">
        <v>603.6</v>
      </c>
      <c r="G312">
        <v>301.8</v>
      </c>
    </row>
    <row r="313" spans="1:7" x14ac:dyDescent="0.3">
      <c r="A313">
        <v>238</v>
      </c>
      <c r="B313" t="s">
        <v>457</v>
      </c>
      <c r="C313" t="s">
        <v>458</v>
      </c>
      <c r="D313" t="s">
        <v>36</v>
      </c>
      <c r="E313">
        <v>12</v>
      </c>
      <c r="F313">
        <v>273.83999999999997</v>
      </c>
      <c r="G313">
        <v>22.82</v>
      </c>
    </row>
    <row r="314" spans="1:7" x14ac:dyDescent="0.3">
      <c r="A314">
        <v>238</v>
      </c>
      <c r="B314" t="s">
        <v>457</v>
      </c>
      <c r="D314" t="s">
        <v>36</v>
      </c>
      <c r="E314">
        <v>4080</v>
      </c>
      <c r="F314">
        <v>1092.48</v>
      </c>
      <c r="G314">
        <v>0.26776470588235302</v>
      </c>
    </row>
    <row r="315" spans="1:7" x14ac:dyDescent="0.3">
      <c r="A315">
        <v>239</v>
      </c>
      <c r="B315" t="s">
        <v>459</v>
      </c>
      <c r="C315" t="s">
        <v>460</v>
      </c>
      <c r="D315" t="s">
        <v>36</v>
      </c>
      <c r="E315">
        <v>37.381999999999998</v>
      </c>
      <c r="F315">
        <v>2953.1779999999999</v>
      </c>
      <c r="G315">
        <v>79</v>
      </c>
    </row>
    <row r="316" spans="1:7" x14ac:dyDescent="0.3">
      <c r="A316">
        <v>240</v>
      </c>
      <c r="B316" t="s">
        <v>461</v>
      </c>
      <c r="D316" t="s">
        <v>36</v>
      </c>
      <c r="E316">
        <v>9360</v>
      </c>
      <c r="F316">
        <v>1902.9399999999989</v>
      </c>
      <c r="G316">
        <v>0.20330555555555549</v>
      </c>
    </row>
    <row r="317" spans="1:7" x14ac:dyDescent="0.3">
      <c r="A317">
        <v>241</v>
      </c>
      <c r="B317" t="s">
        <v>462</v>
      </c>
      <c r="C317" t="s">
        <v>460</v>
      </c>
      <c r="D317" t="s">
        <v>36</v>
      </c>
      <c r="E317">
        <v>11160</v>
      </c>
      <c r="F317">
        <v>2268.889999999999</v>
      </c>
      <c r="G317">
        <v>0.20330555555555549</v>
      </c>
    </row>
    <row r="318" spans="1:7" x14ac:dyDescent="0.3">
      <c r="A318">
        <v>242</v>
      </c>
      <c r="B318" t="s">
        <v>463</v>
      </c>
      <c r="C318" t="s">
        <v>142</v>
      </c>
      <c r="D318" t="s">
        <v>36</v>
      </c>
      <c r="E318">
        <v>1000</v>
      </c>
      <c r="F318">
        <v>95</v>
      </c>
      <c r="G318">
        <v>9.5000000000000001E-2</v>
      </c>
    </row>
    <row r="319" spans="1:7" x14ac:dyDescent="0.3">
      <c r="A319">
        <v>243</v>
      </c>
      <c r="B319" t="s">
        <v>464</v>
      </c>
      <c r="D319" t="s">
        <v>36</v>
      </c>
      <c r="E319">
        <v>690</v>
      </c>
      <c r="F319">
        <v>130.0619469026548</v>
      </c>
      <c r="G319">
        <v>0.18849557522123889</v>
      </c>
    </row>
    <row r="320" spans="1:7" x14ac:dyDescent="0.3">
      <c r="A320">
        <v>244</v>
      </c>
      <c r="B320" t="s">
        <v>465</v>
      </c>
      <c r="C320" t="s">
        <v>466</v>
      </c>
      <c r="D320" t="s">
        <v>36</v>
      </c>
      <c r="E320">
        <v>1000</v>
      </c>
      <c r="F320">
        <v>59.610000000000007</v>
      </c>
      <c r="G320">
        <v>5.9610000000000003E-2</v>
      </c>
    </row>
    <row r="321" spans="1:7" x14ac:dyDescent="0.3">
      <c r="A321">
        <v>244</v>
      </c>
      <c r="B321" t="s">
        <v>465</v>
      </c>
      <c r="D321" t="s">
        <v>36</v>
      </c>
      <c r="E321">
        <v>15600</v>
      </c>
      <c r="F321">
        <v>929.91600000000005</v>
      </c>
      <c r="G321">
        <v>5.9610000000000003E-2</v>
      </c>
    </row>
    <row r="322" spans="1:7" x14ac:dyDescent="0.3">
      <c r="A322">
        <v>245</v>
      </c>
      <c r="B322" t="s">
        <v>467</v>
      </c>
      <c r="C322" t="s">
        <v>468</v>
      </c>
      <c r="D322" t="s">
        <v>36</v>
      </c>
      <c r="E322">
        <v>7</v>
      </c>
      <c r="F322">
        <v>415.1</v>
      </c>
      <c r="G322">
        <v>59.3</v>
      </c>
    </row>
    <row r="323" spans="1:7" x14ac:dyDescent="0.3">
      <c r="A323">
        <v>246</v>
      </c>
      <c r="B323" t="s">
        <v>469</v>
      </c>
      <c r="C323" t="s">
        <v>470</v>
      </c>
      <c r="D323" t="s">
        <v>36</v>
      </c>
      <c r="E323">
        <v>14530</v>
      </c>
      <c r="F323">
        <v>8172.6</v>
      </c>
      <c r="G323">
        <v>0.5624638678596009</v>
      </c>
    </row>
    <row r="324" spans="1:7" x14ac:dyDescent="0.3">
      <c r="A324">
        <v>247</v>
      </c>
      <c r="B324" t="s">
        <v>471</v>
      </c>
      <c r="C324" t="s">
        <v>472</v>
      </c>
      <c r="D324" t="s">
        <v>38</v>
      </c>
      <c r="E324">
        <v>400</v>
      </c>
      <c r="F324">
        <v>2236</v>
      </c>
      <c r="G324">
        <v>5.59</v>
      </c>
    </row>
    <row r="325" spans="1:7" x14ac:dyDescent="0.3">
      <c r="A325">
        <v>248</v>
      </c>
      <c r="B325" t="s">
        <v>473</v>
      </c>
      <c r="D325" t="s">
        <v>38</v>
      </c>
      <c r="E325">
        <v>20</v>
      </c>
      <c r="F325">
        <v>138</v>
      </c>
      <c r="G325">
        <v>6.9</v>
      </c>
    </row>
    <row r="326" spans="1:7" x14ac:dyDescent="0.3">
      <c r="A326">
        <v>249</v>
      </c>
      <c r="B326" t="s">
        <v>474</v>
      </c>
      <c r="C326" t="s">
        <v>475</v>
      </c>
      <c r="D326" t="s">
        <v>38</v>
      </c>
      <c r="E326">
        <v>300</v>
      </c>
      <c r="F326">
        <v>1650</v>
      </c>
      <c r="G326">
        <v>5.5</v>
      </c>
    </row>
    <row r="327" spans="1:7" x14ac:dyDescent="0.3">
      <c r="A327">
        <v>250</v>
      </c>
      <c r="B327" t="s">
        <v>476</v>
      </c>
      <c r="C327" t="s">
        <v>477</v>
      </c>
      <c r="D327" t="s">
        <v>36</v>
      </c>
      <c r="E327">
        <v>10596</v>
      </c>
      <c r="F327">
        <v>17670.12</v>
      </c>
      <c r="G327">
        <v>1.6676217440543599</v>
      </c>
    </row>
    <row r="328" spans="1:7" x14ac:dyDescent="0.3">
      <c r="A328">
        <v>250</v>
      </c>
      <c r="B328" t="s">
        <v>476</v>
      </c>
      <c r="D328" t="s">
        <v>36</v>
      </c>
      <c r="E328">
        <v>2432</v>
      </c>
      <c r="F328">
        <v>1465.28</v>
      </c>
      <c r="G328">
        <v>0.60250000000000004</v>
      </c>
    </row>
    <row r="329" spans="1:7" x14ac:dyDescent="0.3">
      <c r="A329">
        <v>251</v>
      </c>
      <c r="B329" t="s">
        <v>478</v>
      </c>
      <c r="C329" t="s">
        <v>479</v>
      </c>
      <c r="D329" t="s">
        <v>88</v>
      </c>
      <c r="E329">
        <v>13</v>
      </c>
      <c r="F329">
        <v>1105</v>
      </c>
      <c r="G329">
        <v>85</v>
      </c>
    </row>
    <row r="330" spans="1:7" x14ac:dyDescent="0.3">
      <c r="A330">
        <v>251</v>
      </c>
      <c r="B330" t="s">
        <v>478</v>
      </c>
      <c r="D330" t="s">
        <v>88</v>
      </c>
      <c r="E330">
        <v>19.5</v>
      </c>
      <c r="F330">
        <v>1657.5</v>
      </c>
      <c r="G330">
        <v>85</v>
      </c>
    </row>
    <row r="331" spans="1:7" x14ac:dyDescent="0.3">
      <c r="A331">
        <v>252</v>
      </c>
      <c r="B331" t="s">
        <v>480</v>
      </c>
      <c r="D331" t="s">
        <v>38</v>
      </c>
      <c r="E331">
        <v>50</v>
      </c>
      <c r="F331">
        <v>929.14999999999986</v>
      </c>
      <c r="G331">
        <v>18.582999999999998</v>
      </c>
    </row>
    <row r="332" spans="1:7" x14ac:dyDescent="0.3">
      <c r="A332">
        <v>253</v>
      </c>
      <c r="B332" t="s">
        <v>481</v>
      </c>
      <c r="C332" t="s">
        <v>482</v>
      </c>
      <c r="D332" t="s">
        <v>38</v>
      </c>
      <c r="E332">
        <v>40</v>
      </c>
      <c r="F332">
        <v>867.6</v>
      </c>
      <c r="G332">
        <v>21.69</v>
      </c>
    </row>
    <row r="333" spans="1:7" x14ac:dyDescent="0.3">
      <c r="A333">
        <v>254</v>
      </c>
      <c r="B333" t="s">
        <v>483</v>
      </c>
      <c r="D333" t="s">
        <v>38</v>
      </c>
      <c r="E333">
        <v>1</v>
      </c>
      <c r="F333">
        <v>6.958333333333333</v>
      </c>
      <c r="G333">
        <v>6.958333333333333</v>
      </c>
    </row>
    <row r="334" spans="1:7" x14ac:dyDescent="0.3">
      <c r="A334">
        <v>255</v>
      </c>
      <c r="B334" t="s">
        <v>484</v>
      </c>
      <c r="C334" t="s">
        <v>485</v>
      </c>
      <c r="D334" t="s">
        <v>36</v>
      </c>
      <c r="E334">
        <v>1</v>
      </c>
      <c r="F334">
        <v>1120</v>
      </c>
      <c r="G334">
        <v>1120</v>
      </c>
    </row>
    <row r="335" spans="1:7" x14ac:dyDescent="0.3">
      <c r="A335">
        <v>256</v>
      </c>
      <c r="B335" t="s">
        <v>486</v>
      </c>
      <c r="C335" t="s">
        <v>487</v>
      </c>
      <c r="D335" t="s">
        <v>36</v>
      </c>
      <c r="E335">
        <v>680</v>
      </c>
      <c r="F335">
        <v>120</v>
      </c>
      <c r="G335">
        <v>0.1764705882352941</v>
      </c>
    </row>
    <row r="336" spans="1:7" x14ac:dyDescent="0.3">
      <c r="A336">
        <v>257</v>
      </c>
      <c r="B336" t="s">
        <v>488</v>
      </c>
      <c r="C336" t="s">
        <v>52</v>
      </c>
      <c r="D336" t="s">
        <v>47</v>
      </c>
      <c r="E336">
        <v>3</v>
      </c>
      <c r="F336">
        <v>1261.8</v>
      </c>
      <c r="G336">
        <v>420.60000000000008</v>
      </c>
    </row>
    <row r="337" spans="1:7" x14ac:dyDescent="0.3">
      <c r="A337">
        <v>258</v>
      </c>
      <c r="B337" t="s">
        <v>489</v>
      </c>
      <c r="C337" t="s">
        <v>490</v>
      </c>
      <c r="D337" t="s">
        <v>36</v>
      </c>
      <c r="E337">
        <v>1.43</v>
      </c>
      <c r="F337">
        <v>125.125</v>
      </c>
      <c r="G337">
        <v>87.5</v>
      </c>
    </row>
    <row r="338" spans="1:7" x14ac:dyDescent="0.3">
      <c r="A338">
        <v>259</v>
      </c>
      <c r="B338" t="s">
        <v>491</v>
      </c>
      <c r="C338" t="s">
        <v>492</v>
      </c>
      <c r="D338" t="s">
        <v>36</v>
      </c>
      <c r="E338">
        <v>1.67</v>
      </c>
      <c r="F338">
        <v>171.17500000000001</v>
      </c>
      <c r="G338">
        <v>102.5</v>
      </c>
    </row>
    <row r="339" spans="1:7" x14ac:dyDescent="0.3">
      <c r="A339">
        <v>260</v>
      </c>
      <c r="B339" t="s">
        <v>493</v>
      </c>
      <c r="C339" t="s">
        <v>494</v>
      </c>
      <c r="D339" t="s">
        <v>36</v>
      </c>
      <c r="E339">
        <v>30</v>
      </c>
      <c r="F339">
        <v>81.3</v>
      </c>
      <c r="G339">
        <v>2.71</v>
      </c>
    </row>
    <row r="340" spans="1:7" x14ac:dyDescent="0.3">
      <c r="A340">
        <v>261</v>
      </c>
      <c r="B340" t="s">
        <v>495</v>
      </c>
      <c r="D340" t="s">
        <v>36</v>
      </c>
      <c r="E340">
        <v>400</v>
      </c>
      <c r="F340">
        <v>200.1</v>
      </c>
      <c r="G340">
        <v>0.50024999999999997</v>
      </c>
    </row>
    <row r="341" spans="1:7" x14ac:dyDescent="0.3">
      <c r="A341">
        <v>262</v>
      </c>
      <c r="B341" t="s">
        <v>496</v>
      </c>
      <c r="D341" t="s">
        <v>36</v>
      </c>
      <c r="E341">
        <v>7</v>
      </c>
      <c r="F341">
        <v>59.249999999999993</v>
      </c>
      <c r="G341">
        <v>8.4642857142857135</v>
      </c>
    </row>
    <row r="342" spans="1:7" x14ac:dyDescent="0.3">
      <c r="A342">
        <v>263</v>
      </c>
      <c r="B342" t="s">
        <v>497</v>
      </c>
      <c r="C342" t="s">
        <v>498</v>
      </c>
      <c r="D342" t="s">
        <v>36</v>
      </c>
      <c r="E342">
        <v>0.87</v>
      </c>
      <c r="F342">
        <v>95.917500000000004</v>
      </c>
      <c r="G342">
        <v>110.25</v>
      </c>
    </row>
    <row r="343" spans="1:7" x14ac:dyDescent="0.3">
      <c r="A343">
        <v>264</v>
      </c>
      <c r="B343" t="s">
        <v>499</v>
      </c>
      <c r="C343" t="s">
        <v>500</v>
      </c>
      <c r="D343" t="s">
        <v>36</v>
      </c>
      <c r="E343">
        <v>2</v>
      </c>
      <c r="F343">
        <v>135</v>
      </c>
      <c r="G343">
        <v>67.5</v>
      </c>
    </row>
    <row r="344" spans="1:7" x14ac:dyDescent="0.3">
      <c r="A344">
        <v>265</v>
      </c>
      <c r="B344" t="s">
        <v>501</v>
      </c>
      <c r="D344" t="s">
        <v>36</v>
      </c>
      <c r="E344">
        <v>200</v>
      </c>
      <c r="F344">
        <v>265</v>
      </c>
      <c r="G344">
        <v>1.325</v>
      </c>
    </row>
    <row r="345" spans="1:7" x14ac:dyDescent="0.3">
      <c r="A345">
        <v>266</v>
      </c>
      <c r="B345" t="s">
        <v>502</v>
      </c>
      <c r="C345" t="s">
        <v>503</v>
      </c>
      <c r="D345" t="s">
        <v>36</v>
      </c>
      <c r="E345">
        <v>2.57</v>
      </c>
      <c r="F345">
        <v>178.61500000000001</v>
      </c>
      <c r="G345">
        <v>69.5</v>
      </c>
    </row>
    <row r="346" spans="1:7" x14ac:dyDescent="0.3">
      <c r="A346">
        <v>267</v>
      </c>
      <c r="B346" t="s">
        <v>504</v>
      </c>
      <c r="C346" t="s">
        <v>505</v>
      </c>
      <c r="D346" t="s">
        <v>36</v>
      </c>
      <c r="E346">
        <v>0.80600000000000005</v>
      </c>
      <c r="F346">
        <v>79.794000000000011</v>
      </c>
      <c r="G346">
        <v>99.000000000000014</v>
      </c>
    </row>
    <row r="347" spans="1:7" x14ac:dyDescent="0.3">
      <c r="A347">
        <v>268</v>
      </c>
      <c r="B347" t="s">
        <v>506</v>
      </c>
      <c r="D347" t="s">
        <v>36</v>
      </c>
      <c r="E347">
        <v>15100</v>
      </c>
      <c r="F347">
        <v>1884.48</v>
      </c>
      <c r="G347">
        <v>0.12479999999999999</v>
      </c>
    </row>
    <row r="348" spans="1:7" x14ac:dyDescent="0.3">
      <c r="A348">
        <v>269</v>
      </c>
      <c r="B348" t="s">
        <v>507</v>
      </c>
      <c r="C348" t="s">
        <v>508</v>
      </c>
      <c r="D348" t="s">
        <v>38</v>
      </c>
      <c r="E348">
        <v>18</v>
      </c>
      <c r="F348">
        <v>1386</v>
      </c>
      <c r="G348">
        <v>77</v>
      </c>
    </row>
    <row r="349" spans="1:7" x14ac:dyDescent="0.3">
      <c r="A349">
        <v>270</v>
      </c>
      <c r="B349" t="s">
        <v>509</v>
      </c>
      <c r="C349" t="s">
        <v>510</v>
      </c>
      <c r="D349" t="s">
        <v>38</v>
      </c>
      <c r="E349">
        <v>13.19</v>
      </c>
      <c r="F349">
        <v>323.76100000000002</v>
      </c>
      <c r="G349">
        <v>24.545943896891579</v>
      </c>
    </row>
    <row r="350" spans="1:7" x14ac:dyDescent="0.3">
      <c r="A350">
        <v>271</v>
      </c>
      <c r="B350" t="s">
        <v>511</v>
      </c>
      <c r="C350" t="s">
        <v>512</v>
      </c>
      <c r="D350" t="s">
        <v>36</v>
      </c>
      <c r="E350">
        <v>1000</v>
      </c>
      <c r="F350">
        <v>150</v>
      </c>
      <c r="G350">
        <v>0.15</v>
      </c>
    </row>
    <row r="351" spans="1:7" x14ac:dyDescent="0.3">
      <c r="A351">
        <v>272</v>
      </c>
      <c r="B351" t="s">
        <v>513</v>
      </c>
      <c r="D351" t="s">
        <v>38</v>
      </c>
      <c r="E351">
        <v>101</v>
      </c>
      <c r="F351">
        <v>720.13</v>
      </c>
      <c r="G351">
        <v>7.13</v>
      </c>
    </row>
    <row r="352" spans="1:7" x14ac:dyDescent="0.3">
      <c r="A352">
        <v>273</v>
      </c>
      <c r="B352" t="s">
        <v>514</v>
      </c>
      <c r="C352" t="s">
        <v>515</v>
      </c>
      <c r="D352" t="s">
        <v>38</v>
      </c>
      <c r="E352">
        <v>1161</v>
      </c>
      <c r="F352">
        <v>10123.92</v>
      </c>
      <c r="G352">
        <v>8.7200000000000024</v>
      </c>
    </row>
    <row r="353" spans="1:7" x14ac:dyDescent="0.3">
      <c r="A353">
        <v>273</v>
      </c>
      <c r="B353" t="s">
        <v>514</v>
      </c>
      <c r="D353" t="s">
        <v>38</v>
      </c>
      <c r="E353">
        <v>655</v>
      </c>
      <c r="F353">
        <v>5403.75</v>
      </c>
      <c r="G353">
        <v>8.25</v>
      </c>
    </row>
    <row r="354" spans="1:7" x14ac:dyDescent="0.3">
      <c r="A354">
        <v>274</v>
      </c>
      <c r="B354" t="s">
        <v>516</v>
      </c>
      <c r="C354" t="s">
        <v>517</v>
      </c>
      <c r="D354" t="s">
        <v>38</v>
      </c>
      <c r="E354">
        <v>3519</v>
      </c>
      <c r="F354">
        <v>26392.5</v>
      </c>
      <c r="G354">
        <v>7.5</v>
      </c>
    </row>
    <row r="355" spans="1:7" x14ac:dyDescent="0.3">
      <c r="A355">
        <v>274</v>
      </c>
      <c r="B355" t="s">
        <v>516</v>
      </c>
      <c r="D355" t="s">
        <v>38</v>
      </c>
      <c r="E355">
        <v>47</v>
      </c>
      <c r="F355">
        <v>352.5</v>
      </c>
      <c r="G355">
        <v>7.5</v>
      </c>
    </row>
    <row r="356" spans="1:7" x14ac:dyDescent="0.3">
      <c r="A356">
        <v>275</v>
      </c>
      <c r="B356" t="s">
        <v>518</v>
      </c>
      <c r="C356" t="s">
        <v>519</v>
      </c>
      <c r="D356" t="s">
        <v>38</v>
      </c>
      <c r="E356">
        <v>240</v>
      </c>
      <c r="F356">
        <v>3444</v>
      </c>
      <c r="G356">
        <v>14.35</v>
      </c>
    </row>
    <row r="357" spans="1:7" x14ac:dyDescent="0.3">
      <c r="A357">
        <v>276</v>
      </c>
      <c r="B357" t="s">
        <v>520</v>
      </c>
      <c r="D357" t="s">
        <v>36</v>
      </c>
      <c r="E357">
        <v>400</v>
      </c>
      <c r="F357">
        <v>76.888888888888886</v>
      </c>
      <c r="G357">
        <v>0.19222222222222221</v>
      </c>
    </row>
    <row r="358" spans="1:7" x14ac:dyDescent="0.3">
      <c r="A358">
        <v>277</v>
      </c>
      <c r="B358" t="s">
        <v>521</v>
      </c>
      <c r="D358" t="s">
        <v>36</v>
      </c>
      <c r="E358">
        <v>150</v>
      </c>
      <c r="F358">
        <v>23.85</v>
      </c>
      <c r="G358">
        <v>0.159</v>
      </c>
    </row>
    <row r="359" spans="1:7" x14ac:dyDescent="0.3">
      <c r="A359">
        <v>278</v>
      </c>
      <c r="B359" t="s">
        <v>522</v>
      </c>
      <c r="C359" t="s">
        <v>523</v>
      </c>
      <c r="D359" t="s">
        <v>36</v>
      </c>
      <c r="E359">
        <v>2</v>
      </c>
      <c r="F359">
        <v>396</v>
      </c>
      <c r="G359">
        <v>198</v>
      </c>
    </row>
    <row r="360" spans="1:7" x14ac:dyDescent="0.3">
      <c r="A360">
        <v>279</v>
      </c>
      <c r="B360" t="s">
        <v>524</v>
      </c>
      <c r="C360" t="s">
        <v>525</v>
      </c>
      <c r="D360" t="s">
        <v>36</v>
      </c>
      <c r="E360">
        <v>4</v>
      </c>
      <c r="F360">
        <v>946.8</v>
      </c>
      <c r="G360">
        <v>236.7</v>
      </c>
    </row>
    <row r="361" spans="1:7" x14ac:dyDescent="0.3">
      <c r="A361">
        <v>279</v>
      </c>
      <c r="B361" t="s">
        <v>524</v>
      </c>
      <c r="D361" t="s">
        <v>36</v>
      </c>
      <c r="E361">
        <v>2800</v>
      </c>
      <c r="F361">
        <v>662.76</v>
      </c>
      <c r="G361">
        <v>0.23669999999999999</v>
      </c>
    </row>
    <row r="362" spans="1:7" x14ac:dyDescent="0.3">
      <c r="A362">
        <v>280</v>
      </c>
      <c r="B362" t="s">
        <v>526</v>
      </c>
      <c r="C362" t="s">
        <v>527</v>
      </c>
      <c r="D362" t="s">
        <v>36</v>
      </c>
      <c r="E362">
        <v>3000</v>
      </c>
      <c r="F362">
        <v>375</v>
      </c>
      <c r="G362">
        <v>0.125</v>
      </c>
    </row>
    <row r="363" spans="1:7" x14ac:dyDescent="0.3">
      <c r="A363">
        <v>281</v>
      </c>
      <c r="B363" t="s">
        <v>528</v>
      </c>
      <c r="C363" t="s">
        <v>529</v>
      </c>
      <c r="D363" t="s">
        <v>38</v>
      </c>
      <c r="E363">
        <v>50</v>
      </c>
      <c r="F363">
        <v>816.49999999999989</v>
      </c>
      <c r="G363">
        <v>16.329999999999998</v>
      </c>
    </row>
    <row r="364" spans="1:7" x14ac:dyDescent="0.3">
      <c r="A364">
        <v>282</v>
      </c>
      <c r="B364" t="s">
        <v>530</v>
      </c>
      <c r="D364" t="s">
        <v>38</v>
      </c>
      <c r="E364">
        <v>113</v>
      </c>
      <c r="F364">
        <v>1699.52</v>
      </c>
      <c r="G364">
        <v>15.04</v>
      </c>
    </row>
    <row r="365" spans="1:7" x14ac:dyDescent="0.3">
      <c r="A365">
        <v>283</v>
      </c>
      <c r="B365" t="s">
        <v>531</v>
      </c>
      <c r="C365" t="s">
        <v>142</v>
      </c>
      <c r="D365" t="s">
        <v>36</v>
      </c>
      <c r="E365">
        <v>5015</v>
      </c>
      <c r="F365">
        <v>2500</v>
      </c>
      <c r="G365">
        <v>0.49850448654037888</v>
      </c>
    </row>
    <row r="366" spans="1:7" x14ac:dyDescent="0.3">
      <c r="A366">
        <v>283</v>
      </c>
      <c r="B366" t="s">
        <v>531</v>
      </c>
      <c r="D366" t="s">
        <v>36</v>
      </c>
      <c r="E366">
        <v>9000</v>
      </c>
      <c r="F366">
        <v>1260</v>
      </c>
      <c r="G366">
        <v>0.14000000000000001</v>
      </c>
    </row>
    <row r="367" spans="1:7" x14ac:dyDescent="0.3">
      <c r="A367">
        <v>284</v>
      </c>
      <c r="B367" t="s">
        <v>532</v>
      </c>
      <c r="C367" t="s">
        <v>533</v>
      </c>
      <c r="D367" t="s">
        <v>38</v>
      </c>
      <c r="E367">
        <v>10</v>
      </c>
      <c r="F367">
        <v>962</v>
      </c>
      <c r="G367">
        <v>96.2</v>
      </c>
    </row>
    <row r="368" spans="1:7" x14ac:dyDescent="0.3">
      <c r="A368">
        <v>285</v>
      </c>
      <c r="B368" t="s">
        <v>534</v>
      </c>
      <c r="C368" t="s">
        <v>535</v>
      </c>
      <c r="D368" t="s">
        <v>38</v>
      </c>
      <c r="E368">
        <v>125</v>
      </c>
      <c r="F368">
        <v>2010</v>
      </c>
      <c r="G368">
        <v>16.079999999999998</v>
      </c>
    </row>
    <row r="369" spans="1:7" x14ac:dyDescent="0.3">
      <c r="A369">
        <v>286</v>
      </c>
      <c r="B369" t="s">
        <v>536</v>
      </c>
      <c r="C369" t="s">
        <v>537</v>
      </c>
      <c r="D369" t="s">
        <v>38</v>
      </c>
      <c r="E369">
        <v>48</v>
      </c>
      <c r="F369">
        <v>774.72</v>
      </c>
      <c r="G369">
        <v>16.14</v>
      </c>
    </row>
    <row r="370" spans="1:7" x14ac:dyDescent="0.3">
      <c r="A370">
        <v>287</v>
      </c>
      <c r="B370" t="s">
        <v>538</v>
      </c>
      <c r="D370" t="s">
        <v>38</v>
      </c>
      <c r="E370">
        <v>48</v>
      </c>
      <c r="F370">
        <v>854.87999999999988</v>
      </c>
      <c r="G370">
        <v>17.809999999999999</v>
      </c>
    </row>
    <row r="371" spans="1:7" x14ac:dyDescent="0.3">
      <c r="A371">
        <v>288</v>
      </c>
      <c r="B371" t="s">
        <v>539</v>
      </c>
      <c r="C371" t="s">
        <v>540</v>
      </c>
      <c r="D371" t="s">
        <v>38</v>
      </c>
      <c r="E371">
        <v>71</v>
      </c>
      <c r="F371">
        <v>2134.9699999999998</v>
      </c>
      <c r="G371">
        <v>30.07</v>
      </c>
    </row>
    <row r="372" spans="1:7" x14ac:dyDescent="0.3">
      <c r="A372">
        <v>289</v>
      </c>
      <c r="B372" t="s">
        <v>541</v>
      </c>
      <c r="D372" t="s">
        <v>53</v>
      </c>
      <c r="E372">
        <v>7</v>
      </c>
      <c r="F372">
        <v>2163</v>
      </c>
      <c r="G372">
        <v>309</v>
      </c>
    </row>
    <row r="373" spans="1:7" x14ac:dyDescent="0.3">
      <c r="A373">
        <v>290</v>
      </c>
      <c r="B373" t="s">
        <v>542</v>
      </c>
      <c r="C373" t="s">
        <v>543</v>
      </c>
      <c r="D373" t="s">
        <v>53</v>
      </c>
      <c r="E373">
        <v>3</v>
      </c>
      <c r="F373">
        <v>927</v>
      </c>
      <c r="G373">
        <v>309</v>
      </c>
    </row>
    <row r="374" spans="1:7" x14ac:dyDescent="0.3">
      <c r="A374">
        <v>291</v>
      </c>
      <c r="B374" t="s">
        <v>544</v>
      </c>
      <c r="C374" t="s">
        <v>377</v>
      </c>
      <c r="D374" t="s">
        <v>36</v>
      </c>
      <c r="E374">
        <v>300</v>
      </c>
      <c r="F374">
        <v>134.63999999999999</v>
      </c>
      <c r="G374">
        <v>0.44879999999999998</v>
      </c>
    </row>
    <row r="375" spans="1:7" x14ac:dyDescent="0.3">
      <c r="A375">
        <v>291</v>
      </c>
      <c r="B375" t="s">
        <v>544</v>
      </c>
      <c r="D375" t="s">
        <v>36</v>
      </c>
      <c r="E375">
        <v>460</v>
      </c>
      <c r="F375">
        <v>121.2</v>
      </c>
      <c r="G375">
        <v>0.26347826086956522</v>
      </c>
    </row>
    <row r="376" spans="1:7" x14ac:dyDescent="0.3">
      <c r="A376">
        <v>292</v>
      </c>
      <c r="B376" t="s">
        <v>545</v>
      </c>
      <c r="C376" t="s">
        <v>546</v>
      </c>
      <c r="D376" t="s">
        <v>138</v>
      </c>
      <c r="E376">
        <v>780</v>
      </c>
      <c r="F376">
        <v>239</v>
      </c>
      <c r="G376">
        <v>0.30641025641025638</v>
      </c>
    </row>
    <row r="377" spans="1:7" x14ac:dyDescent="0.3">
      <c r="A377">
        <v>292</v>
      </c>
      <c r="B377" t="s">
        <v>545</v>
      </c>
      <c r="D377" t="s">
        <v>36</v>
      </c>
      <c r="E377">
        <v>156</v>
      </c>
      <c r="F377">
        <v>57.000000000000007</v>
      </c>
      <c r="G377">
        <v>0.36538461538461542</v>
      </c>
    </row>
    <row r="378" spans="1:7" x14ac:dyDescent="0.3">
      <c r="A378">
        <v>293</v>
      </c>
      <c r="B378" t="s">
        <v>547</v>
      </c>
      <c r="D378" t="s">
        <v>36</v>
      </c>
      <c r="E378">
        <v>600</v>
      </c>
      <c r="F378">
        <v>53.4375</v>
      </c>
      <c r="G378">
        <v>8.9062500000000003E-2</v>
      </c>
    </row>
    <row r="379" spans="1:7" x14ac:dyDescent="0.3">
      <c r="A379">
        <v>294</v>
      </c>
      <c r="B379" t="s">
        <v>548</v>
      </c>
      <c r="C379" t="s">
        <v>549</v>
      </c>
      <c r="D379" t="s">
        <v>38</v>
      </c>
      <c r="E379">
        <v>1854</v>
      </c>
      <c r="F379">
        <v>13900.57</v>
      </c>
      <c r="G379">
        <v>7.4976105717367849</v>
      </c>
    </row>
    <row r="380" spans="1:7" x14ac:dyDescent="0.3">
      <c r="A380">
        <v>294</v>
      </c>
      <c r="B380" t="s">
        <v>548</v>
      </c>
      <c r="D380" t="s">
        <v>38</v>
      </c>
      <c r="E380">
        <v>379</v>
      </c>
      <c r="F380">
        <v>2899.35</v>
      </c>
      <c r="G380">
        <v>7.6499999999999986</v>
      </c>
    </row>
    <row r="381" spans="1:7" x14ac:dyDescent="0.3">
      <c r="A381">
        <v>295</v>
      </c>
      <c r="B381" t="s">
        <v>550</v>
      </c>
      <c r="D381" t="s">
        <v>38</v>
      </c>
      <c r="E381">
        <v>100</v>
      </c>
      <c r="F381">
        <v>851</v>
      </c>
      <c r="G381">
        <v>8.51</v>
      </c>
    </row>
    <row r="382" spans="1:7" x14ac:dyDescent="0.3">
      <c r="A382">
        <v>296</v>
      </c>
      <c r="B382" t="s">
        <v>551</v>
      </c>
      <c r="C382" t="s">
        <v>552</v>
      </c>
      <c r="D382" t="s">
        <v>38</v>
      </c>
      <c r="E382">
        <v>249</v>
      </c>
      <c r="F382">
        <v>2076.66</v>
      </c>
      <c r="G382">
        <v>8.34</v>
      </c>
    </row>
    <row r="383" spans="1:7" x14ac:dyDescent="0.3">
      <c r="A383">
        <v>297</v>
      </c>
      <c r="B383" t="s">
        <v>553</v>
      </c>
      <c r="C383" t="s">
        <v>554</v>
      </c>
      <c r="D383" t="s">
        <v>38</v>
      </c>
      <c r="E383">
        <v>166</v>
      </c>
      <c r="F383">
        <v>1384.44</v>
      </c>
      <c r="G383">
        <v>8.34</v>
      </c>
    </row>
    <row r="384" spans="1:7" x14ac:dyDescent="0.3">
      <c r="A384">
        <v>297</v>
      </c>
      <c r="B384" t="s">
        <v>553</v>
      </c>
      <c r="D384" t="s">
        <v>38</v>
      </c>
      <c r="E384">
        <v>428</v>
      </c>
      <c r="F384">
        <v>3638</v>
      </c>
      <c r="G384">
        <v>8.5</v>
      </c>
    </row>
    <row r="385" spans="1:7" x14ac:dyDescent="0.3">
      <c r="A385">
        <v>298</v>
      </c>
      <c r="B385" t="s">
        <v>555</v>
      </c>
      <c r="C385" t="s">
        <v>556</v>
      </c>
      <c r="D385" t="s">
        <v>36</v>
      </c>
      <c r="E385">
        <v>9.3390000000000004</v>
      </c>
      <c r="F385">
        <v>491.23140000000001</v>
      </c>
      <c r="G385">
        <v>52.6</v>
      </c>
    </row>
    <row r="386" spans="1:7" x14ac:dyDescent="0.3">
      <c r="A386">
        <v>299</v>
      </c>
      <c r="B386" t="s">
        <v>557</v>
      </c>
      <c r="C386" t="s">
        <v>558</v>
      </c>
      <c r="D386" t="s">
        <v>38</v>
      </c>
      <c r="E386">
        <v>160</v>
      </c>
      <c r="F386">
        <v>2481.6</v>
      </c>
      <c r="G386">
        <v>15.51</v>
      </c>
    </row>
    <row r="387" spans="1:7" x14ac:dyDescent="0.3">
      <c r="A387">
        <v>299</v>
      </c>
      <c r="B387" t="s">
        <v>557</v>
      </c>
      <c r="D387" t="s">
        <v>38</v>
      </c>
      <c r="E387">
        <v>18</v>
      </c>
      <c r="F387">
        <v>1190.0999999999999</v>
      </c>
      <c r="G387">
        <v>66.11666666666666</v>
      </c>
    </row>
    <row r="388" spans="1:7" x14ac:dyDescent="0.3">
      <c r="A388">
        <v>300</v>
      </c>
      <c r="B388" t="s">
        <v>559</v>
      </c>
      <c r="C388" t="s">
        <v>560</v>
      </c>
      <c r="D388" t="s">
        <v>38</v>
      </c>
      <c r="E388">
        <v>34</v>
      </c>
      <c r="F388">
        <v>760.92</v>
      </c>
      <c r="G388">
        <v>22.38</v>
      </c>
    </row>
    <row r="389" spans="1:7" x14ac:dyDescent="0.3">
      <c r="A389">
        <v>300</v>
      </c>
      <c r="B389" t="s">
        <v>559</v>
      </c>
      <c r="D389" t="s">
        <v>77</v>
      </c>
      <c r="E389">
        <v>16</v>
      </c>
      <c r="F389">
        <v>358.05333333333328</v>
      </c>
      <c r="G389">
        <v>22.37833333333333</v>
      </c>
    </row>
    <row r="390" spans="1:7" x14ac:dyDescent="0.3">
      <c r="A390">
        <v>301</v>
      </c>
      <c r="B390" t="s">
        <v>561</v>
      </c>
      <c r="C390" t="s">
        <v>562</v>
      </c>
      <c r="D390" t="s">
        <v>47</v>
      </c>
      <c r="E390">
        <v>250</v>
      </c>
      <c r="F390">
        <v>279.10000000000002</v>
      </c>
      <c r="G390">
        <v>1.1164000000000001</v>
      </c>
    </row>
    <row r="391" spans="1:7" x14ac:dyDescent="0.3">
      <c r="A391">
        <v>302</v>
      </c>
      <c r="B391" t="s">
        <v>563</v>
      </c>
      <c r="C391" t="s">
        <v>142</v>
      </c>
      <c r="D391" t="s">
        <v>36</v>
      </c>
      <c r="E391">
        <v>3020</v>
      </c>
      <c r="F391">
        <v>2530</v>
      </c>
      <c r="G391">
        <v>0.83774834437086088</v>
      </c>
    </row>
    <row r="392" spans="1:7" x14ac:dyDescent="0.3">
      <c r="A392">
        <v>303</v>
      </c>
      <c r="B392" t="s">
        <v>564</v>
      </c>
      <c r="C392" t="s">
        <v>565</v>
      </c>
      <c r="D392" t="s">
        <v>36</v>
      </c>
      <c r="E392">
        <v>30</v>
      </c>
      <c r="F392">
        <v>570</v>
      </c>
      <c r="G392">
        <v>19</v>
      </c>
    </row>
    <row r="393" spans="1:7" x14ac:dyDescent="0.3">
      <c r="A393">
        <v>304</v>
      </c>
      <c r="B393" t="s">
        <v>566</v>
      </c>
      <c r="C393" t="s">
        <v>567</v>
      </c>
      <c r="D393" t="s">
        <v>38</v>
      </c>
      <c r="E393">
        <v>250</v>
      </c>
      <c r="F393">
        <v>2127.5</v>
      </c>
      <c r="G393">
        <v>8.51</v>
      </c>
    </row>
    <row r="394" spans="1:7" x14ac:dyDescent="0.3">
      <c r="A394">
        <v>305</v>
      </c>
      <c r="B394" t="s">
        <v>568</v>
      </c>
      <c r="D394" t="s">
        <v>38</v>
      </c>
      <c r="E394">
        <v>2</v>
      </c>
      <c r="F394">
        <v>370.9</v>
      </c>
      <c r="G394">
        <v>185.45</v>
      </c>
    </row>
    <row r="395" spans="1:7" x14ac:dyDescent="0.3">
      <c r="A395">
        <v>306</v>
      </c>
      <c r="B395" t="s">
        <v>569</v>
      </c>
      <c r="C395" t="s">
        <v>158</v>
      </c>
      <c r="D395" t="s">
        <v>53</v>
      </c>
      <c r="E395">
        <v>3</v>
      </c>
      <c r="F395">
        <v>597</v>
      </c>
      <c r="G395">
        <v>199</v>
      </c>
    </row>
    <row r="396" spans="1:7" x14ac:dyDescent="0.3">
      <c r="A396">
        <v>306</v>
      </c>
      <c r="B396" t="s">
        <v>569</v>
      </c>
      <c r="C396" t="s">
        <v>570</v>
      </c>
      <c r="D396" t="s">
        <v>36</v>
      </c>
      <c r="E396">
        <v>2</v>
      </c>
      <c r="F396">
        <v>207.2</v>
      </c>
      <c r="G396">
        <v>103.6</v>
      </c>
    </row>
    <row r="397" spans="1:7" x14ac:dyDescent="0.3">
      <c r="A397">
        <v>307</v>
      </c>
      <c r="B397" t="s">
        <v>571</v>
      </c>
      <c r="C397" t="s">
        <v>95</v>
      </c>
      <c r="D397" t="s">
        <v>36</v>
      </c>
      <c r="E397">
        <v>1500</v>
      </c>
      <c r="F397">
        <v>129</v>
      </c>
      <c r="G397">
        <v>8.5999999999999993E-2</v>
      </c>
    </row>
    <row r="398" spans="1:7" x14ac:dyDescent="0.3">
      <c r="A398">
        <v>307</v>
      </c>
      <c r="B398" t="s">
        <v>571</v>
      </c>
      <c r="D398" t="s">
        <v>36</v>
      </c>
      <c r="E398">
        <v>14500</v>
      </c>
      <c r="F398">
        <v>1537</v>
      </c>
      <c r="G398">
        <v>0.106</v>
      </c>
    </row>
    <row r="399" spans="1:7" x14ac:dyDescent="0.3">
      <c r="A399">
        <v>308</v>
      </c>
      <c r="B399" t="s">
        <v>572</v>
      </c>
      <c r="C399" t="s">
        <v>162</v>
      </c>
      <c r="D399" t="s">
        <v>38</v>
      </c>
      <c r="E399">
        <v>534</v>
      </c>
      <c r="F399">
        <v>4787.3900000000003</v>
      </c>
      <c r="G399">
        <v>8.965149812734083</v>
      </c>
    </row>
    <row r="400" spans="1:7" x14ac:dyDescent="0.3">
      <c r="A400">
        <v>309</v>
      </c>
      <c r="B400" t="s">
        <v>573</v>
      </c>
      <c r="C400" t="s">
        <v>574</v>
      </c>
      <c r="D400" t="s">
        <v>38</v>
      </c>
      <c r="E400">
        <v>808</v>
      </c>
      <c r="F400">
        <v>1018.08</v>
      </c>
      <c r="G400">
        <v>1.26</v>
      </c>
    </row>
    <row r="401" spans="1:7" x14ac:dyDescent="0.3">
      <c r="A401">
        <v>309</v>
      </c>
      <c r="B401" t="s">
        <v>573</v>
      </c>
      <c r="C401" t="s">
        <v>575</v>
      </c>
      <c r="D401" t="s">
        <v>77</v>
      </c>
      <c r="E401">
        <v>20</v>
      </c>
      <c r="F401">
        <v>1200</v>
      </c>
      <c r="G401">
        <v>60</v>
      </c>
    </row>
    <row r="402" spans="1:7" x14ac:dyDescent="0.3">
      <c r="A402">
        <v>309</v>
      </c>
      <c r="B402" t="s">
        <v>573</v>
      </c>
      <c r="D402" t="s">
        <v>77</v>
      </c>
      <c r="E402">
        <v>11</v>
      </c>
      <c r="F402">
        <v>82.5</v>
      </c>
      <c r="G402">
        <v>7.5</v>
      </c>
    </row>
    <row r="403" spans="1:7" x14ac:dyDescent="0.3">
      <c r="A403">
        <v>309</v>
      </c>
      <c r="B403" t="s">
        <v>573</v>
      </c>
      <c r="D403" t="s">
        <v>38</v>
      </c>
      <c r="E403">
        <v>84</v>
      </c>
      <c r="F403">
        <v>110.88</v>
      </c>
      <c r="G403">
        <v>1.32</v>
      </c>
    </row>
    <row r="404" spans="1:7" x14ac:dyDescent="0.3">
      <c r="A404">
        <v>310</v>
      </c>
      <c r="B404" t="s">
        <v>576</v>
      </c>
      <c r="C404" t="s">
        <v>291</v>
      </c>
      <c r="D404" t="s">
        <v>36</v>
      </c>
      <c r="E404">
        <v>1000</v>
      </c>
      <c r="F404">
        <v>230</v>
      </c>
      <c r="G404">
        <v>0.23</v>
      </c>
    </row>
    <row r="405" spans="1:7" x14ac:dyDescent="0.3">
      <c r="A405">
        <v>311</v>
      </c>
      <c r="B405" t="s">
        <v>577</v>
      </c>
      <c r="C405" t="s">
        <v>578</v>
      </c>
      <c r="D405" t="s">
        <v>36</v>
      </c>
      <c r="E405">
        <v>5400</v>
      </c>
      <c r="F405">
        <v>690.00000000000011</v>
      </c>
      <c r="G405">
        <v>0.1277777777777778</v>
      </c>
    </row>
    <row r="406" spans="1:7" x14ac:dyDescent="0.3">
      <c r="A406">
        <v>312</v>
      </c>
      <c r="B406" t="s">
        <v>579</v>
      </c>
      <c r="C406" t="s">
        <v>580</v>
      </c>
      <c r="D406" t="s">
        <v>38</v>
      </c>
      <c r="E406">
        <v>80</v>
      </c>
      <c r="F406">
        <v>1219.2</v>
      </c>
      <c r="G406">
        <v>15.24</v>
      </c>
    </row>
    <row r="407" spans="1:7" x14ac:dyDescent="0.3">
      <c r="A407">
        <v>313</v>
      </c>
      <c r="B407" t="s">
        <v>581</v>
      </c>
      <c r="C407" t="s">
        <v>580</v>
      </c>
      <c r="D407" t="s">
        <v>38</v>
      </c>
      <c r="E407">
        <v>3</v>
      </c>
      <c r="F407">
        <v>95.76</v>
      </c>
      <c r="G407">
        <v>31.92</v>
      </c>
    </row>
    <row r="408" spans="1:7" x14ac:dyDescent="0.3">
      <c r="A408">
        <v>314</v>
      </c>
      <c r="B408" t="s">
        <v>582</v>
      </c>
      <c r="D408" t="s">
        <v>38</v>
      </c>
      <c r="E408">
        <v>2</v>
      </c>
      <c r="F408">
        <v>386</v>
      </c>
      <c r="G408">
        <v>193</v>
      </c>
    </row>
    <row r="409" spans="1:7" x14ac:dyDescent="0.3">
      <c r="A409">
        <v>315</v>
      </c>
      <c r="B409" t="s">
        <v>583</v>
      </c>
      <c r="C409" t="s">
        <v>584</v>
      </c>
      <c r="D409" t="s">
        <v>38</v>
      </c>
      <c r="E409">
        <v>30</v>
      </c>
      <c r="F409">
        <v>841.8</v>
      </c>
      <c r="G409">
        <v>28.06</v>
      </c>
    </row>
    <row r="410" spans="1:7" x14ac:dyDescent="0.3">
      <c r="A410">
        <v>316</v>
      </c>
      <c r="B410" t="s">
        <v>585</v>
      </c>
      <c r="C410" t="s">
        <v>586</v>
      </c>
      <c r="D410" t="s">
        <v>138</v>
      </c>
      <c r="E410">
        <v>411</v>
      </c>
      <c r="F410">
        <v>106.5</v>
      </c>
      <c r="G410">
        <v>0.25912408759124089</v>
      </c>
    </row>
    <row r="411" spans="1:7" x14ac:dyDescent="0.3">
      <c r="A411">
        <v>316</v>
      </c>
      <c r="B411" t="s">
        <v>585</v>
      </c>
      <c r="C411" t="s">
        <v>377</v>
      </c>
      <c r="D411" t="s">
        <v>36</v>
      </c>
      <c r="E411">
        <v>450</v>
      </c>
      <c r="F411">
        <v>201.96</v>
      </c>
      <c r="G411">
        <v>0.44879999999999998</v>
      </c>
    </row>
    <row r="412" spans="1:7" x14ac:dyDescent="0.3">
      <c r="A412">
        <v>316</v>
      </c>
      <c r="B412" t="s">
        <v>585</v>
      </c>
      <c r="C412" t="s">
        <v>587</v>
      </c>
      <c r="D412" t="s">
        <v>36</v>
      </c>
      <c r="E412">
        <v>12</v>
      </c>
      <c r="F412">
        <v>327.60000000000002</v>
      </c>
      <c r="G412">
        <v>27.3</v>
      </c>
    </row>
    <row r="413" spans="1:7" x14ac:dyDescent="0.3">
      <c r="A413">
        <v>317</v>
      </c>
      <c r="B413" t="s">
        <v>588</v>
      </c>
      <c r="C413" t="s">
        <v>589</v>
      </c>
      <c r="D413" t="s">
        <v>38</v>
      </c>
      <c r="E413">
        <v>3</v>
      </c>
      <c r="F413">
        <v>26.58</v>
      </c>
      <c r="G413">
        <v>8.86</v>
      </c>
    </row>
    <row r="414" spans="1:7" x14ac:dyDescent="0.3">
      <c r="A414">
        <v>318</v>
      </c>
      <c r="B414" t="s">
        <v>590</v>
      </c>
      <c r="C414" t="s">
        <v>591</v>
      </c>
      <c r="D414" t="s">
        <v>36</v>
      </c>
      <c r="E414">
        <v>12</v>
      </c>
      <c r="F414">
        <v>228</v>
      </c>
      <c r="G414">
        <v>19</v>
      </c>
    </row>
    <row r="415" spans="1:7" x14ac:dyDescent="0.3">
      <c r="A415">
        <v>319</v>
      </c>
      <c r="B415" t="s">
        <v>592</v>
      </c>
      <c r="C415" t="s">
        <v>593</v>
      </c>
      <c r="D415" t="s">
        <v>38</v>
      </c>
      <c r="E415">
        <v>34</v>
      </c>
      <c r="F415">
        <v>950.98</v>
      </c>
      <c r="G415">
        <v>27.97</v>
      </c>
    </row>
    <row r="416" spans="1:7" x14ac:dyDescent="0.3">
      <c r="A416">
        <v>319</v>
      </c>
      <c r="B416" t="s">
        <v>592</v>
      </c>
      <c r="C416" t="s">
        <v>594</v>
      </c>
      <c r="D416" t="s">
        <v>38</v>
      </c>
      <c r="E416">
        <v>72</v>
      </c>
      <c r="F416">
        <v>2014.56</v>
      </c>
      <c r="G416">
        <v>27.98</v>
      </c>
    </row>
    <row r="417" spans="1:7" x14ac:dyDescent="0.3">
      <c r="A417">
        <v>320</v>
      </c>
      <c r="B417" t="s">
        <v>595</v>
      </c>
      <c r="C417" t="s">
        <v>596</v>
      </c>
      <c r="D417" t="s">
        <v>36</v>
      </c>
      <c r="E417">
        <v>681</v>
      </c>
      <c r="F417">
        <v>111.6</v>
      </c>
      <c r="G417">
        <v>0.16387665198237891</v>
      </c>
    </row>
    <row r="418" spans="1:7" x14ac:dyDescent="0.3">
      <c r="A418">
        <v>321</v>
      </c>
      <c r="B418" t="s">
        <v>597</v>
      </c>
      <c r="D418" t="s">
        <v>36</v>
      </c>
      <c r="E418">
        <v>514</v>
      </c>
      <c r="F418">
        <v>67</v>
      </c>
      <c r="G418">
        <v>0.13035019455252919</v>
      </c>
    </row>
    <row r="419" spans="1:7" x14ac:dyDescent="0.3">
      <c r="A419">
        <v>322</v>
      </c>
      <c r="B419" t="s">
        <v>598</v>
      </c>
      <c r="C419" t="s">
        <v>74</v>
      </c>
      <c r="D419" t="s">
        <v>36</v>
      </c>
      <c r="E419">
        <v>9</v>
      </c>
      <c r="F419">
        <v>6030</v>
      </c>
      <c r="G419">
        <v>670</v>
      </c>
    </row>
    <row r="420" spans="1:7" x14ac:dyDescent="0.3">
      <c r="A420">
        <v>322</v>
      </c>
      <c r="B420" t="s">
        <v>598</v>
      </c>
      <c r="D420" t="s">
        <v>36</v>
      </c>
      <c r="E420">
        <v>3000</v>
      </c>
      <c r="F420">
        <v>2100</v>
      </c>
      <c r="G420">
        <v>0.7</v>
      </c>
    </row>
    <row r="421" spans="1:7" x14ac:dyDescent="0.3">
      <c r="A421">
        <v>323</v>
      </c>
      <c r="B421" t="s">
        <v>599</v>
      </c>
      <c r="C421" t="s">
        <v>74</v>
      </c>
      <c r="D421" t="s">
        <v>36</v>
      </c>
      <c r="E421">
        <v>12</v>
      </c>
      <c r="F421">
        <v>2460</v>
      </c>
      <c r="G421">
        <v>205</v>
      </c>
    </row>
    <row r="422" spans="1:7" x14ac:dyDescent="0.3">
      <c r="A422">
        <v>324</v>
      </c>
      <c r="B422" t="s">
        <v>600</v>
      </c>
      <c r="D422" t="s">
        <v>38</v>
      </c>
      <c r="E422">
        <v>17</v>
      </c>
      <c r="F422">
        <v>433.84</v>
      </c>
      <c r="G422">
        <v>25.52</v>
      </c>
    </row>
    <row r="423" spans="1:7" x14ac:dyDescent="0.3">
      <c r="A423">
        <v>325</v>
      </c>
      <c r="B423" t="s">
        <v>601</v>
      </c>
      <c r="C423" t="s">
        <v>602</v>
      </c>
      <c r="D423" t="s">
        <v>38</v>
      </c>
      <c r="E423">
        <v>49</v>
      </c>
      <c r="F423">
        <v>745.78000000000009</v>
      </c>
      <c r="G423">
        <v>15.22</v>
      </c>
    </row>
    <row r="424" spans="1:7" x14ac:dyDescent="0.3">
      <c r="A424">
        <v>326</v>
      </c>
      <c r="B424" t="s">
        <v>603</v>
      </c>
      <c r="C424" t="s">
        <v>604</v>
      </c>
      <c r="D424" t="s">
        <v>38</v>
      </c>
      <c r="E424">
        <v>28</v>
      </c>
      <c r="F424">
        <v>425.32</v>
      </c>
      <c r="G424">
        <v>15.19</v>
      </c>
    </row>
    <row r="425" spans="1:7" x14ac:dyDescent="0.3">
      <c r="A425">
        <v>327</v>
      </c>
      <c r="B425" t="s">
        <v>605</v>
      </c>
      <c r="C425" t="s">
        <v>606</v>
      </c>
      <c r="D425" t="s">
        <v>36</v>
      </c>
      <c r="E425">
        <v>1</v>
      </c>
      <c r="F425">
        <v>59.8</v>
      </c>
      <c r="G425">
        <v>59.8</v>
      </c>
    </row>
    <row r="426" spans="1:7" x14ac:dyDescent="0.3">
      <c r="A426">
        <v>328</v>
      </c>
      <c r="B426" t="s">
        <v>607</v>
      </c>
      <c r="D426" t="s">
        <v>88</v>
      </c>
      <c r="E426">
        <v>18</v>
      </c>
      <c r="F426">
        <v>2610</v>
      </c>
      <c r="G426">
        <v>145</v>
      </c>
    </row>
    <row r="427" spans="1:7" x14ac:dyDescent="0.3">
      <c r="A427">
        <v>329</v>
      </c>
      <c r="B427" t="s">
        <v>608</v>
      </c>
      <c r="C427" t="s">
        <v>184</v>
      </c>
      <c r="D427" t="s">
        <v>88</v>
      </c>
      <c r="E427">
        <v>111</v>
      </c>
      <c r="F427">
        <v>20964</v>
      </c>
      <c r="G427">
        <v>188.8648648648649</v>
      </c>
    </row>
    <row r="428" spans="1:7" x14ac:dyDescent="0.3">
      <c r="A428">
        <v>329</v>
      </c>
      <c r="B428" t="s">
        <v>608</v>
      </c>
      <c r="D428" t="s">
        <v>88</v>
      </c>
      <c r="E428">
        <v>45.78</v>
      </c>
      <c r="F428">
        <v>8789.76</v>
      </c>
      <c r="G428">
        <v>192</v>
      </c>
    </row>
    <row r="429" spans="1:7" x14ac:dyDescent="0.3">
      <c r="A429">
        <v>330</v>
      </c>
      <c r="B429" t="s">
        <v>609</v>
      </c>
      <c r="C429" t="s">
        <v>184</v>
      </c>
      <c r="D429" t="s">
        <v>88</v>
      </c>
      <c r="E429">
        <v>290</v>
      </c>
      <c r="F429">
        <v>64140</v>
      </c>
      <c r="G429">
        <v>221.17241379310349</v>
      </c>
    </row>
    <row r="430" spans="1:7" x14ac:dyDescent="0.3">
      <c r="A430">
        <v>330</v>
      </c>
      <c r="B430" t="s">
        <v>609</v>
      </c>
      <c r="D430" t="s">
        <v>88</v>
      </c>
      <c r="E430">
        <v>25</v>
      </c>
      <c r="F430">
        <v>5650</v>
      </c>
      <c r="G430">
        <v>226</v>
      </c>
    </row>
    <row r="431" spans="1:7" x14ac:dyDescent="0.3">
      <c r="A431">
        <v>331</v>
      </c>
      <c r="B431" t="s">
        <v>610</v>
      </c>
      <c r="C431" t="s">
        <v>611</v>
      </c>
      <c r="D431" t="s">
        <v>88</v>
      </c>
      <c r="E431">
        <v>47</v>
      </c>
      <c r="F431">
        <v>13254</v>
      </c>
      <c r="G431">
        <v>282</v>
      </c>
    </row>
    <row r="432" spans="1:7" x14ac:dyDescent="0.3">
      <c r="A432">
        <v>332</v>
      </c>
      <c r="B432" t="s">
        <v>612</v>
      </c>
      <c r="D432" t="s">
        <v>88</v>
      </c>
      <c r="E432">
        <v>6</v>
      </c>
      <c r="F432">
        <v>930</v>
      </c>
      <c r="G432">
        <v>155</v>
      </c>
    </row>
    <row r="433" spans="1:7" x14ac:dyDescent="0.3">
      <c r="A433">
        <v>333</v>
      </c>
      <c r="B433" t="s">
        <v>613</v>
      </c>
      <c r="C433" t="s">
        <v>184</v>
      </c>
      <c r="D433" t="s">
        <v>88</v>
      </c>
      <c r="E433">
        <v>74</v>
      </c>
      <c r="F433">
        <v>10286</v>
      </c>
      <c r="G433">
        <v>139</v>
      </c>
    </row>
    <row r="434" spans="1:7" x14ac:dyDescent="0.3">
      <c r="A434">
        <v>334</v>
      </c>
      <c r="B434" t="s">
        <v>614</v>
      </c>
      <c r="C434" t="s">
        <v>615</v>
      </c>
      <c r="D434" t="s">
        <v>36</v>
      </c>
      <c r="E434">
        <v>1000</v>
      </c>
      <c r="F434">
        <v>267.5</v>
      </c>
      <c r="G434">
        <v>0.26750000000000002</v>
      </c>
    </row>
    <row r="435" spans="1:7" x14ac:dyDescent="0.3">
      <c r="A435">
        <v>335</v>
      </c>
      <c r="B435" t="s">
        <v>616</v>
      </c>
      <c r="C435" t="s">
        <v>617</v>
      </c>
      <c r="D435" t="s">
        <v>88</v>
      </c>
      <c r="E435">
        <v>76</v>
      </c>
      <c r="F435">
        <v>15580</v>
      </c>
      <c r="G435">
        <v>205</v>
      </c>
    </row>
    <row r="436" spans="1:7" x14ac:dyDescent="0.3">
      <c r="A436">
        <v>335</v>
      </c>
      <c r="B436" t="s">
        <v>616</v>
      </c>
      <c r="D436" t="s">
        <v>88</v>
      </c>
      <c r="E436">
        <v>31</v>
      </c>
      <c r="F436">
        <v>7006</v>
      </c>
      <c r="G436">
        <v>226</v>
      </c>
    </row>
    <row r="437" spans="1:7" x14ac:dyDescent="0.3">
      <c r="A437">
        <v>336</v>
      </c>
      <c r="B437" t="s">
        <v>618</v>
      </c>
      <c r="D437" t="s">
        <v>38</v>
      </c>
      <c r="E437">
        <v>10</v>
      </c>
      <c r="F437">
        <v>247.5</v>
      </c>
      <c r="G437">
        <v>24.75</v>
      </c>
    </row>
    <row r="438" spans="1:7" x14ac:dyDescent="0.3">
      <c r="A438">
        <v>337</v>
      </c>
      <c r="B438" t="s">
        <v>619</v>
      </c>
      <c r="C438" t="s">
        <v>142</v>
      </c>
      <c r="D438" t="s">
        <v>36</v>
      </c>
      <c r="E438">
        <v>4</v>
      </c>
      <c r="F438">
        <v>572</v>
      </c>
      <c r="G438">
        <v>143</v>
      </c>
    </row>
    <row r="439" spans="1:7" x14ac:dyDescent="0.3">
      <c r="A439">
        <v>338</v>
      </c>
      <c r="B439" t="s">
        <v>620</v>
      </c>
      <c r="C439" t="s">
        <v>254</v>
      </c>
      <c r="D439" t="s">
        <v>38</v>
      </c>
      <c r="E439">
        <v>30</v>
      </c>
      <c r="F439">
        <v>410.7</v>
      </c>
      <c r="G439">
        <v>13.69</v>
      </c>
    </row>
    <row r="440" spans="1:7" x14ac:dyDescent="0.3">
      <c r="A440">
        <v>339</v>
      </c>
      <c r="B440" t="s">
        <v>621</v>
      </c>
      <c r="C440" t="s">
        <v>254</v>
      </c>
      <c r="D440" t="s">
        <v>38</v>
      </c>
      <c r="E440">
        <v>15</v>
      </c>
      <c r="F440">
        <v>205.35</v>
      </c>
      <c r="G440">
        <v>13.69</v>
      </c>
    </row>
    <row r="441" spans="1:7" x14ac:dyDescent="0.3">
      <c r="A441">
        <v>340</v>
      </c>
      <c r="B441" t="s">
        <v>622</v>
      </c>
      <c r="D441" t="s">
        <v>36</v>
      </c>
      <c r="E441">
        <v>3381</v>
      </c>
      <c r="F441">
        <v>3396</v>
      </c>
      <c r="G441">
        <v>1.0044365572315881</v>
      </c>
    </row>
    <row r="442" spans="1:7" x14ac:dyDescent="0.3">
      <c r="A442">
        <v>341</v>
      </c>
      <c r="B442" t="s">
        <v>623</v>
      </c>
      <c r="C442" t="s">
        <v>624</v>
      </c>
      <c r="D442" t="s">
        <v>38</v>
      </c>
      <c r="E442">
        <v>150</v>
      </c>
      <c r="F442">
        <v>871.49999999999989</v>
      </c>
      <c r="G442">
        <v>5.81</v>
      </c>
    </row>
    <row r="443" spans="1:7" x14ac:dyDescent="0.3">
      <c r="A443">
        <v>342</v>
      </c>
      <c r="B443" t="s">
        <v>625</v>
      </c>
      <c r="C443" t="s">
        <v>624</v>
      </c>
      <c r="D443" t="s">
        <v>38</v>
      </c>
      <c r="E443">
        <v>110</v>
      </c>
      <c r="F443">
        <v>675.4</v>
      </c>
      <c r="G443">
        <v>6.14</v>
      </c>
    </row>
    <row r="444" spans="1:7" x14ac:dyDescent="0.3">
      <c r="A444">
        <v>343</v>
      </c>
      <c r="B444" t="s">
        <v>626</v>
      </c>
      <c r="C444" t="s">
        <v>624</v>
      </c>
      <c r="D444" t="s">
        <v>38</v>
      </c>
      <c r="E444">
        <v>21</v>
      </c>
      <c r="F444">
        <v>132.09</v>
      </c>
      <c r="G444">
        <v>6.29</v>
      </c>
    </row>
    <row r="445" spans="1:7" x14ac:dyDescent="0.3">
      <c r="A445">
        <v>344</v>
      </c>
      <c r="B445" t="s">
        <v>627</v>
      </c>
      <c r="D445" t="s">
        <v>36</v>
      </c>
      <c r="E445">
        <v>10000</v>
      </c>
      <c r="F445">
        <v>2700</v>
      </c>
      <c r="G445">
        <v>0.27</v>
      </c>
    </row>
    <row r="446" spans="1:7" x14ac:dyDescent="0.3">
      <c r="A446">
        <v>345</v>
      </c>
      <c r="B446" t="s">
        <v>628</v>
      </c>
      <c r="D446" t="s">
        <v>38</v>
      </c>
      <c r="E446">
        <v>2</v>
      </c>
      <c r="F446">
        <v>14.96</v>
      </c>
      <c r="G446">
        <v>7.48</v>
      </c>
    </row>
    <row r="447" spans="1:7" x14ac:dyDescent="0.3">
      <c r="A447">
        <v>346</v>
      </c>
      <c r="B447" t="s">
        <v>629</v>
      </c>
      <c r="C447" t="s">
        <v>630</v>
      </c>
      <c r="D447" t="s">
        <v>38</v>
      </c>
      <c r="E447">
        <v>34</v>
      </c>
      <c r="F447">
        <v>243.78</v>
      </c>
      <c r="G447">
        <v>7.17</v>
      </c>
    </row>
    <row r="448" spans="1:7" x14ac:dyDescent="0.3">
      <c r="A448">
        <v>346</v>
      </c>
      <c r="B448" t="s">
        <v>629</v>
      </c>
      <c r="C448" t="s">
        <v>631</v>
      </c>
      <c r="D448" t="s">
        <v>38</v>
      </c>
      <c r="E448">
        <v>595</v>
      </c>
      <c r="F448">
        <v>4754.05</v>
      </c>
      <c r="G448">
        <v>7.99</v>
      </c>
    </row>
    <row r="449" spans="1:7" x14ac:dyDescent="0.3">
      <c r="A449">
        <v>347</v>
      </c>
      <c r="B449" t="s">
        <v>632</v>
      </c>
      <c r="D449" t="s">
        <v>38</v>
      </c>
      <c r="E449">
        <v>1</v>
      </c>
      <c r="F449">
        <v>8.1</v>
      </c>
      <c r="G449">
        <v>8.1</v>
      </c>
    </row>
    <row r="450" spans="1:7" x14ac:dyDescent="0.3">
      <c r="A450">
        <v>348</v>
      </c>
      <c r="B450" t="s">
        <v>633</v>
      </c>
      <c r="D450" t="s">
        <v>38</v>
      </c>
      <c r="E450">
        <v>11</v>
      </c>
      <c r="F450">
        <v>26.125</v>
      </c>
      <c r="G450">
        <v>2.375</v>
      </c>
    </row>
    <row r="451" spans="1:7" x14ac:dyDescent="0.3">
      <c r="A451">
        <v>349</v>
      </c>
      <c r="B451" t="s">
        <v>634</v>
      </c>
      <c r="C451" t="s">
        <v>635</v>
      </c>
      <c r="D451" t="s">
        <v>36</v>
      </c>
      <c r="E451">
        <v>38000</v>
      </c>
      <c r="F451">
        <v>3062.8</v>
      </c>
      <c r="G451">
        <v>8.0599999999999991E-2</v>
      </c>
    </row>
    <row r="452" spans="1:7" x14ac:dyDescent="0.3">
      <c r="A452">
        <v>349</v>
      </c>
      <c r="B452" t="s">
        <v>634</v>
      </c>
      <c r="C452" t="s">
        <v>636</v>
      </c>
      <c r="D452" t="s">
        <v>36</v>
      </c>
      <c r="E452">
        <v>500</v>
      </c>
      <c r="F452">
        <v>75</v>
      </c>
      <c r="G452">
        <v>0.15</v>
      </c>
    </row>
    <row r="453" spans="1:7" x14ac:dyDescent="0.3">
      <c r="A453">
        <v>349</v>
      </c>
      <c r="B453" t="s">
        <v>634</v>
      </c>
      <c r="D453" t="s">
        <v>36</v>
      </c>
      <c r="E453">
        <v>800</v>
      </c>
      <c r="F453">
        <v>209.6</v>
      </c>
      <c r="G453">
        <v>0.26200000000000001</v>
      </c>
    </row>
    <row r="454" spans="1:7" x14ac:dyDescent="0.3">
      <c r="A454">
        <v>350</v>
      </c>
      <c r="B454" t="s">
        <v>637</v>
      </c>
      <c r="C454" t="s">
        <v>638</v>
      </c>
      <c r="D454" t="s">
        <v>36</v>
      </c>
      <c r="E454">
        <v>4000</v>
      </c>
      <c r="F454">
        <v>500</v>
      </c>
      <c r="G454">
        <v>0.125</v>
      </c>
    </row>
    <row r="455" spans="1:7" x14ac:dyDescent="0.3">
      <c r="A455">
        <v>351</v>
      </c>
      <c r="B455" t="s">
        <v>639</v>
      </c>
      <c r="C455" t="s">
        <v>640</v>
      </c>
      <c r="D455" t="s">
        <v>38</v>
      </c>
      <c r="E455">
        <v>167</v>
      </c>
      <c r="F455">
        <v>1790.24</v>
      </c>
      <c r="G455">
        <v>10.72</v>
      </c>
    </row>
    <row r="456" spans="1:7" x14ac:dyDescent="0.3">
      <c r="A456">
        <v>352</v>
      </c>
      <c r="B456" t="s">
        <v>641</v>
      </c>
      <c r="C456" t="s">
        <v>642</v>
      </c>
      <c r="D456" t="s">
        <v>38</v>
      </c>
      <c r="E456">
        <v>200</v>
      </c>
      <c r="F456">
        <v>1160</v>
      </c>
      <c r="G456">
        <v>5.8</v>
      </c>
    </row>
    <row r="457" spans="1:7" x14ac:dyDescent="0.3">
      <c r="A457">
        <v>353</v>
      </c>
      <c r="B457" t="s">
        <v>643</v>
      </c>
      <c r="D457" t="s">
        <v>38</v>
      </c>
      <c r="E457">
        <v>1</v>
      </c>
      <c r="F457">
        <v>6.88</v>
      </c>
      <c r="G457">
        <v>6.88</v>
      </c>
    </row>
    <row r="458" spans="1:7" x14ac:dyDescent="0.3">
      <c r="A458">
        <v>354</v>
      </c>
      <c r="B458" t="s">
        <v>644</v>
      </c>
      <c r="C458" t="s">
        <v>645</v>
      </c>
      <c r="D458" t="s">
        <v>47</v>
      </c>
      <c r="E458">
        <v>1</v>
      </c>
      <c r="F458">
        <v>57</v>
      </c>
      <c r="G458">
        <v>57</v>
      </c>
    </row>
    <row r="459" spans="1:7" x14ac:dyDescent="0.3">
      <c r="A459">
        <v>355</v>
      </c>
      <c r="B459" t="s">
        <v>646</v>
      </c>
      <c r="C459" t="s">
        <v>377</v>
      </c>
      <c r="D459" t="s">
        <v>36</v>
      </c>
      <c r="E459">
        <v>450</v>
      </c>
      <c r="F459">
        <v>201.6</v>
      </c>
      <c r="G459">
        <v>0.44800000000000001</v>
      </c>
    </row>
    <row r="460" spans="1:7" x14ac:dyDescent="0.3">
      <c r="A460">
        <v>356</v>
      </c>
      <c r="B460" t="s">
        <v>647</v>
      </c>
      <c r="D460" t="s">
        <v>38</v>
      </c>
      <c r="E460">
        <v>10</v>
      </c>
      <c r="F460">
        <v>67.699999999999989</v>
      </c>
      <c r="G460">
        <v>6.7699999999999987</v>
      </c>
    </row>
    <row r="461" spans="1:7" x14ac:dyDescent="0.3">
      <c r="A461">
        <v>357</v>
      </c>
      <c r="B461" t="s">
        <v>648</v>
      </c>
      <c r="C461" t="s">
        <v>649</v>
      </c>
      <c r="D461" t="s">
        <v>88</v>
      </c>
      <c r="E461">
        <v>18</v>
      </c>
      <c r="F461">
        <v>21060</v>
      </c>
      <c r="G461">
        <v>1170</v>
      </c>
    </row>
    <row r="462" spans="1:7" x14ac:dyDescent="0.3">
      <c r="A462">
        <v>357</v>
      </c>
      <c r="B462" t="s">
        <v>648</v>
      </c>
      <c r="C462" t="s">
        <v>650</v>
      </c>
      <c r="D462" t="s">
        <v>88</v>
      </c>
      <c r="E462">
        <v>17</v>
      </c>
      <c r="F462">
        <v>20060</v>
      </c>
      <c r="G462">
        <v>1180</v>
      </c>
    </row>
    <row r="463" spans="1:7" x14ac:dyDescent="0.3">
      <c r="A463">
        <v>357</v>
      </c>
      <c r="B463" t="s">
        <v>648</v>
      </c>
      <c r="D463" t="s">
        <v>88</v>
      </c>
      <c r="E463">
        <v>975</v>
      </c>
      <c r="F463">
        <v>46800</v>
      </c>
      <c r="G463">
        <v>48</v>
      </c>
    </row>
    <row r="464" spans="1:7" x14ac:dyDescent="0.3">
      <c r="A464">
        <v>358</v>
      </c>
      <c r="B464" t="s">
        <v>651</v>
      </c>
      <c r="D464" t="s">
        <v>38</v>
      </c>
      <c r="E464">
        <v>1</v>
      </c>
      <c r="F464">
        <v>22.37833333333333</v>
      </c>
      <c r="G464">
        <v>22.37833333333333</v>
      </c>
    </row>
    <row r="465" spans="1:7" x14ac:dyDescent="0.3">
      <c r="A465">
        <v>359</v>
      </c>
      <c r="B465" t="s">
        <v>652</v>
      </c>
      <c r="C465" t="s">
        <v>653</v>
      </c>
      <c r="D465" t="s">
        <v>38</v>
      </c>
      <c r="E465">
        <v>18</v>
      </c>
      <c r="F465">
        <v>541.26</v>
      </c>
      <c r="G465">
        <v>30.07</v>
      </c>
    </row>
    <row r="466" spans="1:7" x14ac:dyDescent="0.3">
      <c r="A466">
        <v>360</v>
      </c>
      <c r="B466" t="s">
        <v>654</v>
      </c>
      <c r="D466" t="s">
        <v>38</v>
      </c>
      <c r="E466">
        <v>8</v>
      </c>
      <c r="F466">
        <v>262.75</v>
      </c>
      <c r="G466">
        <v>32.84375</v>
      </c>
    </row>
    <row r="467" spans="1:7" x14ac:dyDescent="0.3">
      <c r="A467">
        <v>361</v>
      </c>
      <c r="B467" t="s">
        <v>655</v>
      </c>
      <c r="C467" t="s">
        <v>656</v>
      </c>
      <c r="D467" t="s">
        <v>38</v>
      </c>
      <c r="E467">
        <v>123</v>
      </c>
      <c r="F467">
        <v>2036.91</v>
      </c>
      <c r="G467">
        <v>16.56024390243903</v>
      </c>
    </row>
    <row r="468" spans="1:7" x14ac:dyDescent="0.3">
      <c r="A468">
        <v>362</v>
      </c>
      <c r="B468" t="s">
        <v>657</v>
      </c>
      <c r="D468" t="s">
        <v>47</v>
      </c>
      <c r="E468">
        <v>400</v>
      </c>
      <c r="F468">
        <v>68</v>
      </c>
      <c r="G468">
        <v>0.17</v>
      </c>
    </row>
    <row r="469" spans="1:7" x14ac:dyDescent="0.3">
      <c r="A469">
        <v>363</v>
      </c>
      <c r="B469" t="s">
        <v>658</v>
      </c>
      <c r="C469" t="s">
        <v>659</v>
      </c>
      <c r="D469" t="s">
        <v>38</v>
      </c>
      <c r="E469">
        <v>166</v>
      </c>
      <c r="F469">
        <v>649.06000000000006</v>
      </c>
      <c r="G469">
        <v>3.91</v>
      </c>
    </row>
    <row r="470" spans="1:7" x14ac:dyDescent="0.3">
      <c r="A470">
        <v>363</v>
      </c>
      <c r="B470" t="s">
        <v>658</v>
      </c>
      <c r="D470" t="s">
        <v>38</v>
      </c>
      <c r="E470">
        <v>133</v>
      </c>
      <c r="F470">
        <v>530.89166666666654</v>
      </c>
      <c r="G470">
        <v>3.9916666666666658</v>
      </c>
    </row>
    <row r="471" spans="1:7" x14ac:dyDescent="0.3">
      <c r="A471">
        <v>364</v>
      </c>
      <c r="B471" t="s">
        <v>660</v>
      </c>
      <c r="C471" t="s">
        <v>661</v>
      </c>
      <c r="D471" t="s">
        <v>36</v>
      </c>
      <c r="E471">
        <v>2000</v>
      </c>
      <c r="F471">
        <v>24</v>
      </c>
      <c r="G471">
        <v>1.2E-2</v>
      </c>
    </row>
    <row r="472" spans="1:7" x14ac:dyDescent="0.3">
      <c r="A472">
        <v>364</v>
      </c>
      <c r="B472" t="s">
        <v>660</v>
      </c>
      <c r="D472" t="s">
        <v>36</v>
      </c>
      <c r="E472">
        <v>8000</v>
      </c>
      <c r="F472">
        <v>200</v>
      </c>
      <c r="G472">
        <v>2.5000000000000001E-2</v>
      </c>
    </row>
    <row r="473" spans="1:7" x14ac:dyDescent="0.3">
      <c r="A473">
        <v>365</v>
      </c>
      <c r="B473" t="s">
        <v>662</v>
      </c>
      <c r="C473" t="s">
        <v>663</v>
      </c>
      <c r="D473" t="s">
        <v>36</v>
      </c>
      <c r="E473">
        <v>3</v>
      </c>
      <c r="F473">
        <v>45</v>
      </c>
      <c r="G473">
        <v>15</v>
      </c>
    </row>
    <row r="474" spans="1:7" x14ac:dyDescent="0.3">
      <c r="A474">
        <v>366</v>
      </c>
      <c r="B474" t="s">
        <v>664</v>
      </c>
      <c r="C474" t="s">
        <v>665</v>
      </c>
      <c r="D474" t="s">
        <v>36</v>
      </c>
      <c r="E474">
        <v>3500</v>
      </c>
      <c r="F474">
        <v>550.20000000000005</v>
      </c>
      <c r="G474">
        <v>0.15720000000000001</v>
      </c>
    </row>
    <row r="475" spans="1:7" x14ac:dyDescent="0.3">
      <c r="A475">
        <v>367</v>
      </c>
      <c r="B475" t="s">
        <v>666</v>
      </c>
      <c r="C475" t="s">
        <v>667</v>
      </c>
      <c r="D475" t="s">
        <v>38</v>
      </c>
      <c r="E475">
        <v>354</v>
      </c>
      <c r="F475">
        <v>2368.2600000000002</v>
      </c>
      <c r="G475">
        <v>6.69</v>
      </c>
    </row>
    <row r="476" spans="1:7" x14ac:dyDescent="0.3">
      <c r="A476">
        <v>368</v>
      </c>
      <c r="B476" t="s">
        <v>668</v>
      </c>
      <c r="C476" t="s">
        <v>669</v>
      </c>
      <c r="D476" t="s">
        <v>38</v>
      </c>
      <c r="E476">
        <v>850</v>
      </c>
      <c r="F476">
        <v>7385.4000000000005</v>
      </c>
      <c r="G476">
        <v>8.6887058823529415</v>
      </c>
    </row>
    <row r="477" spans="1:7" x14ac:dyDescent="0.3">
      <c r="A477">
        <v>369</v>
      </c>
      <c r="B477" t="s">
        <v>670</v>
      </c>
      <c r="D477" t="s">
        <v>38</v>
      </c>
      <c r="E477">
        <v>116</v>
      </c>
      <c r="F477">
        <v>2320</v>
      </c>
      <c r="G477">
        <v>20</v>
      </c>
    </row>
    <row r="478" spans="1:7" x14ac:dyDescent="0.3">
      <c r="A478">
        <v>370</v>
      </c>
      <c r="B478" t="s">
        <v>671</v>
      </c>
      <c r="D478" t="s">
        <v>38</v>
      </c>
      <c r="E478">
        <v>72</v>
      </c>
      <c r="F478">
        <v>1716.48</v>
      </c>
      <c r="G478">
        <v>23.84</v>
      </c>
    </row>
    <row r="479" spans="1:7" x14ac:dyDescent="0.3">
      <c r="A479">
        <v>371</v>
      </c>
      <c r="B479" t="s">
        <v>672</v>
      </c>
      <c r="C479" t="s">
        <v>673</v>
      </c>
      <c r="D479" t="s">
        <v>38</v>
      </c>
      <c r="E479">
        <v>304</v>
      </c>
      <c r="F479">
        <v>845.11999999999989</v>
      </c>
      <c r="G479">
        <v>2.78</v>
      </c>
    </row>
    <row r="480" spans="1:7" x14ac:dyDescent="0.3">
      <c r="A480">
        <v>372</v>
      </c>
      <c r="B480" t="s">
        <v>674</v>
      </c>
      <c r="C480" t="s">
        <v>675</v>
      </c>
      <c r="D480" t="s">
        <v>36</v>
      </c>
      <c r="E480">
        <v>4250</v>
      </c>
      <c r="F480">
        <v>578.29999999999995</v>
      </c>
      <c r="G480">
        <v>0.13607058823529411</v>
      </c>
    </row>
    <row r="481" spans="1:7" x14ac:dyDescent="0.3">
      <c r="A481">
        <v>372</v>
      </c>
      <c r="B481" t="s">
        <v>674</v>
      </c>
      <c r="C481" t="s">
        <v>676</v>
      </c>
      <c r="D481" t="s">
        <v>36</v>
      </c>
      <c r="E481">
        <v>72</v>
      </c>
      <c r="F481">
        <v>4194</v>
      </c>
      <c r="G481">
        <v>58.25</v>
      </c>
    </row>
    <row r="482" spans="1:7" x14ac:dyDescent="0.3">
      <c r="A482">
        <v>372</v>
      </c>
      <c r="B482" t="s">
        <v>674</v>
      </c>
      <c r="D482" t="s">
        <v>36</v>
      </c>
      <c r="E482">
        <v>18700</v>
      </c>
      <c r="F482">
        <v>2556.8400000000011</v>
      </c>
      <c r="G482">
        <v>0.1367294117647059</v>
      </c>
    </row>
    <row r="483" spans="1:7" x14ac:dyDescent="0.3">
      <c r="A483">
        <v>373</v>
      </c>
      <c r="B483" t="s">
        <v>677</v>
      </c>
      <c r="C483" t="s">
        <v>142</v>
      </c>
      <c r="D483" t="s">
        <v>36</v>
      </c>
      <c r="E483">
        <v>5000</v>
      </c>
      <c r="F483">
        <v>475</v>
      </c>
      <c r="G483">
        <v>9.5000000000000001E-2</v>
      </c>
    </row>
    <row r="484" spans="1:7" x14ac:dyDescent="0.3">
      <c r="A484">
        <v>374</v>
      </c>
      <c r="B484" t="s">
        <v>678</v>
      </c>
      <c r="D484" t="s">
        <v>38</v>
      </c>
      <c r="E484">
        <v>3</v>
      </c>
      <c r="F484">
        <v>99.300000000000011</v>
      </c>
      <c r="G484">
        <v>33.1</v>
      </c>
    </row>
    <row r="485" spans="1:7" x14ac:dyDescent="0.3">
      <c r="A485">
        <v>375</v>
      </c>
      <c r="B485" t="s">
        <v>679</v>
      </c>
      <c r="D485" t="s">
        <v>38</v>
      </c>
      <c r="E485">
        <v>7</v>
      </c>
      <c r="F485">
        <v>707</v>
      </c>
      <c r="G485">
        <v>101</v>
      </c>
    </row>
    <row r="486" spans="1:7" x14ac:dyDescent="0.3">
      <c r="A486">
        <v>376</v>
      </c>
      <c r="B486" t="s">
        <v>680</v>
      </c>
      <c r="C486" t="s">
        <v>678</v>
      </c>
      <c r="D486" t="s">
        <v>38</v>
      </c>
      <c r="E486">
        <v>3</v>
      </c>
      <c r="F486">
        <v>102</v>
      </c>
      <c r="G486">
        <v>34</v>
      </c>
    </row>
    <row r="487" spans="1:7" x14ac:dyDescent="0.3">
      <c r="A487">
        <v>376</v>
      </c>
      <c r="B487" t="s">
        <v>680</v>
      </c>
      <c r="D487" t="s">
        <v>38</v>
      </c>
      <c r="E487">
        <v>2</v>
      </c>
      <c r="F487">
        <v>68</v>
      </c>
      <c r="G487">
        <v>34</v>
      </c>
    </row>
    <row r="488" spans="1:7" x14ac:dyDescent="0.3">
      <c r="A488">
        <v>377</v>
      </c>
      <c r="B488" t="s">
        <v>681</v>
      </c>
      <c r="C488" t="s">
        <v>678</v>
      </c>
      <c r="D488" t="s">
        <v>38</v>
      </c>
      <c r="E488">
        <v>4</v>
      </c>
      <c r="F488">
        <v>136</v>
      </c>
      <c r="G488">
        <v>34</v>
      </c>
    </row>
    <row r="489" spans="1:7" x14ac:dyDescent="0.3">
      <c r="A489">
        <v>378</v>
      </c>
      <c r="B489" t="s">
        <v>682</v>
      </c>
      <c r="D489" t="s">
        <v>36</v>
      </c>
      <c r="E489">
        <v>5000</v>
      </c>
      <c r="F489">
        <v>1895</v>
      </c>
      <c r="G489">
        <v>0.379</v>
      </c>
    </row>
    <row r="490" spans="1:7" x14ac:dyDescent="0.3">
      <c r="A490">
        <v>379</v>
      </c>
      <c r="B490" t="s">
        <v>683</v>
      </c>
      <c r="C490" t="s">
        <v>684</v>
      </c>
      <c r="D490" t="s">
        <v>36</v>
      </c>
      <c r="E490">
        <v>410</v>
      </c>
      <c r="F490">
        <v>295.39999999999998</v>
      </c>
      <c r="G490">
        <v>0.72048780487804875</v>
      </c>
    </row>
    <row r="491" spans="1:7" x14ac:dyDescent="0.3">
      <c r="A491">
        <v>379</v>
      </c>
      <c r="B491" t="s">
        <v>683</v>
      </c>
      <c r="D491" t="s">
        <v>685</v>
      </c>
      <c r="E491">
        <v>1000</v>
      </c>
      <c r="F491">
        <v>700</v>
      </c>
      <c r="G491">
        <v>0.7</v>
      </c>
    </row>
    <row r="492" spans="1:7" x14ac:dyDescent="0.3">
      <c r="A492">
        <v>380</v>
      </c>
      <c r="B492" t="s">
        <v>686</v>
      </c>
      <c r="C492" t="s">
        <v>635</v>
      </c>
      <c r="D492" t="s">
        <v>36</v>
      </c>
      <c r="E492">
        <v>15000</v>
      </c>
      <c r="F492">
        <v>1230</v>
      </c>
      <c r="G492">
        <v>8.2000000000000003E-2</v>
      </c>
    </row>
    <row r="493" spans="1:7" x14ac:dyDescent="0.3">
      <c r="A493">
        <v>380</v>
      </c>
      <c r="B493" t="s">
        <v>686</v>
      </c>
      <c r="C493" t="s">
        <v>687</v>
      </c>
      <c r="D493" t="s">
        <v>36</v>
      </c>
      <c r="E493">
        <v>1360.0450000000001</v>
      </c>
      <c r="F493">
        <v>1940.2465</v>
      </c>
      <c r="G493">
        <v>1.426604634405479</v>
      </c>
    </row>
    <row r="494" spans="1:7" x14ac:dyDescent="0.3">
      <c r="A494">
        <v>381</v>
      </c>
      <c r="B494" t="s">
        <v>688</v>
      </c>
      <c r="D494" t="s">
        <v>36</v>
      </c>
      <c r="E494">
        <v>120</v>
      </c>
      <c r="F494">
        <v>105.45</v>
      </c>
      <c r="G494">
        <v>0.87874999999999992</v>
      </c>
    </row>
    <row r="495" spans="1:7" x14ac:dyDescent="0.3">
      <c r="A495">
        <v>382</v>
      </c>
      <c r="B495" t="s">
        <v>689</v>
      </c>
      <c r="D495" t="s">
        <v>36</v>
      </c>
      <c r="E495">
        <v>792</v>
      </c>
      <c r="F495">
        <v>498.6</v>
      </c>
      <c r="G495">
        <v>0.62954545454545452</v>
      </c>
    </row>
    <row r="496" spans="1:7" x14ac:dyDescent="0.3">
      <c r="A496">
        <v>383</v>
      </c>
      <c r="B496" t="s">
        <v>690</v>
      </c>
      <c r="C496" t="s">
        <v>691</v>
      </c>
      <c r="D496" t="s">
        <v>38</v>
      </c>
      <c r="E496">
        <v>600</v>
      </c>
      <c r="F496">
        <v>3438</v>
      </c>
      <c r="G496">
        <v>5.73</v>
      </c>
    </row>
    <row r="497" spans="1:7" x14ac:dyDescent="0.3">
      <c r="A497">
        <v>384</v>
      </c>
      <c r="B497" t="s">
        <v>692</v>
      </c>
      <c r="C497" t="s">
        <v>119</v>
      </c>
      <c r="D497" t="s">
        <v>36</v>
      </c>
      <c r="E497">
        <v>4</v>
      </c>
      <c r="F497">
        <v>1166.4000000000001</v>
      </c>
      <c r="G497">
        <v>291.60000000000002</v>
      </c>
    </row>
    <row r="498" spans="1:7" x14ac:dyDescent="0.3">
      <c r="A498">
        <v>384</v>
      </c>
      <c r="B498" t="s">
        <v>692</v>
      </c>
      <c r="D498" t="s">
        <v>36</v>
      </c>
      <c r="E498">
        <v>1000</v>
      </c>
      <c r="F498">
        <v>292</v>
      </c>
      <c r="G498">
        <v>0.29199999999999998</v>
      </c>
    </row>
    <row r="499" spans="1:7" x14ac:dyDescent="0.3">
      <c r="A499">
        <v>385</v>
      </c>
      <c r="B499" t="s">
        <v>693</v>
      </c>
      <c r="D499" t="s">
        <v>36</v>
      </c>
      <c r="E499">
        <v>60</v>
      </c>
      <c r="F499">
        <v>52.6</v>
      </c>
      <c r="G499">
        <v>0.87666666666666671</v>
      </c>
    </row>
    <row r="500" spans="1:7" x14ac:dyDescent="0.3">
      <c r="A500">
        <v>386</v>
      </c>
      <c r="B500" t="s">
        <v>694</v>
      </c>
      <c r="D500" t="s">
        <v>36</v>
      </c>
      <c r="E500">
        <v>440</v>
      </c>
      <c r="F500">
        <v>444</v>
      </c>
      <c r="G500">
        <v>1.009090909090909</v>
      </c>
    </row>
    <row r="501" spans="1:7" x14ac:dyDescent="0.3">
      <c r="A501">
        <v>387</v>
      </c>
      <c r="B501" t="s">
        <v>695</v>
      </c>
      <c r="D501" t="s">
        <v>36</v>
      </c>
      <c r="E501">
        <v>124</v>
      </c>
      <c r="F501">
        <v>110</v>
      </c>
      <c r="G501">
        <v>0.88709677419354838</v>
      </c>
    </row>
    <row r="502" spans="1:7" x14ac:dyDescent="0.3">
      <c r="A502">
        <v>388</v>
      </c>
      <c r="B502" t="s">
        <v>696</v>
      </c>
      <c r="D502" t="s">
        <v>36</v>
      </c>
      <c r="E502">
        <v>901</v>
      </c>
      <c r="F502">
        <v>894.2</v>
      </c>
      <c r="G502">
        <v>0.99245283018867925</v>
      </c>
    </row>
    <row r="503" spans="1:7" x14ac:dyDescent="0.3">
      <c r="A503">
        <v>389</v>
      </c>
      <c r="B503" t="s">
        <v>697</v>
      </c>
      <c r="C503" t="s">
        <v>698</v>
      </c>
      <c r="D503" t="s">
        <v>38</v>
      </c>
      <c r="E503">
        <v>1</v>
      </c>
      <c r="F503">
        <v>68</v>
      </c>
      <c r="G503">
        <v>68</v>
      </c>
    </row>
    <row r="504" spans="1:7" x14ac:dyDescent="0.3">
      <c r="A504">
        <v>390</v>
      </c>
      <c r="B504" t="s">
        <v>699</v>
      </c>
      <c r="C504" t="s">
        <v>158</v>
      </c>
      <c r="D504" t="s">
        <v>53</v>
      </c>
      <c r="E504">
        <v>35</v>
      </c>
      <c r="F504">
        <v>2555</v>
      </c>
      <c r="G504">
        <v>73</v>
      </c>
    </row>
    <row r="505" spans="1:7" x14ac:dyDescent="0.3">
      <c r="A505">
        <v>390</v>
      </c>
      <c r="B505" t="s">
        <v>699</v>
      </c>
      <c r="C505" t="s">
        <v>635</v>
      </c>
      <c r="D505" t="s">
        <v>36</v>
      </c>
      <c r="E505">
        <v>10000</v>
      </c>
      <c r="F505">
        <v>862</v>
      </c>
      <c r="G505">
        <v>8.6199999999999999E-2</v>
      </c>
    </row>
    <row r="506" spans="1:7" x14ac:dyDescent="0.3">
      <c r="A506">
        <v>390</v>
      </c>
      <c r="B506" t="s">
        <v>699</v>
      </c>
      <c r="C506" t="s">
        <v>700</v>
      </c>
      <c r="D506" t="s">
        <v>47</v>
      </c>
      <c r="E506">
        <v>1000</v>
      </c>
      <c r="F506">
        <v>249.55</v>
      </c>
      <c r="G506">
        <v>0.24954999999999999</v>
      </c>
    </row>
    <row r="507" spans="1:7" x14ac:dyDescent="0.3">
      <c r="A507">
        <v>390</v>
      </c>
      <c r="B507" t="s">
        <v>699</v>
      </c>
      <c r="D507" t="s">
        <v>53</v>
      </c>
      <c r="E507">
        <v>3</v>
      </c>
      <c r="F507">
        <v>195</v>
      </c>
      <c r="G507">
        <v>65</v>
      </c>
    </row>
    <row r="508" spans="1:7" x14ac:dyDescent="0.3">
      <c r="A508">
        <v>390</v>
      </c>
      <c r="B508" t="s">
        <v>699</v>
      </c>
      <c r="D508" t="s">
        <v>47</v>
      </c>
      <c r="E508">
        <v>2000</v>
      </c>
      <c r="F508">
        <v>520</v>
      </c>
      <c r="G508">
        <v>0.26</v>
      </c>
    </row>
    <row r="509" spans="1:7" x14ac:dyDescent="0.3">
      <c r="A509">
        <v>391</v>
      </c>
      <c r="B509" t="s">
        <v>701</v>
      </c>
      <c r="C509" t="s">
        <v>702</v>
      </c>
      <c r="D509" t="s">
        <v>36</v>
      </c>
      <c r="E509">
        <v>3600</v>
      </c>
      <c r="F509">
        <v>322.48</v>
      </c>
      <c r="G509">
        <v>8.9577777777777784E-2</v>
      </c>
    </row>
    <row r="510" spans="1:7" x14ac:dyDescent="0.3">
      <c r="A510">
        <v>391</v>
      </c>
      <c r="B510" t="s">
        <v>701</v>
      </c>
      <c r="C510" t="s">
        <v>468</v>
      </c>
      <c r="D510" t="s">
        <v>36</v>
      </c>
      <c r="E510">
        <v>3</v>
      </c>
      <c r="F510">
        <v>195</v>
      </c>
      <c r="G510">
        <v>65</v>
      </c>
    </row>
    <row r="511" spans="1:7" x14ac:dyDescent="0.3">
      <c r="A511">
        <v>391</v>
      </c>
      <c r="B511" t="s">
        <v>701</v>
      </c>
      <c r="D511" t="s">
        <v>36</v>
      </c>
      <c r="E511">
        <v>2700</v>
      </c>
      <c r="F511">
        <v>213.6</v>
      </c>
      <c r="G511">
        <v>7.9111111111111118E-2</v>
      </c>
    </row>
    <row r="512" spans="1:7" x14ac:dyDescent="0.3">
      <c r="A512">
        <v>392</v>
      </c>
      <c r="B512" t="s">
        <v>703</v>
      </c>
      <c r="D512" t="s">
        <v>36</v>
      </c>
      <c r="E512">
        <v>5100</v>
      </c>
      <c r="F512">
        <v>3180</v>
      </c>
      <c r="G512">
        <v>0.62352941176470589</v>
      </c>
    </row>
    <row r="513" spans="1:7" x14ac:dyDescent="0.3">
      <c r="A513">
        <v>393</v>
      </c>
      <c r="B513" t="s">
        <v>704</v>
      </c>
      <c r="C513" t="s">
        <v>678</v>
      </c>
      <c r="D513" t="s">
        <v>38</v>
      </c>
      <c r="E513">
        <v>3</v>
      </c>
      <c r="F513">
        <v>58.2</v>
      </c>
      <c r="G513">
        <v>19.399999999999999</v>
      </c>
    </row>
    <row r="514" spans="1:7" x14ac:dyDescent="0.3">
      <c r="A514">
        <v>394</v>
      </c>
      <c r="B514" t="s">
        <v>705</v>
      </c>
      <c r="C514" t="s">
        <v>678</v>
      </c>
      <c r="D514" t="s">
        <v>38</v>
      </c>
      <c r="E514">
        <v>12</v>
      </c>
      <c r="F514">
        <v>404.4</v>
      </c>
      <c r="G514">
        <v>33.700000000000003</v>
      </c>
    </row>
    <row r="515" spans="1:7" x14ac:dyDescent="0.3">
      <c r="A515">
        <v>395</v>
      </c>
      <c r="B515" t="s">
        <v>706</v>
      </c>
      <c r="D515" t="s">
        <v>38</v>
      </c>
      <c r="E515">
        <v>2</v>
      </c>
      <c r="F515">
        <v>193.8</v>
      </c>
      <c r="G515">
        <v>96.9</v>
      </c>
    </row>
    <row r="516" spans="1:7" x14ac:dyDescent="0.3">
      <c r="A516">
        <v>396</v>
      </c>
      <c r="B516" t="s">
        <v>707</v>
      </c>
      <c r="C516" t="s">
        <v>708</v>
      </c>
      <c r="D516" t="s">
        <v>36</v>
      </c>
      <c r="E516">
        <v>500</v>
      </c>
      <c r="F516">
        <v>422.5</v>
      </c>
      <c r="G516">
        <v>0.84499999999999997</v>
      </c>
    </row>
    <row r="517" spans="1:7" x14ac:dyDescent="0.3">
      <c r="A517">
        <v>396</v>
      </c>
      <c r="B517" t="s">
        <v>707</v>
      </c>
      <c r="D517" t="s">
        <v>36</v>
      </c>
      <c r="E517">
        <v>800</v>
      </c>
      <c r="F517">
        <v>280</v>
      </c>
      <c r="G517">
        <v>0.35</v>
      </c>
    </row>
    <row r="518" spans="1:7" x14ac:dyDescent="0.3">
      <c r="A518">
        <v>397</v>
      </c>
      <c r="B518" t="s">
        <v>709</v>
      </c>
      <c r="D518" t="s">
        <v>38</v>
      </c>
      <c r="E518">
        <v>33</v>
      </c>
      <c r="F518">
        <v>372.9</v>
      </c>
      <c r="G518">
        <v>11.3</v>
      </c>
    </row>
    <row r="519" spans="1:7" x14ac:dyDescent="0.3">
      <c r="A519">
        <v>398</v>
      </c>
      <c r="B519" t="s">
        <v>710</v>
      </c>
      <c r="C519" t="s">
        <v>711</v>
      </c>
      <c r="D519" t="s">
        <v>38</v>
      </c>
      <c r="E519">
        <v>373</v>
      </c>
      <c r="F519">
        <v>6878.1200000000008</v>
      </c>
      <c r="G519">
        <v>18.440000000000001</v>
      </c>
    </row>
    <row r="520" spans="1:7" x14ac:dyDescent="0.3">
      <c r="A520">
        <v>399</v>
      </c>
      <c r="B520" t="s">
        <v>712</v>
      </c>
      <c r="C520" t="s">
        <v>635</v>
      </c>
      <c r="D520" t="s">
        <v>36</v>
      </c>
      <c r="E520">
        <v>37000</v>
      </c>
      <c r="F520">
        <v>3189.4</v>
      </c>
      <c r="G520">
        <v>8.6199999999999999E-2</v>
      </c>
    </row>
    <row r="521" spans="1:7" x14ac:dyDescent="0.3">
      <c r="A521">
        <v>400</v>
      </c>
      <c r="B521" t="s">
        <v>713</v>
      </c>
      <c r="C521" t="s">
        <v>714</v>
      </c>
      <c r="D521" t="s">
        <v>38</v>
      </c>
      <c r="E521">
        <v>305</v>
      </c>
      <c r="F521">
        <v>396.5</v>
      </c>
      <c r="G521">
        <v>1.3</v>
      </c>
    </row>
    <row r="522" spans="1:7" x14ac:dyDescent="0.3">
      <c r="A522">
        <v>401</v>
      </c>
      <c r="B522" t="s">
        <v>715</v>
      </c>
      <c r="C522" t="s">
        <v>635</v>
      </c>
      <c r="D522" t="s">
        <v>36</v>
      </c>
      <c r="E522">
        <v>38008</v>
      </c>
      <c r="F522">
        <v>3737.3200000000011</v>
      </c>
      <c r="G522">
        <v>9.8329825299936877E-2</v>
      </c>
    </row>
    <row r="523" spans="1:7" x14ac:dyDescent="0.3">
      <c r="A523">
        <v>402</v>
      </c>
      <c r="B523" t="s">
        <v>716</v>
      </c>
      <c r="C523" t="s">
        <v>717</v>
      </c>
      <c r="D523" t="s">
        <v>36</v>
      </c>
      <c r="E523">
        <v>2250</v>
      </c>
      <c r="F523">
        <v>540</v>
      </c>
      <c r="G523">
        <v>0.24</v>
      </c>
    </row>
    <row r="524" spans="1:7" x14ac:dyDescent="0.3">
      <c r="A524">
        <v>403</v>
      </c>
      <c r="B524" t="s">
        <v>718</v>
      </c>
      <c r="C524" t="s">
        <v>719</v>
      </c>
      <c r="D524" t="s">
        <v>36</v>
      </c>
      <c r="E524">
        <v>200</v>
      </c>
      <c r="F524">
        <v>37</v>
      </c>
      <c r="G524">
        <v>0.185</v>
      </c>
    </row>
    <row r="525" spans="1:7" x14ac:dyDescent="0.3">
      <c r="A525">
        <v>404</v>
      </c>
      <c r="B525" t="s">
        <v>720</v>
      </c>
      <c r="C525" t="s">
        <v>635</v>
      </c>
      <c r="D525" t="s">
        <v>36</v>
      </c>
      <c r="E525">
        <v>71</v>
      </c>
      <c r="F525">
        <v>5702.7199999999993</v>
      </c>
      <c r="G525">
        <v>80.319999999999993</v>
      </c>
    </row>
    <row r="526" spans="1:7" x14ac:dyDescent="0.3">
      <c r="A526">
        <v>405</v>
      </c>
      <c r="B526" t="s">
        <v>721</v>
      </c>
      <c r="C526" t="s">
        <v>635</v>
      </c>
      <c r="D526" t="s">
        <v>36</v>
      </c>
      <c r="E526">
        <v>22</v>
      </c>
      <c r="F526">
        <v>1857.68</v>
      </c>
      <c r="G526">
        <v>84.44</v>
      </c>
    </row>
    <row r="527" spans="1:7" x14ac:dyDescent="0.3">
      <c r="A527">
        <v>406</v>
      </c>
      <c r="B527" t="s">
        <v>722</v>
      </c>
      <c r="C527" t="s">
        <v>635</v>
      </c>
      <c r="D527" t="s">
        <v>36</v>
      </c>
      <c r="E527">
        <v>12000</v>
      </c>
      <c r="F527">
        <v>1176</v>
      </c>
      <c r="G527">
        <v>9.8000000000000004E-2</v>
      </c>
    </row>
    <row r="528" spans="1:7" x14ac:dyDescent="0.3">
      <c r="A528">
        <v>407</v>
      </c>
      <c r="B528" t="s">
        <v>723</v>
      </c>
      <c r="C528" t="s">
        <v>724</v>
      </c>
      <c r="D528" t="s">
        <v>77</v>
      </c>
      <c r="E528">
        <v>8</v>
      </c>
      <c r="F528">
        <v>420.16</v>
      </c>
      <c r="G528">
        <v>52.52</v>
      </c>
    </row>
    <row r="529" spans="1:7" x14ac:dyDescent="0.3">
      <c r="A529">
        <v>408</v>
      </c>
      <c r="B529" t="s">
        <v>725</v>
      </c>
      <c r="C529" t="s">
        <v>724</v>
      </c>
      <c r="D529" t="s">
        <v>77</v>
      </c>
      <c r="E529">
        <v>3</v>
      </c>
      <c r="F529">
        <v>222</v>
      </c>
      <c r="G529">
        <v>74</v>
      </c>
    </row>
    <row r="530" spans="1:7" x14ac:dyDescent="0.3">
      <c r="A530">
        <v>409</v>
      </c>
      <c r="B530" t="s">
        <v>726</v>
      </c>
      <c r="D530" t="s">
        <v>36</v>
      </c>
      <c r="E530">
        <v>3000</v>
      </c>
      <c r="F530">
        <v>1320</v>
      </c>
      <c r="G530">
        <v>0.44</v>
      </c>
    </row>
    <row r="531" spans="1:7" x14ac:dyDescent="0.3">
      <c r="A531">
        <v>410</v>
      </c>
      <c r="B531" t="s">
        <v>727</v>
      </c>
      <c r="C531" t="s">
        <v>728</v>
      </c>
      <c r="D531" t="s">
        <v>38</v>
      </c>
      <c r="E531">
        <v>6</v>
      </c>
      <c r="F531">
        <v>134.28</v>
      </c>
      <c r="G531">
        <v>22.38</v>
      </c>
    </row>
    <row r="532" spans="1:7" x14ac:dyDescent="0.3">
      <c r="A532">
        <v>411</v>
      </c>
      <c r="B532" t="s">
        <v>729</v>
      </c>
      <c r="D532" t="s">
        <v>38</v>
      </c>
      <c r="E532">
        <v>30</v>
      </c>
      <c r="F532">
        <v>671.34999999999991</v>
      </c>
      <c r="G532">
        <v>22.37833333333333</v>
      </c>
    </row>
    <row r="533" spans="1:7" x14ac:dyDescent="0.3">
      <c r="A533">
        <v>412</v>
      </c>
      <c r="B533" t="s">
        <v>730</v>
      </c>
      <c r="C533" t="s">
        <v>517</v>
      </c>
      <c r="D533" t="s">
        <v>38</v>
      </c>
      <c r="E533">
        <v>1001</v>
      </c>
      <c r="F533">
        <v>7507.5</v>
      </c>
      <c r="G533">
        <v>7.5</v>
      </c>
    </row>
    <row r="534" spans="1:7" x14ac:dyDescent="0.3">
      <c r="A534">
        <v>413</v>
      </c>
      <c r="B534" t="s">
        <v>731</v>
      </c>
      <c r="C534" t="s">
        <v>63</v>
      </c>
      <c r="D534" t="s">
        <v>36</v>
      </c>
      <c r="E534">
        <v>250</v>
      </c>
      <c r="F534">
        <v>85</v>
      </c>
      <c r="G534">
        <v>0.34</v>
      </c>
    </row>
    <row r="535" spans="1:7" x14ac:dyDescent="0.3">
      <c r="A535">
        <v>413</v>
      </c>
      <c r="B535" t="s">
        <v>731</v>
      </c>
      <c r="D535" t="s">
        <v>36</v>
      </c>
      <c r="E535">
        <v>200</v>
      </c>
      <c r="F535">
        <v>130</v>
      </c>
      <c r="G535">
        <v>0.65</v>
      </c>
    </row>
    <row r="536" spans="1:7" x14ac:dyDescent="0.3">
      <c r="A536">
        <v>414</v>
      </c>
      <c r="B536" t="s">
        <v>732</v>
      </c>
      <c r="C536" t="s">
        <v>74</v>
      </c>
      <c r="D536" t="s">
        <v>36</v>
      </c>
      <c r="E536">
        <v>4000</v>
      </c>
      <c r="F536">
        <v>592</v>
      </c>
      <c r="G536">
        <v>0.14799999999999999</v>
      </c>
    </row>
    <row r="537" spans="1:7" x14ac:dyDescent="0.3">
      <c r="A537">
        <v>415</v>
      </c>
      <c r="B537" t="s">
        <v>733</v>
      </c>
      <c r="D537" t="s">
        <v>36</v>
      </c>
      <c r="E537">
        <v>4</v>
      </c>
      <c r="F537">
        <v>1280</v>
      </c>
      <c r="G537">
        <v>320</v>
      </c>
    </row>
    <row r="538" spans="1:7" x14ac:dyDescent="0.3">
      <c r="A538">
        <v>416</v>
      </c>
      <c r="B538" t="s">
        <v>734</v>
      </c>
      <c r="D538" t="s">
        <v>36</v>
      </c>
      <c r="E538">
        <v>1000</v>
      </c>
      <c r="F538">
        <v>240</v>
      </c>
      <c r="G538">
        <v>0.24</v>
      </c>
    </row>
    <row r="539" spans="1:7" x14ac:dyDescent="0.3">
      <c r="A539">
        <v>417</v>
      </c>
      <c r="B539" t="s">
        <v>735</v>
      </c>
      <c r="C539" t="s">
        <v>736</v>
      </c>
      <c r="D539" t="s">
        <v>38</v>
      </c>
      <c r="E539">
        <v>30</v>
      </c>
      <c r="F539">
        <v>456</v>
      </c>
      <c r="G539">
        <v>15.2</v>
      </c>
    </row>
    <row r="540" spans="1:7" x14ac:dyDescent="0.3">
      <c r="A540">
        <v>417</v>
      </c>
      <c r="B540" t="s">
        <v>735</v>
      </c>
      <c r="D540" t="s">
        <v>38</v>
      </c>
      <c r="E540">
        <v>10</v>
      </c>
      <c r="F540">
        <v>635</v>
      </c>
      <c r="G540">
        <v>63.5</v>
      </c>
    </row>
    <row r="541" spans="1:7" x14ac:dyDescent="0.3">
      <c r="A541">
        <v>418</v>
      </c>
      <c r="B541" t="s">
        <v>737</v>
      </c>
      <c r="C541" t="s">
        <v>738</v>
      </c>
      <c r="D541" t="s">
        <v>38</v>
      </c>
      <c r="E541">
        <v>70</v>
      </c>
      <c r="F541">
        <v>3684.8</v>
      </c>
      <c r="G541">
        <v>52.64</v>
      </c>
    </row>
    <row r="542" spans="1:7" x14ac:dyDescent="0.3">
      <c r="A542">
        <v>419</v>
      </c>
      <c r="B542" t="s">
        <v>739</v>
      </c>
      <c r="D542" t="s">
        <v>77</v>
      </c>
      <c r="E542">
        <v>55</v>
      </c>
      <c r="F542">
        <v>2860</v>
      </c>
      <c r="G542">
        <v>52</v>
      </c>
    </row>
    <row r="543" spans="1:7" x14ac:dyDescent="0.3">
      <c r="A543">
        <v>420</v>
      </c>
      <c r="B543" t="s">
        <v>740</v>
      </c>
      <c r="C543" t="s">
        <v>741</v>
      </c>
      <c r="D543" t="s">
        <v>36</v>
      </c>
      <c r="E543">
        <v>300</v>
      </c>
      <c r="F543">
        <v>255</v>
      </c>
      <c r="G543">
        <v>0.85</v>
      </c>
    </row>
    <row r="544" spans="1:7" x14ac:dyDescent="0.3">
      <c r="A544">
        <v>421</v>
      </c>
      <c r="B544" t="s">
        <v>742</v>
      </c>
      <c r="C544" t="s">
        <v>743</v>
      </c>
      <c r="D544" t="s">
        <v>36</v>
      </c>
      <c r="E544">
        <v>48</v>
      </c>
      <c r="F544">
        <v>1467.36</v>
      </c>
      <c r="G544">
        <v>30.57</v>
      </c>
    </row>
    <row r="545" spans="1:7" x14ac:dyDescent="0.3">
      <c r="A545">
        <v>421</v>
      </c>
      <c r="B545" t="s">
        <v>742</v>
      </c>
      <c r="D545" t="s">
        <v>36</v>
      </c>
      <c r="E545">
        <v>3450</v>
      </c>
      <c r="F545">
        <v>703.11</v>
      </c>
      <c r="G545">
        <v>0.20380000000000001</v>
      </c>
    </row>
    <row r="546" spans="1:7" x14ac:dyDescent="0.3">
      <c r="A546">
        <v>422</v>
      </c>
      <c r="B546" t="s">
        <v>744</v>
      </c>
      <c r="C546" t="s">
        <v>158</v>
      </c>
      <c r="D546" t="s">
        <v>53</v>
      </c>
      <c r="E546">
        <v>9</v>
      </c>
      <c r="F546">
        <v>1215</v>
      </c>
      <c r="G546">
        <v>135</v>
      </c>
    </row>
    <row r="547" spans="1:7" x14ac:dyDescent="0.3">
      <c r="A547">
        <v>422</v>
      </c>
      <c r="B547" t="s">
        <v>744</v>
      </c>
      <c r="D547" t="s">
        <v>53</v>
      </c>
      <c r="E547">
        <v>14000</v>
      </c>
      <c r="F547">
        <v>540</v>
      </c>
      <c r="G547">
        <v>3.8571428571428569E-2</v>
      </c>
    </row>
    <row r="548" spans="1:7" x14ac:dyDescent="0.3">
      <c r="A548">
        <v>423</v>
      </c>
      <c r="B548" t="s">
        <v>745</v>
      </c>
      <c r="C548" t="s">
        <v>746</v>
      </c>
      <c r="D548" t="s">
        <v>36</v>
      </c>
      <c r="E548">
        <v>1800</v>
      </c>
      <c r="F548">
        <v>329.99999999999989</v>
      </c>
      <c r="G548">
        <v>0.18333333333333329</v>
      </c>
    </row>
    <row r="549" spans="1:7" x14ac:dyDescent="0.3">
      <c r="A549">
        <v>423</v>
      </c>
      <c r="B549" t="s">
        <v>745</v>
      </c>
      <c r="D549" t="s">
        <v>36</v>
      </c>
      <c r="E549">
        <v>500</v>
      </c>
      <c r="F549">
        <v>105.2777777777778</v>
      </c>
      <c r="G549">
        <v>0.21055555555555561</v>
      </c>
    </row>
    <row r="550" spans="1:7" x14ac:dyDescent="0.3">
      <c r="A550">
        <v>424</v>
      </c>
      <c r="B550" t="s">
        <v>747</v>
      </c>
      <c r="C550" t="s">
        <v>748</v>
      </c>
      <c r="D550" t="s">
        <v>38</v>
      </c>
      <c r="E550">
        <v>4</v>
      </c>
      <c r="F550">
        <v>272.39999999999998</v>
      </c>
      <c r="G550">
        <v>68.099999999999994</v>
      </c>
    </row>
    <row r="551" spans="1:7" x14ac:dyDescent="0.3">
      <c r="A551">
        <v>424</v>
      </c>
      <c r="B551" t="s">
        <v>747</v>
      </c>
      <c r="C551" t="s">
        <v>749</v>
      </c>
      <c r="D551" t="s">
        <v>38</v>
      </c>
      <c r="E551">
        <v>198</v>
      </c>
      <c r="F551">
        <v>3663</v>
      </c>
      <c r="G551">
        <v>18.5</v>
      </c>
    </row>
    <row r="552" spans="1:7" x14ac:dyDescent="0.3">
      <c r="A552">
        <v>424</v>
      </c>
      <c r="B552" t="s">
        <v>747</v>
      </c>
      <c r="D552" t="s">
        <v>38</v>
      </c>
      <c r="E552">
        <v>5</v>
      </c>
      <c r="F552">
        <v>171</v>
      </c>
      <c r="G552">
        <v>34.200000000000003</v>
      </c>
    </row>
    <row r="553" spans="1:7" x14ac:dyDescent="0.3">
      <c r="A553">
        <v>425</v>
      </c>
      <c r="B553" t="s">
        <v>750</v>
      </c>
      <c r="C553" t="s">
        <v>224</v>
      </c>
      <c r="D553" t="s">
        <v>38</v>
      </c>
      <c r="E553">
        <v>48</v>
      </c>
      <c r="F553">
        <v>774.72</v>
      </c>
      <c r="G553">
        <v>16.14</v>
      </c>
    </row>
    <row r="554" spans="1:7" x14ac:dyDescent="0.3">
      <c r="A554">
        <v>425</v>
      </c>
      <c r="B554" t="s">
        <v>750</v>
      </c>
      <c r="C554" t="s">
        <v>751</v>
      </c>
      <c r="D554" t="s">
        <v>38</v>
      </c>
      <c r="E554">
        <v>21</v>
      </c>
      <c r="F554">
        <v>525.63</v>
      </c>
      <c r="G554">
        <v>25.03</v>
      </c>
    </row>
    <row r="555" spans="1:7" x14ac:dyDescent="0.3">
      <c r="A555">
        <v>425</v>
      </c>
      <c r="B555" t="s">
        <v>750</v>
      </c>
      <c r="C555" t="s">
        <v>752</v>
      </c>
      <c r="D555" t="s">
        <v>38</v>
      </c>
      <c r="E555">
        <v>2</v>
      </c>
      <c r="F555">
        <v>114.82</v>
      </c>
      <c r="G555">
        <v>57.41</v>
      </c>
    </row>
    <row r="556" spans="1:7" x14ac:dyDescent="0.3">
      <c r="A556">
        <v>425</v>
      </c>
      <c r="B556" t="s">
        <v>750</v>
      </c>
      <c r="C556" t="s">
        <v>753</v>
      </c>
      <c r="D556" t="s">
        <v>38</v>
      </c>
      <c r="E556">
        <v>343</v>
      </c>
      <c r="F556">
        <v>2572.5</v>
      </c>
      <c r="G556">
        <v>7.5</v>
      </c>
    </row>
    <row r="557" spans="1:7" x14ac:dyDescent="0.3">
      <c r="A557">
        <v>425</v>
      </c>
      <c r="B557" t="s">
        <v>750</v>
      </c>
      <c r="D557" t="s">
        <v>38</v>
      </c>
      <c r="E557">
        <v>14</v>
      </c>
      <c r="F557">
        <v>833</v>
      </c>
      <c r="G557">
        <v>59.5</v>
      </c>
    </row>
    <row r="558" spans="1:7" x14ac:dyDescent="0.3">
      <c r="A558">
        <v>426</v>
      </c>
      <c r="B558" t="s">
        <v>754</v>
      </c>
      <c r="C558" t="s">
        <v>755</v>
      </c>
      <c r="D558" t="s">
        <v>77</v>
      </c>
      <c r="E558">
        <v>6</v>
      </c>
      <c r="F558">
        <v>90</v>
      </c>
      <c r="G558">
        <v>15</v>
      </c>
    </row>
    <row r="559" spans="1:7" x14ac:dyDescent="0.3">
      <c r="A559">
        <v>427</v>
      </c>
      <c r="B559" t="s">
        <v>756</v>
      </c>
      <c r="C559" t="s">
        <v>757</v>
      </c>
      <c r="D559" t="s">
        <v>38</v>
      </c>
      <c r="E559">
        <v>100</v>
      </c>
      <c r="F559">
        <v>739</v>
      </c>
      <c r="G559">
        <v>7.39</v>
      </c>
    </row>
    <row r="560" spans="1:7" x14ac:dyDescent="0.3">
      <c r="A560">
        <v>428</v>
      </c>
      <c r="B560" t="s">
        <v>758</v>
      </c>
      <c r="C560" t="s">
        <v>759</v>
      </c>
      <c r="D560" t="s">
        <v>38</v>
      </c>
      <c r="E560">
        <v>50</v>
      </c>
      <c r="F560">
        <v>1218.5</v>
      </c>
      <c r="G560">
        <v>24.37</v>
      </c>
    </row>
    <row r="561" spans="1:7" x14ac:dyDescent="0.3">
      <c r="A561">
        <v>429</v>
      </c>
      <c r="B561" t="s">
        <v>760</v>
      </c>
      <c r="C561" t="s">
        <v>761</v>
      </c>
      <c r="D561" t="s">
        <v>38</v>
      </c>
      <c r="E561">
        <v>11</v>
      </c>
      <c r="F561">
        <v>360.47</v>
      </c>
      <c r="G561">
        <v>32.770000000000003</v>
      </c>
    </row>
    <row r="562" spans="1:7" x14ac:dyDescent="0.3">
      <c r="A562">
        <v>430</v>
      </c>
      <c r="B562" t="s">
        <v>762</v>
      </c>
      <c r="D562" t="s">
        <v>38</v>
      </c>
      <c r="E562">
        <v>100</v>
      </c>
      <c r="F562">
        <v>580</v>
      </c>
      <c r="G562">
        <v>5.8</v>
      </c>
    </row>
    <row r="563" spans="1:7" x14ac:dyDescent="0.3">
      <c r="A563">
        <v>430</v>
      </c>
      <c r="B563" t="s">
        <v>762</v>
      </c>
      <c r="C563" t="s">
        <v>763</v>
      </c>
      <c r="D563" t="s">
        <v>764</v>
      </c>
      <c r="E563">
        <v>58</v>
      </c>
      <c r="F563">
        <v>3713.16</v>
      </c>
      <c r="G563">
        <v>64.02</v>
      </c>
    </row>
    <row r="564" spans="1:7" x14ac:dyDescent="0.3">
      <c r="A564">
        <v>431</v>
      </c>
      <c r="B564" t="s">
        <v>765</v>
      </c>
      <c r="D564" t="s">
        <v>764</v>
      </c>
      <c r="E564">
        <v>1</v>
      </c>
      <c r="F564">
        <v>508.05</v>
      </c>
      <c r="G564">
        <v>508.05</v>
      </c>
    </row>
    <row r="565" spans="1:7" x14ac:dyDescent="0.3">
      <c r="A565">
        <v>432</v>
      </c>
      <c r="B565" t="s">
        <v>766</v>
      </c>
      <c r="D565" t="s">
        <v>38</v>
      </c>
      <c r="E565">
        <v>1</v>
      </c>
      <c r="F565">
        <v>629.70000000000005</v>
      </c>
      <c r="G565">
        <v>629.70000000000005</v>
      </c>
    </row>
    <row r="566" spans="1:7" x14ac:dyDescent="0.3">
      <c r="A566">
        <v>433</v>
      </c>
      <c r="B566" t="s">
        <v>767</v>
      </c>
      <c r="D566" t="s">
        <v>764</v>
      </c>
      <c r="E566">
        <v>1</v>
      </c>
      <c r="F566">
        <v>668</v>
      </c>
      <c r="G566">
        <v>668</v>
      </c>
    </row>
    <row r="567" spans="1:7" x14ac:dyDescent="0.3">
      <c r="A567">
        <v>434</v>
      </c>
      <c r="B567" t="s">
        <v>768</v>
      </c>
      <c r="D567" t="s">
        <v>38</v>
      </c>
      <c r="E567">
        <v>50</v>
      </c>
      <c r="F567">
        <v>1341</v>
      </c>
      <c r="G567">
        <v>26.82</v>
      </c>
    </row>
    <row r="568" spans="1:7" x14ac:dyDescent="0.3">
      <c r="A568">
        <v>435</v>
      </c>
      <c r="B568" t="s">
        <v>769</v>
      </c>
      <c r="C568" t="s">
        <v>403</v>
      </c>
      <c r="D568" t="s">
        <v>36</v>
      </c>
      <c r="E568">
        <v>7000</v>
      </c>
      <c r="F568">
        <v>803.6</v>
      </c>
      <c r="G568">
        <v>0.1148</v>
      </c>
    </row>
    <row r="569" spans="1:7" x14ac:dyDescent="0.3">
      <c r="A569">
        <v>435</v>
      </c>
      <c r="B569" t="s">
        <v>769</v>
      </c>
      <c r="C569" t="s">
        <v>770</v>
      </c>
      <c r="D569" t="s">
        <v>36</v>
      </c>
      <c r="E569">
        <v>2520</v>
      </c>
      <c r="F569">
        <v>580.19999999999982</v>
      </c>
      <c r="G569">
        <v>0.23023809523809519</v>
      </c>
    </row>
    <row r="570" spans="1:7" x14ac:dyDescent="0.3">
      <c r="A570">
        <v>436</v>
      </c>
      <c r="B570" t="s">
        <v>771</v>
      </c>
      <c r="D570" t="s">
        <v>36</v>
      </c>
      <c r="E570">
        <v>2000</v>
      </c>
      <c r="F570">
        <v>880</v>
      </c>
      <c r="G570">
        <v>0.44</v>
      </c>
    </row>
    <row r="571" spans="1:7" x14ac:dyDescent="0.3">
      <c r="A571">
        <v>437</v>
      </c>
      <c r="B571" t="s">
        <v>772</v>
      </c>
      <c r="C571" t="s">
        <v>142</v>
      </c>
      <c r="D571" t="s">
        <v>36</v>
      </c>
      <c r="E571">
        <v>7</v>
      </c>
      <c r="F571">
        <v>345</v>
      </c>
      <c r="G571">
        <v>49.285714285714278</v>
      </c>
    </row>
    <row r="572" spans="1:7" x14ac:dyDescent="0.3">
      <c r="A572">
        <v>438</v>
      </c>
      <c r="B572" t="s">
        <v>773</v>
      </c>
      <c r="C572" t="s">
        <v>774</v>
      </c>
      <c r="D572" t="s">
        <v>47</v>
      </c>
      <c r="E572">
        <v>4</v>
      </c>
      <c r="F572">
        <v>200</v>
      </c>
      <c r="G572">
        <v>50</v>
      </c>
    </row>
    <row r="573" spans="1:7" x14ac:dyDescent="0.3">
      <c r="A573">
        <v>439</v>
      </c>
      <c r="B573" t="s">
        <v>775</v>
      </c>
      <c r="C573" t="s">
        <v>246</v>
      </c>
      <c r="D573" t="s">
        <v>138</v>
      </c>
      <c r="E573">
        <v>2860</v>
      </c>
      <c r="F573">
        <v>547.79999999999984</v>
      </c>
      <c r="G573">
        <v>0.19153846153846149</v>
      </c>
    </row>
    <row r="574" spans="1:7" x14ac:dyDescent="0.3">
      <c r="A574">
        <v>439</v>
      </c>
      <c r="B574" t="s">
        <v>775</v>
      </c>
      <c r="C574" t="s">
        <v>776</v>
      </c>
      <c r="D574" t="s">
        <v>138</v>
      </c>
      <c r="E574">
        <v>19</v>
      </c>
      <c r="F574">
        <v>948.48</v>
      </c>
      <c r="G574">
        <v>49.92</v>
      </c>
    </row>
    <row r="575" spans="1:7" x14ac:dyDescent="0.3">
      <c r="A575">
        <v>440</v>
      </c>
      <c r="B575" t="s">
        <v>777</v>
      </c>
      <c r="C575" t="s">
        <v>158</v>
      </c>
      <c r="D575" t="s">
        <v>47</v>
      </c>
      <c r="E575">
        <v>15</v>
      </c>
      <c r="F575">
        <v>1050</v>
      </c>
      <c r="G575">
        <v>70</v>
      </c>
    </row>
    <row r="576" spans="1:7" x14ac:dyDescent="0.3">
      <c r="A576">
        <v>440</v>
      </c>
      <c r="B576" t="s">
        <v>777</v>
      </c>
      <c r="C576" t="s">
        <v>158</v>
      </c>
      <c r="D576" t="s">
        <v>53</v>
      </c>
      <c r="E576">
        <v>30</v>
      </c>
      <c r="F576">
        <v>2100</v>
      </c>
      <c r="G576">
        <v>70</v>
      </c>
    </row>
    <row r="577" spans="1:7" x14ac:dyDescent="0.3">
      <c r="A577">
        <v>440</v>
      </c>
      <c r="B577" t="s">
        <v>777</v>
      </c>
      <c r="D577" t="s">
        <v>53</v>
      </c>
      <c r="E577">
        <v>5</v>
      </c>
      <c r="F577">
        <v>350</v>
      </c>
      <c r="G577">
        <v>70</v>
      </c>
    </row>
    <row r="578" spans="1:7" x14ac:dyDescent="0.3">
      <c r="A578">
        <v>440</v>
      </c>
      <c r="B578" t="s">
        <v>777</v>
      </c>
      <c r="D578" t="s">
        <v>36</v>
      </c>
      <c r="E578">
        <v>1000</v>
      </c>
      <c r="F578">
        <v>191.11111111111109</v>
      </c>
      <c r="G578">
        <v>0.19111111111111109</v>
      </c>
    </row>
    <row r="579" spans="1:7" x14ac:dyDescent="0.3">
      <c r="A579">
        <v>441</v>
      </c>
      <c r="B579" t="s">
        <v>778</v>
      </c>
      <c r="C579" t="s">
        <v>779</v>
      </c>
      <c r="D579" t="s">
        <v>38</v>
      </c>
      <c r="E579">
        <v>240</v>
      </c>
      <c r="F579">
        <v>1687.2</v>
      </c>
      <c r="G579">
        <v>7.03</v>
      </c>
    </row>
    <row r="580" spans="1:7" x14ac:dyDescent="0.3">
      <c r="A580">
        <v>442</v>
      </c>
      <c r="B580" t="s">
        <v>780</v>
      </c>
      <c r="D580" t="s">
        <v>36</v>
      </c>
      <c r="E580">
        <v>1500</v>
      </c>
      <c r="F580">
        <v>1396</v>
      </c>
      <c r="G580">
        <v>0.93066666666666664</v>
      </c>
    </row>
    <row r="581" spans="1:7" x14ac:dyDescent="0.3">
      <c r="A581">
        <v>442</v>
      </c>
      <c r="B581" t="s">
        <v>780</v>
      </c>
      <c r="C581" t="s">
        <v>36</v>
      </c>
      <c r="D581" t="s">
        <v>36</v>
      </c>
      <c r="E581">
        <v>2</v>
      </c>
      <c r="F581">
        <v>376</v>
      </c>
      <c r="G581">
        <v>188</v>
      </c>
    </row>
    <row r="582" spans="1:7" x14ac:dyDescent="0.3">
      <c r="A582">
        <v>443</v>
      </c>
      <c r="B582" t="s">
        <v>781</v>
      </c>
      <c r="C582" t="s">
        <v>782</v>
      </c>
      <c r="D582" t="s">
        <v>36</v>
      </c>
      <c r="E582">
        <v>400</v>
      </c>
      <c r="F582">
        <v>90</v>
      </c>
      <c r="G582">
        <v>0.22500000000000001</v>
      </c>
    </row>
    <row r="583" spans="1:7" x14ac:dyDescent="0.3">
      <c r="A583">
        <v>444</v>
      </c>
      <c r="B583" t="s">
        <v>783</v>
      </c>
      <c r="D583" t="s">
        <v>36</v>
      </c>
      <c r="E583">
        <v>4000</v>
      </c>
      <c r="F583">
        <v>643.20000000000005</v>
      </c>
      <c r="G583">
        <v>0.1608</v>
      </c>
    </row>
    <row r="584" spans="1:7" x14ac:dyDescent="0.3">
      <c r="A584">
        <v>445</v>
      </c>
      <c r="B584" t="s">
        <v>784</v>
      </c>
      <c r="C584" t="s">
        <v>785</v>
      </c>
      <c r="D584" t="s">
        <v>38</v>
      </c>
      <c r="E584">
        <v>150</v>
      </c>
      <c r="F584">
        <v>1333.5</v>
      </c>
      <c r="G584">
        <v>8.89</v>
      </c>
    </row>
    <row r="585" spans="1:7" x14ac:dyDescent="0.3">
      <c r="A585">
        <v>446</v>
      </c>
      <c r="B585" t="s">
        <v>786</v>
      </c>
      <c r="C585" t="s">
        <v>787</v>
      </c>
      <c r="D585" t="s">
        <v>77</v>
      </c>
      <c r="E585">
        <v>1</v>
      </c>
      <c r="F585">
        <v>22</v>
      </c>
      <c r="G585">
        <v>22</v>
      </c>
    </row>
    <row r="586" spans="1:7" x14ac:dyDescent="0.3">
      <c r="A586">
        <v>447</v>
      </c>
      <c r="B586" t="s">
        <v>788</v>
      </c>
      <c r="C586" t="s">
        <v>787</v>
      </c>
      <c r="D586" t="s">
        <v>77</v>
      </c>
      <c r="E586">
        <v>1</v>
      </c>
      <c r="F586">
        <v>22</v>
      </c>
      <c r="G586">
        <v>22</v>
      </c>
    </row>
    <row r="587" spans="1:7" x14ac:dyDescent="0.3">
      <c r="A587">
        <v>448</v>
      </c>
      <c r="B587" t="s">
        <v>789</v>
      </c>
      <c r="C587" t="s">
        <v>790</v>
      </c>
      <c r="D587" t="s">
        <v>36</v>
      </c>
      <c r="E587">
        <v>270</v>
      </c>
      <c r="F587">
        <v>247.9</v>
      </c>
      <c r="G587">
        <v>0.91814814814814816</v>
      </c>
    </row>
    <row r="588" spans="1:7" x14ac:dyDescent="0.3">
      <c r="A588">
        <v>449</v>
      </c>
      <c r="B588" t="s">
        <v>791</v>
      </c>
      <c r="D588" t="s">
        <v>38</v>
      </c>
      <c r="E588">
        <v>108</v>
      </c>
      <c r="F588">
        <v>412.56</v>
      </c>
      <c r="G588">
        <v>3.82</v>
      </c>
    </row>
    <row r="589" spans="1:7" x14ac:dyDescent="0.3">
      <c r="A589">
        <v>450</v>
      </c>
      <c r="B589" t="s">
        <v>792</v>
      </c>
      <c r="D589" t="s">
        <v>36</v>
      </c>
      <c r="E589">
        <v>200</v>
      </c>
      <c r="F589">
        <v>53.8</v>
      </c>
      <c r="G589">
        <v>0.26900000000000002</v>
      </c>
    </row>
    <row r="590" spans="1:7" x14ac:dyDescent="0.3">
      <c r="A590">
        <v>451</v>
      </c>
      <c r="B590" t="s">
        <v>793</v>
      </c>
      <c r="D590" t="s">
        <v>38</v>
      </c>
      <c r="E590">
        <v>10</v>
      </c>
      <c r="F590">
        <v>88.6</v>
      </c>
      <c r="G590">
        <v>8.86</v>
      </c>
    </row>
    <row r="591" spans="1:7" x14ac:dyDescent="0.3">
      <c r="A591">
        <v>452</v>
      </c>
      <c r="B591" t="s">
        <v>794</v>
      </c>
      <c r="D591" t="s">
        <v>38</v>
      </c>
      <c r="E591">
        <v>29</v>
      </c>
      <c r="F591">
        <v>256.94</v>
      </c>
      <c r="G591">
        <v>8.86</v>
      </c>
    </row>
    <row r="592" spans="1:7" x14ac:dyDescent="0.3">
      <c r="A592">
        <v>453</v>
      </c>
      <c r="B592" t="s">
        <v>795</v>
      </c>
      <c r="D592" t="s">
        <v>38</v>
      </c>
      <c r="E592">
        <v>20</v>
      </c>
      <c r="F592">
        <v>177.2</v>
      </c>
      <c r="G592">
        <v>8.86</v>
      </c>
    </row>
    <row r="593" spans="6:6" x14ac:dyDescent="0.3">
      <c r="F593">
        <f>SUM(F2:F592)</f>
        <v>1099329.7842805623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LLFSI Gemson</dc:creator>
  <cp:lastModifiedBy>Mark Andal</cp:lastModifiedBy>
  <dcterms:created xsi:type="dcterms:W3CDTF">2026-01-24T06:34:15Z</dcterms:created>
  <dcterms:modified xsi:type="dcterms:W3CDTF">2026-01-27T02:32:25Z</dcterms:modified>
</cp:coreProperties>
</file>